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Folha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<sst xmlns="http://schemas.openxmlformats.org/spreadsheetml/2006/main" count="5896" uniqueCount="5896">
  <si>
    <t xml:space="preserve">Código Produto</t>
  </si>
  <si>
    <t xml:space="preserve">Descrição Produto</t>
  </si>
  <si>
    <t>Marca</t>
  </si>
  <si>
    <t>Categoria</t>
  </si>
  <si>
    <t xml:space="preserve">Permitido desconto ou brinde?</t>
  </si>
  <si>
    <t xml:space="preserve">Insira o % de desconto para o revendedor</t>
  </si>
  <si>
    <t xml:space="preserve">Preço Revendedor</t>
  </si>
  <si>
    <t xml:space="preserve">Preço Consumidor</t>
  </si>
  <si>
    <t xml:space="preserve">Lucro Revendedor</t>
  </si>
  <si>
    <t xml:space="preserve">MALBEC DESODORANTE COLÔNIA, 100 ml</t>
  </si>
  <si>
    <t>MALBEC</t>
  </si>
  <si>
    <t>PERFUMARIA</t>
  </si>
  <si>
    <t xml:space="preserve">Não - Top seller - Top 50</t>
  </si>
  <si>
    <t xml:space="preserve">Egeo Dolce Woman Desodorante Colônia, 100ml</t>
  </si>
  <si>
    <t>EGEO</t>
  </si>
  <si>
    <t xml:space="preserve">Sim - Liberado em até 100%</t>
  </si>
  <si>
    <t xml:space="preserve">Floratta Blue Desodorante Colônia, 75ml</t>
  </si>
  <si>
    <t>FLORATTA</t>
  </si>
  <si>
    <t xml:space="preserve">LINDA DESODORANTE COLÔNIA, 100 ml</t>
  </si>
  <si>
    <t>LINDA</t>
  </si>
  <si>
    <t xml:space="preserve">Coffee Woman Seduction Desodorante Colônia, 100ml</t>
  </si>
  <si>
    <t>COFFEE</t>
  </si>
  <si>
    <t xml:space="preserve">MALBEC BLACK DESODORANTE COLÔNIA, 100 ml</t>
  </si>
  <si>
    <t xml:space="preserve">MALBEC MAGNETIC DESODORANTE COLÔNIA, 100 ml</t>
  </si>
  <si>
    <t xml:space="preserve">Uomini Desodorante Colônia, 100ml</t>
  </si>
  <si>
    <t>UOMINI</t>
  </si>
  <si>
    <t xml:space="preserve">Não - Promocionado no ciclo anterior</t>
  </si>
  <si>
    <t xml:space="preserve">MALBEC GOLD DESODORANTE COLÔNIA, 100 ml</t>
  </si>
  <si>
    <t xml:space="preserve">FLORATTA RED DESODORANTE COLÔNIA, 75 ml</t>
  </si>
  <si>
    <t xml:space="preserve">Accordes Desodorante Colônia, 80ml</t>
  </si>
  <si>
    <t>ACCORDES</t>
  </si>
  <si>
    <t xml:space="preserve">FLORATTA LOVE FLOWER DESODORANTE COLÔNIA, 75 ml</t>
  </si>
  <si>
    <t xml:space="preserve">ELYSÉE O BOTICÁRIO EAU DE PARFUM, 50 ml</t>
  </si>
  <si>
    <t>ELYSEE</t>
  </si>
  <si>
    <t xml:space="preserve">Uomini Black Desodorante .Colônia, 100ml</t>
  </si>
  <si>
    <t xml:space="preserve">QUASAR DESODORANTE COLÔNIA CLASSIC, 125 ml</t>
  </si>
  <si>
    <t>QUASAR</t>
  </si>
  <si>
    <t xml:space="preserve">CRAZY FEELINGS DESODORANTE COLÔNIA, 100 ml</t>
  </si>
  <si>
    <t>BOTICOLLEC</t>
  </si>
  <si>
    <t xml:space="preserve">Sim - Liberado em até 50%</t>
  </si>
  <si>
    <t xml:space="preserve">COFFEE WOMAN DUO DESODORANTE COLÔNIA, 100ml</t>
  </si>
  <si>
    <t xml:space="preserve">FREE DESODORANTE COLÔNIA, 100 ml</t>
  </si>
  <si>
    <t xml:space="preserve">MALBEC NOIR DESODORANTE COLÔNIA, 100 ml</t>
  </si>
  <si>
    <t xml:space="preserve">Não - Promocionado no ciclo</t>
  </si>
  <si>
    <t xml:space="preserve">Elysée Creme Acetinado Hidratante Corporal, 250g</t>
  </si>
  <si>
    <t xml:space="preserve">CUIDADOS COM A PELE</t>
  </si>
  <si>
    <t xml:space="preserve">QUASAR FIRE DESODORANTE COLÔNIA, 100 ml</t>
  </si>
  <si>
    <t xml:space="preserve">CECITA DESODORANTE COLÔNIA, 100 ml</t>
  </si>
  <si>
    <t xml:space="preserve">QUASAR BRAVE DESODORANTE COLÔNIA, 100 ml</t>
  </si>
  <si>
    <t xml:space="preserve">THATY DESODORANTE COLÔNIA, 100 ml</t>
  </si>
  <si>
    <t xml:space="preserve">Capricho Day e Night Desodorante Colônia, 2x50ml</t>
  </si>
  <si>
    <t>CAPRICHO</t>
  </si>
  <si>
    <t>INFANTIL</t>
  </si>
  <si>
    <t xml:space="preserve">Styletto Desodorante Colônia, 100ml</t>
  </si>
  <si>
    <t>STYLETTO</t>
  </si>
  <si>
    <t xml:space="preserve">COFFEE WOMAN FUSION DESODORANTE COLÔNIA, 100 ml</t>
  </si>
  <si>
    <t xml:space="preserve">COFFEE DES COL MAN 100ml V3</t>
  </si>
  <si>
    <t xml:space="preserve">UOMINI DES COL MOTO SOUL 100ml V2</t>
  </si>
  <si>
    <t xml:space="preserve">LINDA FELICIDADE DESODORANTE COLÔNIA, 100 ml</t>
  </si>
  <si>
    <t xml:space="preserve">QUASAR DES COL GRAFFITI 100ml</t>
  </si>
  <si>
    <t xml:space="preserve">KIT QUASAR</t>
  </si>
  <si>
    <t>GIFTS</t>
  </si>
  <si>
    <t xml:space="preserve">Coffee Man Seduction Desodorante Colônia, 100ml</t>
  </si>
  <si>
    <t xml:space="preserve">COFFEE MAN DUO DESODORANTE COLÔNIA, 100ml</t>
  </si>
  <si>
    <t xml:space="preserve">Men Only Desodorante Colônia, 100ml</t>
  </si>
  <si>
    <t>BOTMEN</t>
  </si>
  <si>
    <t xml:space="preserve">THE BLEND EDP BOURBON 100ml</t>
  </si>
  <si>
    <t xml:space="preserve">THE BLEND</t>
  </si>
  <si>
    <t xml:space="preserve">Não - Risco Ruptura</t>
  </si>
  <si>
    <t xml:space="preserve">LILY DES ANTIT AER 75g</t>
  </si>
  <si>
    <t>ESSENCE</t>
  </si>
  <si>
    <t>DESODORANTES</t>
  </si>
  <si>
    <t xml:space="preserve">BOTICOLL CRAZY DES COL CHOICES 100ml</t>
  </si>
  <si>
    <t xml:space="preserve">COFFEE DES COL WOMAN 100ml V3</t>
  </si>
  <si>
    <t xml:space="preserve">NATIVA SPA LOÇÃO REVITALIZANTE DESODORANTE CORPORAL ROSÉ, 400 ml</t>
  </si>
  <si>
    <t>NATIVASPA</t>
  </si>
  <si>
    <t xml:space="preserve">Malbec Antitranspirante Aerosol, 75g</t>
  </si>
  <si>
    <t xml:space="preserve">Capricho Desodorante Colônia, 50ml</t>
  </si>
  <si>
    <t xml:space="preserve">SOPHIE COLÔNIA HELLO, 100 ml</t>
  </si>
  <si>
    <t>SOPHIE</t>
  </si>
  <si>
    <t xml:space="preserve">QUASAR DROP XY DESODORANTE COLÔNIA, 100 ml</t>
  </si>
  <si>
    <t xml:space="preserve">CUIDE-SE BEM LOÇÃO DESODORANTE HIDRATANTE CORPORAL DELEITE, 400 ml</t>
  </si>
  <si>
    <t>CUIDESEBEM</t>
  </si>
  <si>
    <t xml:space="preserve">QUASAR NEXT COLÔNIA, 50 ml</t>
  </si>
  <si>
    <t>QUASARNEXT</t>
  </si>
  <si>
    <t xml:space="preserve">QUASAR DROP XX DESODORANTE COLÔNIA, 100 ml</t>
  </si>
  <si>
    <t xml:space="preserve">DR. BOTICA COLÔNIA POÇÃO DO CORAÇÃO, 120 ml</t>
  </si>
  <si>
    <t>DRBOTICA</t>
  </si>
  <si>
    <t xml:space="preserve">SOPHIE COLÔNIA LIKE, 100 ml</t>
  </si>
  <si>
    <t xml:space="preserve">CBEM LOC DES HID CPO BEIJINHO 400ml</t>
  </si>
  <si>
    <t xml:space="preserve">SPLASH DREAM O BOTICÁRIO CÉU DE BAUNILHA DESODORANTE COLÔNIA, 200 ml</t>
  </si>
  <si>
    <t>DREAM</t>
  </si>
  <si>
    <t xml:space="preserve">NATIVA SPA LOÇÃO DESODORANTE ULTRA-HIDRATANTE CORPORAL KARITÉ, 400 ml</t>
  </si>
  <si>
    <t xml:space="preserve">MATCH CONDICIONADOR DE NUTRIÇÃO, 250 ml</t>
  </si>
  <si>
    <t>MATCH</t>
  </si>
  <si>
    <t>CABELOS</t>
  </si>
  <si>
    <t xml:space="preserve">MALBEC CLUB LOÇÃO HIDRATANTE DES. CORPORAL, 250 ml</t>
  </si>
  <si>
    <t xml:space="preserve">MATCH SHAMPOO DE NUTRIÇÃO, 250 ml</t>
  </si>
  <si>
    <t xml:space="preserve">CAPRICHO WISH DESODORANTE COLÔNIA, 50 ml</t>
  </si>
  <si>
    <t xml:space="preserve">EGEO DOLCE MERENGUE MOUSSE HIDRATANTE DES. CORPORAL, 250 g</t>
  </si>
  <si>
    <t xml:space="preserve">Egeo Dolce Woman Merengue Mousse Creme Hidratante Desodorante Corporal, 250g</t>
  </si>
  <si>
    <t xml:space="preserve">CUIDE-SE BEM LOÇÃO DESODORANTE HIDRATANTE CORPORAL ACALMA, 400 ml</t>
  </si>
  <si>
    <t xml:space="preserve">CUIDE-SE BEM SABONETE EM BARRA QUINTETO ROSA E ALGODÃO, 5 unidades de 80g cada</t>
  </si>
  <si>
    <t xml:space="preserve">SABONETE CORPO</t>
  </si>
  <si>
    <t xml:space="preserve">Match Shampoo Acelerador, 250ml</t>
  </si>
  <si>
    <t xml:space="preserve">New Acqua Fresca Boticollection Desodorante Colônia, 100ml</t>
  </si>
  <si>
    <t xml:space="preserve">Match Complexo Acelerador, 100ml</t>
  </si>
  <si>
    <t xml:space="preserve">MATCH MÁSCARA DE NUTRIÇÃO FIOS FINOS, 250 g</t>
  </si>
  <si>
    <t xml:space="preserve">MAKE B BASE LÍQUIDA PROTETORA HYALURONIC 70 COR 20, 30 ml</t>
  </si>
  <si>
    <t xml:space="preserve">MAKE B.</t>
  </si>
  <si>
    <t>MAQUIAGEM</t>
  </si>
  <si>
    <t xml:space="preserve">SPLASH DREAM BANHO DE SORTE DESODORANTE COLÔNIA, 200 ml</t>
  </si>
  <si>
    <t xml:space="preserve">MALBEC BLACK BODY SPRAY DESODORANTE, 100 ml</t>
  </si>
  <si>
    <t xml:space="preserve">REFIL - CUIDE-SE BEM LOÇÃO DESODORANTE HIDRATANTE DELEITE, 400 ml</t>
  </si>
  <si>
    <t xml:space="preserve">CBEM SAB BARRA DELEITE 5x80g V2</t>
  </si>
  <si>
    <t xml:space="preserve">Make B Base Líquida Protetora Hyaluronic 70 Invisível, 30 Ml</t>
  </si>
  <si>
    <t xml:space="preserve">SOPHIE COLÔNIA HAPPY, 100 ml</t>
  </si>
  <si>
    <t xml:space="preserve">DR BOTICA COL UN POC AMIZ 120ml</t>
  </si>
  <si>
    <t xml:space="preserve">MALBEC MAGNETIC ANTITRANSPIRANTE DESODORANTE AEROSSOL, 75 g</t>
  </si>
  <si>
    <t xml:space="preserve">Egeo Dolce Antitranspirante Aerosol, 75g</t>
  </si>
  <si>
    <t xml:space="preserve">Portinari Antitranspirante Aerosol, 75g</t>
  </si>
  <si>
    <t>PORTINARI</t>
  </si>
  <si>
    <t xml:space="preserve">MAKE B BASE LÍQUIDA PROTETORA HYALURONIC 70 COR 25, 30 ml</t>
  </si>
  <si>
    <t xml:space="preserve">MATCH SHAMP LISOS/RESP 250ml</t>
  </si>
  <si>
    <t xml:space="preserve">QUASAR ANTITRANSPIRANTE DESODORANTE ROLL-ON, 55 ml</t>
  </si>
  <si>
    <t xml:space="preserve">MATCH RESPEITO AOS LISOS CONDICIONADOR DE MANUTENÇÃO, 250 ml</t>
  </si>
  <si>
    <t xml:space="preserve">MAKE B BASE LÍQUIDA PROTETORA HYALURONIC 70 COR 15, 30 ml</t>
  </si>
  <si>
    <t xml:space="preserve">MAKE B BASE LÍQUIDA PROTETORA HYALURONIC 70 COR 30, 30 ml</t>
  </si>
  <si>
    <t xml:space="preserve">CBEM DES COL BDY SPLSH BEIJINHO 200ml</t>
  </si>
  <si>
    <t xml:space="preserve">Floratta Blue Antitranspirante Aerosol, 75g</t>
  </si>
  <si>
    <t xml:space="preserve">EGEO DOLCE BODY SPRAY DESODORANTE, 100 ml</t>
  </si>
  <si>
    <t xml:space="preserve">Match Condicionador de Blindagem, 250ml</t>
  </si>
  <si>
    <t xml:space="preserve">MAKE B BASE LÍQUIDA PROTETORA HYALURONIC 70 COR 40, 30 ml</t>
  </si>
  <si>
    <t xml:space="preserve">Não - Foco e Subfoco de ciclos anteriores</t>
  </si>
  <si>
    <t xml:space="preserve">Match Shampoo de Blindagem, 250ml</t>
  </si>
  <si>
    <t xml:space="preserve">MATCH LEAVE-IN DE NUTRIÇÃO FIOS FINOS, 150 ml</t>
  </si>
  <si>
    <t xml:space="preserve">REFIL NATIVA SPA LOÇÃO REVITALIZANTE DESODORANTE CORPORAL ROSÉ, 400 ml</t>
  </si>
  <si>
    <t xml:space="preserve">MATCH COND FORCA 250ml</t>
  </si>
  <si>
    <t xml:space="preserve">MAKE B. LÁPIS RETRÁTIL À PROVA DÁGUA PRETO, 0,35 g</t>
  </si>
  <si>
    <t xml:space="preserve">MALBEC GOLD ANTITRANSPIRANTE DESODORANTE AEROSSOL, 75 g</t>
  </si>
  <si>
    <t xml:space="preserve">MALBEC CLUB INTENSO DESODORANTE ANTITRANSPIRANTE AEROSSOL, 75 g</t>
  </si>
  <si>
    <t xml:space="preserve">Floratta Blue Antitranspirante Roll-On, 55ml</t>
  </si>
  <si>
    <t xml:space="preserve">MATCH SHAMP FORCA 250ml</t>
  </si>
  <si>
    <t xml:space="preserve">Uomini Desodorante Body Spray, 100ml</t>
  </si>
  <si>
    <t xml:space="preserve">REFIL - NATIVA SPA LOÇÃO DESODORANTE HIDRATANTE CORPORAL KARITÉ, 400 ml</t>
  </si>
  <si>
    <t xml:space="preserve">NATIVA SPA CREME DESODORANTE HIDRATANTE QUINOA PARA COLO E PESÇOSO, 200 ml</t>
  </si>
  <si>
    <t xml:space="preserve">EGEO BLUE DESODORANTE ANTITRANSPIRANTE AEROSSOL, 75 g</t>
  </si>
  <si>
    <t xml:space="preserve">MATCH RESPEITO AOS LISOS  MÁSCARA MANUTENÇÃO 3 MINUTOS, 150 ml</t>
  </si>
  <si>
    <t xml:space="preserve">CUIDE-SE BEM LOÇÃO DESODORANTE HIDRATANTE CORPORAL DELEITE, 200 ml</t>
  </si>
  <si>
    <t xml:space="preserve">CBEM SAB BARRA BEIJINHO 5x80g</t>
  </si>
  <si>
    <t xml:space="preserve">EGEO BLUE BODY SPRAY DESODORANTE, 100 ml</t>
  </si>
  <si>
    <t xml:space="preserve">Floratta Rose Desodorante Body Spray, 100ml</t>
  </si>
  <si>
    <t xml:space="preserve">Máscara Cílios Postiços, 12 G</t>
  </si>
  <si>
    <t xml:space="preserve">NATIVA SPA DESODORANTE COLÔNIA BODY SPLASH ROSÉ, 200 ml</t>
  </si>
  <si>
    <t xml:space="preserve">MATCH MASC CAP FORCA 250g</t>
  </si>
  <si>
    <t xml:space="preserve">Cuide-Se Bem Desodorante Creme sem Perfume, 80g</t>
  </si>
  <si>
    <t xml:space="preserve">MATCH ÓLEO CAPILAR DE NUTRIÇÃO FIOS FINOS, 50 ml</t>
  </si>
  <si>
    <t xml:space="preserve">MAKE B. PALETTE DE BLUSH CHERRY HIT, 8 g</t>
  </si>
  <si>
    <t xml:space="preserve">COFFEE MAN ANTITRANSPIRANTE DESODORANTE AEROSSOL, 75 g</t>
  </si>
  <si>
    <t xml:space="preserve">CUIDE-SE BEM ANTITRANSPIRANTE EM CREME ACALMA, 80 g</t>
  </si>
  <si>
    <t xml:space="preserve">EGEO CHOC SUFLÊ HIDRATANTE DES. COPORAL, 250 g</t>
  </si>
  <si>
    <t xml:space="preserve">FLORATTA BLUE CREME HIDRATANTE DESODORANTE CORPORAL, 200 ml</t>
  </si>
  <si>
    <t xml:space="preserve">MAKE B. LÁPIS EM GEL PRETO, 1,2 g</t>
  </si>
  <si>
    <t xml:space="preserve">MAKE B BASE LÍQUIDA PROTETORA HYALURONIC 70 COR 50, 30 ml</t>
  </si>
  <si>
    <t xml:space="preserve">CUIDE-SE BEM SABONETE EM BARRA DUO ROSA &amp; ALGODÃO, 2 unidades de 80g cada</t>
  </si>
  <si>
    <t xml:space="preserve">MATCH MÁSCARA DE DEFINIÇÃO, 250 g</t>
  </si>
  <si>
    <t xml:space="preserve">FLORATTA GOLD CREME HIDRATANTE DESODORANTE CORPORAL, 200 ml</t>
  </si>
  <si>
    <t xml:space="preserve">MAKE B. UP BROW CANETA MICROBLADING MÉDIA, 1 ml</t>
  </si>
  <si>
    <t xml:space="preserve">FLORATTA FLORES SECRETAS CREME HIDRATANTE DESODORANTE CORPORAL, 200 ml</t>
  </si>
  <si>
    <t xml:space="preserve">NATIVA SPA LOÇÃO REVITALIZANTE DESODORANTE CORPORAL ROSÉ, 200 ml</t>
  </si>
  <si>
    <t xml:space="preserve">MATCH CR MODEL ONDUL RESP/CACH 290ml V2</t>
  </si>
  <si>
    <t xml:space="preserve">MAKE B CANETA PARA DELINEAR OLHOS, 1,2 ml</t>
  </si>
  <si>
    <t xml:space="preserve">CBEM LOC DES HID CPO BEIJINHO 200ml</t>
  </si>
  <si>
    <t xml:space="preserve">MALBEC CLUB BALM PÓS BARBA, 100 g</t>
  </si>
  <si>
    <t xml:space="preserve">CUIDADOS COM A BARBA</t>
  </si>
  <si>
    <t xml:space="preserve">Match Máscara de Blindagem, 100g</t>
  </si>
  <si>
    <t xml:space="preserve">NATIVA SPA CONDICIONADOR VITALIDADE E PROTEÇÃO ROSÉ, 300 ml</t>
  </si>
  <si>
    <t xml:space="preserve">DR. BOTICA TRIO DE SABONETES EM BARRA BANHO DO CORAÇÃO, 3 unidades de 80 g cada</t>
  </si>
  <si>
    <t xml:space="preserve">CBEM SAB BARRA DELEITE 2x80g V2</t>
  </si>
  <si>
    <t xml:space="preserve">Men Desodorante Antitranspirante Roll-On, 55ml</t>
  </si>
  <si>
    <t xml:space="preserve">MAKE B. PALETTE DE BLUSH PINK HIT, 8 g</t>
  </si>
  <si>
    <t xml:space="preserve">MAKE B.TRIO PARA SOBRANCELHAS, 3 g</t>
  </si>
  <si>
    <t xml:space="preserve">MAKE B. MALETA DE MAQUIAGEM HOLOGRÁFICA</t>
  </si>
  <si>
    <t>ACESSÓRIOS</t>
  </si>
  <si>
    <t xml:space="preserve">QUASAR BRAVE ANTITRANSPIRANTE DESODORANTE AEROSSOL, 75 g</t>
  </si>
  <si>
    <t xml:space="preserve">MALBEC BLACK SHOWER GEL, 200 g</t>
  </si>
  <si>
    <t xml:space="preserve">Uomini Desodorante Spray, 100ml (Refil)</t>
  </si>
  <si>
    <t xml:space="preserve">MALBEC CLUB SABONETE LÍQUIDO, 250 ml</t>
  </si>
  <si>
    <t xml:space="preserve">MATCH ESCV PARA DESEMBARACAR ABS</t>
  </si>
  <si>
    <t xml:space="preserve">CBEM LOC DES HID CPO BEIJINHO 250ml</t>
  </si>
  <si>
    <t xml:space="preserve">NATIVA SPA CONDICIONADOR HIDRATÍSSIMO KARITÉ, 300 ml</t>
  </si>
  <si>
    <t xml:space="preserve">PINCEL ESPIRAL PARA BASE E CORRETIVO</t>
  </si>
  <si>
    <t xml:space="preserve">SOPHIE LOC HID CPO 200ml</t>
  </si>
  <si>
    <t xml:space="preserve">NATIVA SPA CREME DES. PARA MÃOS KARITÉ, 75 g</t>
  </si>
  <si>
    <t xml:space="preserve">QUASAR NEXT DES ROLL ON 55ml</t>
  </si>
  <si>
    <t xml:space="preserve">CBEM GEL MASS CREM ANTICEL 200g</t>
  </si>
  <si>
    <t xml:space="preserve">CUIDE-SE BEM CREME DESODORANTE HIDRATANTE PARA PÉS, 100 g</t>
  </si>
  <si>
    <t xml:space="preserve">MAKE B BASE LÍQUIDA PROTETORA HYALURONIC 70 COR 60, 30 ml</t>
  </si>
  <si>
    <t xml:space="preserve">Men 6 em 1 Hidratante Protetor para o Rosto FPS20, 48ml</t>
  </si>
  <si>
    <t>SOLAR</t>
  </si>
  <si>
    <t xml:space="preserve">BANHEIRINHA TRANSPARENTE</t>
  </si>
  <si>
    <t>BOTI</t>
  </si>
  <si>
    <t xml:space="preserve">Floratta Blue Desodorante Body Spray, 100ml (Refil)</t>
  </si>
  <si>
    <t xml:space="preserve">CBEM SAB BARRA BEIJINHO 2x80g</t>
  </si>
  <si>
    <t xml:space="preserve">MALBEC CLUB SHAMPOO GRISALHOS, 250 ml</t>
  </si>
  <si>
    <t xml:space="preserve">MAKE B. UP BROW SOLUÇÃO PARA SOBRANCELHA MÉDIA, 6,9 g</t>
  </si>
  <si>
    <t xml:space="preserve">NATIVA SPA MÁSCARA CAPILAR HIDRATÍSSIMO KARITÉ,  200 g</t>
  </si>
  <si>
    <t xml:space="preserve">MAKE B. UP BROW CANETA MICROBLADING CLARA, 1 ml</t>
  </si>
  <si>
    <t xml:space="preserve">NATIVA SPA MÁSCARA VITALIDADE E PROTEÇÃO ROSÉ, 200 g</t>
  </si>
  <si>
    <t xml:space="preserve">CUIDE-SE BEM CAPINHA DELEITE</t>
  </si>
  <si>
    <t xml:space="preserve">CUIDE-SE BEM CESTINHO EM METAL</t>
  </si>
  <si>
    <t xml:space="preserve">CONNEXION BODY SPRAY DESODORANTE, 100 ml</t>
  </si>
  <si>
    <t xml:space="preserve">Sophie Escova De Cabelo</t>
  </si>
  <si>
    <t xml:space="preserve">MAKE B BATOM STICK PREENCHEDOR HYALURONIC ROSE BLUSH, 3,4 g</t>
  </si>
  <si>
    <t xml:space="preserve">Make B. Pincel para Base</t>
  </si>
  <si>
    <t xml:space="preserve">SOPHIE BATOM ROSA PINK, 3,3g</t>
  </si>
  <si>
    <t xml:space="preserve">REFIL - EGEO BLUE BODY SPRAY DESODORANTE, 100 ml</t>
  </si>
  <si>
    <t xml:space="preserve">Cuide-se Bem Capinha Nuvem</t>
  </si>
  <si>
    <t xml:space="preserve">CUIDE-SE BEM HIDRATANTE  LABIAL LEITE &amp; MEL, 6,2 g</t>
  </si>
  <si>
    <t xml:space="preserve">CUIDADOS FACIAIS</t>
  </si>
  <si>
    <t xml:space="preserve">PINCEL ESCOVA BASE</t>
  </si>
  <si>
    <t xml:space="preserve">Men Shampoo Cabelos Grisalhos a Brancos, 200ml</t>
  </si>
  <si>
    <t xml:space="preserve">NÉCESSAIRE MALBEC</t>
  </si>
  <si>
    <t xml:space="preserve">DR BOTICA SAB BARRA TRIO UN BNH AM 3X80g</t>
  </si>
  <si>
    <t xml:space="preserve">MAKE B. ILUMINADOR COMPACTO FACIAL ROSE 5,4 G</t>
  </si>
  <si>
    <t xml:space="preserve">BOTI BABY SABONETE EM BARRA LUA, 2 unidades de 85 g cada</t>
  </si>
  <si>
    <t>BOTIBABY</t>
  </si>
  <si>
    <t xml:space="preserve">REFIL - CONNEXION BODY SPRAY DESODORANTE, 100 ml</t>
  </si>
  <si>
    <t xml:space="preserve">MALBEC CREME HID MULTIFUNCIONAL 50ml</t>
  </si>
  <si>
    <t xml:space="preserve">CUIDE-SE BEM GEL ANTISSÉPTICO DELEITE, 30 g</t>
  </si>
  <si>
    <t xml:space="preserve">Quasar Gel após Barba, 110g</t>
  </si>
  <si>
    <t xml:space="preserve">CUIDE-SE BEM SABONETE LÍQUIDO ACALMA, 150 ml</t>
  </si>
  <si>
    <t xml:space="preserve">MAKE B BATOM STICK PREENCHEDOR HYALURONIC RED CLASSIC, 3,4 g</t>
  </si>
  <si>
    <t xml:space="preserve">MALBEC CLUB LOÇÃO PÓS BARBA, 150 ml</t>
  </si>
  <si>
    <t xml:space="preserve">Lily Sabonete Líquido para Mãos, 200ml (Refil)</t>
  </si>
  <si>
    <t xml:space="preserve">STYLETTO BODY SPRAY DESODORANTE, 100 ml</t>
  </si>
  <si>
    <t xml:space="preserve">MAKE B. FIXADOR DE MAQUIAGEM, 75 ml</t>
  </si>
  <si>
    <t xml:space="preserve">Cuide-se Bem Capinha Rosa e Algodão</t>
  </si>
  <si>
    <t xml:space="preserve">CBEM CREM HID MAOS BEIJINHO 50g</t>
  </si>
  <si>
    <t xml:space="preserve">Cuide-se Bem Capinha Abelinha</t>
  </si>
  <si>
    <t xml:space="preserve">MALBEC CLUB CREME DE BARBEAR, 150 g</t>
  </si>
  <si>
    <t xml:space="preserve">Nécessaire Viagem Cinza</t>
  </si>
  <si>
    <t xml:space="preserve">MAKE B BATOM STICK PREENCHEDOR HYALURONIC SOFT BERRY, 3,4 g</t>
  </si>
  <si>
    <t xml:space="preserve">REFIL - STYLETTO BODY SPRAY DESODORANTE, 100 ml</t>
  </si>
  <si>
    <t xml:space="preserve">MAKE B. ILUMINADOR COMPACTO FACIAL GOLD 5,4 g</t>
  </si>
  <si>
    <t xml:space="preserve">Make B. Pincel para Pó</t>
  </si>
  <si>
    <t xml:space="preserve">MAKE B. UP BROW SOLUÇÃO PARA SOBRANCELHA ESCURA, 6,9 g</t>
  </si>
  <si>
    <t xml:space="preserve">NÉCESSAIRE SINTA A VIDA</t>
  </si>
  <si>
    <t xml:space="preserve">Make B. Pincel Duo de Olhos</t>
  </si>
  <si>
    <t xml:space="preserve">MAKE B ESTJ P/SOBRANCELHAS</t>
  </si>
  <si>
    <t xml:space="preserve">Glamour Secrets Black Desodorante Body Spray, 100ml (Refil)</t>
  </si>
  <si>
    <t>GLAMOUR</t>
  </si>
  <si>
    <t xml:space="preserve">VAPORIZADOR DOURADO</t>
  </si>
  <si>
    <t xml:space="preserve">Vaporizador de Bolsa Básico de Alumínio com Funil, 12ml</t>
  </si>
  <si>
    <t xml:space="preserve">BOTI BABY FRASQ TROCADOR CINZA PES C/A</t>
  </si>
  <si>
    <t xml:space="preserve">Make B. Pincel para Blush</t>
  </si>
  <si>
    <t xml:space="preserve">KIT CUIDADOS PESSOAIS</t>
  </si>
  <si>
    <t xml:space="preserve">MALBEC CLUB SHAMPOO PARA BARBA, 100 ml</t>
  </si>
  <si>
    <t xml:space="preserve">MAKE B PALETTE DE MAQUIAGEM PERFECT 6 BASICS, 4 g</t>
  </si>
  <si>
    <t xml:space="preserve">PINCEL LEQUE</t>
  </si>
  <si>
    <t xml:space="preserve">PINCEL CONTORNO ANGULAR</t>
  </si>
  <si>
    <t xml:space="preserve">Make B. Pincel para Contorno Facial</t>
  </si>
  <si>
    <t xml:space="preserve">MALBEC CLUB PASTA BARBA E BIGODE, 85 g</t>
  </si>
  <si>
    <t xml:space="preserve">MALETINHA EM METAL</t>
  </si>
  <si>
    <t xml:space="preserve">NÉCESSAIRE DELEITE</t>
  </si>
  <si>
    <t xml:space="preserve">ESPONJA DE BANHO NSPA VERMELHA</t>
  </si>
  <si>
    <t xml:space="preserve">SOPHIE BATOM LILAS ENCANTO, 3,3g</t>
  </si>
  <si>
    <t xml:space="preserve">CUIDE-SE BEM CAPINHA LAVANDINHA</t>
  </si>
  <si>
    <t xml:space="preserve">DREAM BANHO DE SORTE LOÇÃO HIDRATANTE CORPORAL, 200 ml</t>
  </si>
  <si>
    <t xml:space="preserve">SOPHIE KIT DE PINCÉIS</t>
  </si>
  <si>
    <t xml:space="preserve">INTENSE TOALHA DEMAQ BYE MAKE POLIEST</t>
  </si>
  <si>
    <t>INTENSE</t>
  </si>
  <si>
    <t xml:space="preserve">Make B. Pincel para Base e Pó</t>
  </si>
  <si>
    <t xml:space="preserve">Make B. Pincel para Esfumar Sombra</t>
  </si>
  <si>
    <t xml:space="preserve">CUIDE-SE BEM CAPINHA CASTANHITA</t>
  </si>
  <si>
    <t xml:space="preserve">NÉCESSAIRE HOLOGRÁFICO ROSÉ P</t>
  </si>
  <si>
    <t xml:space="preserve">Make B. Pincel para Corretivo</t>
  </si>
  <si>
    <t xml:space="preserve">QUASAR NEXT SHAMPOO 2 EM 1, 200 ml</t>
  </si>
  <si>
    <t xml:space="preserve">MATCH PENTE P/ CACHOS PP</t>
  </si>
  <si>
    <t xml:space="preserve">Make B. Pincel para Aplicar Sombra</t>
  </si>
  <si>
    <t xml:space="preserve">NÉCESSAIRE ACREDITE NA BELEZA</t>
  </si>
  <si>
    <t xml:space="preserve">CBEM NECESS COLORIDA PU S/ALC</t>
  </si>
  <si>
    <t xml:space="preserve">BOTI BABY SABONETEIRA PP</t>
  </si>
  <si>
    <t xml:space="preserve">MAKE B. LÁPIS RETRÁTIL MARROM PARA OLHOS, 0,35 g</t>
  </si>
  <si>
    <t xml:space="preserve">NÉCESSAIRE NUVEM</t>
  </si>
  <si>
    <t xml:space="preserve">MAKE B BAT CREM AC/HIAL ROSA/CASHM 3,6g</t>
  </si>
  <si>
    <t xml:space="preserve">PINCEL PARA MARCAR CÔNCAVO</t>
  </si>
  <si>
    <t xml:space="preserve">NÉCESSAIRE TURQUESA</t>
  </si>
  <si>
    <t xml:space="preserve">ESPONJA DE BANHO NSPA BRANCA</t>
  </si>
  <si>
    <t xml:space="preserve">NÉCESSAIRE MATCH</t>
  </si>
  <si>
    <t xml:space="preserve">BOTI BABY NECESSAIRE SLIM</t>
  </si>
  <si>
    <t xml:space="preserve">NÉCESSAIRE MAQUIAGEM CÍLIOS</t>
  </si>
  <si>
    <t xml:space="preserve">MAKE B. NÉCESSAIRE POMPOM</t>
  </si>
  <si>
    <t xml:space="preserve">MAKE B BAT HIDRATANTE AC/HIAL NUDE 3,6g</t>
  </si>
  <si>
    <t xml:space="preserve">MAKE B BAT LIQ DIAM AC/HIAL PLATINUM 5ml</t>
  </si>
  <si>
    <t xml:space="preserve">Make B. Pincel para Delinear Sombra</t>
  </si>
  <si>
    <t xml:space="preserve">MAKE B BAT MATE AC/HIAL RED SUPREME 3,6g</t>
  </si>
  <si>
    <t xml:space="preserve">NÉCESSAIRE MAQUIAGEM POÁ</t>
  </si>
  <si>
    <t xml:space="preserve">MOLDE PARA BARBA</t>
  </si>
  <si>
    <t xml:space="preserve">Make B. Primer para Olhos, 8g</t>
  </si>
  <si>
    <t xml:space="preserve">MAKE B. PINCEL DUPLO ILUMINADOR</t>
  </si>
  <si>
    <t xml:space="preserve">NÉCESSAIRE BICOLOR MASCULINO</t>
  </si>
  <si>
    <t xml:space="preserve">INTENSE CAPINHA BOCA PARA BATOM</t>
  </si>
  <si>
    <t xml:space="preserve">Thaty Desodorante Colônia 200 Ml</t>
  </si>
  <si>
    <t xml:space="preserve">Make B. Pincel Retrátil para Lábios</t>
  </si>
  <si>
    <t xml:space="preserve">MAKE B BAT MATE AC/HIAL ROSE FABUL 3,6g</t>
  </si>
  <si>
    <t xml:space="preserve">Cuide-se Bem Capinha Glitter Dourado</t>
  </si>
  <si>
    <t xml:space="preserve">BOTI NECESS PAETE ONIX PE S/ALC</t>
  </si>
  <si>
    <t xml:space="preserve">NÉCESSAIRE HOLOGRÁFICO ROSÉ M</t>
  </si>
  <si>
    <t xml:space="preserve">MAKE B BAT MATE AC/HIAL HOT BROWN 3,6g</t>
  </si>
  <si>
    <t xml:space="preserve">MAKE B BAT MATE AC/HIAL RED CARPET 3,6g</t>
  </si>
  <si>
    <t xml:space="preserve">MAKE B BAT CREM AC/HIAL DEEP NUDE 3,6g</t>
  </si>
  <si>
    <t xml:space="preserve">PETIT SOPHIE NÉCESSAIRE</t>
  </si>
  <si>
    <t>PETITSOPHI</t>
  </si>
  <si>
    <t xml:space="preserve">MAKE B BAT MATE AC/HIAL NUDE RENDA 3,6g</t>
  </si>
  <si>
    <t xml:space="preserve">Make B. Siliesponja De Maquiagem</t>
  </si>
  <si>
    <t xml:space="preserve">MAKE B BAT CREM AC/HIAL NUDE MALVA 3,6g</t>
  </si>
  <si>
    <t xml:space="preserve">PHONE DE OUVIDO KIT EGEO BLUE</t>
  </si>
  <si>
    <t xml:space="preserve">MAKE B BAT MATE AC/HIAL MALVA COOL 3,6g</t>
  </si>
  <si>
    <t xml:space="preserve">MAKE B BAT MATE AC/HIAL LADY ROSE 3,6g</t>
  </si>
  <si>
    <t xml:space="preserve">MAKE B BAT CREM AC/HIAL REVOL/ROUGE 3,6g</t>
  </si>
  <si>
    <t xml:space="preserve">ELYSEE LOC DES HID ILUM CPO NUIT 200ml</t>
  </si>
  <si>
    <t xml:space="preserve">Intense Esponja de Maquiagem</t>
  </si>
  <si>
    <t xml:space="preserve">MAKE B BAT MATE AC/HIAL VERY BERRY 3,6g</t>
  </si>
  <si>
    <t xml:space="preserve">NATIVA SPA ESPONJA DE BANHO UNICOLOR</t>
  </si>
  <si>
    <t xml:space="preserve">MAKE B BAT CREM AC/HIAL REVOL/BROWN 3,6g</t>
  </si>
  <si>
    <t xml:space="preserve">SAQUINHO MANI E PEDI</t>
  </si>
  <si>
    <t xml:space="preserve">NÉCESSAIRE BÁSICA MASCULINO</t>
  </si>
  <si>
    <t xml:space="preserve">MAKE B BAT CREM AC/HIAL SWEET ROSE 3,6g</t>
  </si>
  <si>
    <t xml:space="preserve">MAKE B BAT CREM AC/HIAL RED UNIQUE 3,6g</t>
  </si>
  <si>
    <t xml:space="preserve">ANNI LOC DES HID CPO 200ml</t>
  </si>
  <si>
    <t xml:space="preserve">MATCH SHAMP BRLH 250ml</t>
  </si>
  <si>
    <t xml:space="preserve">Cuide-Se Bem Necessaire Arcos sem Alça (PVC)</t>
  </si>
  <si>
    <t xml:space="preserve">NÉCESSAIRE FLORATTA BLUE</t>
  </si>
  <si>
    <t xml:space="preserve">PORTA-JÓIAS LILY</t>
  </si>
  <si>
    <t xml:space="preserve">MATCH COND BRLH 250ml</t>
  </si>
  <si>
    <t xml:space="preserve">NÉCESSAIRE GLAMOUR</t>
  </si>
  <si>
    <t xml:space="preserve">EGEO BLUE GEL CREME PÓS BARBA, 110 g</t>
  </si>
  <si>
    <t xml:space="preserve">Match Máscara Capilar Brilho 250 G</t>
  </si>
  <si>
    <t xml:space="preserve">BOTI NECESS MASC DUP AB POLIEST C/AL VDA</t>
  </si>
  <si>
    <t xml:space="preserve">CAPRICHO SWEET DES COLONIA</t>
  </si>
  <si>
    <t>CARTEIRA</t>
  </si>
  <si>
    <t xml:space="preserve">MATCH CREME P/PENTEAR BRLH 150ml</t>
  </si>
  <si>
    <t xml:space="preserve">Make B. Primer Antioleosidade, 30g</t>
  </si>
  <si>
    <t xml:space="preserve">MAKE B. NÉCESSAIRE TRANSPARENTE COM ROSE</t>
  </si>
  <si>
    <t xml:space="preserve">Match Spray Finalizador Brilho 50 Ml</t>
  </si>
  <si>
    <t xml:space="preserve">Nativa Spa Frasco Aromatizador de Ambiente Branco</t>
  </si>
  <si>
    <t xml:space="preserve">HOME CARE</t>
  </si>
  <si>
    <t xml:space="preserve">CLUTCH ELYSEE S/ALCA EM PS 15</t>
  </si>
  <si>
    <t xml:space="preserve">FLORATTA FLORES SECRETAS CREME MÃOS, 50 g</t>
  </si>
  <si>
    <t xml:space="preserve">Intense Batom Longa Duração 250 Delícias, 3,6g</t>
  </si>
  <si>
    <t xml:space="preserve">STYLETTO SABONETE LÍQUIDO PERFUMADO, 100 g</t>
  </si>
  <si>
    <t xml:space="preserve">Make B. Pincel Esponja para Aplicar e Esfumar Sombra</t>
  </si>
  <si>
    <t xml:space="preserve">Mala de Viagem</t>
  </si>
  <si>
    <t xml:space="preserve">KIT VIAGEM EM POLIESTER C/A N/SPA 14</t>
  </si>
  <si>
    <t xml:space="preserve">Estojo Porta Pincéis Make B. Cetim</t>
  </si>
  <si>
    <t xml:space="preserve">LILY CREME ACETINADO DESODORANTE HIDRATANTE CORPORAL, 150 g</t>
  </si>
  <si>
    <t xml:space="preserve">Nativa Spa Massageador Cafuné</t>
  </si>
  <si>
    <t xml:space="preserve">Spulókis Condicionador Suave, 250ml</t>
  </si>
  <si>
    <t>SPULOKIS</t>
  </si>
  <si>
    <t xml:space="preserve">Intense Porta Batom Pink em Papel</t>
  </si>
  <si>
    <t xml:space="preserve">Nativa Spa Shampoo Revitalizante Equilíbrio dos Fios Blueberry, 400ml</t>
  </si>
  <si>
    <t xml:space="preserve">COFFEE WOMAN SENSE DESODORANTE COLÔNIA, 100 ml</t>
  </si>
  <si>
    <t xml:space="preserve">MAKE B NECESSAIRE AZUL PVC  S/ALCA</t>
  </si>
  <si>
    <t xml:space="preserve">COFFEE MAN SENSE DESODORANTE COLÔNIA, 100 ml</t>
  </si>
  <si>
    <t xml:space="preserve">Bolsa Intense Cats 2016</t>
  </si>
  <si>
    <t xml:space="preserve">BOLSA MAO FECHO BOCA PVC S/A 2015</t>
  </si>
  <si>
    <t xml:space="preserve">KIT VERAO EM PVC CUIDE-SE BEM 15</t>
  </si>
  <si>
    <t xml:space="preserve">BANDEJA PARA LAVABO EM ABS N/SPA 14</t>
  </si>
  <si>
    <t xml:space="preserve">KIT DOCUMENTOS EM PVC 16</t>
  </si>
  <si>
    <t xml:space="preserve">VAPORIZADOR DE BOLSA LILY ESSENCE</t>
  </si>
  <si>
    <t xml:space="preserve">NECESSAIRE POLIESTER C/ALCA AVUL NAT/13</t>
  </si>
  <si>
    <t xml:space="preserve">FLORATTA BLUE ESFOLIANTE CORPORAL, 150g</t>
  </si>
  <si>
    <t xml:space="preserve">FAIXA D CABELO POLIESTER PETIT SOPHIE 15</t>
  </si>
  <si>
    <t xml:space="preserve">NECESSAIRE PARA CUSTOMIZAR</t>
  </si>
  <si>
    <t xml:space="preserve">NÉCESSAIRE GLAMOUR SECRETS BLACK</t>
  </si>
  <si>
    <t xml:space="preserve">Nativa Spa Shampoo Exótico Restauração dos Fios Ameixa, 400ml</t>
  </si>
  <si>
    <t xml:space="preserve">MAKE B. U COL ADESIVO P/UNHAS C/20 UNIDS</t>
  </si>
  <si>
    <t xml:space="preserve">Men Shampoo Anti Caspa, 200ml</t>
  </si>
  <si>
    <t xml:space="preserve">COFFEE WOMAN LEITE DESODORANTE HIDRATANTE DE BANHO, 200 ml</t>
  </si>
  <si>
    <t xml:space="preserve">Egeo Man Desodorante Colônia, 100ml</t>
  </si>
  <si>
    <t xml:space="preserve">LENCO EM POLIESTER BRASILIDADE 2014</t>
  </si>
  <si>
    <t xml:space="preserve">NECESSAIRE EM VELUDO S/ALCA MAKE B</t>
  </si>
  <si>
    <t xml:space="preserve">COFFEE WOMAN SEDUCTION CREME DESODORANTE HIDRATANTE CORPORAL, 250 g</t>
  </si>
  <si>
    <t xml:space="preserve">FLORATTA FLORES SECRETAS DESODORANTE HIDRATANTE CORPORAL, 250 g</t>
  </si>
  <si>
    <t xml:space="preserve">CAPRICHO CONDICIONADOR ANTIFRIZZ 200ml</t>
  </si>
  <si>
    <t xml:space="preserve">CECITA BLOSSOM CREME DESODORANTE HIDRATANTE PARA MÃOS, 50 g</t>
  </si>
  <si>
    <t>CECITA</t>
  </si>
  <si>
    <t xml:space="preserve">ESTOJO STYLETTO GEL/SABONETE</t>
  </si>
  <si>
    <t xml:space="preserve">LILY CREME ESFOLIANTE CORPORAL, 200 ml</t>
  </si>
  <si>
    <t xml:space="preserve">CAPRICHO SHAMPOO ANTIFRIZZ 200ml</t>
  </si>
  <si>
    <t xml:space="preserve">Cuide-Se Bem Loção Hidratante Desodorante Corpo Rosa e Alcaçuz, 200ml</t>
  </si>
  <si>
    <t xml:space="preserve">MYRIAD EMULSAO PERF DES CPO 250ml</t>
  </si>
  <si>
    <t>MYRIAD</t>
  </si>
  <si>
    <t xml:space="preserve">Cuide-Se Bem Desodorante Antitranspirante Aerosol Multibenefícios, 75g</t>
  </si>
  <si>
    <t xml:space="preserve">Cuide-Se Bem Sabonete Barra Erva Doce, 2x80g</t>
  </si>
  <si>
    <t xml:space="preserve">BOTICARIO NÉCESSAIRE MASCULINO</t>
  </si>
  <si>
    <t>BOTICA214</t>
  </si>
  <si>
    <t xml:space="preserve">Liz Desodorante Colônia, 100 Ml</t>
  </si>
  <si>
    <t>LIZ</t>
  </si>
  <si>
    <t xml:space="preserve">Liz Creme Desodorante Hidratante Corporal, 250 G</t>
  </si>
  <si>
    <t xml:space="preserve">Cuide-Se Bem Gel Creme Desodorante Hidratante Corporal Ativa, 200 Ml</t>
  </si>
  <si>
    <t xml:space="preserve">Cuide-Se Bem Sabonete Líquido Ativa, 150 Ml</t>
  </si>
  <si>
    <t xml:space="preserve">Liz Sabonete Líquido Corporal, 200 Ml</t>
  </si>
  <si>
    <t xml:space="preserve">Make B. Corretivo Líquido Effect 10, 5,7 Ml</t>
  </si>
  <si>
    <t xml:space="preserve">Make B. Corretivo Líquido Effect 15, 5,7 Ml</t>
  </si>
  <si>
    <t xml:space="preserve">Make B. Corretivo Líquido Effect 20, 5,7 Ml</t>
  </si>
  <si>
    <t xml:space="preserve">Make B. Corretivo Líquido Effect 25, 5,7 Ml</t>
  </si>
  <si>
    <t xml:space="preserve">Make B. Corretivo Líquido Effect 30, 5,7 Ml</t>
  </si>
  <si>
    <t xml:space="preserve">Make B. Corretivo Líquido Effect 40, 5,7 Ml</t>
  </si>
  <si>
    <t xml:space="preserve">Make B. Corretivo Líquido Effect 50, 5,7 Ml</t>
  </si>
  <si>
    <t xml:space="preserve">Make B. Corretivo Líquido Effect 60, 5,7 Ml</t>
  </si>
  <si>
    <t xml:space="preserve">Make B. Corretivo Líquido Effect 70, 5,7 Ml</t>
  </si>
  <si>
    <t xml:space="preserve">Make B. Corretivo Líquido Effect 80, 5,7 Ml</t>
  </si>
  <si>
    <t xml:space="preserve">MALBEC FLAME DESODORANTE COLÔNIA, 100 ml</t>
  </si>
  <si>
    <t xml:space="preserve">MATCH MASC CAP JUVENTUDE DOS FIOS 250g</t>
  </si>
  <si>
    <t xml:space="preserve">MATCH SPRAY JUVENTUDE DOS FIOS CAP VOLUMADOR 100ml</t>
  </si>
  <si>
    <t xml:space="preserve">MATCH SHAMP JUVENTUDE DOS FIOS BRANCOS NATURAIS 250ml</t>
  </si>
  <si>
    <t xml:space="preserve">MATCH COND JUVENTUDE DOS FIOS BRANCOS NATURAIS 250ml</t>
  </si>
  <si>
    <t xml:space="preserve">MATCH SHAMPOO JUVENTUDE DOS FIOS BRANCOS TINGIDOS 250ml</t>
  </si>
  <si>
    <t xml:space="preserve">MATCH COND JUVENTUDE DOS FIOS BRANCOS TINGIDOS 250ml</t>
  </si>
  <si>
    <t xml:space="preserve">SOPHIE BRLH LAB MORANGO 7,5ml</t>
  </si>
  <si>
    <t xml:space="preserve">BOTI CAPINHA FLAMINGO</t>
  </si>
  <si>
    <t xml:space="preserve">BOTI BABY FIDO NECESS AMARELA PES</t>
  </si>
  <si>
    <t xml:space="preserve">BOTICOLL CONNEXION DES COL 100ml V2</t>
  </si>
  <si>
    <t xml:space="preserve">BOTIK FRASQ ROSE RIGIDA PU C/A</t>
  </si>
  <si>
    <t>BOTIK</t>
  </si>
  <si>
    <t xml:space="preserve">BOTI NECESS ENVELOPE PU ROSA C/A</t>
  </si>
  <si>
    <t xml:space="preserve">INTENSE MASC CILIO BYE BYE PANDA 11g V2</t>
  </si>
  <si>
    <t xml:space="preserve">INTENSE BATOM MATE 330 3,8g V2</t>
  </si>
  <si>
    <t xml:space="preserve">INTENSE BATOM MATE 360 3,8g V2</t>
  </si>
  <si>
    <t xml:space="preserve">INTENSE BATOM MATE 430 3,8g V2</t>
  </si>
  <si>
    <t xml:space="preserve">INTENSE DELIN LIQ PRETO 2,5ml</t>
  </si>
  <si>
    <t xml:space="preserve">INTENSE LAP OLH PRETO 1,1g V6</t>
  </si>
  <si>
    <t xml:space="preserve">INTENSE LAP OLH MARROM 1,1g V6</t>
  </si>
  <si>
    <t xml:space="preserve">INTENSE BATOM MATE 130 3,8g V2</t>
  </si>
  <si>
    <t xml:space="preserve">INTENSE BATOM MATE 235 3,8g</t>
  </si>
  <si>
    <t xml:space="preserve">INTENSE BATOM CREMOSO 140 3,8g V2</t>
  </si>
  <si>
    <t xml:space="preserve">INTENSE BATOM CREMOSO 120 3,8g V3</t>
  </si>
  <si>
    <t xml:space="preserve">INTENSE BATOM CREMOSO 250 3,8g V6</t>
  </si>
  <si>
    <t xml:space="preserve">INTENSE PO COMPACTO FACIAL 10 5g</t>
  </si>
  <si>
    <t xml:space="preserve">INTENSE PO COMPACTO FACIAL 20 5g</t>
  </si>
  <si>
    <t xml:space="preserve">INTENSE PO COMPACTO FACIAL 30 5g</t>
  </si>
  <si>
    <t xml:space="preserve">INTENSE PO COMPACTO FACIAL 40 5g</t>
  </si>
  <si>
    <t xml:space="preserve">INTENSE PO COMPACTO FACIAL 50 5g</t>
  </si>
  <si>
    <t xml:space="preserve">INTENSE PO COMPACTO FACIAL 70 5g</t>
  </si>
  <si>
    <t xml:space="preserve">INTENSE BATOM CREMOSO 340 3,8g V5</t>
  </si>
  <si>
    <t xml:space="preserve">INTENSE BATOM CREMOSO 580 3,8g V2</t>
  </si>
  <si>
    <t xml:space="preserve">INTENSE BAT NAT SUPFRSH NUDE 3,4g V2</t>
  </si>
  <si>
    <t xml:space="preserve">INTENSE BAT NAT SUPFRSH NUD ESCR 3,4g V2</t>
  </si>
  <si>
    <t xml:space="preserve">INTENSE BAT NAT SUPFRSH CEREJA 3,4g V2</t>
  </si>
  <si>
    <t xml:space="preserve">INTENSE BAT NAT GL SUPFRSH NUDE 3,4g V2</t>
  </si>
  <si>
    <t xml:space="preserve">INTENSE BAT NAT GL SUPFRSH COBRE 3,4g V2</t>
  </si>
  <si>
    <t xml:space="preserve">INTENSE BAT NAT GL SUPFRSH ROSA 3,4g V2</t>
  </si>
  <si>
    <t xml:space="preserve">INTENSE LAP BAT NUDE ROSADO 1,2g</t>
  </si>
  <si>
    <t xml:space="preserve">INTENSE LAP BAT NUDE 1,2g</t>
  </si>
  <si>
    <t xml:space="preserve">INTENSE LAP BAT VERMELHO 1,2g</t>
  </si>
  <si>
    <t xml:space="preserve">INTENSE LÁPIS BATOM PAPRICA, 1,2 g</t>
  </si>
  <si>
    <t xml:space="preserve">INTENSE LÁPIS BATOM VINHO, 1,2 g</t>
  </si>
  <si>
    <t xml:space="preserve">STYLETTO DESODORANTE COLÔNIA, 100 ml</t>
  </si>
  <si>
    <t xml:space="preserve">HORIZONTE DESODORANTE COLÔNIA, 100 ml</t>
  </si>
  <si>
    <t xml:space="preserve">INTENSE BASE LÍQUIDA FACIAL 80, 25 ml</t>
  </si>
  <si>
    <t xml:space="preserve">BOTIK ÁCIDO HIALURÔNICO SÉRUM DE ALTA POTÊNCIA, 30 ml</t>
  </si>
  <si>
    <t xml:space="preserve">BOTIK ÁCIDO KÓJICO SÉRUM DE ALTA POTÊNCIA, 30 ml</t>
  </si>
  <si>
    <t xml:space="preserve">BOTIK PEPTÍDEOS LIFT SÉRUM DE ALTA POTÊNCIA, 30 ml</t>
  </si>
  <si>
    <t xml:space="preserve">BOTIK HIALU + CAFEÍNA CREME CONCENTRADO DE OLHOS, 15 g</t>
  </si>
  <si>
    <t xml:space="preserve">BOTIK ARGILA BRANCA MÁSCARA PURIFICANTE, 100 g</t>
  </si>
  <si>
    <t xml:space="preserve">BOTIK PREBIÓTICOS TÔNICO MICELAR, 200 ml</t>
  </si>
  <si>
    <t xml:space="preserve">BOTIK VITAMINA B5 GEL DE LIMPEZA NUTRITIVO, 150 g</t>
  </si>
  <si>
    <t xml:space="preserve">INTENSE DRY CRUSH GTA SEC P/ESMLT 10ml</t>
  </si>
  <si>
    <t>UNHAS</t>
  </si>
  <si>
    <t xml:space="preserve">BOTICOLLECTION HORIZONTE ANTITRANSPIRANTE DESODORANTE AEROSSOL, 75 g</t>
  </si>
  <si>
    <t xml:space="preserve">INTENSE BASE LÍQUIDA FACIAL SUPERFRESH 60, 25 ml</t>
  </si>
  <si>
    <t xml:space="preserve">INTENSE BATOM ACETINADO 225, 3,8 g</t>
  </si>
  <si>
    <t xml:space="preserve">INTENSE BATOM MATE 520, 3,8 g</t>
  </si>
  <si>
    <t xml:space="preserve">INTENSE LÁPIS PARA SOBRANCELHA #1, 1,1 g</t>
  </si>
  <si>
    <t xml:space="preserve">INTENSE LÁPIS PARA SOBRANCELHA #2, 1,1 g</t>
  </si>
  <si>
    <t xml:space="preserve">BOTIK KIT COMPLETO</t>
  </si>
  <si>
    <t xml:space="preserve">BOTIK KIT ÁCIDO HIALURÔNICO + VITAMINA B5</t>
  </si>
  <si>
    <t xml:space="preserve">BOTICOLLECTION PORTINARI ANTITRANSPIRANTE DESODORANTE AEROSSOL, 75 g</t>
  </si>
  <si>
    <t xml:space="preserve">BOTI APARELHO DE LIMPEZA FACIAL</t>
  </si>
  <si>
    <t xml:space="preserve">FLORATTA FLEUR SUPRÊME EAU DE PARFUM, 75 ml</t>
  </si>
  <si>
    <t xml:space="preserve">FLORATTA FLEUR SUPRÊME CREME INTENSO DESODORANTE HIDRATANTE CORPORAL, 250 g</t>
  </si>
  <si>
    <t xml:space="preserve">MAKE B BATOM STICK PREENCHEDOR HYALURONIC CANDY TOFEE, 3,4g</t>
  </si>
  <si>
    <t xml:space="preserve">MAKE B BATOM STICK PREENCHEDOR HYALURONIC MALVA GLAM, 3,4g</t>
  </si>
  <si>
    <t xml:space="preserve">MAKE B BASE LÍQUIDA PROTETORA HYALURONIC 70 COR 10, 30 ml</t>
  </si>
  <si>
    <t xml:space="preserve">MAKE B BASE LÍQUIDA PROTETORA HYALURONIC 70 COR 80, 30 ml</t>
  </si>
  <si>
    <t xml:space="preserve">BOTICOLLECTION FREE HUGS DESODORANTE COLÔNIA, 100 ml</t>
  </si>
  <si>
    <t xml:space="preserve">CAPINHA PARA CREME DE MÃOS</t>
  </si>
  <si>
    <t>ANNI</t>
  </si>
  <si>
    <t xml:space="preserve">ALMOFADA PARA PESCOÇO</t>
  </si>
  <si>
    <t xml:space="preserve">FRASQUEIRA NUDE</t>
  </si>
  <si>
    <t xml:space="preserve">LINDA CREME DESODORANTE HIDRATANTE DE MÃOS, 50 g</t>
  </si>
  <si>
    <t xml:space="preserve">EGEO ORIGINAL DESODORANTE BODY SPRAY, 100 ml</t>
  </si>
  <si>
    <t xml:space="preserve">EGEO BLUE SHOWER GEL CABELO E CORPO, 100 g</t>
  </si>
  <si>
    <t xml:space="preserve">KIT GLAMOUR SECRETS BLACK</t>
  </si>
  <si>
    <t xml:space="preserve">KIT FLORATTA BLUE</t>
  </si>
  <si>
    <t xml:space="preserve">INTENSE BATOM LÍQUIDO AQUATINT VERMELHO, 5 ml</t>
  </si>
  <si>
    <t xml:space="preserve">INTENSE BATOM LÍQUIDO AQUATINT ROSA, 5 ml</t>
  </si>
  <si>
    <t xml:space="preserve">INTENSE BATOM LÍQUIDO AQUATINT CORAL, 5 ml</t>
  </si>
  <si>
    <t xml:space="preserve">EGEO LOC DES CPO DOLCE COLORS 250g</t>
  </si>
  <si>
    <t xml:space="preserve">REFIL CUIDE-SE BEM LOÇÃO DESODORANTE HIDRATANTE CORPORAL BOA NOITE, 400 ml</t>
  </si>
  <si>
    <t xml:space="preserve">CUIDE-SE BEM SABONETE EM BARRA BOA NOITE, 4 unidades de 80g cada</t>
  </si>
  <si>
    <t xml:space="preserve">CUIDE-SE BEM SABONETE EM BARRA BOA NOITE, 2 unidades de 80g cada</t>
  </si>
  <si>
    <t xml:space="preserve">CUIDE-SE BEM BODY SPLASH DESODORANTE COLÔNIA BOA NOITE, 200 ml</t>
  </si>
  <si>
    <t xml:space="preserve">CUIDE-SE BEM SABONETE LÍQUIDO ESFOLIANTE CORPORAL BOA NOITE, 200ml</t>
  </si>
  <si>
    <t xml:space="preserve">CUIDE-SE BEM LOÇÃO DESODORANTE HIDRATANTE CORPORAL BOA NOITE, 200 ml</t>
  </si>
  <si>
    <t xml:space="preserve">CUIDE-SE BEM LOÇÃO DESODORANTE HIDRATANTE CORPORAL BOA NOITE, 400 ml</t>
  </si>
  <si>
    <t xml:space="preserve">MEN POMADA MODELADORA MÉDIA FIXAÇÃO, 110 g</t>
  </si>
  <si>
    <t xml:space="preserve">MEN SHOWER GEL, 205 g</t>
  </si>
  <si>
    <t xml:space="preserve">MEN SHAMPOO CABELOS GRISALHOS, 200 ml</t>
  </si>
  <si>
    <t xml:space="preserve">MEN CREME DE BARBAER, 110 g</t>
  </si>
  <si>
    <t xml:space="preserve">MEN SHAMPOO CABELO E BARBA, 200 ml</t>
  </si>
  <si>
    <t xml:space="preserve">MEN CREME DE PENTEAR, 150 ml</t>
  </si>
  <si>
    <t xml:space="preserve">MEN CONDICIONADOR, 200 ml</t>
  </si>
  <si>
    <t xml:space="preserve">MEN DESODORANTE COLÔNIA, 100 ml</t>
  </si>
  <si>
    <t xml:space="preserve">MEN DESODORANTE ANTITRANSPIRANTE AEROSSOL SEM PERFUME, 75 g</t>
  </si>
  <si>
    <t xml:space="preserve">MEN DESODORANTE ANTITRANSPIRANTE AEROSSOL, 75 g</t>
  </si>
  <si>
    <t xml:space="preserve">MEN DESODORANTE ANTITRANSPIRANTE ROLL ON, 55 ml</t>
  </si>
  <si>
    <t xml:space="preserve">MEN SABONETE EM BARRA, 90g C/2</t>
  </si>
  <si>
    <t xml:space="preserve">MEN POMADA MODELADORA ALTA FIXAÇÃO, 100 g</t>
  </si>
  <si>
    <t xml:space="preserve">NECESSAIRE OVELHINHA</t>
  </si>
  <si>
    <t xml:space="preserve">CUIDE-SE BEM NECESSAIRE LISTRAS</t>
  </si>
  <si>
    <t xml:space="preserve">DR. BOTICA GEL POÇÃO DE MODELAR, 80 g</t>
  </si>
  <si>
    <t xml:space="preserve">INTENSE DESODORANTE COLONIA OOPSS, 50 ml</t>
  </si>
  <si>
    <t xml:space="preserve">INTENSE TOALHA DEMAQUILANTE</t>
  </si>
  <si>
    <t xml:space="preserve">INTENSE KIT ESPONJAS</t>
  </si>
  <si>
    <t xml:space="preserve">INTENSE PALETTE MULTIFUNCIONAL ROSE #1, 13,2 g</t>
  </si>
  <si>
    <t xml:space="preserve">INTENSE BATOM MATE 240, 3,8 g</t>
  </si>
  <si>
    <t xml:space="preserve">INTENSE MÁSCARA PARA CÍLIOS 4 POWER, 11 g</t>
  </si>
  <si>
    <t xml:space="preserve">INTENSE DESODORANTE COLONIA BOOM, 50 ml</t>
  </si>
  <si>
    <t xml:space="preserve">INTENSE BLUSH STICK PESSEGO, 5,5 g</t>
  </si>
  <si>
    <t xml:space="preserve">INTENSE BLUSH STICK ROSA, 5,5 g</t>
  </si>
  <si>
    <t xml:space="preserve">INTENSE BLUSH STICK CORAL, 5,5 g</t>
  </si>
  <si>
    <t xml:space="preserve">INTENSE GLOSS LABIAL 115, 5 ml</t>
  </si>
  <si>
    <t xml:space="preserve">INTENSE MÁSCARA PARA SOBRANCELHAS #1, 3 g</t>
  </si>
  <si>
    <t xml:space="preserve">INTENSE MÁSCARA PARA SOBRANCELHAS #2, 3g</t>
  </si>
  <si>
    <t xml:space="preserve">INTENSE MÁSCARA PARA CÍLIOS TOO LONG, 11 g</t>
  </si>
  <si>
    <t xml:space="preserve">INTENSE BATOM CREMOSO 260, &amp; 3,8g</t>
  </si>
  <si>
    <t xml:space="preserve">INTENSE BATOM CREMOSO 270, &amp; 3,8g</t>
  </si>
  <si>
    <t xml:space="preserve">INTENSE BATOM CREMOSO 420, &amp; 3,8g</t>
  </si>
  <si>
    <t xml:space="preserve">INTENSE BATOM CREMOSO 540, &amp; 3,8g</t>
  </si>
  <si>
    <t xml:space="preserve">INTENSE ILUMINADOR STICK PEROLADO, 5,5 g</t>
  </si>
  <si>
    <t xml:space="preserve">INTENSE BATOM ACETINADO 125, 3,8 g</t>
  </si>
  <si>
    <t xml:space="preserve">INTENSE PALETTE MULTIFUNCIONAL BRONZE #2, 13,2 g</t>
  </si>
  <si>
    <t xml:space="preserve">INTENSE LOÇÃO GLITTER GLOW FPS30, 90ml</t>
  </si>
  <si>
    <t xml:space="preserve">INTENSE LOÇÃO DESODORANTE HIDRATANTE CORPORAL BOOM, 200 ml</t>
  </si>
  <si>
    <t xml:space="preserve">INTENSE LOÇÃO DESODORANTE HIDRATANTE CORPORAL OOPSS, 200 ml</t>
  </si>
  <si>
    <t xml:space="preserve">INTENSE BATOM MATE 650, 3,8 g</t>
  </si>
  <si>
    <t xml:space="preserve">INTENSE LÁPIS BATOM ROSA, 1,2 g</t>
  </si>
  <si>
    <t xml:space="preserve">MAKE B BAS PO MINERAL 10 5,5g</t>
  </si>
  <si>
    <t xml:space="preserve">MAKE B BAS PO MINERAL 20 5,5g</t>
  </si>
  <si>
    <t xml:space="preserve">MAKE B BAS PO MINERAL 30 5,5g</t>
  </si>
  <si>
    <t xml:space="preserve">MAKE B BAS PO MINERAL 40 5,5g</t>
  </si>
  <si>
    <t xml:space="preserve">MAKE B BAS PO MINERAL 60 5,5g</t>
  </si>
  <si>
    <t xml:space="preserve">MAKE B BAS PO MINERAL 50 5,5g</t>
  </si>
  <si>
    <t xml:space="preserve">MAKE B BAS PO MINERAL 70 5,5g</t>
  </si>
  <si>
    <t xml:space="preserve">REFIL - LILY ABSOLU CREME ACETINADO DESODORANTE HIDRATANTE CORPORAL, 250 g</t>
  </si>
  <si>
    <t xml:space="preserve">MAKE B ROSÉ EAU DE PARFUM, 75 ml</t>
  </si>
  <si>
    <t xml:space="preserve">MAKE B GOLD EAU DE PARFUM, 75 ml</t>
  </si>
  <si>
    <t xml:space="preserve">MAKE B ROSÉ CREME AVELUDADO DESODORANTE HIDRATANTE CORPORAL, 200 g</t>
  </si>
  <si>
    <t xml:space="preserve">MATCH SHAMPOO AGENTE ANTIOLEOSIDADE ANTIRRESÍDUOS, 250 ml</t>
  </si>
  <si>
    <t xml:space="preserve">MATCH SHAMPOO AGENTE ANTIOLEOSIDADE, 250 ml</t>
  </si>
  <si>
    <t xml:space="preserve">MATCH CONDICIONADOR AGENTE ANTIOLEOSIDADE, 250ml</t>
  </si>
  <si>
    <t xml:space="preserve">MATCH MÁSCARA AGENTE ANTIOLEOSIDADE, 250 g</t>
  </si>
  <si>
    <t xml:space="preserve">MATCH SHAMPOO À SECO AGENTE ANTIOLEOSIDADE 150 ml</t>
  </si>
  <si>
    <t xml:space="preserve">MAKE B DEMAQ BIF MICLR 110ml V3</t>
  </si>
  <si>
    <t xml:space="preserve">MATCH TÔNICO CAPILAR SEM EFEITO REBOTE AGENTE ANTIOLEOSIDADE, 100 ml</t>
  </si>
  <si>
    <t xml:space="preserve">MALBEC BLEU DESODORANTE COLÔNIA, 100 ml</t>
  </si>
  <si>
    <t xml:space="preserve">MALBEC BLEU DESODORANTE BODY SPRAY, 100 ml</t>
  </si>
  <si>
    <t xml:space="preserve">MALBEC CLUB ÓLEO PARA BARBA, 25 ml</t>
  </si>
  <si>
    <t xml:space="preserve">NATIVA SPA SABONETE EM BARRA QUINOA, 2 unidades de 90 g cada</t>
  </si>
  <si>
    <t xml:space="preserve">FLORATTA SIMPLE LOVE DESODORANTE COLÔNIA, 75ml</t>
  </si>
  <si>
    <t xml:space="preserve">FLORATTA SIMPLE LOVE CREME DESODORANTE HIDRATANTE CORPORAL, 200ml</t>
  </si>
  <si>
    <t xml:space="preserve">NATIVA SPA LOÇÃO ANTI-STRESS DESODORANTE CORPORAL JASMIM SAMBAC, 400 ml</t>
  </si>
  <si>
    <t xml:space="preserve">NATIVA SPA LOÇÃO ANTI-STRESS DESODORANTE CORPORAL JASMIM SAMBAC, 200 ml</t>
  </si>
  <si>
    <t xml:space="preserve">NATIVA SPA BODY SPLASH DESODORANTE CORPORAL JASMIM SAMBAC, 200 ml</t>
  </si>
  <si>
    <t xml:space="preserve">NATIVA SPA SHAMPOO ANTI-STRESS JASMIM SAMBAC, 300 ml</t>
  </si>
  <si>
    <t xml:space="preserve">NATIVA SPA CONDICIONADOR ANTI-STRESS JASMIM SAMBAC, 300 ml</t>
  </si>
  <si>
    <t xml:space="preserve">REFIL - LOÇÃO ANTI-STRESS DESODORANTE CORPORAL JASMIM SAMBAC, 400 ml</t>
  </si>
  <si>
    <t xml:space="preserve">NATIVA SPA SABONETE LÍQUIDO ESFOLIANTE ANTI-STRESS JASMIM SAMBAC, 175 ml</t>
  </si>
  <si>
    <t xml:space="preserve">NATIVA SPA SABONETE EM BARRA JASMIM SAMBAC, 2 unidades de 90 g cada</t>
  </si>
  <si>
    <t xml:space="preserve">NATIVA SPA ÓLEO PRECIOSO CORPORAL MULTIBENEFÍCIOS JASMIM SAMBAC, 50 ml</t>
  </si>
  <si>
    <t>ÓLEOS</t>
  </si>
  <si>
    <t xml:space="preserve">NATIVA SPA SABONETE EM BARRA ROSÉ, 2 unidades de 90 g cada</t>
  </si>
  <si>
    <t xml:space="preserve">NSPA SHAMP KARITE 300ml V2</t>
  </si>
  <si>
    <t xml:space="preserve">ELYSÉE SUCCÈS EAU DE PARFUM, 50 ml</t>
  </si>
  <si>
    <t xml:space="preserve">ELYSÉE SUCCÈS CREME ACETINADO DESODORANTE HIDRATANTE CORPORAL, 250 g</t>
  </si>
  <si>
    <t xml:space="preserve">NSPA SHAMP ROSE 300ml V2</t>
  </si>
  <si>
    <t xml:space="preserve">MAKE B BALM LAB ST/PREN HYAL S/COR 3,4g</t>
  </si>
  <si>
    <t xml:space="preserve">Egeo Dolce Jogo De Cartas</t>
  </si>
  <si>
    <t xml:space="preserve">Refil Nativa Spa Loção Desodorante Hidratante Corporal Lichia, 400 Ml</t>
  </si>
  <si>
    <t xml:space="preserve">Nativa Spa Spray Antisséptico Ameixa, 30 Ml</t>
  </si>
  <si>
    <t xml:space="preserve">Malbec Shower Gel Cabelo E Corpo, 200 G</t>
  </si>
  <si>
    <t xml:space="preserve">Intense Balm Labial Uma Corzinha, 3,5G</t>
  </si>
  <si>
    <t xml:space="preserve">Intense Balm Labial Uma Hidratadinha, 3,5G</t>
  </si>
  <si>
    <t xml:space="preserve">Coffee Woman Lucky Desodorante Colônia, 100 Ml</t>
  </si>
  <si>
    <t xml:space="preserve">Coffee Man Lucky Desodorante Colônia, 100 Ml</t>
  </si>
  <si>
    <t xml:space="preserve">Coffee Woman Lucky Loção Desodorante Hidratante Corporal, 200 Ml</t>
  </si>
  <si>
    <t xml:space="preserve">Coffee Man Lucky Shower Gel 2 Em 1, 200 G</t>
  </si>
  <si>
    <t xml:space="preserve">Nécessaire Poder</t>
  </si>
  <si>
    <t xml:space="preserve">Intense Desodorante Colônia Cool, 50 Ml</t>
  </si>
  <si>
    <t xml:space="preserve">QUASAR ICE DESODORANTE COLÔNIA, 100 ml</t>
  </si>
  <si>
    <t xml:space="preserve">MAKE B BALM HIDRATANTE UNLIMITED FPS 100, 3,8 g</t>
  </si>
  <si>
    <t xml:space="preserve">INTENSE BALM LABIAL ORGULHO, 3,2 g</t>
  </si>
  <si>
    <t xml:space="preserve">KIT FLORATTA</t>
  </si>
  <si>
    <t xml:space="preserve">KIT MALBEC</t>
  </si>
  <si>
    <t xml:space="preserve">CAPRICHO HELLO STARS DESODORANTE COLÔNIA, 50 ml</t>
  </si>
  <si>
    <t xml:space="preserve">CAPRICHO HELLO STARS LOÇÃO DESODORANTE HIDRATANTE CORPORAL, 200 ml</t>
  </si>
  <si>
    <t xml:space="preserve">NATIVA SPA CREME REPARADOR FACIAL CENTELLA ASIATICA, 75 ml</t>
  </si>
  <si>
    <t xml:space="preserve">NATIVA SPA CREME MULTIRREPARADOR INTENSIVO CENTELLA ASIATICA, 30 ml</t>
  </si>
  <si>
    <t xml:space="preserve">NATIVA SPA CREME REPARADOR DESODORANTE CORPORAL CENTELLA ASIATICA, 150 ml</t>
  </si>
  <si>
    <t xml:space="preserve">NÉCESSAIRE REDONDA</t>
  </si>
  <si>
    <t xml:space="preserve">SAQUINHO ORGANIZADOR</t>
  </si>
  <si>
    <t xml:space="preserve">MATCH CONDICIONADOR RECONSTRUTOR, 1 l</t>
  </si>
  <si>
    <t xml:space="preserve">MATCH SHAMPOO RECONSTRUTOR, 1 l</t>
  </si>
  <si>
    <t xml:space="preserve">MATCH PUMP PARA SHAMPOO E CONDICIONADOR 1 un</t>
  </si>
  <si>
    <t xml:space="preserve">MATCH MÁSCARA RECONSTRUTORA, 500 ml</t>
  </si>
  <si>
    <t xml:space="preserve">MATCH MÁSCARA CAPILAR DE NUTRIÇÃO 500 ml</t>
  </si>
  <si>
    <t xml:space="preserve">MATCH CONDICIONADOR PÓS QUÍMICA, 250ml</t>
  </si>
  <si>
    <t xml:space="preserve">MATCH SHAMPOO PÓS QUÍMICA, 250ml</t>
  </si>
  <si>
    <t xml:space="preserve">MATCH SÉRUM PÓS QUÍMICA, 50ml</t>
  </si>
  <si>
    <t xml:space="preserve">MATCH MÁSCARA PÓS QUÍMICA, 250g</t>
  </si>
  <si>
    <t xml:space="preserve">ZAAD SANTAL EAU DE PARFUM, 95 ml</t>
  </si>
  <si>
    <t>ZAAD</t>
  </si>
  <si>
    <t xml:space="preserve">UOMINI SHOWER GEL CORPO E CABELO, 200 g</t>
  </si>
  <si>
    <t xml:space="preserve">Promopack The Blend Desodorante Antitranspirante Aerossól 2X75G</t>
  </si>
  <si>
    <t xml:space="preserve">Promopack Lily Desodorante Antitranspirante Aerossól 2X75G</t>
  </si>
  <si>
    <t xml:space="preserve">Promopack Zaad Desodorante Antitranspirante Aerossól 2X75G</t>
  </si>
  <si>
    <t xml:space="preserve">Promopack Malbec Desodorante Antitranspirante Aerossól 2X75G</t>
  </si>
  <si>
    <t xml:space="preserve">Boti Tapetinho Limpa Pincéis</t>
  </si>
  <si>
    <t xml:space="preserve">Boti Apontador</t>
  </si>
  <si>
    <t xml:space="preserve">Make B. Retinol Kit Pinceis Com Nécessaire</t>
  </si>
  <si>
    <t xml:space="preserve">Cude-Se Bem Loção Desodorante Hidratante Refrescante Corporal Bendito Cacto, 400 Ml</t>
  </si>
  <si>
    <t xml:space="preserve">Cude-Se Bem Loção Desodorante Hidratante Corporal Bendito Cacto, 200 Ml</t>
  </si>
  <si>
    <t xml:space="preserve">Cuide Se Bem Sabonete Em Barra Duo Bendito Cacto, 2 Unidades De 80G Cada</t>
  </si>
  <si>
    <t xml:space="preserve">Cuide-Se Bem Body Splash Desodorante Colônia &amp; Bendito Cacto, 200 Ml</t>
  </si>
  <si>
    <t xml:space="preserve">Refil Cuide-Se Bem Loção Desodorante Hidratante Refrescante Corporal Bendito Cacto, 400 Ml</t>
  </si>
  <si>
    <t xml:space="preserve">Make B. Base Protetora Retinol H+ 80, 26G Invisível</t>
  </si>
  <si>
    <t xml:space="preserve">Make B. Base Protetora Retinol H+ 80, 26G Cor 15</t>
  </si>
  <si>
    <t xml:space="preserve">Make B. Base Protetora Retinol H+ 80, 26G Cor 20</t>
  </si>
  <si>
    <t xml:space="preserve">Make B. Base Protetora Retinol H+ 80, 26G Cor 25</t>
  </si>
  <si>
    <t xml:space="preserve">Make B. Base Protetora Retinol H+ 80, 26G Cor 30</t>
  </si>
  <si>
    <t xml:space="preserve">Make B. Base Protetora Retinol H+ 80, 26G Cor 40</t>
  </si>
  <si>
    <t xml:space="preserve">Make B. Base Protetora Retinol H+ 80, 26G Cor 50</t>
  </si>
  <si>
    <t xml:space="preserve">Make B. Base Protetora Retinol H+ 80, 26G Cor 53</t>
  </si>
  <si>
    <t xml:space="preserve">Make B. Base Protetora Retinol H+ 80, 26G Cor 57</t>
  </si>
  <si>
    <t xml:space="preserve">Make B. Base Protetora Retinol H+ 80, 26G Cor 60</t>
  </si>
  <si>
    <t xml:space="preserve">Make B. Base Protetora Retinol H+ 80, 26G Cor 65</t>
  </si>
  <si>
    <t xml:space="preserve">Make B. Base Protetora Retinol H+ 80, 26G Cor 70</t>
  </si>
  <si>
    <t xml:space="preserve">Make B. Base Protetora Retinol H+ 80, 26G Cor 75</t>
  </si>
  <si>
    <t xml:space="preserve">Make B. Base Protetora Retinol H+ 80, 26G Cor 80</t>
  </si>
  <si>
    <t xml:space="preserve">Refil Egeo Hit Desodorante Body Spray, 100 Ml</t>
  </si>
  <si>
    <t xml:space="preserve">Make B. Batom Líquido Preenchedor Retinol H+, 8 Ml Red Velvet</t>
  </si>
  <si>
    <t xml:space="preserve">Make B. Batom Líquido Preenchedor Retinol H+, 8 Ml Easy Pink</t>
  </si>
  <si>
    <t xml:space="preserve">Make B. Batom Líquido Preenchedor Retinol H+, 8 Ml Wine Blossom</t>
  </si>
  <si>
    <t xml:space="preserve">Make B. Batom Líquido Preenchedor Retinol H+, 8 Ml Salted Caramel</t>
  </si>
  <si>
    <t xml:space="preserve">Make B. Batom Líquido Preenchedor Retinol H+, 8 Ml Cinnamon Love</t>
  </si>
  <si>
    <t xml:space="preserve">Make B. Base Protetora Retinol H+ 80, 26G Cor 10</t>
  </si>
  <si>
    <t xml:space="preserve">Make B. Flash Retinol H+ Corretivo Iluminador, 2,5G Cor 10</t>
  </si>
  <si>
    <t xml:space="preserve">Make B. Flash Retinol H+ Corretivo Iluminador, 2,5G Cor 20</t>
  </si>
  <si>
    <t xml:space="preserve">Make B. Flash Retinol H+ Corretivo Iluminador, 2,5G Cor 30</t>
  </si>
  <si>
    <t xml:space="preserve">Make B. Flash Retinol H+ Corretivo Iluminador, 2,5G Cor 40</t>
  </si>
  <si>
    <t xml:space="preserve">Make B. Flash Retinol H+ Corretivo Iluminador, 2,5G Cor 50</t>
  </si>
  <si>
    <t xml:space="preserve">Make B. Flash Retinol H+ Corretivo Iluminador, 2,5G Cor 60</t>
  </si>
  <si>
    <t xml:space="preserve">Make B. Flash Retinol H+ Corretivo Iluminador, 2,5G Cor 70</t>
  </si>
  <si>
    <t xml:space="preserve">Floratta Desodorante Body Spray Red 100Ml</t>
  </si>
  <si>
    <t xml:space="preserve">Floratta Desodorante Body Spray Flores Secretas 100Ml</t>
  </si>
  <si>
    <t xml:space="preserve">Refil Floratta Desodorante Body Spray Red 100Ml</t>
  </si>
  <si>
    <t xml:space="preserve">Make B. Flash Retinol H+ Corretivo Iluminador, 2,5G Invisível</t>
  </si>
  <si>
    <t xml:space="preserve">MAKE B HID FAC ACQUA JELLY 50g</t>
  </si>
  <si>
    <t xml:space="preserve">Make B. Lenço Demaquilante Antisséptico, 20 lenços</t>
  </si>
  <si>
    <t xml:space="preserve">Necessaire Coração</t>
  </si>
  <si>
    <t xml:space="preserve">Kit Presente Elysée</t>
  </si>
  <si>
    <t xml:space="preserve">Kit Presente Egeo Dolce</t>
  </si>
  <si>
    <t xml:space="preserve">Kit Presente Egeo Blue</t>
  </si>
  <si>
    <t xml:space="preserve">Kit Presente Floratta Blue</t>
  </si>
  <si>
    <t xml:space="preserve">BOTIK ÁCIDO GLICÓLICO SÉRUM DE ALTA POTÊNCIA, 30 ml</t>
  </si>
  <si>
    <t xml:space="preserve">BOTIK ÁCIDO GLICÓLICO MÁSCARA FACIAL RESET NOTURNO, 40 g</t>
  </si>
  <si>
    <t xml:space="preserve">BOTIK KIT DOUBLE CLEANSING</t>
  </si>
  <si>
    <t xml:space="preserve">BOTIK ÁCIDO GLICÓLICO SOLUÇÃO DESINCRUSTANTE, 200 ml</t>
  </si>
  <si>
    <t xml:space="preserve">Necessaire Com Visor + Necessaire Mini</t>
  </si>
  <si>
    <t xml:space="preserve">BOTIK VITAMINA E ÓLEO DE LIMPEZA FACIAL, 100 ml</t>
  </si>
  <si>
    <t xml:space="preserve">BOTIK ÁCIDO GLICÓLICO GELEIA CONCETRADA DE LIMPEZA FACIAL, 150 g</t>
  </si>
  <si>
    <t xml:space="preserve">BOTIK CICA PANTENOL + NIACINAMIDA CREME MULTIRREPARADOR, 30 ml</t>
  </si>
  <si>
    <t xml:space="preserve">Floratta Rose Splash Desodorante Colônia, 200 ml</t>
  </si>
  <si>
    <t xml:space="preserve">Floratta Blue Splash Desodorante Colônia, 200 ml</t>
  </si>
  <si>
    <t xml:space="preserve">Intense Kit Pincéis</t>
  </si>
  <si>
    <t xml:space="preserve">DR BOTICA MOCHI REG NLON</t>
  </si>
  <si>
    <t xml:space="preserve">Malbec Club Shampoo Antiqueda, 250 ml</t>
  </si>
  <si>
    <t xml:space="preserve">Malbec Club Tônico Capilar Antiqueda, 100 ml</t>
  </si>
  <si>
    <t xml:space="preserve">Dr. Botica Poção Da Aventura, 120 ml</t>
  </si>
  <si>
    <t xml:space="preserve">Malbec Club Condicionador Antiqueda, 250 ml</t>
  </si>
  <si>
    <t xml:space="preserve">CELEBRE SUA FORÇA LOÇÃO DESODORANTE HIDRATANTE CORPORAL 200 ml</t>
  </si>
  <si>
    <t>CELEBRE</t>
  </si>
  <si>
    <t xml:space="preserve">NATIVA SPA ACQUAGEL HIDRATANTE DESODORANTE CORPORAL AMEIXA, 250 g</t>
  </si>
  <si>
    <t xml:space="preserve">NATIVA SPA ACQUAGEL HIDRATANTE DESODORANTE CORPORAL QUINOA, 250 g</t>
  </si>
  <si>
    <t xml:space="preserve">NATIVA SPA ACQUAGEL HIDRATANTE DESODORANTE CORPORAL AMEIXA NEGRA, 250 g</t>
  </si>
  <si>
    <t xml:space="preserve">NATIVA SPA ACQUAGEL HIDRATANTE DESODORANTE CORPORAL ALOE VERA, 250 g</t>
  </si>
  <si>
    <t xml:space="preserve">FLORATTA LOÇÃO DESODORANTE HIDRATANTE CORPORAL RED, 75g</t>
  </si>
  <si>
    <t xml:space="preserve">CELEBRE SUA FORÇA DESODORANTE BODY SPRAY, 100 ml</t>
  </si>
  <si>
    <t xml:space="preserve">CELEBRE SUA FORÇA DESODORANTE BODY SPRAY REFIL, 100 ml</t>
  </si>
  <si>
    <t xml:space="preserve">INTENSE GLOSS LABIAL BUBBALOO, 5 ml</t>
  </si>
  <si>
    <t xml:space="preserve">Não - Collab</t>
  </si>
  <si>
    <t xml:space="preserve">ARBO SHOWER GEL, 200 g</t>
  </si>
  <si>
    <t>ARBO</t>
  </si>
  <si>
    <t xml:space="preserve">ELYSEE NECESS PAETE PES C/ALC NAT/21 VDA</t>
  </si>
  <si>
    <t xml:space="preserve">NÉCESSAIRE ZAAD</t>
  </si>
  <si>
    <t xml:space="preserve">CELEBRE BOLSA CLUTCH</t>
  </si>
  <si>
    <t xml:space="preserve">CELEBRE SUA FORÇA DESODORANTE COLÔNIA FLORAL FRUTAL, 100 ml</t>
  </si>
  <si>
    <t xml:space="preserve">CELEBRE SUA FORÇA DESODORANTE COLÔNIA FOUGÈRE AROMÁTICO, 100 ml</t>
  </si>
  <si>
    <t xml:space="preserve">CUIDE-SE BEM LOÇÃO DESODORANTE HIDRATANTE CORPORAL BUBBALOO, 200 ml</t>
  </si>
  <si>
    <t xml:space="preserve">Kit Boti Lembrancinha Natal 2021</t>
  </si>
  <si>
    <t xml:space="preserve">REFIL MAKE B. BASE PROTETORA RETINOL H+ 80, 26g</t>
  </si>
  <si>
    <t xml:space="preserve">LILY CLUTCH</t>
  </si>
  <si>
    <t xml:space="preserve">LILY EDP 30ML V2</t>
  </si>
  <si>
    <t xml:space="preserve">L'EAU DE LILY DESODORANTE COLÔNIA, 75 ml</t>
  </si>
  <si>
    <t xml:space="preserve">LILY SPLASH DESODORANTE COLÔNIA, 200 ml</t>
  </si>
  <si>
    <t xml:space="preserve">REFIL - MATCH MÁSCARA PÓS-QUÍMICA, 250 g</t>
  </si>
  <si>
    <t xml:space="preserve">O BOTI CARTCH COMB/1 NAT/21</t>
  </si>
  <si>
    <t xml:space="preserve">O BOTI CARTCH COMB/2 NAT/21</t>
  </si>
  <si>
    <t xml:space="preserve">QUASAR RUSH DESODORANTE COLÔNIA, 100 ml</t>
  </si>
  <si>
    <t xml:space="preserve">QUASAR RUSH DESODORANTE BODY SPRAY, 100 ml</t>
  </si>
  <si>
    <t xml:space="preserve">REFIL QUASAR RUSH DESODORANTE BODY SPRAY, 100 ml</t>
  </si>
  <si>
    <t xml:space="preserve">THE BLEND CARDAMOM EAU DE PARFUM, 100 ml</t>
  </si>
  <si>
    <t xml:space="preserve">CUIDE-SE BEM MÁSCARA DE HIDRATAÇÃO BUMBUM DE PÊSSEGO, 230 g</t>
  </si>
  <si>
    <t xml:space="preserve">CUIDE-SE BEM ESFOLIANTE BUMBUM DE PÊSSEGO, 230 g</t>
  </si>
  <si>
    <t xml:space="preserve">EGEO PINA BLAST DESODORANTE COLÔNIA, 90 ml</t>
  </si>
  <si>
    <t xml:space="preserve">EGEO CHERRY BLAST DESODORANTE COLÔNIA, 90 ml</t>
  </si>
  <si>
    <t xml:space="preserve">FLORATTA MY BLUE DESODORANTE COLÔNIA, 75 ML</t>
  </si>
  <si>
    <t xml:space="preserve">FLORATTA MY BLUE LOÇÃO DESODORANTE HIDRATANTE CORPORAL, 200 ML</t>
  </si>
  <si>
    <t xml:space="preserve">FLORATTA MY BLUE REFIL BODY SPRAY, 100 ML</t>
  </si>
  <si>
    <t xml:space="preserve">FLORATTA MY BLUE BODY SPRAY, 100 ML</t>
  </si>
  <si>
    <t xml:space="preserve">CUIDE-SE BEM LOÇÃO DESODORANTE HIDRATANTE CORPORAL PESSEGURA, 400 ml</t>
  </si>
  <si>
    <t xml:space="preserve">CUIDE-SE BEM LOÇÃO DESODORANTE HIDRATANTE CORPORAL PESSEGURA, 200 ml</t>
  </si>
  <si>
    <t xml:space="preserve">CUIDE-SE BEM BODY SPLASH DESODORANTE COLÔNIA PESSEGURA, 200 ml</t>
  </si>
  <si>
    <t xml:space="preserve">CBEM SAB BARRA PESSEGURA 4x80g</t>
  </si>
  <si>
    <t xml:space="preserve">REFIL CUIDE-SE BEM LOÇÃO DESODORANTE HIDRATANTE CORPORAL PESSEGURA, 350 ml</t>
  </si>
  <si>
    <t xml:space="preserve">MALBEC X DESODORANTE COLÔNIA 100 ML</t>
  </si>
  <si>
    <t xml:space="preserve">MALBEC NECESSAIRE PRETA</t>
  </si>
  <si>
    <t xml:space="preserve">MATCH SHAMPOO PROTEÇÃO DA COR, 250 ml</t>
  </si>
  <si>
    <t xml:space="preserve">MATCH SHAMPOO MATIZADOR PROTEÇÃO DOS LOIROS, 250 ml</t>
  </si>
  <si>
    <t xml:space="preserve">MATCH CONDICIONADOR PROTEÇÃO DA COR, 250 ml</t>
  </si>
  <si>
    <t xml:space="preserve">MATCH CONDICIONADOR PROTEÇÃO DOS LOIROS, 250 ml</t>
  </si>
  <si>
    <t xml:space="preserve">MATCH MÁSCARA CAPILAR PROTEÇÃO DA COR, 250 g</t>
  </si>
  <si>
    <t xml:space="preserve">MATCH MÁSCARA CAPILAR MATIZADORA PROTEÇÃO DOS LOIROS, 250 g</t>
  </si>
  <si>
    <t xml:space="preserve">MATCH LEAVE IN PRÉ E PÓS DESCOLORAÇÃO PROTEÇÃO DOS LOIROS, 150 ml</t>
  </si>
  <si>
    <t xml:space="preserve">LILY EDP LOVE 75ML V2</t>
  </si>
  <si>
    <t xml:space="preserve">LILY EDP 75ML V2</t>
  </si>
  <si>
    <t xml:space="preserve">LILY EDP ABSOLU 75ML V2</t>
  </si>
  <si>
    <t xml:space="preserve">CUIDE-SE BEM FEIRA CONDICIONADOR HIDRATAÇÃO PASTA DE ABACATE, 170 ml</t>
  </si>
  <si>
    <t xml:space="preserve">CUIDE-SE BEM FEIRA CONDICIONADOR REPARAÇÃO ÓLEO DE COCO, 170 ml</t>
  </si>
  <si>
    <t xml:space="preserve">NATIVA SPA LOÇÃO DRENANTE DESODORANTE HIDRATANTE CORPORAL GINSENG &amp; CAFEÍNA, 400 ml</t>
  </si>
  <si>
    <t xml:space="preserve">NATIVA SPA GEL ESFOLIANTE CORPORAL GINSENG &amp; CAFEÍNA, 200 g</t>
  </si>
  <si>
    <t xml:space="preserve">NATIVA SPA ÓLEO DESODORANTE HIDRATANTE CORPORAL GINSENG &amp; CAFEÍNA, 200 ml</t>
  </si>
  <si>
    <t xml:space="preserve">ARBO DES BDY SPR BOTANIC 100ml V2</t>
  </si>
  <si>
    <t xml:space="preserve">ARBO DES BDY SPR 100ml V6</t>
  </si>
  <si>
    <t xml:space="preserve">ARBO DES ANTIT AER 75ml V9</t>
  </si>
  <si>
    <t xml:space="preserve">REF ARBO DES BODY SPR 100ml V4</t>
  </si>
  <si>
    <t xml:space="preserve">REF ARBO DES BDY SPR BOTANIC 100ml</t>
  </si>
  <si>
    <t xml:space="preserve">MALBEC BODY SPRAY DESODORANTE VERT, 100 ml</t>
  </si>
  <si>
    <t xml:space="preserve">REFIL - MALBEC BODY SPRAY DESODORANTE VERT, 100 ml</t>
  </si>
  <si>
    <t xml:space="preserve">MAKE B PALETTE DE BATONS MINI HITS, 5 g</t>
  </si>
  <si>
    <t xml:space="preserve">CUIDE-SE BEM FEIRA CREME DE PENTEAR LISOS AMIDO DE MILHO, 200 ml</t>
  </si>
  <si>
    <t xml:space="preserve">FRASQUEIRA ELYSÉE VDA</t>
  </si>
  <si>
    <t xml:space="preserve">ACCORDES SAQUINHO CACHEPÔ VDA</t>
  </si>
  <si>
    <t xml:space="preserve">NATIVA SPA BODY SPLASH DESODORANTE COLÔNIA GINSENG &amp; CAFEÍNA, 200 ml</t>
  </si>
  <si>
    <t xml:space="preserve">ARBO DES COL 100ml V4</t>
  </si>
  <si>
    <t xml:space="preserve">ARBO DES COL LIBERTE 100ml V2</t>
  </si>
  <si>
    <t xml:space="preserve">ARBO DES COL BOTANIC 100ml V2</t>
  </si>
  <si>
    <t xml:space="preserve">ARBO DES COL RESERVA 100ml V2</t>
  </si>
  <si>
    <t xml:space="preserve">CUIDE-SE BEM FEIRA SHAMPOO LIMPEZA SUAVE BANANA, 230 ml</t>
  </si>
  <si>
    <t xml:space="preserve">CUIDE-SE BEM FEIRA SHAMPOO DETOX VINAGRE DE MAÇÃ, 230 ml</t>
  </si>
  <si>
    <t xml:space="preserve">BOTI MASSAG CPO PP</t>
  </si>
  <si>
    <t xml:space="preserve">LINDA LENÇO</t>
  </si>
  <si>
    <t xml:space="preserve">REFIL MÁSCARA FACIAL RESET NOTURNO ÁCIDO GLICÓLICO BOTIK, 40g</t>
  </si>
  <si>
    <t xml:space="preserve">LIZ DESODORANTE ANTITRANSPIRANTE AEROSSOL, 75 g</t>
  </si>
  <si>
    <t xml:space="preserve">LIZ SUBLIME DESODORANTE COLÔNIA, 100ml</t>
  </si>
  <si>
    <t xml:space="preserve">BOTICA 214 EDP FOUG AROM VER/FIRENZ 90ml</t>
  </si>
  <si>
    <t xml:space="preserve">BOTICA 214 EDP DARK MINT 90ml V2</t>
  </si>
  <si>
    <t xml:space="preserve">BOTICA 214 EDP FLOR FRUT VER/FIRENZ 75ml</t>
  </si>
  <si>
    <t xml:space="preserve">BOTICA 214 EDP GOLD/GARD 75ml V2</t>
  </si>
  <si>
    <t xml:space="preserve">BOTICA 214 EDP PEON/APRCT 75ml V2</t>
  </si>
  <si>
    <t xml:space="preserve">BOTICA 214 EDP JASM/PATCH 75ml V2</t>
  </si>
  <si>
    <t xml:space="preserve">REF MAKE B PO COMP FAC HYAL 40 8g</t>
  </si>
  <si>
    <t xml:space="preserve">REF MAKE B PO COMP FAC HYAL 50 8g</t>
  </si>
  <si>
    <t xml:space="preserve">REF MAKE B PO COMP FAC HYAL 60 8g</t>
  </si>
  <si>
    <t xml:space="preserve">REF MAKE B PO COMP FAC HYAL 70 8g</t>
  </si>
  <si>
    <t xml:space="preserve">REF MAKE B PO COMP FAC HYAL 80 8g</t>
  </si>
  <si>
    <t xml:space="preserve">REF MAKE B PO COMP FAC HYAL 10 8g</t>
  </si>
  <si>
    <t xml:space="preserve">REF MAKE B PO COMP FAC HYAL 20 8g</t>
  </si>
  <si>
    <t xml:space="preserve">REF MAKE B PO COMP FAC HYAL 25 8g</t>
  </si>
  <si>
    <t xml:space="preserve">REF MAKE B PO COMP FAC HYAL 15 8g</t>
  </si>
  <si>
    <t xml:space="preserve">REF MAKE B PO COMP FAC HYAL 30 8g</t>
  </si>
  <si>
    <t xml:space="preserve">MAKE B PRIMER FAC HYAL 16ml</t>
  </si>
  <si>
    <t xml:space="preserve">MAKE B ESTJ PO COMP HYALURONIC</t>
  </si>
  <si>
    <t xml:space="preserve">BOTI DIFUSOR ELETRONICO ABS</t>
  </si>
  <si>
    <t xml:space="preserve">CBEM ALCOOL GEL NUVEM 30g V3</t>
  </si>
  <si>
    <t xml:space="preserve">NSPA SAB LIQ CPO MORANGO RUBY 200ml</t>
  </si>
  <si>
    <t xml:space="preserve">NSPA LOC ANTIOX DES HID CPO M/RUBY 400ml</t>
  </si>
  <si>
    <t xml:space="preserve">NSPA GEL ESF CPO MORANGO RUBY 175G</t>
  </si>
  <si>
    <t xml:space="preserve">NSPA LOC ANTIOX DES HID CPO M/RUBY 200ml</t>
  </si>
  <si>
    <t xml:space="preserve">REF NSPA LOC ANTIOX D H CPO M/RUBY 350ml</t>
  </si>
  <si>
    <t xml:space="preserve">UOMINI DES BDY SPR INFINITE 100ml</t>
  </si>
  <si>
    <t xml:space="preserve">REF UOMINI DES BDY SPR INFINIT 100ml PCK</t>
  </si>
  <si>
    <t xml:space="preserve">BOTIK SRUM ALT/POT RETINOL PURO 15ml</t>
  </si>
  <si>
    <t xml:space="preserve">BOTIK SRUM ALT/POT RETIN PURO 30ml</t>
  </si>
  <si>
    <t xml:space="preserve">BOTIK GEL CREM REDUT RUG RETIN PURO 30g</t>
  </si>
  <si>
    <t xml:space="preserve">BOTIK CR PREN RUG N/LAB RET/P LINEF 15ml</t>
  </si>
  <si>
    <t xml:space="preserve">SOPHIE BOLSA NYLON</t>
  </si>
  <si>
    <t xml:space="preserve">NSPA DES COL BDY SPLSH M/RUBY 200ml</t>
  </si>
  <si>
    <t xml:space="preserve">UOMINI DES COL INFINITE 100ml</t>
  </si>
  <si>
    <t xml:space="preserve">BOTICOLL PORTINARI SHW GEL CAB/CPO 200g</t>
  </si>
  <si>
    <t xml:space="preserve">MALBEC DES BDY SPR ULTRA BLEU 100ml</t>
  </si>
  <si>
    <t xml:space="preserve">INTENSE BAT CREM VERMELHO 350 3,8g</t>
  </si>
  <si>
    <t xml:space="preserve">INTENSE BAT CREM ROSA 280 3,8g</t>
  </si>
  <si>
    <t xml:space="preserve">INTENSE BAT CREM ROSA 227 3,8g</t>
  </si>
  <si>
    <t xml:space="preserve">INTENSE BAT BALA CREM ROSA 223 3,8g</t>
  </si>
  <si>
    <t xml:space="preserve">INTENSE BAT CREM VERMELHO 310 3,8g</t>
  </si>
  <si>
    <t xml:space="preserve">INTENSE NECESSAIRE PU S/ALC</t>
  </si>
  <si>
    <t xml:space="preserve">BOTI NECESS NYLON C/ALC</t>
  </si>
  <si>
    <t xml:space="preserve">BOTI NECESS PERFUMARIA MASC PU</t>
  </si>
  <si>
    <t xml:space="preserve">BOTI SACO ORGANIZADOR PES</t>
  </si>
  <si>
    <t xml:space="preserve">MALBEC DES COL ULT BLEU 100ml</t>
  </si>
  <si>
    <t xml:space="preserve">BOTIK ACQ GEL HID ANTIOL AC MAND/SAL 50g</t>
  </si>
  <si>
    <t xml:space="preserve">BOTIK GEL SEC P/ACNE ACID MAND/SALIC 15g</t>
  </si>
  <si>
    <t xml:space="preserve">BOTIK GEL LIMP FAC MCLR AC MAND/SAL 150g</t>
  </si>
  <si>
    <t xml:space="preserve">ESTJ FLORATTA FLOWERS SORT REG/22</t>
  </si>
  <si>
    <t xml:space="preserve">ESTJ COFFEE W/SEDUC REG/22</t>
  </si>
  <si>
    <t xml:space="preserve">ESTJ FLORATTA BLUE REG/22</t>
  </si>
  <si>
    <t xml:space="preserve">BOTIK SRUM ALT/POT ACID MAND/TRANEX 30ml</t>
  </si>
  <si>
    <t xml:space="preserve">BOTIK GEL CR UNIFOR OLH AC MAND/TRAN 15g</t>
  </si>
  <si>
    <t xml:space="preserve">BOTIK MASSAG LIMP FAC QUARTZO</t>
  </si>
  <si>
    <t xml:space="preserve">LILY PARFUM LE 30ml</t>
  </si>
  <si>
    <t xml:space="preserve">ESTJ ARBO REG/22</t>
  </si>
  <si>
    <t xml:space="preserve">INTENSE GLOS LAB BUBBALOO MORANGO 5ml</t>
  </si>
  <si>
    <t xml:space="preserve">CBEM LOC DES HID CPO BUBBALOO UVA 200ml</t>
  </si>
  <si>
    <t xml:space="preserve">CBEM LOC DES HID CPO BUBBALOO MOR 200ml</t>
  </si>
  <si>
    <t xml:space="preserve">INTENSE GLOS LAB BUBBALOO UVA 5ml</t>
  </si>
  <si>
    <t xml:space="preserve">LILY EDP LUMIERE 75ML</t>
  </si>
  <si>
    <t xml:space="preserve">LILY CREM ACET HID DES CPO LUMIERE 250g</t>
  </si>
  <si>
    <t xml:space="preserve">REF LILY CR AC HID DES CPO LUMIERE 250g</t>
  </si>
  <si>
    <t xml:space="preserve">LILY EDP LUMIER 30ml</t>
  </si>
  <si>
    <t xml:space="preserve">MATCH LEAV CAP SCIENCE RECONS 150ml</t>
  </si>
  <si>
    <t xml:space="preserve">MATCH AMP CAP SCIENCE RECONS 15ml</t>
  </si>
  <si>
    <t xml:space="preserve">MATCH MASC CAP SCIENCE RECONS 250g</t>
  </si>
  <si>
    <t xml:space="preserve">MATCH SHAMP SCIENCE RECONS 250ml</t>
  </si>
  <si>
    <t xml:space="preserve">MATCH COND SCIENCE RECONS 250ml</t>
  </si>
  <si>
    <t xml:space="preserve">REF BOTIK CR FAC FIRM AC/HIALUR 40g</t>
  </si>
  <si>
    <t xml:space="preserve">BOTIK GEL CR FAC FIRM AC/HIALUR 40g</t>
  </si>
  <si>
    <t xml:space="preserve">REF BOTIK GEL CR FAC FIRM AC/HIAL 40g V2</t>
  </si>
  <si>
    <t xml:space="preserve">BOTIK CR FAC FIRMADOR AC/HIAL 40g V2</t>
  </si>
  <si>
    <t xml:space="preserve">MA CHERIE DES COL 100ml V6</t>
  </si>
  <si>
    <t xml:space="preserve">MA CHERIE</t>
  </si>
  <si>
    <t xml:space="preserve">MA CHERIE LOC DESC HID CPO 200ml</t>
  </si>
  <si>
    <t xml:space="preserve">ESTJ CBEM NUVEM REG/22</t>
  </si>
  <si>
    <t xml:space="preserve">ESTJ NSPA AMEIXA REG/22</t>
  </si>
  <si>
    <t xml:space="preserve">ESTJ BOTICOLL SORTIDO REG/22</t>
  </si>
  <si>
    <t xml:space="preserve">ARBO NECESS LONA</t>
  </si>
  <si>
    <t xml:space="preserve">ARBO DES COL FOREST 100ml</t>
  </si>
  <si>
    <t xml:space="preserve">ARBO DES SPR FOREST 100ml</t>
  </si>
  <si>
    <t xml:space="preserve">REF ARBO DES SPR FOREST 100ml</t>
  </si>
  <si>
    <t xml:space="preserve">REF ARBO DES COL FOREST 100ml</t>
  </si>
  <si>
    <t xml:space="preserve">ESTJ NSPA 3 AMEIXAS REG/22</t>
  </si>
  <si>
    <t xml:space="preserve">ESTJ CBEM M/LEI REG/22</t>
  </si>
  <si>
    <t xml:space="preserve">REF ARBO DES COL 100ml</t>
  </si>
  <si>
    <t xml:space="preserve">REF CELEBRE DES COL FOUG AROM FORC 100ml</t>
  </si>
  <si>
    <t xml:space="preserve">REF CELEBRE DES COL FLOR FRUT FORC 100ml</t>
  </si>
  <si>
    <t xml:space="preserve">MAKE B BAS LIQ MATE SALICYLIC 150 30g</t>
  </si>
  <si>
    <t xml:space="preserve">MAKE B BAS LIQ MATE SALICYLIC 120 30g</t>
  </si>
  <si>
    <t xml:space="preserve">MAKE B BAS LIQ MATE SALICYLIC 100 30g</t>
  </si>
  <si>
    <t xml:space="preserve">MAKE B BAS LIQ MATE SALICYLIC 220 30g</t>
  </si>
  <si>
    <t xml:space="preserve">MAKE B BAS LIQ MATE SALICYLIC 190 30g</t>
  </si>
  <si>
    <t xml:space="preserve">MAKE B BAS LIQ MATE SALICYLIC 180 30g</t>
  </si>
  <si>
    <t xml:space="preserve">MAKE B BAS LIQ MATE SALICYLIC 200 30g</t>
  </si>
  <si>
    <t xml:space="preserve">MAKE B BAS LIQ MATE SALICYLIC 320 30g</t>
  </si>
  <si>
    <t xml:space="preserve">MAKE B BAS LIQ MATE SALICYLIC 290 30g</t>
  </si>
  <si>
    <t xml:space="preserve">MAKE B BAS LIQ MATE SALICYLIC 330 30g</t>
  </si>
  <si>
    <t xml:space="preserve">MAKE B MALET MAQUIAGEM C/ALC PU</t>
  </si>
  <si>
    <t xml:space="preserve">MALBEC SHAMP TRAT ANTICASPA CLUB 250ml</t>
  </si>
  <si>
    <t xml:space="preserve">MALBEC POMAD MODEL CAP ANTICASP CLUB 85g</t>
  </si>
  <si>
    <t xml:space="preserve">MALBEC COND TRAT ANTICASPA CLUB 250ml</t>
  </si>
  <si>
    <t xml:space="preserve">QUASAR NEXT COL 50ml V2</t>
  </si>
  <si>
    <t xml:space="preserve">SOPHIE PANTERA NEGRA PENT GARFO ABS</t>
  </si>
  <si>
    <t xml:space="preserve">CBEM MASC CAP HIDRATACAO NUVEM 250ml</t>
  </si>
  <si>
    <t xml:space="preserve">QUASAR DES ANTIT AEROSOL 250ml</t>
  </si>
  <si>
    <t xml:space="preserve">FLORATTA DES ANTIT AEROSOL BLUE 250ml</t>
  </si>
  <si>
    <t xml:space="preserve">MAKE B PEDRA VULCANICA ABSORV OL</t>
  </si>
  <si>
    <t xml:space="preserve">MAKE B BAS LIQ MATE SALICYLIC 110 30g</t>
  </si>
  <si>
    <t xml:space="preserve">MAKE B BAS LIQ MATE SALICYLIC 130 30g</t>
  </si>
  <si>
    <t xml:space="preserve">MAKE B BAS LIQ MATE SALICYLIC 140 30g</t>
  </si>
  <si>
    <t xml:space="preserve">MAKE B BAS LIQ MATE SALICYLIC 160 30g</t>
  </si>
  <si>
    <t xml:space="preserve">MAKE B BAS LIQ MATE SALICYLIC 170 30g</t>
  </si>
  <si>
    <t xml:space="preserve">MAKE B BAS LIQ MATE SALICYLIC 210 30g</t>
  </si>
  <si>
    <t xml:space="preserve">MAKE B BAS LIQ MATE SALICYLIC 230 30g</t>
  </si>
  <si>
    <t xml:space="preserve">MAKE B BAS LIQ MATE SALICYLIC 240 30g</t>
  </si>
  <si>
    <t xml:space="preserve">MAKE B BAS LIQ MATE SALICYLIC 250 30g</t>
  </si>
  <si>
    <t xml:space="preserve">MAKE B BAS LIQ MATE SALICYLIC 260 30g</t>
  </si>
  <si>
    <t xml:space="preserve">MAKE B BAS LIQ MATE SALICYLIC 270 30g</t>
  </si>
  <si>
    <t xml:space="preserve">MAKE B BAS LIQ MATE SALICYLIC 280 30g</t>
  </si>
  <si>
    <t xml:space="preserve">MAKE B BAS LIQ MATE SALICYLIC 300 30g</t>
  </si>
  <si>
    <t xml:space="preserve">MAKE B BAS LIQ MATE SALICYLIC 310 30g</t>
  </si>
  <si>
    <t xml:space="preserve">CBEM SHAMP HIDRATACAO NUVEM 250ml</t>
  </si>
  <si>
    <t xml:space="preserve">CBEM SHAMP REST BEIJINHO 250ml</t>
  </si>
  <si>
    <t xml:space="preserve">CBEM COND HIDRATACAO NUVEM 250ml</t>
  </si>
  <si>
    <t xml:space="preserve">CBEM COND REST BEIJINHO 250ml</t>
  </si>
  <si>
    <t xml:space="preserve">CBEM MASC REST CAP BEIJINHO 250ml</t>
  </si>
  <si>
    <t xml:space="preserve">MAKE B PRIMER FAC ANTIOL SALICYLIC 30g</t>
  </si>
  <si>
    <t xml:space="preserve">REF MAKE B BAT MATE C/AC POL R/FAB 4,0g</t>
  </si>
  <si>
    <t xml:space="preserve">REF MAKE B BAT GLOSS C/AC POL ROSE 3,6g</t>
  </si>
  <si>
    <t xml:space="preserve">MAKE B BAT CREM C/AC POLIG REV BRW 3,6g</t>
  </si>
  <si>
    <t xml:space="preserve">MAKE B BAT CREM C/AC POL ROSA CASH 3,6g</t>
  </si>
  <si>
    <t xml:space="preserve">MAKE B BAT CREM C/AC POL NUD MALVA 3,6g</t>
  </si>
  <si>
    <t xml:space="preserve">MAKE B BAT CREM C/AC POL REVOL RED 3,6g</t>
  </si>
  <si>
    <t xml:space="preserve">MAKE B BAT CREM C/AC POL SOFT NUD 3,6g</t>
  </si>
  <si>
    <t xml:space="preserve">MAKE B BAT CREM C/AC POL WATERMELON 3,6g</t>
  </si>
  <si>
    <t xml:space="preserve">MAKE B BAT CREM C/AC POL FASH BERR 3,6g</t>
  </si>
  <si>
    <t xml:space="preserve">MAKE B BAT MATE C/AC POLIGL RED SUPR 4g</t>
  </si>
  <si>
    <t xml:space="preserve">MAKE B BAT MATE C/AC POLIG ORANGE FEV 4g</t>
  </si>
  <si>
    <t xml:space="preserve">MAKE B BAT MATE C/AC POLIGL VIOLET 4g</t>
  </si>
  <si>
    <t xml:space="preserve">MAKE B BAT MATE C/AC POLIGL HOT BROWN 4g</t>
  </si>
  <si>
    <t xml:space="preserve">MAKE B BAT MATE C/AC POLIGL ROS FABUL 4g</t>
  </si>
  <si>
    <t xml:space="preserve">MAKE B BAT GLOSS C/AC POLIGL NUDE 3,6g</t>
  </si>
  <si>
    <t xml:space="preserve">MAKE B BAT GLOSS C/AC POLIGL ROSE 3,6g</t>
  </si>
  <si>
    <t xml:space="preserve">MAKE B BAT GLOSS C/AC POLIGL WINE 3,6g</t>
  </si>
  <si>
    <t xml:space="preserve">REF MAKE B BAT CR C/AC POL REV RED 3,6g</t>
  </si>
  <si>
    <t xml:space="preserve">REF MAKE B BAT CR C/AC POL ROS CASH 3,6g</t>
  </si>
  <si>
    <t xml:space="preserve">REF MAKE B BAT GLOSSY C/AC POL WINE 3,6g</t>
  </si>
  <si>
    <t xml:space="preserve">REF MAKE B BAT CR C/AC POL SOFT NUD 3,6g</t>
  </si>
  <si>
    <t xml:space="preserve">REF MAKE B BAT MATE C/AC POL HOT BROW 4g</t>
  </si>
  <si>
    <t xml:space="preserve">ESTJ MALBEC CLUB REG/22</t>
  </si>
  <si>
    <t xml:space="preserve">BOTI GARRAFA AGUA RPET</t>
  </si>
  <si>
    <t xml:space="preserve">GLAMOUR SAB LIQ CPO FEVER 200ml</t>
  </si>
  <si>
    <t xml:space="preserve">BOTI BABY LOC HID CPO NAN/NEN 150ml</t>
  </si>
  <si>
    <t xml:space="preserve">BOTICA 214 CR DES HID CP DARK MINT 200ml</t>
  </si>
  <si>
    <t xml:space="preserve">GLAMOUR CR DES HID CPO FEVER 200ml</t>
  </si>
  <si>
    <t xml:space="preserve">MAKE B BAT ST/PREN HYAL RED/CLAS 3,4g V2</t>
  </si>
  <si>
    <t xml:space="preserve">MAKE B BAT ST/PREN HYAL NUD CHIC 3,4g V2</t>
  </si>
  <si>
    <t xml:space="preserve">MAKE B BAT ST/PREN HYAL ROS BLUS 3,4g V2</t>
  </si>
  <si>
    <t xml:space="preserve">MAKE B BAT ST/PREN HYAL CANDY TOFEE 3,4G</t>
  </si>
  <si>
    <t xml:space="preserve">MAKE B PLT MULTIF NAT/22 43,2g</t>
  </si>
  <si>
    <t xml:space="preserve">NSPA OL MULTIF AMEIXA 85ml</t>
  </si>
  <si>
    <t xml:space="preserve">NSPA OL MULTIF AMEIXA NEGRA 85ml</t>
  </si>
  <si>
    <t xml:space="preserve">NSPA OL MULTIF QUINOA 85ml</t>
  </si>
  <si>
    <t xml:space="preserve">O BOTI FRASQ OFF WHITE VDA</t>
  </si>
  <si>
    <t xml:space="preserve">BOTI NECESS DOURADA/ROSE PES</t>
  </si>
  <si>
    <t xml:space="preserve">BOTI BABY COL NAN/NEN 100ml</t>
  </si>
  <si>
    <t xml:space="preserve">REF GLAMOUR DES COL 75ml</t>
  </si>
  <si>
    <t xml:space="preserve">REF GLAMOUR DES COL SEC BL 75ml</t>
  </si>
  <si>
    <t xml:space="preserve">ZAAD EDP EXPEDITION 95ml</t>
  </si>
  <si>
    <t xml:space="preserve">BOTI SUN PROT SOL CPO FPS 30 200g</t>
  </si>
  <si>
    <t>BOTISUN</t>
  </si>
  <si>
    <t xml:space="preserve">BOTI SUN PROT CPO FPS 50 200g</t>
  </si>
  <si>
    <t xml:space="preserve">BOTI SUN PROT CPO FPS 70 200g</t>
  </si>
  <si>
    <t xml:space="preserve">BOTI SUN PROT CPO SPR ACQ/FL FPS50 180ml</t>
  </si>
  <si>
    <t xml:space="preserve">BOTI SUN PR FAC ANTIOL ACQ FL FPS30 40ml</t>
  </si>
  <si>
    <t xml:space="preserve">BOTI SUN PROT FAC ANTIOL A/FL FPS70 40ml</t>
  </si>
  <si>
    <t xml:space="preserve">BOTI SUN PR FAC ANTIS ACQ FLD FPS30 40ml</t>
  </si>
  <si>
    <t xml:space="preserve">BOTI SUN PR FAC ANTIS ACQ FLD FPS70 40ml</t>
  </si>
  <si>
    <t xml:space="preserve">BOTI BABY SAB LIQ CAB/PES NAN/NEN 200ml</t>
  </si>
  <si>
    <t xml:space="preserve">LILY GELEIA DES HID CORPORAL GLOW 250g</t>
  </si>
  <si>
    <t xml:space="preserve">MAKE B NECESS POMPOM PU</t>
  </si>
  <si>
    <t xml:space="preserve">CBEM AROMAT DE AMB NETFLIX 60ml</t>
  </si>
  <si>
    <t xml:space="preserve">MALBEC DES ANTIT AER 75g/125ml V10</t>
  </si>
  <si>
    <t xml:space="preserve">FLORATTA EDP FLEUR D ECLIPSE 75ml</t>
  </si>
  <si>
    <t xml:space="preserve">FLORATTA LOC DES HID CPO FL/D ECLIP 200g</t>
  </si>
  <si>
    <t xml:space="preserve">ESTJ DEM LILY ESSENCE 4x4ml</t>
  </si>
  <si>
    <t xml:space="preserve">INTENSE BAT MATE MIMO POP VERM 3,8g</t>
  </si>
  <si>
    <t xml:space="preserve">INTENSE BAT CREM MIMO POP ROSA 250 3,8g</t>
  </si>
  <si>
    <t xml:space="preserve">INTENSE BAT CREM MIMO POP NUDE 330 3,8g</t>
  </si>
  <si>
    <t xml:space="preserve">EGEO DES COL SEX EDUCATION 90ml</t>
  </si>
  <si>
    <t xml:space="preserve">NSPA OL MULTIF ROSE 85ml</t>
  </si>
  <si>
    <t xml:space="preserve">NSPA OL CPO JASMIM SAMBAC 85ml</t>
  </si>
  <si>
    <t xml:space="preserve">FLORATTA DES COL BDY SPLSH RED 200ml</t>
  </si>
  <si>
    <t xml:space="preserve">REF NSPA SHAMP AMEI 250ml</t>
  </si>
  <si>
    <t xml:space="preserve">REF NSPA COND AMEI 250ml</t>
  </si>
  <si>
    <t xml:space="preserve">REF NSPA COND ROSE 250ml</t>
  </si>
  <si>
    <t xml:space="preserve">EGEO DES COL CHOC MINT 90ml</t>
  </si>
  <si>
    <t xml:space="preserve">EGEO DES COL CHOC BERRY 90ml</t>
  </si>
  <si>
    <t xml:space="preserve">ARBO DES COL INT 100ml</t>
  </si>
  <si>
    <t xml:space="preserve">REF ARBO DES COL INT 100ml</t>
  </si>
  <si>
    <t xml:space="preserve">ARBO DES BDY SPR INTENSO 100ml</t>
  </si>
  <si>
    <t xml:space="preserve">CBEM LOC DES HID CPO CER LIVRE 400ml</t>
  </si>
  <si>
    <t xml:space="preserve">CBEM LOC DES HID CPO CER LIVRE 200ml</t>
  </si>
  <si>
    <t xml:space="preserve">CBEM SPR INT CER LIVRE 75ml/45g</t>
  </si>
  <si>
    <t xml:space="preserve">CBEM SAB LIQ INT CER LIVRE 200ml</t>
  </si>
  <si>
    <t xml:space="preserve">CBEM SAB BARR CPO CER LIVRE 2x80g</t>
  </si>
  <si>
    <t xml:space="preserve">CBEM CR HID INT CER LIVRE 100ml</t>
  </si>
  <si>
    <t xml:space="preserve">ESTJ GLAMOUR SEC BL REG/22</t>
  </si>
  <si>
    <t xml:space="preserve">FLORATTA DES COL RED BLOSSOM 75ml</t>
  </si>
  <si>
    <t xml:space="preserve">MAKE B BAT LIQ MAT C/AC POLIG ULT/BR 5ml</t>
  </si>
  <si>
    <t xml:space="preserve">MAKE B BAT LIQ MAT C/AC POLIG D/ROUG 5ml</t>
  </si>
  <si>
    <t xml:space="preserve">MAKE B GLOS LAB C/AC POLIG ROS/LOVER 5ml</t>
  </si>
  <si>
    <t xml:space="preserve">MAKE B BAT LIQ MAT C/AC POLIG W/CASH 5ml</t>
  </si>
  <si>
    <t xml:space="preserve">MAKE B BAT LIQ MAT C/AC POLIG EX/ROS 5ml</t>
  </si>
  <si>
    <t xml:space="preserve">MAKE B BAT LIQ DIAM C/AC POL LUXURY 5ml</t>
  </si>
  <si>
    <t xml:space="preserve">MAKE B BAT LIQ MAT C/AC POLIG G/BERR 5ml</t>
  </si>
  <si>
    <t xml:space="preserve">MAKE B BAT LIQ MAT C/AC POLIG DP/ROS 5ml</t>
  </si>
  <si>
    <t xml:space="preserve">MAKE B GLOS LAB C/AC POLIG CRYST/ICO 5ml</t>
  </si>
  <si>
    <t xml:space="preserve">MAKE B BAT LIQ MAT C/AC POLIG BR/WIN 5ml</t>
  </si>
  <si>
    <t xml:space="preserve">MAKE B BAT LIQ MAT C/AC POLIG RED/BO 5ml</t>
  </si>
  <si>
    <t xml:space="preserve">MAKE B GLOS LAB C/AC POL SOFT SILK 5ml</t>
  </si>
  <si>
    <t xml:space="preserve">MAKE B BAT LIQ DIAM C/AC POL PLAT 5ml</t>
  </si>
  <si>
    <t xml:space="preserve">MAKE B BAT LIQ DIAM C/AC POLIG GLOW 5ml</t>
  </si>
  <si>
    <t xml:space="preserve">REF NSPA SHAMP CAVIAR 250ml</t>
  </si>
  <si>
    <t xml:space="preserve">REF NSPA COND CAVIAR 250ml</t>
  </si>
  <si>
    <t xml:space="preserve">REF ELYSEE CR DES HID ACET CP BLANC 200g</t>
  </si>
  <si>
    <t xml:space="preserve">REF ELYSEE CR DES HID ACET CPO 200g</t>
  </si>
  <si>
    <t xml:space="preserve">MAKE B GLOS LAB C/AC POLIGL N/ROSE 5ml</t>
  </si>
  <si>
    <t xml:space="preserve">FLORATTA RED NECESS PES</t>
  </si>
  <si>
    <t xml:space="preserve">NSPA COND CVR 300ml V3</t>
  </si>
  <si>
    <t xml:space="preserve">NSPA SHAMP CVR 300ml V4</t>
  </si>
  <si>
    <t xml:space="preserve">ESTJ CBEM OBRIGADA/22</t>
  </si>
  <si>
    <t xml:space="preserve">INTENSE BAT CREM POP BEGE AMEND 3,6g</t>
  </si>
  <si>
    <t xml:space="preserve">INTENSE BAT CREM POP ROSA 3,6g</t>
  </si>
  <si>
    <t xml:space="preserve">INTENSE BAT CREM POP MAGENTA 3,6g</t>
  </si>
  <si>
    <t xml:space="preserve">INTENSE BAT MATE POP BEGE CAST 4,0g</t>
  </si>
  <si>
    <t xml:space="preserve">INTENSE BAT MATE POP VERMELHO 4,0g</t>
  </si>
  <si>
    <t xml:space="preserve">INTENSE BAT MATE POP ROSA TELHA 4,0g</t>
  </si>
  <si>
    <t xml:space="preserve">INTENSE BAS LIQ MATE CAMUFL POP 100 20ml</t>
  </si>
  <si>
    <t xml:space="preserve">INTENSE BAS LIQ MATE CAMUFL POP 120 20ml</t>
  </si>
  <si>
    <t xml:space="preserve">INTENSE BAS LIQ MATE CAMUFL POP 140 20ml</t>
  </si>
  <si>
    <t xml:space="preserve">INTENSE BAS LIQ MATE CAMUFL POP 160 20ml</t>
  </si>
  <si>
    <t xml:space="preserve">INTENSE BAS LIQ MATE CAMUFL POP 190 20ml</t>
  </si>
  <si>
    <t xml:space="preserve">INTENSE BAS LIQ MATE CAMUFL POP 210 20ml</t>
  </si>
  <si>
    <t xml:space="preserve">INTENSE BAS LIQ MATE CAMUFL POP 230 20ml</t>
  </si>
  <si>
    <t xml:space="preserve">INTENSE BAS LIQ MATE CAMUFL POP 240 20ml</t>
  </si>
  <si>
    <t xml:space="preserve">INTENSE BAS LIQ MATE CAMUFL POP 260 20ml</t>
  </si>
  <si>
    <t xml:space="preserve">INTENSE BAS LIQ MATE CAMUFL POP 300 20ml</t>
  </si>
  <si>
    <t xml:space="preserve">INTENSE BAS LIQ MATE CAMUFL POP 320 20ml</t>
  </si>
  <si>
    <t xml:space="preserve">INTENSE BAS LIQ MATE CAMUFL POP 330 20ml</t>
  </si>
  <si>
    <t xml:space="preserve">INTENSE LAP P/OLHO POP PRETO 1,1g</t>
  </si>
  <si>
    <t xml:space="preserve">MATCH LEAV CAP SCIENCE CRESC 150ml</t>
  </si>
  <si>
    <t xml:space="preserve">MATCH MASC CAP SCIENCE CRESC 250g</t>
  </si>
  <si>
    <t xml:space="preserve">INTENSE MASC P/CILIO POP PRETO 10g</t>
  </si>
  <si>
    <t xml:space="preserve">MALBEC DES ANTIT AER X 125ml</t>
  </si>
  <si>
    <t xml:space="preserve">MATCH SHAMP SCIENCE CRESC 250ml</t>
  </si>
  <si>
    <t xml:space="preserve">MATCH COND SCIENCE CRESC 250ml</t>
  </si>
  <si>
    <t xml:space="preserve">MATCH TON CAP SCIENCE CRESC 65ml</t>
  </si>
  <si>
    <t xml:space="preserve">REF NSPA LOC DES HID CPO ORQ NOIRE 350ml</t>
  </si>
  <si>
    <t xml:space="preserve">NSPA LOC DES HID CPO ORQ NOIRE 400ml</t>
  </si>
  <si>
    <t xml:space="preserve">NSPA LOC DES HID CPO ORQ NOIRE 200ml</t>
  </si>
  <si>
    <t xml:space="preserve">NSPA SAB ESF CPO ORQ NOIRE 175ml</t>
  </si>
  <si>
    <t xml:space="preserve">NSPA CREM MASSAGEM ORQ NOIRE 200g</t>
  </si>
  <si>
    <t xml:space="preserve">INTENSE HID LAB BY CUID PESSG CORAL 6,2g</t>
  </si>
  <si>
    <t xml:space="preserve">INTENSE HID LAB BY CUID L/MEL INC 6,2g</t>
  </si>
  <si>
    <t xml:space="preserve">INTENSE HID LAB BY CUID DEL ROS/NUD 6,2g</t>
  </si>
  <si>
    <t xml:space="preserve">INTENSE HID LAB BY CUID CER/L CER/V 6,2g</t>
  </si>
  <si>
    <t xml:space="preserve">NSPA OL DES HID CPO ORQ NOIRE 200ml</t>
  </si>
  <si>
    <t xml:space="preserve">NSPA SRUM CPO ORQ NOIRE 30ml</t>
  </si>
  <si>
    <t xml:space="preserve">MA CHERIE DES COL JEANS 100ml</t>
  </si>
  <si>
    <t xml:space="preserve">MA CHERIE DES COL AMIE 100ml</t>
  </si>
  <si>
    <t xml:space="preserve">MA CHERIE LOC DES HID CPO AMIE 200ml</t>
  </si>
  <si>
    <t xml:space="preserve">MA CHERIE LOC DES HID CPO JEANS 200ml</t>
  </si>
  <si>
    <t xml:space="preserve">NSPA BAS P/ SOLIDOS PP</t>
  </si>
  <si>
    <t xml:space="preserve">NSPA COND SOLIDO 75g</t>
  </si>
  <si>
    <t xml:space="preserve">LINDA LOC DES HID CPO IRRESISTIVEL 200ml</t>
  </si>
  <si>
    <t xml:space="preserve">BOTIK BALM LAB HID AC/HIALUR 3,2g</t>
  </si>
  <si>
    <t xml:space="preserve">BOTIK GEL HID FORT FAC AC/HIALUR 50g</t>
  </si>
  <si>
    <t xml:space="preserve">BOTIK FLD MULTIPR FAC AC/HIAL FPS50 30ml</t>
  </si>
  <si>
    <t xml:space="preserve">BOTI NECESS PES MAES/23</t>
  </si>
  <si>
    <t xml:space="preserve">NSPA DES COL BDY SPLSH ORQ NOIRE 200ml</t>
  </si>
  <si>
    <t xml:space="preserve">LINDA DES COL IRRESISTIVEL 100ml</t>
  </si>
  <si>
    <t xml:space="preserve">NSPA SHAMP SLD AMEI 90g</t>
  </si>
  <si>
    <t xml:space="preserve">LIZ LOC DES ILUM CPO 200ml</t>
  </si>
  <si>
    <t xml:space="preserve">CBEM DES ANTIT AER PROTECT/BTY 90g/150ml</t>
  </si>
  <si>
    <t xml:space="preserve">CBEM DES ANTIT ROLL PROTECT/BEAUTY 55ml</t>
  </si>
  <si>
    <t xml:space="preserve">CBEM DES ANT AER CLIN ULT/PROT 90g/150ml</t>
  </si>
  <si>
    <t xml:space="preserve">CBEM DES ANTIT CR CLIN ULTRA PROTECT 50g</t>
  </si>
  <si>
    <t xml:space="preserve">MEN DES ANT AER CLIN ULTR/PROT 90g/150ml</t>
  </si>
  <si>
    <t xml:space="preserve">MEN DES ANTIT AER COOL PROTECT 90g/150ml</t>
  </si>
  <si>
    <t xml:space="preserve">MEN DES ANTIT CR CLIN ULTRA PROTECT 50g</t>
  </si>
  <si>
    <t xml:space="preserve">ZAAD DES ANTIT AER ARTIC 75g</t>
  </si>
  <si>
    <t xml:space="preserve">ESTJ GLAMOUR FEVER AMOR/23</t>
  </si>
  <si>
    <t xml:space="preserve">ESTJ NSPA MORANGO RUBY AMOR/23</t>
  </si>
  <si>
    <t xml:space="preserve">ESTJ CELEBRE MASC AMOR/23</t>
  </si>
  <si>
    <t xml:space="preserve">MAKE B DELIN LIQ P/OLH PRETO V2 5ml</t>
  </si>
  <si>
    <t xml:space="preserve">MAKE B MASC CILIO POSTICOS PRETA 10g V3</t>
  </si>
  <si>
    <t xml:space="preserve">MAKE B MASC CIL VOL EXTRM PRETA V2 10g</t>
  </si>
  <si>
    <t xml:space="preserve">MAKE B MASC CIL SCANDAL L C/OL COCO 10g</t>
  </si>
  <si>
    <t xml:space="preserve">MAKE B MASC CIL EXP/EF C/NAN AC/HIAL 10g</t>
  </si>
  <si>
    <t xml:space="preserve">MAKE B MASC CILIO 4K PANORAMIC 10g V2</t>
  </si>
  <si>
    <t xml:space="preserve">MAKE B MASC GEL P/SOBRANC BROW LAMIN 4g</t>
  </si>
  <si>
    <t xml:space="preserve">CELEBRE SHW GEL CAB/CPO FORCA 200g</t>
  </si>
  <si>
    <t xml:space="preserve">BOTI NECESS HOLOGRAFICA PU</t>
  </si>
  <si>
    <t xml:space="preserve">ZAAD EDP ARTIC 95ml</t>
  </si>
  <si>
    <t xml:space="preserve">CBEM COND FEIRA BANANA 170ml</t>
  </si>
  <si>
    <t xml:space="preserve">NSPA COND M/ARG V2 300ml</t>
  </si>
  <si>
    <t xml:space="preserve">COFFEE LOC DES H CPO WOM SEDUC TCH 200ml</t>
  </si>
  <si>
    <t xml:space="preserve">CBEM DES ANTIT AER INV PROTECT 90g/150ml</t>
  </si>
  <si>
    <t xml:space="preserve">CBEM DES ROLL INV PROTECT 55ml</t>
  </si>
  <si>
    <t xml:space="preserve">CBEM DES ANTIT AER S/ALUM 90g/150ml</t>
  </si>
  <si>
    <t xml:space="preserve">CBEM DES ROLL S/ALUM 55ml</t>
  </si>
  <si>
    <t xml:space="preserve">MEN DES ANTIT AER INV PROTECT 90g/150ml</t>
  </si>
  <si>
    <t xml:space="preserve">COFFEE DES ANTIT AER MAN SEDUC TCH 125ml</t>
  </si>
  <si>
    <t xml:space="preserve">ESTJ NSPA SORTIDO PRESENTEAVEL</t>
  </si>
  <si>
    <t xml:space="preserve">BOTI NECESS AMOR 23 PES</t>
  </si>
  <si>
    <t xml:space="preserve">COFFEE DES COL WOM SEDUC TOUCH 100ml</t>
  </si>
  <si>
    <t xml:space="preserve">COFFEE DES COL MAN SEDUC TOUCH 100ml</t>
  </si>
  <si>
    <t xml:space="preserve">NSPA SHAMP M/ARG V2 300ml</t>
  </si>
  <si>
    <t xml:space="preserve">CBEM MASC CAP SCH FEIRA BANANA 30ml</t>
  </si>
  <si>
    <t xml:space="preserve">CBEM MASC CAP SCH FEIRA PASTA ABAC 30ml</t>
  </si>
  <si>
    <t xml:space="preserve">NSPA MASC CAP M/ARG V7 200g</t>
  </si>
  <si>
    <t xml:space="preserve">LILY OL PRODIG ACET MULTIF 50ml</t>
  </si>
  <si>
    <t xml:space="preserve">LILY CR HID MAO 50g</t>
  </si>
  <si>
    <t xml:space="preserve">LILY SHAMP ACET 250ml</t>
  </si>
  <si>
    <t xml:space="preserve">LILY SAB LIQ CPO 250ml</t>
  </si>
  <si>
    <t xml:space="preserve">LILY COND ACET 250ml</t>
  </si>
  <si>
    <t xml:space="preserve">LILY SERUM LEAVE CAP ACET 100ml</t>
  </si>
  <si>
    <t xml:space="preserve">MAKE B BLUSH PO C/A POLIG BERRY 5,5g</t>
  </si>
  <si>
    <t xml:space="preserve">MAKE B BLUSH PO C/AC POLIG CORAL 5,5g</t>
  </si>
  <si>
    <t xml:space="preserve">MAKE B BLUSH PO C/AC POLIG ROSE 5,5g</t>
  </si>
  <si>
    <t xml:space="preserve">MAKE B BLUSH PO C/AC POLIG BROWN 5,5g</t>
  </si>
  <si>
    <t xml:space="preserve">MAKE B BALM LAB MICRO TINT ROSEWAT 3,6g</t>
  </si>
  <si>
    <t xml:space="preserve">MAKE B BALM LAB MICR TINT GRAP WINE 3,6g</t>
  </si>
  <si>
    <t xml:space="preserve">MAKE B BAS LIQ C/ GLYC TX 130 30g</t>
  </si>
  <si>
    <t xml:space="preserve">MAKE B BAS LIQ C/ GLYC TX  210 30g</t>
  </si>
  <si>
    <t xml:space="preserve">MAKE B BAS LIQ C/ GLYCOLIC TX 300 30g</t>
  </si>
  <si>
    <t xml:space="preserve">MAKE B BAS LIQ C/ GLYC TX  190 30g</t>
  </si>
  <si>
    <t xml:space="preserve">MAKE B BAS LIQ C/ GLYCOLIC TX 120 30g</t>
  </si>
  <si>
    <t xml:space="preserve">MAKE B BAS LIQ C/ GLYC TX 260 30g</t>
  </si>
  <si>
    <t xml:space="preserve">MAKE B BAS LIQ C/ GLYC TX 270 30g</t>
  </si>
  <si>
    <t xml:space="preserve">MAKE B BAS LIQ C/ GLYC TX 180 30g</t>
  </si>
  <si>
    <t xml:space="preserve">MAKE B BAS LIQ C/ GLYC TX  230 30g</t>
  </si>
  <si>
    <t xml:space="preserve">MAKE B BAS LIQ C/ GLYC TX 100 30g</t>
  </si>
  <si>
    <t xml:space="preserve">MAKE B BAS LIQ C/ GLYC TX 140 30g</t>
  </si>
  <si>
    <t xml:space="preserve">MAKE B BAS LIQ C/ GLYC TX 220 30g</t>
  </si>
  <si>
    <t xml:space="preserve">MAKE B BAS LIQ C/ GLYCOLIC TX 320 30g</t>
  </si>
  <si>
    <t xml:space="preserve">MAKE B BAS LIQ C/ GLYC TX  330 30G</t>
  </si>
  <si>
    <t xml:space="preserve">CELEBRE DES COL FEM AGORA 100ml</t>
  </si>
  <si>
    <t xml:space="preserve">CELEBRE LOC DES HID CPO AGORA 200ml</t>
  </si>
  <si>
    <t xml:space="preserve">CELEBRE DES COL MASC AGORA 100ml</t>
  </si>
  <si>
    <t xml:space="preserve">CELEBRE DES ANTIT ROLL MASC AGORA 55ml</t>
  </si>
  <si>
    <t xml:space="preserve">MAKE B ESPONJA MAQ PU</t>
  </si>
  <si>
    <t xml:space="preserve">LILY CREM ACET BANHO 250ml</t>
  </si>
  <si>
    <t xml:space="preserve">LINDA DES COL V4 100ml</t>
  </si>
  <si>
    <t xml:space="preserve">LINDA DES ANTIT AEROSOL V8 75g</t>
  </si>
  <si>
    <t xml:space="preserve">LINDA DES COL FELICIDADE V2 100ml</t>
  </si>
  <si>
    <t xml:space="preserve">LINDA LOC DES HID CPO REG 200ml v2</t>
  </si>
  <si>
    <t xml:space="preserve">MATCH COND NUTR REGENERADORA 280ml</t>
  </si>
  <si>
    <t xml:space="preserve">MATCH COND HIDRATACAO ANTIF 280ml</t>
  </si>
  <si>
    <t xml:space="preserve">MATCH COND NUTR PROF 280ml</t>
  </si>
  <si>
    <t xml:space="preserve">MATCH COND LOIRO REPARADO 280ml</t>
  </si>
  <si>
    <t xml:space="preserve">MATCH COND LISO PROLONGADO 280ml</t>
  </si>
  <si>
    <t xml:space="preserve">MATCH COND HIDRATACAO E BRLH 280ml</t>
  </si>
  <si>
    <t xml:space="preserve">MATCH COND OL CONTROLADA 280ml</t>
  </si>
  <si>
    <t xml:space="preserve">CBEM SAB LIQ DES CPO BISC/BOLACH 150ml</t>
  </si>
  <si>
    <t xml:space="preserve">CBEM CREM HID MAOS BISC/BOLACH 25g</t>
  </si>
  <si>
    <t xml:space="preserve">CBEM LOC DES HID CPO BISC/BOLACH 200ml</t>
  </si>
  <si>
    <t xml:space="preserve">CBEM LOC DES HID CPO BISC/BOLACH 400ml</t>
  </si>
  <si>
    <t xml:space="preserve">REF CBEM LOC DES HID CPO CER LIVRE 350ml</t>
  </si>
  <si>
    <t xml:space="preserve">GLAMOUR DES BDY SPR MIDNIGHT 100ml</t>
  </si>
  <si>
    <t xml:space="preserve">ESTJ MALBEC PAIS/23</t>
  </si>
  <si>
    <t xml:space="preserve">ESTJ COFFEE MAN PAIS/23</t>
  </si>
  <si>
    <t xml:space="preserve">ESTJ BOTICOLL CONNEXION PAIS/23</t>
  </si>
  <si>
    <t xml:space="preserve">ESTJ UOMINI PAIS/23</t>
  </si>
  <si>
    <t xml:space="preserve">ESTJ QUASAR PAIS/23</t>
  </si>
  <si>
    <t xml:space="preserve">ESTJ MALBEC PREMIUM PAIS/23</t>
  </si>
  <si>
    <t xml:space="preserve">MATCH LEAVE IN 150ml</t>
  </si>
  <si>
    <t xml:space="preserve">MATCH OL BIF NUTR REGENERADORA 90ml</t>
  </si>
  <si>
    <t xml:space="preserve">MATCH LEAVE IN HIDRATACAO ANTIF 150ml</t>
  </si>
  <si>
    <t xml:space="preserve">MATCH LEAVE IN LISO PROLONGADO 150ml</t>
  </si>
  <si>
    <t xml:space="preserve">MATCH LEAVE IN NUTR PROF 150ml</t>
  </si>
  <si>
    <t xml:space="preserve">MATCH OL CAP NUTR PROF 50ml</t>
  </si>
  <si>
    <t xml:space="preserve">MATCH SPR BRLH HIDRATACAO E BRLH 100ml</t>
  </si>
  <si>
    <t xml:space="preserve">MATCH LEAVE IN HIDRATACAO E BRLH 150ml</t>
  </si>
  <si>
    <t xml:space="preserve">CBEM ESF FAC CROC BISC/BOLACH 50g</t>
  </si>
  <si>
    <t xml:space="preserve">INTENSE BALM LAB HID COLLAB CROC 3,5g</t>
  </si>
  <si>
    <t xml:space="preserve">INTENSE ESF LAB HID COLLAB CROC 4,5g</t>
  </si>
  <si>
    <t xml:space="preserve">INTENSE GLOS LAB COLLAB CROC TR/BRL 5ml</t>
  </si>
  <si>
    <t xml:space="preserve">GLAMOUR DES COL MIDNIGHT 75ml</t>
  </si>
  <si>
    <t xml:space="preserve">CBEM DES COL BDY SPLSH BISC/BOLACH 200ml</t>
  </si>
  <si>
    <t xml:space="preserve">UOMINI DES COL V6 100ml</t>
  </si>
  <si>
    <t xml:space="preserve">UOMINI DES COL BLACK V6 100ml</t>
  </si>
  <si>
    <t xml:space="preserve">UOMINI DES COL INFINITE V2 100ml</t>
  </si>
  <si>
    <t xml:space="preserve">MATCH SHAMP NUTR REGENERADORA 300ml</t>
  </si>
  <si>
    <t xml:space="preserve">MATCH SHAMP HIDRATACAO ANTIF 300ml</t>
  </si>
  <si>
    <t xml:space="preserve">MATCH SHAMP NUTR PROF 300ml</t>
  </si>
  <si>
    <t xml:space="preserve">MATCH SHAMP MATIZADOR LOIROS 300ml</t>
  </si>
  <si>
    <t xml:space="preserve">MATCH SHAMP LISO PROLONGADO 300ml</t>
  </si>
  <si>
    <t xml:space="preserve">MATCH SHAMP HIDRATACAO E BRLH 300ml</t>
  </si>
  <si>
    <t xml:space="preserve">MATCH SHAMP OL CONTROLADA 300ml</t>
  </si>
  <si>
    <t xml:space="preserve">MATCH MASC CAP NUTR REGENERADORA 250g</t>
  </si>
  <si>
    <t xml:space="preserve">MATCH SPR CAP MULTIBENEFICIOS 150ml</t>
  </si>
  <si>
    <t xml:space="preserve">MATCH ACIDIFICANTE 100ml</t>
  </si>
  <si>
    <t xml:space="preserve">MATCH MASC CAP NUTR PROF 250g</t>
  </si>
  <si>
    <t xml:space="preserve">MATCH MASC CAP MATIZ LOIRO REPARADO 250g</t>
  </si>
  <si>
    <t xml:space="preserve">MATCH MASC CAP LISO PROLONGADO 250g</t>
  </si>
  <si>
    <t xml:space="preserve">MEN SHAMP 2/1 AMBEV 200ml</t>
  </si>
  <si>
    <t xml:space="preserve">MEN SHW GEL 3/1 CAB/CPO/BARBA AMBEV 205g</t>
  </si>
  <si>
    <t xml:space="preserve">LIZ CR DES HID CPO INTENSO 250g</t>
  </si>
  <si>
    <t xml:space="preserve">MALBEC DES ANTIT AER ELEGANT 125ml</t>
  </si>
  <si>
    <t xml:space="preserve">MEN DES ANTIT AER AMBEV 125ml</t>
  </si>
  <si>
    <t xml:space="preserve">INTENSE BAT GLOSS STICK NUD/ROSD 3,2g</t>
  </si>
  <si>
    <t xml:space="preserve">INTENSE BAT GLOSS STICK VERM 3,2g</t>
  </si>
  <si>
    <t xml:space="preserve">INTENSE BAT GLOSS STICK MARSALA 3,2g</t>
  </si>
  <si>
    <t xml:space="preserve">INTENSE BAT GLOSS STICK CORAL 3,2g</t>
  </si>
  <si>
    <t xml:space="preserve">INTENSE BRLH LAB INCOLOR 5ml</t>
  </si>
  <si>
    <t xml:space="preserve">INTENSE SOMB SUP GLITTER FURTA COR 1,2g</t>
  </si>
  <si>
    <t xml:space="preserve">COFFEE SHW GEL CAB/CPO MAN PAIS/23 200g</t>
  </si>
  <si>
    <t xml:space="preserve">BOTI FRASQ QUADRADA NYLON C/ALC</t>
  </si>
  <si>
    <t xml:space="preserve">BOTI CARTEIRA SLIM PU</t>
  </si>
  <si>
    <t xml:space="preserve">MALBEC NECESSAIRE REG PU</t>
  </si>
  <si>
    <t xml:space="preserve">BOTI SHOE BAG ACAB PU</t>
  </si>
  <si>
    <t xml:space="preserve">LIZ DES COL INTENSO 100ml</t>
  </si>
  <si>
    <t xml:space="preserve">MALBEC DES COL ELEGANT 100ml</t>
  </si>
  <si>
    <t xml:space="preserve">MEN DES COL AMBEV 100ml</t>
  </si>
  <si>
    <t xml:space="preserve">UOMINI CREM POS BARBA 100g</t>
  </si>
  <si>
    <t xml:space="preserve">MEN ESPUM P/BARB AMBEV 190g</t>
  </si>
  <si>
    <t xml:space="preserve">MEN PASTA CAP MODEL ALTA FIX AMBEV 100g</t>
  </si>
  <si>
    <t xml:space="preserve">CBEM SAB BARR CPO SHOW DE BNH 4x80g</t>
  </si>
  <si>
    <t xml:space="preserve">CBEM DES COL BDY SPLSH SHOW/BNH 200ml</t>
  </si>
  <si>
    <t xml:space="preserve">CBEM LOC DES HID CPO SHOW/BANHO 400ml</t>
  </si>
  <si>
    <t xml:space="preserve">CBEM LOC DES HID CPO SHOW/BNH 200ml</t>
  </si>
  <si>
    <t xml:space="preserve">CBEM SAB LIQ CPO BORB SHOW/BNH 150ml</t>
  </si>
  <si>
    <t xml:space="preserve">CBEM SAB LIQ ESF CPO SHOW/BNH 150ml</t>
  </si>
  <si>
    <t xml:space="preserve">REF CBEM LOC DES HID CPO SHOW/BNH 350ml</t>
  </si>
  <si>
    <t xml:space="preserve">BOTICA 214 EDP FIJI PAR FL ESPEC 75ml</t>
  </si>
  <si>
    <t xml:space="preserve">BOTICA 214 LOC DES H CPO FIJ/PAR 200g</t>
  </si>
  <si>
    <t xml:space="preserve">BOTICA 214 EDP FIJI PAR FL ESPEC 90ml</t>
  </si>
  <si>
    <t xml:space="preserve">BOTICA 214 DES ANT AER FIJ P/FG/ES 125ml</t>
  </si>
  <si>
    <t xml:space="preserve">CBEM SAB BARR CPO SHOW BNH 100g</t>
  </si>
  <si>
    <t xml:space="preserve">CBEM SHOW DE BANHO ESPONJA</t>
  </si>
  <si>
    <t xml:space="preserve">CBEM SAB BARR CPO SHOW DE BNH 2x80g</t>
  </si>
  <si>
    <t xml:space="preserve">NSPA SHAMP AMEI/NEG 300ml</t>
  </si>
  <si>
    <t xml:space="preserve">NSPA COND AMEI/NEG 300ml</t>
  </si>
  <si>
    <t xml:space="preserve">NSPA CREM PENT AMEI/NEG 150ml</t>
  </si>
  <si>
    <t xml:space="preserve">BOTIK MULTIPR FAC FPS50 VITAM C 40g</t>
  </si>
  <si>
    <t xml:space="preserve">BOTIK SRUM FAC ALT POT VITAM C 30ml</t>
  </si>
  <si>
    <t xml:space="preserve">BOTIK GEL LIMP FAC VITAM C 200g</t>
  </si>
  <si>
    <t xml:space="preserve">ESTJ BOTIK VITAMINA C</t>
  </si>
  <si>
    <t xml:space="preserve">EGEO DES COL FREE FIRE 90ml</t>
  </si>
  <si>
    <t xml:space="preserve">EGEO LOC DES HID CPO FREE FIRE 270ml</t>
  </si>
  <si>
    <t xml:space="preserve">BOTIK SRUM FAC ALT POT VITAM C 15ml</t>
  </si>
  <si>
    <t xml:space="preserve">MALBEC OL MASSAGEM CPO X 200ml</t>
  </si>
  <si>
    <t xml:space="preserve">MALBEC SHW GEL CPO X 200g</t>
  </si>
  <si>
    <t xml:space="preserve">BOTI BOTI RECICLA NECESSAIRE ALG</t>
  </si>
  <si>
    <t xml:space="preserve">BOTIK CR HID FAC ANTIOX VITAM C 45g</t>
  </si>
  <si>
    <t xml:space="preserve">SOPHIE GEL CAP GLIT DISNEY100 120g</t>
  </si>
  <si>
    <t xml:space="preserve">QUASAR NEXT CR P/ESTILIZAR CAB D100 120g</t>
  </si>
  <si>
    <t xml:space="preserve">HER CODE LOC DES HID CPO 200ml</t>
  </si>
  <si>
    <t xml:space="preserve">HER CODE</t>
  </si>
  <si>
    <t xml:space="preserve">MAKE B PLT MULTIF SUN HIT 12g</t>
  </si>
  <si>
    <t xml:space="preserve">MATCH NECESS REPACK TPU</t>
  </si>
  <si>
    <t xml:space="preserve">BOTI NECESS DISNEY 100 ANOS PES</t>
  </si>
  <si>
    <t xml:space="preserve">SOPHIE COL MULAN D100 100ml</t>
  </si>
  <si>
    <t xml:space="preserve">QUASAR NEXT COL STITCH/SIMBA D100 100ml</t>
  </si>
  <si>
    <t xml:space="preserve">HER CODE EDP 50ml</t>
  </si>
  <si>
    <t xml:space="preserve">SOPHIE SAB LIQ CPO DISNEY100 200ml</t>
  </si>
  <si>
    <t xml:space="preserve">QUASAR NEXT SHW GEL CPO DISNEY100 200g</t>
  </si>
  <si>
    <t xml:space="preserve">MALBEC COND ANTIQUEDA CLUB V2 250ml</t>
  </si>
  <si>
    <t xml:space="preserve">MALBEC COND TRAT ANTIC CLUB V2 250ml</t>
  </si>
  <si>
    <t xml:space="preserve">MALBEC SHW GEL CAB/CPO CLUB V2 250ml</t>
  </si>
  <si>
    <t xml:space="preserve">NSPA SAB BARRA AMEIXA DOURADA 2x90g</t>
  </si>
  <si>
    <t xml:space="preserve">NSPA CREM HID MAOS AMEI DOUR 75g</t>
  </si>
  <si>
    <t xml:space="preserve">MALBEC LOC DES HID CPO CLUB V2 200ml</t>
  </si>
  <si>
    <t xml:space="preserve">NSPA LOC RAD DES HID CPO AMEI DOUR 400ml</t>
  </si>
  <si>
    <t xml:space="preserve">NSPA LOC RAD DES HID CPO AMEI DOUR 200ml</t>
  </si>
  <si>
    <t xml:space="preserve">NSPA CREM ESF CPO AMEI DOUR 200g</t>
  </si>
  <si>
    <t xml:space="preserve">NSPA CREM CPO ANTIATRITO AMEI DOUR 100ml</t>
  </si>
  <si>
    <t xml:space="preserve">QUASAR DES BDY SPR VISION 100ml</t>
  </si>
  <si>
    <t xml:space="preserve">ESTJ MALBEC CLUB TRATAMENTO V2</t>
  </si>
  <si>
    <t xml:space="preserve">ESTJ MALBEC CLUB TRATAMENTO ANTICASPA V2</t>
  </si>
  <si>
    <t xml:space="preserve">ESTJ MALBEC CLUB SENSITIVE</t>
  </si>
  <si>
    <t xml:space="preserve">NSPA SERUM CAP QUENTE AMEI DOUR 90ml</t>
  </si>
  <si>
    <t xml:space="preserve">BOTIK LOC HID ANTIOL ACI POL FAC 110ml</t>
  </si>
  <si>
    <t xml:space="preserve">MALBEC CREM HID MULTIF CLUB V2 50ml</t>
  </si>
  <si>
    <t xml:space="preserve">BOTIK CREM HID FAC FIRM AC/POLIGL 45g</t>
  </si>
  <si>
    <t xml:space="preserve">BOTIK ACQ GEL HID FAC ANTIS AC/POLIG 45g</t>
  </si>
  <si>
    <t xml:space="preserve">BOTIK GEL LIMP FAC MICLR AC MAND/SAL 50g</t>
  </si>
  <si>
    <t xml:space="preserve">BOTIK ESPUM LIMP FAC NUTR AC/POLIG 150ml</t>
  </si>
  <si>
    <t xml:space="preserve">MAKE B PLT MAQ MULTIF R EAL HYPE 38,4g</t>
  </si>
  <si>
    <t xml:space="preserve">NSPA DES COL BDY SPLSH AMEIXA DOUR 200ml</t>
  </si>
  <si>
    <t xml:space="preserve">QUASAR DES COL VISION 100ml</t>
  </si>
  <si>
    <t xml:space="preserve">MALBEC BALM POS BARBA CLUB V2 100g</t>
  </si>
  <si>
    <t xml:space="preserve">MALBEC OLEO P/BARBA CLUB V3 25ml</t>
  </si>
  <si>
    <t xml:space="preserve">MALBEC BALM POS BARB SENSIT CLUB V2 100g</t>
  </si>
  <si>
    <t xml:space="preserve">BOTI SUN GEL POS SOL ACQUA GEL 120g</t>
  </si>
  <si>
    <t xml:space="preserve">MALBEC SHAMP P/BARBA CLUB V2 100ml</t>
  </si>
  <si>
    <t xml:space="preserve">MALBEC ESPUM P/BARB CLUB V2 200ml</t>
  </si>
  <si>
    <t xml:space="preserve">MALBEC ESPUM P/BARB SENSIT CLUB V2 200ml</t>
  </si>
  <si>
    <t xml:space="preserve">MALBEC CR P/ BARB SENSIT CLUB V2 100g</t>
  </si>
  <si>
    <t xml:space="preserve">MALBEC SHAMP ANTIQUEDA CLUB V2 250ml</t>
  </si>
  <si>
    <t xml:space="preserve">MALBEC SHAMP TR ANTICASPA CLUB V2 250ml</t>
  </si>
  <si>
    <t xml:space="preserve">MALBEC SHAMP ESF ANTICASPA CLUB V2 150ml</t>
  </si>
  <si>
    <t xml:space="preserve">MALBEC SHAMP CAB OLEOSOS CLUB 250ml</t>
  </si>
  <si>
    <t xml:space="preserve">NSPA SHAMP AMEIXA DOURADA 300ml</t>
  </si>
  <si>
    <t xml:space="preserve">MALBEC SHAMP GRISALHOS CLUB V3 250ml</t>
  </si>
  <si>
    <t xml:space="preserve">MALBEC POMAD MOD CAP ANTIC CLUB V2 85g</t>
  </si>
  <si>
    <t xml:space="preserve">MALBEC TON CAP 2/1 CLUB V2 100ml</t>
  </si>
  <si>
    <t xml:space="preserve">NSPA MASC CAP COND AMEI DOUR 200ml</t>
  </si>
  <si>
    <t xml:space="preserve">BOTI BABY COND V2 400ml</t>
  </si>
  <si>
    <t xml:space="preserve">REF BOTI BABY COND 350ml</t>
  </si>
  <si>
    <t xml:space="preserve">BOTI BABY COND V2 200ml</t>
  </si>
  <si>
    <t xml:space="preserve">BOTI BABY SHAMP V2 400ml</t>
  </si>
  <si>
    <t xml:space="preserve">BOTI BABY SHAMP V2 200ml</t>
  </si>
  <si>
    <t xml:space="preserve">REF BOTI BABY SHAMP 350ml</t>
  </si>
  <si>
    <t xml:space="preserve">NSPA SAB BARRA CPO FLORES 3x90g</t>
  </si>
  <si>
    <t xml:space="preserve">BOTI VAPORIZADOR PERF ALUM</t>
  </si>
  <si>
    <t xml:space="preserve">BOTI BABY LOC HID CPO 200ml</t>
  </si>
  <si>
    <t xml:space="preserve">BOTI BABY LOC HID CPO 400ml</t>
  </si>
  <si>
    <t xml:space="preserve">REF BOTI BABY LOC HID CPO 350ml</t>
  </si>
  <si>
    <t xml:space="preserve">BOTICOLL PORTINARI DES ANT AER ABSOL 75g</t>
  </si>
  <si>
    <t xml:space="preserve">MAKE B BAT GLOS C/AC POLIG RASPBER 3,6g</t>
  </si>
  <si>
    <t xml:space="preserve">INTENSE BAT ARRASO PINK ROSE 3,6g</t>
  </si>
  <si>
    <t xml:space="preserve">INTENSE BAT ARRASO VERM POR DO SOL 3,6g</t>
  </si>
  <si>
    <t xml:space="preserve">INTENSE BAT ARRASO ROSA SOU MAIS EU 3,6g</t>
  </si>
  <si>
    <t xml:space="preserve">MAKE B BAT GLOSS C/AC POLIGL BLACKB 3,6g</t>
  </si>
  <si>
    <t xml:space="preserve">MAKE B BAT GLOSS C/AC POLIGL CORAL 3,6g</t>
  </si>
  <si>
    <t xml:space="preserve">INTENSE PLT MULTIF DO ARRASO 13g</t>
  </si>
  <si>
    <t xml:space="preserve">BOTI BABY COL SOL V2 100ml</t>
  </si>
  <si>
    <t xml:space="preserve">LILY DES COL LEAU DE LILY SOLEIL 75ml</t>
  </si>
  <si>
    <t xml:space="preserve">BOTICOLL PORTINARI D/COL ABSOLUTO 100ml</t>
  </si>
  <si>
    <t xml:space="preserve">BOTI BABY SAB LIQ GLIC V2 200ml</t>
  </si>
  <si>
    <t xml:space="preserve">REF BOTI BABY SAB LIQ GLIC 350ml</t>
  </si>
  <si>
    <t xml:space="preserve">BOTI BABY SAB LIQ GLIC V2 400ml</t>
  </si>
  <si>
    <t xml:space="preserve">MATCH SHAMP NUTRICAO PROFUNDA 50ml</t>
  </si>
  <si>
    <t xml:space="preserve">MATCH MASC CAP NUTRICAO PROFUNDA 70g</t>
  </si>
  <si>
    <t xml:space="preserve">INTENSE BAT CREM 250 V7 3,8g</t>
  </si>
  <si>
    <t xml:space="preserve">INTENSE BAT MATE POP 330 V7 3,8g</t>
  </si>
  <si>
    <t xml:space="preserve">MEN ESPUM P/ BARB 190g V5</t>
  </si>
  <si>
    <t xml:space="preserve">COFFEE DES COL WOMAN SEDUC 100ml V5</t>
  </si>
  <si>
    <t xml:space="preserve">CBEM DES ROLL ON L/MEL 55ml V6</t>
  </si>
  <si>
    <t xml:space="preserve">FLORATTA DES ROLL BLUE V7 55ml</t>
  </si>
  <si>
    <t xml:space="preserve">FLORATTA DES COL GOLD 75ml V2</t>
  </si>
  <si>
    <t xml:space="preserve">GLAMOUR OL DES HID CPO 150ml V6</t>
  </si>
  <si>
    <t xml:space="preserve">INSENSATEZ DES COL 100ml V3</t>
  </si>
  <si>
    <t>INSENSATEZ</t>
  </si>
  <si>
    <t xml:space="preserve">LILY CREM DES HID ACET CPO 250g V8</t>
  </si>
  <si>
    <t xml:space="preserve">MALBEC DES COL 50ml V5</t>
  </si>
  <si>
    <t xml:space="preserve">MALBEC DES ANTIT ROLL 55ml V9</t>
  </si>
  <si>
    <t xml:space="preserve">NSPA LOC DES HID CPO AMEI 400ml V6</t>
  </si>
  <si>
    <t xml:space="preserve">NSPA SAB BARR CPO AMEI 90g V6</t>
  </si>
  <si>
    <t xml:space="preserve">CAPRICHO DES COL DAY E NIGHT 100ml V5</t>
  </si>
  <si>
    <t xml:space="preserve">INTENSE BAT MATE POP 520 V2 3,8g</t>
  </si>
  <si>
    <t xml:space="preserve">GLAMOUR OL DES HID CPO SEC BL 150ml V3</t>
  </si>
  <si>
    <t xml:space="preserve">INTENSE BAT CREM 340 V6 3,8g</t>
  </si>
  <si>
    <t xml:space="preserve">INTENSE BASE LIQ SUPFIX 15 25ml V3</t>
  </si>
  <si>
    <t xml:space="preserve">INTENSE BASE LIQ SUPFIX 10 25ml V3</t>
  </si>
  <si>
    <t xml:space="preserve">INTENSE BASE LIQ SUPFIX 20 25ml V3</t>
  </si>
  <si>
    <t xml:space="preserve">INTENSE BASE LIQ SUPFIX 40 25ml V3</t>
  </si>
  <si>
    <t xml:space="preserve">CBEM DES ROLL ON NUVEM 55ml V2</t>
  </si>
  <si>
    <t xml:space="preserve">CBEM CR HID MAO NUVEM 50g V3</t>
  </si>
  <si>
    <t xml:space="preserve">CBEM CREM HID P/MAOS NUVEM V4 45g</t>
  </si>
  <si>
    <t xml:space="preserve">DR BOTICA SHAMP POC ESPUM V3 200ml</t>
  </si>
  <si>
    <t xml:space="preserve">ELYSEE CR HID DES CPO NUIT 250g V2</t>
  </si>
  <si>
    <t xml:space="preserve">QUASAR DES COL SURF 100ml V2</t>
  </si>
  <si>
    <t xml:space="preserve">CBEM SHAMP CACH FIRM/FORT 250ml V3</t>
  </si>
  <si>
    <t xml:space="preserve">CBEM COND CACH EXUB 250ml V3</t>
  </si>
  <si>
    <t xml:space="preserve">INTENSE BAT MATE POP 430 V3 3,8g</t>
  </si>
  <si>
    <t xml:space="preserve">CBEM CR HID MAO R/ALG 50g V4</t>
  </si>
  <si>
    <t xml:space="preserve">CBEM DES ROLL ON R/ALG 55ml V2</t>
  </si>
  <si>
    <t xml:space="preserve">NSPA LOC HID DES CPO L/PATCH 400ml V2</t>
  </si>
  <si>
    <t xml:space="preserve">EGEO DES COL BOMB BLACK C/CAR 90ml</t>
  </si>
  <si>
    <t xml:space="preserve">MEN DES COL GALBE 100ml V2</t>
  </si>
  <si>
    <t xml:space="preserve">FLORATTA DES COL F/SECRET 75ml V2</t>
  </si>
  <si>
    <t xml:space="preserve">NSPA LOC DES HID CPO CVR 400ml V4</t>
  </si>
  <si>
    <t xml:space="preserve">BOTICOLL ANNI DES COL 100ml V2</t>
  </si>
  <si>
    <t xml:space="preserve">NSPA OL DES HID CPO QUIN/AMEN 200ml V3</t>
  </si>
  <si>
    <t xml:space="preserve">BOTICOLL ACQUA FRESCA DES COL 100ml V2</t>
  </si>
  <si>
    <t xml:space="preserve">MEN PROT FAC FPS 30 48ml V4</t>
  </si>
  <si>
    <t xml:space="preserve">NSPA DES COL BDY SPLSH F/AMEI 200ml V2</t>
  </si>
  <si>
    <t xml:space="preserve">NSPA DES COL BDY SPLSH AMEI 200ml V2</t>
  </si>
  <si>
    <t xml:space="preserve">NSPA DES COL BDY SPLSH L/PATCH 200ml V2</t>
  </si>
  <si>
    <t xml:space="preserve">EGEO DES COL RED C/CART 90ml</t>
  </si>
  <si>
    <t xml:space="preserve">EGEO DES COL BLUE C/CAR 90ml</t>
  </si>
  <si>
    <t xml:space="preserve">CBEM COND LISO PERF 250ml V3</t>
  </si>
  <si>
    <t xml:space="preserve">NSPA LOC DES HID CPO AMEI/NEG 400ml V3</t>
  </si>
  <si>
    <t xml:space="preserve">NSPA DES COL BDY SPLSH AMEI/NEG 200ml V2</t>
  </si>
  <si>
    <t xml:space="preserve">FLORATTA DES COL ROSE 75ml V3</t>
  </si>
  <si>
    <t xml:space="preserve">FLORATTA DES COL ROSE 75ml V2</t>
  </si>
  <si>
    <t xml:space="preserve">QUASAR DES COL 100ml V3</t>
  </si>
  <si>
    <t xml:space="preserve">QUASAR DES COL BLUE V4 100ml</t>
  </si>
  <si>
    <t xml:space="preserve">INTENSE BAT MATE POP 360 V3 3,8g</t>
  </si>
  <si>
    <t xml:space="preserve">INTENSE BAT CREM 120 V4 3,8g</t>
  </si>
  <si>
    <t xml:space="preserve">NSPA COND AMEI 300ml V2</t>
  </si>
  <si>
    <t xml:space="preserve">EGEO DES COL CHOC C/CAR 90ml</t>
  </si>
  <si>
    <t xml:space="preserve">EGEO DES COL DOLCE C/CAR 90ml</t>
  </si>
  <si>
    <t xml:space="preserve">INTENSE BAT CREM 270 V2 3,8g</t>
  </si>
  <si>
    <t xml:space="preserve">INTENSE BAT CREM 580 V3 3,8g</t>
  </si>
  <si>
    <t xml:space="preserve">MEN DES ROLL V4 55ml</t>
  </si>
  <si>
    <t xml:space="preserve">INTENSE BAT CREM VERM 350 V2 3,8g</t>
  </si>
  <si>
    <t xml:space="preserve">ESTJ LILY REG/21 V2</t>
  </si>
  <si>
    <t xml:space="preserve">ESTJ QUASAR REG/21 V2</t>
  </si>
  <si>
    <t xml:space="preserve">INTENSE BAT MATE POP 235 V2 3,8g</t>
  </si>
  <si>
    <t xml:space="preserve">ESTJ DR BOTICA CORACAO V2</t>
  </si>
  <si>
    <t xml:space="preserve">EGEO DES ANTIT AER BLUE V3 75g</t>
  </si>
  <si>
    <t xml:space="preserve">DREAM DES COL SPLSH AMOR NO AR 350ml V2</t>
  </si>
  <si>
    <t xml:space="preserve">NSPA OL DES HID CPO AMEI/NEG 200ml V3</t>
  </si>
  <si>
    <t xml:space="preserve">CBEM CREM HID MAO DELEITE 50g V2</t>
  </si>
  <si>
    <t xml:space="preserve">CBEM DES CR ANTIT R/ALG 80g V2</t>
  </si>
  <si>
    <t xml:space="preserve">INTENSE BAT CREM POP ROSA 223 V2 3,8g</t>
  </si>
  <si>
    <t xml:space="preserve">NSPA COND QUINOA 300ml V2</t>
  </si>
  <si>
    <t xml:space="preserve">MALBEC ESPUM P/BARB SENSIT CLUB 200ml</t>
  </si>
  <si>
    <t xml:space="preserve">INTENSE BAT CREM 420 V2 3,8g</t>
  </si>
  <si>
    <t xml:space="preserve">NSPA DES COL BDY SPLSH QUINOA 200ml V2</t>
  </si>
  <si>
    <t xml:space="preserve">ELYSEE CR DES HID ACET CPO BLANC 250g V2</t>
  </si>
  <si>
    <t xml:space="preserve">EGEO DES COL DOLCE COLORS 90ml V2</t>
  </si>
  <si>
    <t xml:space="preserve">LILY CREM DES HID ACET CPO ABSOLU 250g</t>
  </si>
  <si>
    <t xml:space="preserve">ZAAD EDP 50ml V2</t>
  </si>
  <si>
    <t xml:space="preserve">INTENSE BAT CREM 260 V2 3,8g</t>
  </si>
  <si>
    <t xml:space="preserve">ESTJ DR BOTICA POCAO CORAG V2</t>
  </si>
  <si>
    <t xml:space="preserve">EGEO DES COL BEAT 90ml V2</t>
  </si>
  <si>
    <t xml:space="preserve">INTENSE BAT CREM 540 V2 3,8g</t>
  </si>
  <si>
    <t xml:space="preserve">EGEO DES COL HIT 90ml V2</t>
  </si>
  <si>
    <t xml:space="preserve">NSPA OL DES HID CPO AMEI 200ml V3</t>
  </si>
  <si>
    <t xml:space="preserve">CBEM DES ANTIT CREME ATIVA 80g V2</t>
  </si>
  <si>
    <t xml:space="preserve">CBEM SHAMP LISO PERF 250ml V3</t>
  </si>
  <si>
    <t xml:space="preserve">INTENSE BAT CREM 227 V2 3,8g</t>
  </si>
  <si>
    <t xml:space="preserve">LILY CR HID DES ACET CPO LOVE 250g V3</t>
  </si>
  <si>
    <t xml:space="preserve">INTENSE BAT MATE POP 130 V3 3,8g</t>
  </si>
  <si>
    <t xml:space="preserve">INTENSE BAT CREM ROSA 280 V2 3,8g</t>
  </si>
  <si>
    <t xml:space="preserve">CBEM CR DES HID CPO DELEITE 250g V2</t>
  </si>
  <si>
    <t xml:space="preserve">BOTICOLL ANNI DES COL SWEETY 100ml V2</t>
  </si>
  <si>
    <t xml:space="preserve">CBEM DES ANTIT ROLL ON BEIJINHO 55ml V2</t>
  </si>
  <si>
    <t xml:space="preserve">EGEO DES COL VAN VIBE 90ml</t>
  </si>
  <si>
    <t xml:space="preserve">MALBEC CR P/BARB SENSIT CLUB 100g</t>
  </si>
  <si>
    <t xml:space="preserve">INTENSE BAT CREM VERM 310 V2 3,8g</t>
  </si>
  <si>
    <t xml:space="preserve">MEN GEL FAC SECTIV ANTIACN 15g V2</t>
  </si>
  <si>
    <t xml:space="preserve">NSPA LOC DES HID FIRM QUINOA 400ml V2</t>
  </si>
  <si>
    <t xml:space="preserve">INTENSE BASE LIQ SUPFIX 75 25ml V3</t>
  </si>
  <si>
    <t xml:space="preserve">EGEO DES COL ORIGNL 90ml V2</t>
  </si>
  <si>
    <t xml:space="preserve">CBEM LOC DES HID CPO LAVAND 400ml V2</t>
  </si>
  <si>
    <t xml:space="preserve">NSPA LOC DES HID CPO F/AMEI 400ml V3</t>
  </si>
  <si>
    <t xml:space="preserve">FLORATTA DES COL CER/FLOR 75ml V4</t>
  </si>
  <si>
    <t xml:space="preserve">NSPA CR HID MAO F/AMEI 75g V2</t>
  </si>
  <si>
    <t xml:space="preserve">BOTICOLL CECITA DES COL BLOSSOM 100ml V2</t>
  </si>
  <si>
    <t xml:space="preserve">NSPA OL DES HID CPO F/AMEI 200ml V3</t>
  </si>
  <si>
    <t xml:space="preserve">NSPA OL DES HID CPO QUINOA 200ml V3</t>
  </si>
  <si>
    <t xml:space="preserve">QUASAR DES COL RUSH V2 100ml</t>
  </si>
  <si>
    <t xml:space="preserve">MALBEC DES ANTIT AER MAGNET V3 75g</t>
  </si>
  <si>
    <t xml:space="preserve">MALBEC DES ANTIT AER GOLD V3 75g</t>
  </si>
  <si>
    <t xml:space="preserve">NSPA SAB LIQ CPO MORANGO RUBY V2 200ml</t>
  </si>
  <si>
    <t xml:space="preserve">EGEO DES COL SPCY VIBE C/CAR 90ml</t>
  </si>
  <si>
    <t xml:space="preserve">ESTJ CBEM BOA NOITE NAT/23</t>
  </si>
  <si>
    <t xml:space="preserve">ESTJ FLORATTA GOLD NAT/23</t>
  </si>
  <si>
    <t xml:space="preserve">ESTJ NSPA AMEIXA NAT/23</t>
  </si>
  <si>
    <t xml:space="preserve">ESTJ MA CHERIE NAT/23</t>
  </si>
  <si>
    <t xml:space="preserve">ESTJ CBEM DELEITE NAT/23</t>
  </si>
  <si>
    <t xml:space="preserve">ESTJ NSPA SAB SORTIDOS NAT/23</t>
  </si>
  <si>
    <t xml:space="preserve">BOTI LATA NAT/23</t>
  </si>
  <si>
    <t xml:space="preserve">NSPA SAB BARRA CPO ORQUIDEA NOIRE 90g</t>
  </si>
  <si>
    <t xml:space="preserve">UOMINI SHOWER GEL CAB/CPO NAT/23 200g</t>
  </si>
  <si>
    <t xml:space="preserve">BOTI NECESSAIRE PES NAT/23</t>
  </si>
  <si>
    <t xml:space="preserve">BOTI BABY CR REPAR 30ml</t>
  </si>
  <si>
    <t xml:space="preserve">CAIXA BAUNILHA G INST 2021</t>
  </si>
  <si>
    <t>SEMCLASSIF</t>
  </si>
  <si>
    <t>EMBALAGENS</t>
  </si>
  <si>
    <t xml:space="preserve">CAIXA P INST 2021 ROSA ECONOMICA</t>
  </si>
  <si>
    <t xml:space="preserve">CAIXA P INST 2021 VERDE ECONOMICA</t>
  </si>
  <si>
    <t xml:space="preserve">CAIXA M INST 2021 ROSA ECONOMICA</t>
  </si>
  <si>
    <t xml:space="preserve">CAIXA M INST 2021 VERDE ECONOMICA</t>
  </si>
  <si>
    <t xml:space="preserve">CAIXA G INST 2021 ROSA ECONOMICA</t>
  </si>
  <si>
    <t xml:space="preserve">CAIXA G INST 2021 VERDE ECONOMICA</t>
  </si>
  <si>
    <t xml:space="preserve">KIT SACOLA PP INST 2021 BAUNILHA C/10</t>
  </si>
  <si>
    <t xml:space="preserve">KIT SACOLA P INST 2021 BAUNILHA C/10</t>
  </si>
  <si>
    <t xml:space="preserve">KIT SACOLA M INST 2021 BAUNILHA C/10</t>
  </si>
  <si>
    <t xml:space="preserve">KIT SACOLA PP INST 2021 VERDE C/10</t>
  </si>
  <si>
    <t xml:space="preserve">KIT SACOLA P INST 2021 VERDE C/10</t>
  </si>
  <si>
    <t xml:space="preserve">KIT SACOLA M INST 2021 VERDE C/10</t>
  </si>
  <si>
    <t xml:space="preserve">KIT SACOLA PP INST 2021 ROSA C/10</t>
  </si>
  <si>
    <t xml:space="preserve">KIT SACOLA P INST 2021 ROSA C/10</t>
  </si>
  <si>
    <t xml:space="preserve">KIT SACOLA M INST 2021 ROSA C/10</t>
  </si>
  <si>
    <t xml:space="preserve">KIT CAIXA P INST 2021 ROSA VD</t>
  </si>
  <si>
    <t xml:space="preserve">KIT CAIXA M INST 2021 ROSA VD</t>
  </si>
  <si>
    <t xml:space="preserve">KIT CAIXA P INST 2021 VERDE VD</t>
  </si>
  <si>
    <t xml:space="preserve">KIT CAIXA G INST 2021 ROSA VD</t>
  </si>
  <si>
    <t xml:space="preserve">KIT CAIXA M INST 2021 VERDE VD</t>
  </si>
  <si>
    <t xml:space="preserve">KIT CAIXA G INST 2021 VERDE VD</t>
  </si>
  <si>
    <t xml:space="preserve">CAIXA M INST 2021 LACO BAUNILHA</t>
  </si>
  <si>
    <t xml:space="preserve">CARTAO PRESENTE INST 2021 UNITARIO</t>
  </si>
  <si>
    <t xml:space="preserve">MAXI PRESENTE INST 2021 UNITARIO</t>
  </si>
  <si>
    <t xml:space="preserve">PAPEL DE SEDA INST 2021 C/25 VD</t>
  </si>
  <si>
    <t xml:space="preserve">KIT VD PAPEL DE SEDA C/ 25</t>
  </si>
  <si>
    <t xml:space="preserve">KIT CAIXA LACO P NATAL 2023 VD</t>
  </si>
  <si>
    <t xml:space="preserve">KIT CAIXA LACO M NATAL 2023 VD</t>
  </si>
  <si>
    <t xml:space="preserve">KIT CAIXA LACO G NATAL 2023 VD</t>
  </si>
  <si>
    <t xml:space="preserve">EGEO DOLCE BOLSA PINK PU NAT/23</t>
  </si>
  <si>
    <t xml:space="preserve">ARBO LOC DES HID CPO 75ml</t>
  </si>
  <si>
    <t xml:space="preserve">GLAMOUR NECESS REG PU</t>
  </si>
  <si>
    <t xml:space="preserve">EGEO DOLCE CREME DESODORANTE HIDRATANTE PARA MÃOS, 50 g</t>
  </si>
  <si>
    <t xml:space="preserve">MALBEC CAR PRES CLUB</t>
  </si>
  <si>
    <t xml:space="preserve">BOTI HOME BANDEJA DOLOMITE</t>
  </si>
  <si>
    <t xml:space="preserve">MAKE B PLT SOMBRAS ROSE 14,4g</t>
  </si>
  <si>
    <t xml:space="preserve">ESTJ CBEM NUVEM NAT/23</t>
  </si>
  <si>
    <t xml:space="preserve">MALBEC SHW GEL CAB/CPO 75g</t>
  </si>
  <si>
    <t xml:space="preserve">ZAAD SHW GEL CAB/CPO 200g</t>
  </si>
  <si>
    <t xml:space="preserve">REF MALBEC CLUB CARG GILLETE MACH 3 C/2</t>
  </si>
  <si>
    <t xml:space="preserve">LINDA NECESS MATELASSE PU NAT/23</t>
  </si>
  <si>
    <t xml:space="preserve">EGEO NECESS VIAGEM CINZA PU NAT/23</t>
  </si>
  <si>
    <t xml:space="preserve">MAKE B. NECESSAIRE MAQUIAGEM MED</t>
  </si>
  <si>
    <t xml:space="preserve">CAPA DECOR P/ SABONETE LIQ ABS N/SPA 14</t>
  </si>
  <si>
    <t xml:space="preserve">NECESS POL S/ALC MASC PAI/16 VDA</t>
  </si>
  <si>
    <t xml:space="preserve">MATCH FLD SELAD CAP PROT/LOIROS 100ml</t>
  </si>
  <si>
    <t xml:space="preserve">MATCH PRO COND GLOS LOIROS 1000ml</t>
  </si>
  <si>
    <t xml:space="preserve">REF MATCH COND HID/BRLH 250ml</t>
  </si>
  <si>
    <t xml:space="preserve">REF MATCH COND LISO PROLONGADO 250ml</t>
  </si>
  <si>
    <t xml:space="preserve">REF MATCH COND NUTR/PROF 250ml</t>
  </si>
  <si>
    <t xml:space="preserve">CBEM SAB LIQ CPO NUVEM 50ml</t>
  </si>
  <si>
    <t xml:space="preserve">REF NSPA LOC RAD D H CPO AMEI DOUR 350ml</t>
  </si>
  <si>
    <t xml:space="preserve">SOPHIE LOC CPO GLITTER DISNEY WISH 200ml</t>
  </si>
  <si>
    <t xml:space="preserve">GLAMOUR LOC D H CPO ILUM GOLD GLAM 200ml</t>
  </si>
  <si>
    <t xml:space="preserve">PMPCK ELYSEE DES ANT AER 2x75g/125ml</t>
  </si>
  <si>
    <t xml:space="preserve">PMPCK EGEO CHOC DES ANT AER 2x75g/125ml</t>
  </si>
  <si>
    <t xml:space="preserve">PMPCK EGEO DOLCE DES ANT AER 2x75g/125ml</t>
  </si>
  <si>
    <t xml:space="preserve">PMPCK NSPA AMEI DES ANT AER 2x75g/125ml</t>
  </si>
  <si>
    <t xml:space="preserve">ESTJ LILY L EAU DE NAT/23</t>
  </si>
  <si>
    <t xml:space="preserve">ESTJ GLAMOUR GOLD GLAM NAT/23</t>
  </si>
  <si>
    <t xml:space="preserve">ESTJ MALBEC X NAT/23</t>
  </si>
  <si>
    <t xml:space="preserve">ESTJ EGEO DOLCE NAT/23</t>
  </si>
  <si>
    <t xml:space="preserve">ESTJ LINDA NAT/23</t>
  </si>
  <si>
    <t xml:space="preserve">ESTJ FLORATTA RED NAT/23</t>
  </si>
  <si>
    <t xml:space="preserve">ESTJ QUASAR NAT/23</t>
  </si>
  <si>
    <t xml:space="preserve">ESTJ LIZ NAT/23</t>
  </si>
  <si>
    <t xml:space="preserve">ESTJ ARBO NAT/23</t>
  </si>
  <si>
    <t xml:space="preserve">ESTJ COFFEE MAN NAT/23</t>
  </si>
  <si>
    <t xml:space="preserve">ESTJ MEN NAT/23</t>
  </si>
  <si>
    <t xml:space="preserve">ESTJ ACCORDES NAT/23</t>
  </si>
  <si>
    <t xml:space="preserve">ESTJ GLAMOUR SEC/BL NAT/23</t>
  </si>
  <si>
    <t xml:space="preserve">ESTJ EGEO BLUE NAT/23</t>
  </si>
  <si>
    <t xml:space="preserve">ESTJ FLORATTA F/SECRET NAT/23</t>
  </si>
  <si>
    <t xml:space="preserve">ESTJ LILY ACETINADOS NAT/23</t>
  </si>
  <si>
    <t xml:space="preserve">SOPHIE PLT MULTIF DISNEY WISH</t>
  </si>
  <si>
    <t xml:space="preserve">ARBO SHW GEL CAB/CPO 200g</t>
  </si>
  <si>
    <t xml:space="preserve">UOMINI BOLSA RETANG MARROM PU NAT/23</t>
  </si>
  <si>
    <t xml:space="preserve">GLAMOUR SEC BL NECESS ROSA ALC PU NAT/23</t>
  </si>
  <si>
    <t xml:space="preserve">SOPHIE COL DISNEY WISH 100ml</t>
  </si>
  <si>
    <t xml:space="preserve">FLORATTA DES COL GOLD 30ml</t>
  </si>
  <si>
    <t xml:space="preserve">SOPHIE KIT PINCEIS WISH</t>
  </si>
  <si>
    <t xml:space="preserve">BOTI SUN PROT SOL CPO GEL CR FPS50 200g</t>
  </si>
  <si>
    <t xml:space="preserve">BOTI SUN PROT SOL CPO FPS30 200g</t>
  </si>
  <si>
    <t xml:space="preserve">BOTI SUN PROT SOL CPO FPS70 200g</t>
  </si>
  <si>
    <t xml:space="preserve">BOTI SUN PROT SOL FAC ULT FLD FPS70 40ml</t>
  </si>
  <si>
    <t xml:space="preserve">BOTI SUN PROT SOL FAC FPS30 ULT FLD 40ml</t>
  </si>
  <si>
    <t xml:space="preserve">REF MATCH SHAMP NUTR/PROF 250ml</t>
  </si>
  <si>
    <t xml:space="preserve">REF MATCH SHAMP LISO PROLONGADO 250ml</t>
  </si>
  <si>
    <t xml:space="preserve">REF MATCH SHAMP HID/BRLH 250ml</t>
  </si>
  <si>
    <t xml:space="preserve">REF MATCH MASC CAP NUTR/PROF 250ml</t>
  </si>
  <si>
    <t xml:space="preserve">QUASAR DES COL ICE V2 100ml</t>
  </si>
  <si>
    <t xml:space="preserve">QUASAR DES COL BRAVE V2 100ml</t>
  </si>
  <si>
    <t xml:space="preserve">QUASAR DES COL CLASSIC 100ml</t>
  </si>
  <si>
    <t xml:space="preserve">QUASAR DES COL FIRE V2 100ml</t>
  </si>
  <si>
    <t xml:space="preserve">FLORATTA DES COL ROMANC/VERAO 75ml</t>
  </si>
  <si>
    <t xml:space="preserve">FLORATTA LOC DES HID CPO ROM/VERAO 200ml</t>
  </si>
  <si>
    <t xml:space="preserve">CBEM CREM HID P/MAOS BEIJINHO V2 45g</t>
  </si>
  <si>
    <t xml:space="preserve">REF CBEM CREM HID MAOS NUVEM 40g</t>
  </si>
  <si>
    <t xml:space="preserve">REF CBEM CREM HID MAOS BEIJINHO 40g</t>
  </si>
  <si>
    <t xml:space="preserve">REF CBEM CREM HID MAOS DELEITE 40g</t>
  </si>
  <si>
    <t xml:space="preserve">REF CBEM CREM HID MAOS ROSA/ALGODAO 40g</t>
  </si>
  <si>
    <t xml:space="preserve">REF CBEM LOC DES H CPO BEIJINHO V2 350ml</t>
  </si>
  <si>
    <t xml:space="preserve">CBEM LOC DES HID CPO BEIJINHO V2 200ml</t>
  </si>
  <si>
    <t xml:space="preserve">CBEM LOC DES HID CPO BEIJINHO V2 400ml</t>
  </si>
  <si>
    <t xml:space="preserve">CBEM LOC DES HID CPO BOA NOITE V2 400ml</t>
  </si>
  <si>
    <t xml:space="preserve">REF CBEM LOC DES H CPO BOA NOIT V2 350ml</t>
  </si>
  <si>
    <t xml:space="preserve">CBEM LOC DES HID CPO BOA NOITE V2 200ml</t>
  </si>
  <si>
    <t xml:space="preserve">CBEM LOC DES HID CPO DELEITE V2 400ml</t>
  </si>
  <si>
    <t xml:space="preserve">CBEM LOC DES HID CPO DELEITE V2 200ml</t>
  </si>
  <si>
    <t xml:space="preserve">REF CBEM LOC DES HID CP DELEITE V2 350ml</t>
  </si>
  <si>
    <t xml:space="preserve">CBEM LOC DES HID CPO L/MEL V8 400ml</t>
  </si>
  <si>
    <t xml:space="preserve">REF CBEM LOC DES HID CPO L/MEL V6 350ml</t>
  </si>
  <si>
    <t xml:space="preserve">REF CBEM LOC DES HID CPO NUVEM V3 350ml</t>
  </si>
  <si>
    <t xml:space="preserve">CBEM LOC DES HID CPO NUVEM V3 400ml</t>
  </si>
  <si>
    <t xml:space="preserve">CBEM LOC DES HID CPO NUVEM V3 200ml</t>
  </si>
  <si>
    <t xml:space="preserve">CBEM LOC DES HID CPO ROS/ALG V3 400ml</t>
  </si>
  <si>
    <t xml:space="preserve">CBEM LOC DES HID CPO ROS/ALG V3 200ml</t>
  </si>
  <si>
    <t xml:space="preserve">CBEM LOC DES HID CPO CER/LIV V2 400ml</t>
  </si>
  <si>
    <t xml:space="preserve">CBEM LOC DES HID CPO CER/LIV V2 200ml</t>
  </si>
  <si>
    <t xml:space="preserve">CBEM LOC DES HID CPO PESSEGURA V2 200ml</t>
  </si>
  <si>
    <t xml:space="preserve">CBEM LOC DES HID CPO PESSEGURA V2 400ml</t>
  </si>
  <si>
    <t xml:space="preserve">REF CBEM LOC DES H CPO PESSEGUR V2 350ml</t>
  </si>
  <si>
    <t xml:space="preserve">REF CBEM LOC DES H CPO ROS/ALG V3 350ml</t>
  </si>
  <si>
    <t xml:space="preserve">QUASAR DES ANTIT AER RUSH 75g/125ml</t>
  </si>
  <si>
    <t xml:space="preserve">CBEM SAB BARRA PESSEGURA V2 4x80g</t>
  </si>
  <si>
    <t xml:space="preserve">CBEM SAB BARRA DELEITE 4x80g</t>
  </si>
  <si>
    <t xml:space="preserve">CBEM DES COL BDY SPLSH DELEITE V3 200ml</t>
  </si>
  <si>
    <t xml:space="preserve">CBEM SAB BARRA BOA NOITE V2 4x80g</t>
  </si>
  <si>
    <t xml:space="preserve">CBEM SAB BARRA BEIJINHO V2 2x80g</t>
  </si>
  <si>
    <t xml:space="preserve">QUASAR SHW GEL CAB/CPO BLUE V3 200g</t>
  </si>
  <si>
    <t xml:space="preserve">CBEM SAB LIQ ESF CPO BOA NOITE V2 200ml</t>
  </si>
  <si>
    <t xml:space="preserve">CBEM DES COL BDY SPLSH BOA NOIT V2 200ml</t>
  </si>
  <si>
    <t xml:space="preserve">CBEM SAB BARRA BOA NOITE V2 2x80g</t>
  </si>
  <si>
    <t xml:space="preserve">CBEM SAB BARRA DELEITE V3 2x80g</t>
  </si>
  <si>
    <t xml:space="preserve">CBEM SAB BARRA LEITE/MEL 4x80g</t>
  </si>
  <si>
    <t xml:space="preserve">CBEM DES ANTIT AER NUVEM V3 75g</t>
  </si>
  <si>
    <t xml:space="preserve">CBEM DES COL BDY SPLSH BEIJINHO V2 200ml</t>
  </si>
  <si>
    <t xml:space="preserve">CBEM DES ANTIT ROL BEIJINHO V3 55ml</t>
  </si>
  <si>
    <t xml:space="preserve">CBEM ALCOOL GEL DELEITE V2 30g</t>
  </si>
  <si>
    <t xml:space="preserve">CBEM DES ANTIT ROL L/MEL V7 55ml</t>
  </si>
  <si>
    <t xml:space="preserve">CBEM SAB BARRA LEITE/MEL V8 2x80g</t>
  </si>
  <si>
    <t xml:space="preserve">CBEM DES ANTIT ROL NUVEM V3 55ml</t>
  </si>
  <si>
    <t xml:space="preserve">CBEM DES COL BDY SPLSH NUVEM V3 200ml</t>
  </si>
  <si>
    <t xml:space="preserve">CBEM ALCOOL GEL NUVEM V4 30g</t>
  </si>
  <si>
    <t xml:space="preserve">CBEM DES ANTIT AER R/ALG V3 125ml</t>
  </si>
  <si>
    <t xml:space="preserve">CBEM DES COL BDY SPLSH R/ALG V3 200ml</t>
  </si>
  <si>
    <t xml:space="preserve">CBEM DES ANTIT CR R/ALG V3 80g</t>
  </si>
  <si>
    <t xml:space="preserve">CBEM SAB BARRA ROSA/ALGODAO 4x80g</t>
  </si>
  <si>
    <t xml:space="preserve">CBEM SAB BARRA ROSA/ALGODAO V8 2x80g</t>
  </si>
  <si>
    <t xml:space="preserve">CBEM DES ANTIT CREM S/PERF V2 80g</t>
  </si>
  <si>
    <t xml:space="preserve">CBEM SAB LIQ INT CER LIVRE V2 200ml</t>
  </si>
  <si>
    <t xml:space="preserve">QUASAR DES ANTIT AER BLUE V10 75g</t>
  </si>
  <si>
    <t xml:space="preserve">QUASAR DES ANTIT AER BRAVE V3 75g</t>
  </si>
  <si>
    <t xml:space="preserve">QUASAR GEL POS BARBA BLUE V8 110g</t>
  </si>
  <si>
    <t xml:space="preserve">CBEM SAB BARRA NUVEM V5 2x80g</t>
  </si>
  <si>
    <t xml:space="preserve">CBEM SAB BARRA NUVEM 4x80g</t>
  </si>
  <si>
    <t xml:space="preserve">CBEM DES ANTIT ROLL ON R/ALG V3 55ml</t>
  </si>
  <si>
    <t xml:space="preserve">CBEM SAB BARRA SORT 4x80g</t>
  </si>
  <si>
    <t xml:space="preserve">CBEM SAB BARRA CEREJA LIVRE V2 2x80g</t>
  </si>
  <si>
    <t xml:space="preserve">CBEM CREM HID INT CER LIVRE V2 100ml</t>
  </si>
  <si>
    <t xml:space="preserve">CBEM MASC HID P/BUMBUM PESSEGURA V2 230g</t>
  </si>
  <si>
    <t xml:space="preserve">CBEM DES COL BDY SPLSH PESSEGUR V2 200ml</t>
  </si>
  <si>
    <t xml:space="preserve">CBEM CREM ESF CPO PESSEGURA V2 230g</t>
  </si>
  <si>
    <t xml:space="preserve">CBEM DES COL BDY SPLSH CER/LIV V2 200ml</t>
  </si>
  <si>
    <t xml:space="preserve">QUASAR DES BDY SPR ICE V2 100ml</t>
  </si>
  <si>
    <t xml:space="preserve">QUASAR DES B/SPR BLUE V10 100ml</t>
  </si>
  <si>
    <t xml:space="preserve">QUASAR DES SPR RUSH V2 100ml</t>
  </si>
  <si>
    <t xml:space="preserve">CBEM SAB LIQ INT NUVEM V2 200ml</t>
  </si>
  <si>
    <t xml:space="preserve">CBEM SAB LIQ INT ROSA/ALGODAO V2 200ml</t>
  </si>
  <si>
    <t xml:space="preserve">ARBO DES BDY SPR VERDE 100ml</t>
  </si>
  <si>
    <t xml:space="preserve">REF ARBO DES COL PURO 100ml</t>
  </si>
  <si>
    <t xml:space="preserve">ARBO DES COL PURO 100ml</t>
  </si>
  <si>
    <t xml:space="preserve">CBEM LOC DES HID CPO SHOW BNH V2 400ml</t>
  </si>
  <si>
    <t xml:space="preserve">REF CBEM LOC DES H CPO SHOW BNH V2 350ml</t>
  </si>
  <si>
    <t xml:space="preserve">CBEM LOC DES HID CPO SHOW/BNH V2 200ml</t>
  </si>
  <si>
    <t xml:space="preserve">CBEM DES COL BDY SPLSH SHOW/BNH V2 200ml</t>
  </si>
  <si>
    <t xml:space="preserve">CBEM SAB BARRA SHOW BANHO V2 4x80g</t>
  </si>
  <si>
    <t xml:space="preserve">CBEM SAB BARRA SHOW BANHO V2 2x80g</t>
  </si>
  <si>
    <t xml:space="preserve">QUASAR CR P/BARB BLUE 110g</t>
  </si>
  <si>
    <t xml:space="preserve">QUASAR DES ROLL BLUE V10 55ml</t>
  </si>
  <si>
    <t xml:space="preserve">CBEM CR ESF CPO FEIRA COCO 150ml</t>
  </si>
  <si>
    <t xml:space="preserve">CBEM LOC DES HID CPO FEIRA MAC/VDE 200ml</t>
  </si>
  <si>
    <t xml:space="preserve">CBEM LOC DES HID CPO FEIRA BANANA 400ml</t>
  </si>
  <si>
    <t xml:space="preserve">CBEM SAB LIQ CPO FEIRA MELANCIA 150ml</t>
  </si>
  <si>
    <t xml:space="preserve">CBEM CREM HID P/MAOS FEIRA MARACUJA 45g</t>
  </si>
  <si>
    <t xml:space="preserve">CBEM SAB BARRA FEIRA SORTIDO 4x80g</t>
  </si>
  <si>
    <t xml:space="preserve">CBEM SAB BARRA FEIRA MARACUJA 2x80g</t>
  </si>
  <si>
    <t xml:space="preserve">CBEM LOC DES HID CPO FEIRA FRAMB 400ml</t>
  </si>
  <si>
    <t xml:space="preserve">ARBO LOC DES HID CPO PURO 200ml</t>
  </si>
  <si>
    <t xml:space="preserve">CBEM ESF FAC FEIRA CALDA MORANGO 100g</t>
  </si>
  <si>
    <t xml:space="preserve">CBEM GEL/LIMP FAC FEIRA TANGERINA 150g</t>
  </si>
  <si>
    <t xml:space="preserve">CBEM HID FAC FEIRA BANANA 80g</t>
  </si>
  <si>
    <t xml:space="preserve">CBEM HID FAC FEIRA MACA VERDE 80g</t>
  </si>
  <si>
    <t xml:space="preserve">CBEM MASC FAC FEIRA MELANCIA 50g</t>
  </si>
  <si>
    <t xml:space="preserve">INTENSE BALM MULTIF FEIRA BANANA 6,2g</t>
  </si>
  <si>
    <t xml:space="preserve">INTENSE BALM LAB MULTIF FEIRA FRAMB 6,2g</t>
  </si>
  <si>
    <t xml:space="preserve">INTENSE BALM MULTIF FEIRA MELANCIA 6,2g</t>
  </si>
  <si>
    <t xml:space="preserve">CBEM SHAMP FEIRA VINAGRE FRAMBOESA 230ml</t>
  </si>
  <si>
    <t xml:space="preserve">CBEM CREM PENT FEIRA BABOSA 200ml</t>
  </si>
  <si>
    <t xml:space="preserve">CBEM COND FEIRA MEL 170ml</t>
  </si>
  <si>
    <t xml:space="preserve">REF CBEM LOC DES HID CP CER/LIV V2 350ml</t>
  </si>
  <si>
    <t xml:space="preserve">CBEM CREM HID P/MAOS ROS/ALG V5 45g</t>
  </si>
  <si>
    <t xml:space="preserve">CBEM CREM HID P/MAOS DELEITE V3 45g</t>
  </si>
  <si>
    <t xml:space="preserve">CBEM SPRAY INTIMO REFRESC CER/LIV 75ml</t>
  </si>
  <si>
    <t xml:space="preserve">CBEM BOLSA FEIRA PES 23</t>
  </si>
  <si>
    <t xml:space="preserve">CBEM NECESSAIRE FEIRA PES</t>
  </si>
  <si>
    <t xml:space="preserve">INTENSE LAP DUO OLHOS FEIRA COCO MACA 1g</t>
  </si>
  <si>
    <t xml:space="preserve">CASA 214 SAB LIQ MULTIF VAN/SUBLIM 400ml</t>
  </si>
  <si>
    <t>CASA214</t>
  </si>
  <si>
    <t xml:space="preserve">CASA 214 DIF VARET GARDENIA IMPER 250ml</t>
  </si>
  <si>
    <t xml:space="preserve">CASA 214 SAB LIQ MULTIF GARD/IMPER 400ml</t>
  </si>
  <si>
    <t xml:space="preserve">CASA 214 H/SPR GARDENIA IMPER 250ml</t>
  </si>
  <si>
    <t xml:space="preserve">EGEO DES COL E.JOY 90ml</t>
  </si>
  <si>
    <t xml:space="preserve">INTENSE BLUSH PO ILUM MULTIF BY AMOR 5g</t>
  </si>
  <si>
    <t xml:space="preserve">INTENSE BAT CREM BY AMOR PACOCA 3,8g</t>
  </si>
  <si>
    <t xml:space="preserve">INTENSE BAT CREM BY AMOR COR AMOR 3,8g</t>
  </si>
  <si>
    <t xml:space="preserve">CASA 214 DIFUS VARET BRIS/CEDROS 250ml</t>
  </si>
  <si>
    <t xml:space="preserve">CASA 214 H/SPR BRIS/CEDROS 250ml</t>
  </si>
  <si>
    <t xml:space="preserve">CASA 214 SAB LIQ MULTIF BRISA/CEDR 400ml</t>
  </si>
  <si>
    <t xml:space="preserve">CASA 214 H/SPR VANILLA SBLM 250ml</t>
  </si>
  <si>
    <t xml:space="preserve">CASA 214 DIFUS VARET VANILLA SBLM 250ml</t>
  </si>
  <si>
    <t xml:space="preserve">MATCH OL MULTIBENEFICIOS CIEN/CURV 50ml</t>
  </si>
  <si>
    <t xml:space="preserve">MATCH FIN CAP JELLY CIEN/CURV 350g</t>
  </si>
  <si>
    <t xml:space="preserve">MATCH MASC CAP HID 4ABC CIEN/CURV 350g</t>
  </si>
  <si>
    <t xml:space="preserve">MATCH SHAMP CIEN/CURV 300ml</t>
  </si>
  <si>
    <t xml:space="preserve">MATCH CR P/PENT CRESPOS CIEN/CURV 450ml</t>
  </si>
  <si>
    <t xml:space="preserve">MATCH COND HID CIEN/CURV 300ml</t>
  </si>
  <si>
    <t xml:space="preserve">MATCH MASC C H 2ABC 3ABC CIEN/CURV 350g</t>
  </si>
  <si>
    <t xml:space="preserve">MATCH LEAV CAP LEVE CIEN/CURV 250ml</t>
  </si>
  <si>
    <t xml:space="preserve">MATCH CR P/PENT CACH CIEN/CURV 450ml</t>
  </si>
  <si>
    <t xml:space="preserve">MATCH BOOSTER RECONS CAP CIEN/CURV 90ml</t>
  </si>
  <si>
    <t xml:space="preserve">MATCH BOOSTER NUTR CAP CIEN/CURV 90ml</t>
  </si>
  <si>
    <t xml:space="preserve">REF MATCH CR PENT CRESP CIEN/CURV 400ml</t>
  </si>
  <si>
    <t xml:space="preserve">REF MATCH CR PENT CACHOS CIEN/CURV 400ml</t>
  </si>
  <si>
    <t xml:space="preserve">MATCH SRUM COUR CAB REVIT CIEN/CURV 50ml</t>
  </si>
  <si>
    <t xml:space="preserve">CBEM CAPINHA CREME NUVEM SILICONE</t>
  </si>
  <si>
    <t xml:space="preserve">CBEM CAPINHA P/CREM DELEITE SILICONE V2</t>
  </si>
  <si>
    <t xml:space="preserve">MAKE B BAT LIQ DIAM C/AC POL ROUGE 5ml</t>
  </si>
  <si>
    <t xml:space="preserve">MAKE B GLOS LAB C/AC POL ALMOND ELEG 5ml</t>
  </si>
  <si>
    <t xml:space="preserve">MAKE B BAT LIQ MAT C/AC POL RED/BLOS 5ml</t>
  </si>
  <si>
    <t xml:space="preserve">NSPA SAB BARRA CPO LILAC 2x90g</t>
  </si>
  <si>
    <t xml:space="preserve">NSPA CREM HID MAOS/PES LILAC 50g</t>
  </si>
  <si>
    <t xml:space="preserve">NSPA LOC DES HID CPO LILAC 400ml</t>
  </si>
  <si>
    <t xml:space="preserve">REF NSPA LOC DES HID CPO LILAC 350ml</t>
  </si>
  <si>
    <t xml:space="preserve">NSPA OLEO CREM CPO LILAC 175g</t>
  </si>
  <si>
    <t xml:space="preserve">NSPA LOC DES HID CPO LILAC 180ml</t>
  </si>
  <si>
    <t xml:space="preserve">MAKE B PLT SOMBRA NATURAL AND MORE 14,4g</t>
  </si>
  <si>
    <t xml:space="preserve">FLORATTA LOC D H CP RED/BLOS MAES/24 75g</t>
  </si>
  <si>
    <t xml:space="preserve">LINDA OL DES CPO PERF V9 150ml</t>
  </si>
  <si>
    <t xml:space="preserve">LIZ CREM DES HID CPO FLORA 250g</t>
  </si>
  <si>
    <t xml:space="preserve">ESTJ COFFEE W/SEDUCTION MAES/24</t>
  </si>
  <si>
    <t xml:space="preserve">ESTJ EGEO DOLCE MAES/24</t>
  </si>
  <si>
    <t xml:space="preserve">ESTJ LINDA MAES/24</t>
  </si>
  <si>
    <t xml:space="preserve">ESTJ GLAMOUR SECRETS BLACK MAES/24</t>
  </si>
  <si>
    <t xml:space="preserve">ESTJ LIZ MAES/24</t>
  </si>
  <si>
    <t xml:space="preserve">ESTJ FLORATTA BLUE MAES/24</t>
  </si>
  <si>
    <t xml:space="preserve">ESTJ LILY LEAU DE MAES/24</t>
  </si>
  <si>
    <t xml:space="preserve">ESTJ LILY MAES/24</t>
  </si>
  <si>
    <t xml:space="preserve">ESTJ EGEO CHOC MAES/24</t>
  </si>
  <si>
    <t xml:space="preserve">ESTJ LIZ SUBLIME MAES/24</t>
  </si>
  <si>
    <t xml:space="preserve">ESTJ FLORATTA RED BLOSSOM MAES/24</t>
  </si>
  <si>
    <t xml:space="preserve">ESTJ NSPA AMEIXA MAES/24</t>
  </si>
  <si>
    <t xml:space="preserve">ESTJ CELEBRE FEM MAES/24</t>
  </si>
  <si>
    <t xml:space="preserve">ESTJ CBEM DELEITE MAES/24</t>
  </si>
  <si>
    <t xml:space="preserve">ESTJ FLORATTA RED MAES/24</t>
  </si>
  <si>
    <t xml:space="preserve">ESTJ ELYSEE MAES/24</t>
  </si>
  <si>
    <t xml:space="preserve">BOTI NECESSAIRE PU MAES/24</t>
  </si>
  <si>
    <t xml:space="preserve">FLORATTA DES COL RED/BLOSS MAES/24 30ml</t>
  </si>
  <si>
    <t xml:space="preserve">GLAMOUR DES COL SCRT BLACK MAES/24 30ml</t>
  </si>
  <si>
    <t xml:space="preserve">LIZ DES COL FLORA 100ml</t>
  </si>
  <si>
    <t xml:space="preserve">ESTJ BOTI BABY CASCA V2</t>
  </si>
  <si>
    <t xml:space="preserve">ESTJ BOTI BABY CASINHA</t>
  </si>
  <si>
    <t xml:space="preserve">MAKE B BB SEN MULTI 100 150 25g</t>
  </si>
  <si>
    <t xml:space="preserve">MAKE B BB SEN MULTI 160 220 25g</t>
  </si>
  <si>
    <t xml:space="preserve">MAKE B BB SEN MULTI 270 330 25g</t>
  </si>
  <si>
    <t xml:space="preserve">MAKE B BB SEN MULTI 220 260 25g</t>
  </si>
  <si>
    <t xml:space="preserve">MAKE B PLT SOMBRAS FIRE 5,4g</t>
  </si>
  <si>
    <t xml:space="preserve">BOTIK PROT SOL FAC FPS 80 AC/HIAL 40ml</t>
  </si>
  <si>
    <t xml:space="preserve">BOTIK PROT SOL FAC FPS 50 AC/HIAL 40ml</t>
  </si>
  <si>
    <t xml:space="preserve">ZAAD EDP VENTURE 95ml</t>
  </si>
  <si>
    <t xml:space="preserve">ZAAD SHW GEL CAB/CPO VENTURE 200g</t>
  </si>
  <si>
    <t xml:space="preserve">MAKE B BLUSH MARBLE SHINE ROSE 8g</t>
  </si>
  <si>
    <t xml:space="preserve">MAKE B BLUSH MARBLE SHINE GOLD 8g</t>
  </si>
  <si>
    <t xml:space="preserve">MAKE B PRIMER FAC LARANJA/CARAMELO 8g</t>
  </si>
  <si>
    <t xml:space="preserve">MAKE B PRIMER FAC VERDE/AMARELO 8g</t>
  </si>
  <si>
    <t xml:space="preserve">ESTJ LILY AMOR/24</t>
  </si>
  <si>
    <t xml:space="preserve">ESTJ MALBEC AMOR/24</t>
  </si>
  <si>
    <t xml:space="preserve">ESTJ GLAMOUR SEC/BLACK AMOR/24</t>
  </si>
  <si>
    <t xml:space="preserve">ESTJ COFFEE W/SEDUCTION AMOR/24</t>
  </si>
  <si>
    <t xml:space="preserve">ESTJ COFFEE MAN AMOR/24</t>
  </si>
  <si>
    <t xml:space="preserve">ESTJ ARBO AMOR/24</t>
  </si>
  <si>
    <t xml:space="preserve">ESTJ NSPA ORQUIDEA NOIRE AMOR/24</t>
  </si>
  <si>
    <t xml:space="preserve">ESTJ EGEO CHOC AMOR/24</t>
  </si>
  <si>
    <t xml:space="preserve">ESTJ EGEO BLUE AMOR/24</t>
  </si>
  <si>
    <t xml:space="preserve">ESTJ QUASAR BLUE AMOR/24</t>
  </si>
  <si>
    <t xml:space="preserve">ESTJ CELEBRE AGORA FEM AMOR/24</t>
  </si>
  <si>
    <t xml:space="preserve">ESTJ CELEBRE AGORA MASC AMOR/24</t>
  </si>
  <si>
    <t xml:space="preserve">ESTJ CBEM PESSEGURA AMOR/24</t>
  </si>
  <si>
    <t xml:space="preserve">LILY GELEIA ILUM DES HID CPO 75g</t>
  </si>
  <si>
    <t xml:space="preserve">NSPA DES COL BDY SPLSH ORQ/NOIRE 60ml</t>
  </si>
  <si>
    <t xml:space="preserve">CELEBRE SHW GEL CAB/CPO AGORA MASC 100g</t>
  </si>
  <si>
    <t xml:space="preserve">COFFEE SHW GEL CAB/CPO MAN V2 200g</t>
  </si>
  <si>
    <t xml:space="preserve">EGEO DES COL CHOC BERRY 50ml</t>
  </si>
  <si>
    <t xml:space="preserve">CBEM DES COL BDY SPLSH PESSEGURA 60ml</t>
  </si>
  <si>
    <t xml:space="preserve">CBEM CREM MAOS PESSEGURA 30g</t>
  </si>
  <si>
    <t xml:space="preserve">INTENSE SAB LIQ DEMAQ 85ml V2</t>
  </si>
  <si>
    <t xml:space="preserve">INTENSE ILUM LIQ MULTIF ROSE 8ml V3</t>
  </si>
  <si>
    <t xml:space="preserve">INTENSE ILUM LIQ MULTIF DOURADO 8ml V3</t>
  </si>
  <si>
    <t xml:space="preserve">NSPA OLEO ACUC ESF CPO AMEI 200g V3</t>
  </si>
  <si>
    <t xml:space="preserve">NSPA MASC CAP CVR 200g V4</t>
  </si>
  <si>
    <t xml:space="preserve">REF LILY CR H DES ACET CPO LOVE 250g V2</t>
  </si>
  <si>
    <t xml:space="preserve">LILY OL PERF DES CPO 150ml V11</t>
  </si>
  <si>
    <t xml:space="preserve">NSPA SAB LIQ CPO AMEI/NEG 200ml V2</t>
  </si>
  <si>
    <t xml:space="preserve">NSPA CR ANTIS MAO FPS 15 QUINOA 75g V2</t>
  </si>
  <si>
    <t xml:space="preserve">LILY BRUMA DES HID CPO LOVE 200ml V3</t>
  </si>
  <si>
    <t xml:space="preserve">LILY BRUMA DES HID CPO 200ml V2</t>
  </si>
  <si>
    <t xml:space="preserve">THE BLEND DES COL SPLSH 200ml V2</t>
  </si>
  <si>
    <t xml:space="preserve">REF NSPA SAB LIQ MAO AMEI 400ml V2</t>
  </si>
  <si>
    <t xml:space="preserve">NSPA LOC HID CPO QUINOA 200ml V2</t>
  </si>
  <si>
    <t xml:space="preserve">NSPA SHAMP QUINOA 300ml V3</t>
  </si>
  <si>
    <t xml:space="preserve">INTENSE BAS LIQ CORRET REB HD C35 24g V2</t>
  </si>
  <si>
    <t xml:space="preserve">INTENSE BAS LIQ CORRET REB HD C50 24g V2</t>
  </si>
  <si>
    <t xml:space="preserve">INTENSE BAS LIQ CORRET REB HD C60 24g V2</t>
  </si>
  <si>
    <t xml:space="preserve">INTENSE BAS LIQ CORRET REB HD C15 24g V2</t>
  </si>
  <si>
    <t xml:space="preserve">INTENSE BAS LIQ CORRET REB HD C3 24g V2</t>
  </si>
  <si>
    <t xml:space="preserve">INTENSE BAS LIQ CORRET REB HD C37 24g V2</t>
  </si>
  <si>
    <t xml:space="preserve">INTENSE BAS LIQ CORRET REB HD C75 24g V2</t>
  </si>
  <si>
    <t xml:space="preserve">INTENSE BAS LIQ CORRET REB HD C80 24g V2</t>
  </si>
  <si>
    <t xml:space="preserve">INTENSE BAS LIQ CORRET REB HD C10 24g V2</t>
  </si>
  <si>
    <t xml:space="preserve">INTENSE BAS LIQ CORRET REB HD C20 24g V2</t>
  </si>
  <si>
    <t xml:space="preserve">INTENSE BAS LIQ CORRET REB HD C30 24g V2</t>
  </si>
  <si>
    <t xml:space="preserve">INTENSE BAS LIQ CORRET REB HD C53 24g V2</t>
  </si>
  <si>
    <t xml:space="preserve">INTENSE BAS LIQ CORRET REB HD C25 24g V2</t>
  </si>
  <si>
    <t xml:space="preserve">INTENSE BAS LIQ CORRET REB HD C40 24g V2</t>
  </si>
  <si>
    <t xml:space="preserve">INTENSE BAS LIQ CORRET REB HD C77 24g V2</t>
  </si>
  <si>
    <t xml:space="preserve">INTENSE BAS LIQ CORRET REB HD C85 24g V2</t>
  </si>
  <si>
    <t xml:space="preserve">INTENSE BAS LIQ CORRET REB HD C13 24g V2</t>
  </si>
  <si>
    <t xml:space="preserve">NSPA CREM PENT AMEI 150ml V3</t>
  </si>
  <si>
    <t xml:space="preserve">ACCORDES CREM DES HID CPO 200ml V2</t>
  </si>
  <si>
    <t xml:space="preserve">ZAAD DES COL BDY SPLSH 200ml V2</t>
  </si>
  <si>
    <t xml:space="preserve">CBEM SAB BARRA CPO NUVEM 2x80g V4</t>
  </si>
  <si>
    <t xml:space="preserve">GLAMOUR CR DES HID MAO SEC BL 50g</t>
  </si>
  <si>
    <t xml:space="preserve">NSPA SAB BARR CPO F/AMEI 2x90g V2</t>
  </si>
  <si>
    <t xml:space="preserve">NSPA SAB BARR CPO AMEI 2x90g V2</t>
  </si>
  <si>
    <t xml:space="preserve">NSPA TR SAB B CP MX AM A/NG F/A 3x90g V2</t>
  </si>
  <si>
    <t xml:space="preserve">FLORATTA OL DES CPO PERF RED 150ml</t>
  </si>
  <si>
    <t xml:space="preserve">INTENSE BAT LIQ MATE POP 230 V2 5ml</t>
  </si>
  <si>
    <t xml:space="preserve">INTENSE BAT LIQ MATE 530 V2 5ml</t>
  </si>
  <si>
    <t xml:space="preserve">COFFEE OL DES HID CPO W/SEDUC 150ml V3</t>
  </si>
  <si>
    <t xml:space="preserve">INTENSE BAT LIQ MATE 410 V2 5ml</t>
  </si>
  <si>
    <t xml:space="preserve">NSPA LOC DES HID CPO KARITE 200ml V3</t>
  </si>
  <si>
    <t xml:space="preserve">GLAMOUR DES COL JUST SHINE 75ml V2</t>
  </si>
  <si>
    <t xml:space="preserve">GLAMOUR LOC DES HID CPO SEC BL 200ml V2</t>
  </si>
  <si>
    <t xml:space="preserve">ESTJ BOTIK ACIDO HIALURONICO</t>
  </si>
  <si>
    <t xml:space="preserve">BOTICA 214 EDP AFRIC/SUNR FLOR/FRUT 75ml</t>
  </si>
  <si>
    <t xml:space="preserve">BOTICA 214 EDP AFRIC/SUNR FOUG/AMAD 90ml</t>
  </si>
  <si>
    <t xml:space="preserve">BOTICA 214 LOC D H CP AFR/SU FG/AM 200g</t>
  </si>
  <si>
    <t xml:space="preserve">BOTICA 214 LOC D H CP AFR/SU FL/FR 200g</t>
  </si>
  <si>
    <t xml:space="preserve">LILY VELUDO ACETINADO DES CPO 250g</t>
  </si>
  <si>
    <t xml:space="preserve">LILY LEITE SBLM DES CPO ACETINADO 250ml</t>
  </si>
  <si>
    <t xml:space="preserve">LILY ESF HID CPO ACETINADO 200g</t>
  </si>
  <si>
    <t xml:space="preserve">DR BOTICA COL POC/CRIATIV 120ml</t>
  </si>
  <si>
    <t xml:space="preserve">DR BOTICA ESPUM BNH NUV/IDEIAS 150ml</t>
  </si>
  <si>
    <t xml:space="preserve">DR BOTICA SPR CAP DESEMB CHUV/IMAG 100ml</t>
  </si>
  <si>
    <t xml:space="preserve">KIT DR BOTICA MAGICO TEATRO BONECOS</t>
  </si>
  <si>
    <t xml:space="preserve">COFFEE DES COL WOMAN ADDICTIVE 100ml</t>
  </si>
  <si>
    <t xml:space="preserve">COFFEE DES COL MAN ADDICTIVE 100ml</t>
  </si>
  <si>
    <t xml:space="preserve">COFFEE LOC DES HID CPO WOM ADDICT 200ml</t>
  </si>
  <si>
    <t xml:space="preserve">CBEM GEL DES HID CPO BOB ESPONJA 150g</t>
  </si>
  <si>
    <t xml:space="preserve">CBEM LOC DES HID CPO BOB ESPONJA 400ml</t>
  </si>
  <si>
    <t xml:space="preserve">CBEM SAB LIQ CPO BOB ESPONJA 250ml</t>
  </si>
  <si>
    <t xml:space="preserve">CBEM SAB BARRA BOB ESPONJA 2x100g</t>
  </si>
  <si>
    <t xml:space="preserve">BOTI NECESS FEM PREMIUM LONA</t>
  </si>
  <si>
    <t xml:space="preserve">CBEM CREM HID MAOS BOB ESPONJA 45g</t>
  </si>
  <si>
    <t xml:space="preserve">CBEM LOC DES HID CPO BOB ESPONJA 200ml</t>
  </si>
  <si>
    <t xml:space="preserve">INTENSE PALETTE MULTIF BOB ESPONJA 10g</t>
  </si>
  <si>
    <t xml:space="preserve">INTENSE LIP TINT BOB ESPONJA ROSA 5,5ml</t>
  </si>
  <si>
    <t xml:space="preserve">INTENSE LIP TINT BOB ESPONJA CORAL 5,5ml</t>
  </si>
  <si>
    <t xml:space="preserve">CBEM GEL LIMP FAC BOB ESPONJA 150g</t>
  </si>
  <si>
    <t xml:space="preserve">ESTJ MALBEC PREMIUM PAIS/24</t>
  </si>
  <si>
    <t xml:space="preserve">ESTJ ZAAD EXPEDITION PAIS/24</t>
  </si>
  <si>
    <t xml:space="preserve">ESTJ MALBEC PAIS/24</t>
  </si>
  <si>
    <t xml:space="preserve">ESTJ UOMINI PAIS/24</t>
  </si>
  <si>
    <t xml:space="preserve">ESTJ BOTICOLL PORTINARI PAIS/24</t>
  </si>
  <si>
    <t xml:space="preserve">ESTJ QUASAR CLASSIC PAIS/24</t>
  </si>
  <si>
    <t xml:space="preserve">ESTJ ARBO PAIS/24</t>
  </si>
  <si>
    <t xml:space="preserve">ESTJ MEN GALBE PAIS/24</t>
  </si>
  <si>
    <t xml:space="preserve">ESTJ EGEO ORIGINAL PAIS/24</t>
  </si>
  <si>
    <t xml:space="preserve">ESTJ FLORATTA BLUE PAIS/24</t>
  </si>
  <si>
    <t xml:space="preserve">ESTJ CELEBRE MASC PAIS/24</t>
  </si>
  <si>
    <t xml:space="preserve">ESTJ THE BLEND PAIS/24</t>
  </si>
  <si>
    <t xml:space="preserve">CBEM NECESS BOB ESPONJA PU</t>
  </si>
  <si>
    <t xml:space="preserve">CBEM DES ANTIT ROLL BOB ESPNJ 55ml</t>
  </si>
  <si>
    <t xml:space="preserve">ESTJ MALBEC ULTRA BLEU PAIS/24</t>
  </si>
  <si>
    <t xml:space="preserve">CBEM DES COL BDY SPLSH BOB ESPNJA 200ml</t>
  </si>
  <si>
    <t xml:space="preserve">MALBEC CARTEIRA MASCULINA PU</t>
  </si>
  <si>
    <t xml:space="preserve">BOTI NECESS PU</t>
  </si>
  <si>
    <t xml:space="preserve">ESTJ MEN BARBA PAIS/24</t>
  </si>
  <si>
    <t xml:space="preserve">COFFEE LOC DES HID CPO MAN AMERIC 200ml</t>
  </si>
  <si>
    <t xml:space="preserve">EGEO DES BDY SPR ORIGINAL V2 100ml</t>
  </si>
  <si>
    <t xml:space="preserve">MALBEC LOC DES HID CPO MATE 75ml</t>
  </si>
  <si>
    <t xml:space="preserve">ESTJ CBEM BOB ESPONJA MINI</t>
  </si>
  <si>
    <t xml:space="preserve">PMPCK MALBEC CLUB/DR JONES BARB S/IRRIT</t>
  </si>
  <si>
    <t xml:space="preserve">MALBEC DES COL ICON 100ml</t>
  </si>
  <si>
    <t xml:space="preserve">MALBEC DES ANTIT AER ICON 125ml</t>
  </si>
  <si>
    <t xml:space="preserve">MEN SHAMP 2/1 ANTIC 250ml</t>
  </si>
  <si>
    <t xml:space="preserve">MEN SHAMP/COND 2/1 250ml</t>
  </si>
  <si>
    <t xml:space="preserve">MEN POMAD MODEL CAP 100g</t>
  </si>
  <si>
    <t xml:space="preserve">MEN CREM HID ANTIATRITO SPORT 100g</t>
  </si>
  <si>
    <t xml:space="preserve">MEN DES AER P/PES SPORT 125ml</t>
  </si>
  <si>
    <t xml:space="preserve">MEN CREM PRE/POS BARBA 150g</t>
  </si>
  <si>
    <t xml:space="preserve">MEN SHW GEL CAB/CPO V5 205g</t>
  </si>
  <si>
    <t xml:space="preserve">MEN SAB BARRA 2x90g</t>
  </si>
  <si>
    <t xml:space="preserve">MEN LOC DES HID CPO 200ml</t>
  </si>
  <si>
    <t xml:space="preserve">INTENSE BAT CREM POP ROSA MALVA 3,6g</t>
  </si>
  <si>
    <t xml:space="preserve">INTENSE BAT CREM POP VERMELHO 3,6g</t>
  </si>
  <si>
    <t xml:space="preserve">PMPCK CBEM DES ANTIT AER PROT/BTY 2x90g</t>
  </si>
  <si>
    <t xml:space="preserve">PMPCK MEN DES ANTIT AER COOL/PROT 2x90g</t>
  </si>
  <si>
    <t xml:space="preserve">PMPCK CBEM DES ANTIT AER S/ALUM 2x90g</t>
  </si>
  <si>
    <t xml:space="preserve">CBEM SHAMP ABACAXI FEIRA BRASIL 230ml</t>
  </si>
  <si>
    <t xml:space="preserve">CBEM COND MANGA FEIRA BRASIL 170ml</t>
  </si>
  <si>
    <t xml:space="preserve">COFFEE LOC HID DES CPO W/SEDUC 200ml V2</t>
  </si>
  <si>
    <t xml:space="preserve">ELYSEE OL DES CPO PERF BLANC 150ml V2</t>
  </si>
  <si>
    <t xml:space="preserve">FLORATTA CR DES HID CPO RED 200ml</t>
  </si>
  <si>
    <t xml:space="preserve">REF NSPA LOC DES HID CPO F/AMEI 400ml V2</t>
  </si>
  <si>
    <t xml:space="preserve">BOTI HOME COPO/PRATO VELA DOLOMITE</t>
  </si>
  <si>
    <t xml:space="preserve">CASA 214 VELA PERF BRISA/CEDROS 170g</t>
  </si>
  <si>
    <t xml:space="preserve">CBEM DES ROL MELANCIA 55ml</t>
  </si>
  <si>
    <t xml:space="preserve">CBEM NECESSAIRE PU</t>
  </si>
  <si>
    <t xml:space="preserve">MAKE B BAT LIQ VELV/SBLM ONE DEEP/CAR 2g</t>
  </si>
  <si>
    <t xml:space="preserve">MAKE B BAT LIQ VELV/SBLM ONE FREN/ROS 2g</t>
  </si>
  <si>
    <t xml:space="preserve">MAKE B PLT SOMBRAS ONE 24g</t>
  </si>
  <si>
    <t xml:space="preserve">MAKE B PLT ROSTO ONE 31,2g</t>
  </si>
  <si>
    <t xml:space="preserve">CASA 214 VELA PERF VANILLA SBLM 170g</t>
  </si>
  <si>
    <t xml:space="preserve">CASA 214 VELA PERF GARDENIA IMPER 170g</t>
  </si>
  <si>
    <t xml:space="preserve">ESTJ CASA 214 VANILLA SUBLIME</t>
  </si>
  <si>
    <t xml:space="preserve">EGEO DES COL BANANA 90ml</t>
  </si>
  <si>
    <t xml:space="preserve">CBEM LOC DES HID CPO MELANC 400ml</t>
  </si>
  <si>
    <t xml:space="preserve">CBEM CREM HID DES CPO MELANC 150ml</t>
  </si>
  <si>
    <t xml:space="preserve">CBEM GEL ESF CPO MELANC 150g</t>
  </si>
  <si>
    <t xml:space="preserve">CBEM GEL DES HID REFR CPO MELANC 200g</t>
  </si>
  <si>
    <t xml:space="preserve">EGEO DES COL MELANCIA 90ml</t>
  </si>
  <si>
    <t xml:space="preserve">BOTI PRATO CERAMICA</t>
  </si>
  <si>
    <t xml:space="preserve">BOTI SAQUINHO ORGANIZADOR PES</t>
  </si>
  <si>
    <t xml:space="preserve">BOTI CARTEIRA ROSA PU</t>
  </si>
  <si>
    <t xml:space="preserve">NSPA LOC DES HID CPO F/LOT 250ml</t>
  </si>
  <si>
    <t xml:space="preserve">DR BOTICA TRIO SAB BARR BNH/ENC 3x80g V2</t>
  </si>
  <si>
    <t xml:space="preserve">REF GLAMOUR DES BDY SPR 100ml V5 PCK</t>
  </si>
  <si>
    <t xml:space="preserve">CBEM AROMAT AMB ALIVIO 200ml</t>
  </si>
  <si>
    <t xml:space="preserve">REF FLORATTA DES SPR BLUE 100ml V7</t>
  </si>
  <si>
    <t xml:space="preserve">REF ACCORDES DES BDY SPR 100ml V5</t>
  </si>
  <si>
    <t xml:space="preserve">FLORATTA DES ANTIT AER BLUE 75g V10</t>
  </si>
  <si>
    <t xml:space="preserve">MALBEC DES COL PLAY 50ml V3</t>
  </si>
  <si>
    <t xml:space="preserve">NSPA LOC DES HID CPO LICHIA 250ml</t>
  </si>
  <si>
    <t xml:space="preserve">NSPA MASC CAP QUINOA 200g V3</t>
  </si>
  <si>
    <t xml:space="preserve">ZAAD DES ANTIT AER MONDO 75g V3</t>
  </si>
  <si>
    <t xml:space="preserve">INTENSE BAT SUP/FRESH NUDE V3 3,4g</t>
  </si>
  <si>
    <t xml:space="preserve">REF FLORATTA DES B/SPR ROSE 100ml PCK V5</t>
  </si>
  <si>
    <t xml:space="preserve">GLAMOUR DES COL GOLD GLAM 75ml</t>
  </si>
  <si>
    <t xml:space="preserve">MATCH AMP CAP PREENCHEDORA 9ml</t>
  </si>
  <si>
    <t xml:space="preserve">NSPA SAB LIQ CPO AMEI V4 200ml</t>
  </si>
  <si>
    <t xml:space="preserve">REF NSPA SAB LIQ CPO PERF AMEI/NEG 200ml</t>
  </si>
  <si>
    <t xml:space="preserve">MATCH AMP CAP SCIENCE RECONSTRUCAO 30ml</t>
  </si>
  <si>
    <t xml:space="preserve">NSPA SAB LIQ MAO AMEI 400ml V2</t>
  </si>
  <si>
    <t xml:space="preserve">BOTICOLL ANNI DES COL 200ml V2</t>
  </si>
  <si>
    <t xml:space="preserve">GLAMOUR CR DES H CP SCRT/BL INTENS 200ml</t>
  </si>
  <si>
    <t xml:space="preserve">REF NSPA SAB LIQ CP PERF ORQ/NOIRE 200ml</t>
  </si>
  <si>
    <t xml:space="preserve">GLAMOUR LOC DES HID CPO 200ml V2</t>
  </si>
  <si>
    <t xml:space="preserve">FLORATTA CR DES HID CPO ROSE 200ml V5</t>
  </si>
  <si>
    <t xml:space="preserve">FLORATTA SHOWER GEL CPO BLUE 75g</t>
  </si>
  <si>
    <t xml:space="preserve">GLAMOUR DES COL 30ml</t>
  </si>
  <si>
    <t xml:space="preserve">INTENSE BAT SUP/FRESH NUD ESCURO V3 3,4g</t>
  </si>
  <si>
    <t xml:space="preserve">INTENSE LOC DES HID CPO GLOS 200ml V2</t>
  </si>
  <si>
    <t xml:space="preserve">INTENSE BAT SUP/FRESH CEREJA V3 3,4g</t>
  </si>
  <si>
    <t xml:space="preserve">BOTI BABY FRASQUEIRA PURO CUIDADO PES</t>
  </si>
  <si>
    <t xml:space="preserve">BOTI BABY MOCHILA MATERNIDADE PES</t>
  </si>
  <si>
    <t xml:space="preserve">BOTI CARTCH PRES COMB 2 MAE/22</t>
  </si>
  <si>
    <t xml:space="preserve">BOTI CX ORGN PU</t>
  </si>
  <si>
    <t xml:space="preserve">BOTI NECESS DIVERTIDAMENTE 2 PES</t>
  </si>
  <si>
    <t xml:space="preserve">BOTI NECESS FEM 2/1 PU</t>
  </si>
  <si>
    <t xml:space="preserve">BOTI NECESS PINK STARS PES</t>
  </si>
  <si>
    <t xml:space="preserve">BOTI NECESS PREMIUM MASC NYLON</t>
  </si>
  <si>
    <t xml:space="preserve">BOTI NECESS VERDE/DOURADA ALG</t>
  </si>
  <si>
    <t xml:space="preserve">BOTI TOALHA P/CAB MICROFIBRA/PES</t>
  </si>
  <si>
    <t xml:space="preserve">BOTICARIO NECESSAIRE NYLON</t>
  </si>
  <si>
    <t xml:space="preserve">BOTIK MASSAGEADOR FAC LIGA/ZINCO</t>
  </si>
  <si>
    <t xml:space="preserve">DR BOTICA BONECO PELUCIA PES V2</t>
  </si>
  <si>
    <t xml:space="preserve">LINDA NECESSAIRE POLIURETANO MAES 2025</t>
  </si>
  <si>
    <t xml:space="preserve">MA CHERIE NECESSAIRE PU</t>
  </si>
  <si>
    <t xml:space="preserve">MAKE B KIT PINCEIS SILVER ESSENTIALS</t>
  </si>
  <si>
    <t xml:space="preserve">MAKE B NECESSAIRE NYLON</t>
  </si>
  <si>
    <t xml:space="preserve">MAKE B PINCEL ESPIRAL P/PELE ABS</t>
  </si>
  <si>
    <t xml:space="preserve">MAKE B PINCEL OLHOS DUPLO PS</t>
  </si>
  <si>
    <t xml:space="preserve">MAKE B PINCEL P/BASE ABS</t>
  </si>
  <si>
    <t xml:space="preserve">MAKE B PINCEL P/BASE FIBRAS DUPLAS ABS</t>
  </si>
  <si>
    <t xml:space="preserve">MAKE B PINCEL P/BLUSH ABS</t>
  </si>
  <si>
    <t xml:space="preserve">MAKE B PINCEL P/PO ABS</t>
  </si>
  <si>
    <t xml:space="preserve">MALBEC NECESS CLUB PU</t>
  </si>
  <si>
    <t xml:space="preserve">MATCH ESCV POLVO TP PES</t>
  </si>
  <si>
    <t xml:space="preserve">NSPA BANHEIRINHA TRANSP PS V2</t>
  </si>
  <si>
    <t xml:space="preserve">MAKE B MALETA MAQ C/ALCA PES</t>
  </si>
  <si>
    <t xml:space="preserve">CBEM COND FEIRA PASTA/ABACATE V2 170ml</t>
  </si>
  <si>
    <t xml:space="preserve">CBEM MASC CAP HID NUVEM V2 250ml</t>
  </si>
  <si>
    <t xml:space="preserve">CBEM MASC CAP SCH FEIR PAST/ABAC V2 30ml</t>
  </si>
  <si>
    <t xml:space="preserve">MATCH MASC CAP NUTRICAO PROFUNDA V2 70g</t>
  </si>
  <si>
    <t xml:space="preserve">MATCH MASC CAP RESP/CACH 250g V3</t>
  </si>
  <si>
    <t xml:space="preserve">MATCH MASC CAP SCIENCE CRESC V2 250g</t>
  </si>
  <si>
    <t xml:space="preserve">MATCH MASC CAP SCIENCE PRE/POS QUIM 250g</t>
  </si>
  <si>
    <t xml:space="preserve">MATCH MASC HID 2ABC 3ABC CIEN/CURV 50ml</t>
  </si>
  <si>
    <t xml:space="preserve">MATCH MASC HID 4ABC CIEN/CURV 50ml</t>
  </si>
  <si>
    <t xml:space="preserve">MATCH PRO COND H/CARE NUTR 250ml</t>
  </si>
  <si>
    <t xml:space="preserve">MATCH PRO</t>
  </si>
  <si>
    <t xml:space="preserve">MATCH QUERATINA CONCENTRADA LAB 50ml</t>
  </si>
  <si>
    <t xml:space="preserve">MATCH SHAMP NUTR/REGEN V2 300ml</t>
  </si>
  <si>
    <t xml:space="preserve">NSPA SHAMP AMEI 300ml V2</t>
  </si>
  <si>
    <t xml:space="preserve">ACCORDES CREM HID MAO 50g</t>
  </si>
  <si>
    <t xml:space="preserve">CBEM CR ESF CPO PESSEGUR/DEPIL 200g</t>
  </si>
  <si>
    <t xml:space="preserve">CBEM LOC DES/H CPO DEL CHOCOLATUDO 200ml</t>
  </si>
  <si>
    <t xml:space="preserve">CBEM LOC DES/H CPO DEL CHOCOLATUDO 400ml</t>
  </si>
  <si>
    <t xml:space="preserve">LIZ CR DES HID CPO 100ml</t>
  </si>
  <si>
    <t xml:space="preserve">CBEM SRUM CPO UNIF PESSEGUR/DEPIL 30ml</t>
  </si>
  <si>
    <t xml:space="preserve">CBEM CR DES HID CPO PESSEGUR/DEPIL 200ml</t>
  </si>
  <si>
    <t xml:space="preserve">CBEM LOC DES HID CPO ILUM NUV/ALEG 150ml</t>
  </si>
  <si>
    <t xml:space="preserve">FLORATTA CR DES H CPO SIMP/LOVE 200ml V2</t>
  </si>
  <si>
    <t xml:space="preserve">FLORATTA CR DES HID CPO RED PASSION 250g</t>
  </si>
  <si>
    <t xml:space="preserve">FLORATTA CR DES HID CPO ROSE 75g</t>
  </si>
  <si>
    <t xml:space="preserve">FLORATTA CREM DES HID CPO BLUE 75g</t>
  </si>
  <si>
    <t xml:space="preserve">FLORATTA CREM HID MAOS ROSE 30g</t>
  </si>
  <si>
    <t xml:space="preserve">GLAMOUR CREM DES HID CPO SEC BL 85g</t>
  </si>
  <si>
    <t xml:space="preserve">CUIDE-SE BEM LOÇÃO HIDRATANTE DESODORANTE CORPORAL NUVEM DE ALEGRIA, 400 ml</t>
  </si>
  <si>
    <t xml:space="preserve">LILY CR DES HID CPO 75g</t>
  </si>
  <si>
    <t xml:space="preserve">LILY CREM ACET DES HID CPO GARDENIA 250g</t>
  </si>
  <si>
    <t xml:space="preserve">LILY CREM HID MAO 30g V2</t>
  </si>
  <si>
    <t xml:space="preserve">LINDA CREM DES HID CPO MAES/24 75ml</t>
  </si>
  <si>
    <t xml:space="preserve">LINDA LOC DES HID CPO IRRESISTIVEL 100ml</t>
  </si>
  <si>
    <t xml:space="preserve">NSPA CR FIRM COLO 5/1 CER/ROUGE 200g</t>
  </si>
  <si>
    <t xml:space="preserve">NSPA CREM HID MAO AMEI DOUR 30g</t>
  </si>
  <si>
    <t xml:space="preserve">NSPA ESF CPO UVA MERLOT 200g</t>
  </si>
  <si>
    <t xml:space="preserve">NSPA LOC DES HID CPO AMEI/NEG 75ml</t>
  </si>
  <si>
    <t xml:space="preserve">REF NSPA LOC DES HID CPO AMEI 400ml V2</t>
  </si>
  <si>
    <t xml:space="preserve">NSPA LOC DES HID CPO PITAYA 250ml</t>
  </si>
  <si>
    <t xml:space="preserve">NSPA LOC NUTR DES CPO UVA MERLOT 400ml</t>
  </si>
  <si>
    <t xml:space="preserve">ELYSEE OL PERFUMADO CORPORAL 50ml</t>
  </si>
  <si>
    <t xml:space="preserve">CBEM OL HID CPO NUVEM/ALEGRIA 110ml</t>
  </si>
  <si>
    <t xml:space="preserve">NSPA OL MULTIF GLORIOSO CER/ROUGE 85ml</t>
  </si>
  <si>
    <t xml:space="preserve">NSPA OLEO MULTIF ROSE 50ml V2</t>
  </si>
  <si>
    <t xml:space="preserve">CBEM CREM ESF CPO DEL CHOCOLATUDO 150ml</t>
  </si>
  <si>
    <t xml:space="preserve">CBEM SAB BARR DEL ESPECIAL 120g</t>
  </si>
  <si>
    <t xml:space="preserve">CBEM SAB BARR PESSEGURA 2x80g</t>
  </si>
  <si>
    <t xml:space="preserve">CBEM SAB BARRA BEIJINHO V3 2x80g</t>
  </si>
  <si>
    <t xml:space="preserve">CBEM SAB BARRA NUV/ALEGRIA 4x80g</t>
  </si>
  <si>
    <t xml:space="preserve">CBEM SAB LIQ CPO NUV/ALEGRIA 150ml</t>
  </si>
  <si>
    <t xml:space="preserve">NSPA SAB BARR CPO AMEI 3x90g V4</t>
  </si>
  <si>
    <t xml:space="preserve">NSPA SAB LIQ CPO PERF UVA MERLOT 250ml</t>
  </si>
  <si>
    <t xml:space="preserve">LILY DES ANTIT AEROSSOL 75g V9</t>
  </si>
  <si>
    <t xml:space="preserve">EGEO DES ANTIT AER RED 75g V3</t>
  </si>
  <si>
    <t xml:space="preserve">GLAMOUR DES ANTIT AER SEC BL 75g V6</t>
  </si>
  <si>
    <t xml:space="preserve">LILY DES ANTIT AER LUMIER V2 75g</t>
  </si>
  <si>
    <t xml:space="preserve">MEN DES ANTIT AER NBA 150ml</t>
  </si>
  <si>
    <t xml:space="preserve">MALBEC DES BDY SPR 100ml V5 PCK</t>
  </si>
  <si>
    <t xml:space="preserve">NSPA DES ANTIT AEROSOL AMEI 75g V2</t>
  </si>
  <si>
    <t xml:space="preserve">PMPCK ARBO DES ANT AER 2x75g/125ml</t>
  </si>
  <si>
    <t xml:space="preserve">REF FLORATTA DES BDY SPR S/LOVE 100ml V2</t>
  </si>
  <si>
    <t xml:space="preserve">UOMINI DES ANTIT AER SPIRIT 75g</t>
  </si>
  <si>
    <t xml:space="preserve">CBEM DES COL BDY SPL DOC/PESSEGUR 200ml</t>
  </si>
  <si>
    <t xml:space="preserve">DREAM DES COL SPLSH AMOR NO AR 200ml V2</t>
  </si>
  <si>
    <t xml:space="preserve">DREAM DES COL SPLSH VIAG/ENC 200ml V2</t>
  </si>
  <si>
    <t xml:space="preserve">NSPA DES COL BDY SPLSH AMEI DOUR 60ml</t>
  </si>
  <si>
    <t xml:space="preserve">BOTIK CREM LIMP FAC RESV/SILICIO 150ml</t>
  </si>
  <si>
    <t xml:space="preserve">BOTIK SRUM FAC ALT/POT RESV/SILICIO 30ml</t>
  </si>
  <si>
    <t xml:space="preserve">BOTI CARTCH COMB LGBT NAM/22</t>
  </si>
  <si>
    <t xml:space="preserve">BOTI CARTEIRA PU MAES/24</t>
  </si>
  <si>
    <t xml:space="preserve">BOTI CARTUCHO PAIS/22</t>
  </si>
  <si>
    <t xml:space="preserve">BOTI CARTUCHO PRESENTE PASCOA/22</t>
  </si>
  <si>
    <t xml:space="preserve">BOTI LENCO CHIFFON MAES/24</t>
  </si>
  <si>
    <t xml:space="preserve">BOTI MASC P/DORMIR CETIM NAT/24</t>
  </si>
  <si>
    <t xml:space="preserve">BOTI NECESS MASC AZUL LONA NAT/24</t>
  </si>
  <si>
    <t xml:space="preserve">BOTI NECESS PREM FEM BRANCA PU NAT/24</t>
  </si>
  <si>
    <t xml:space="preserve">BOTI NECESS PREM MASC MARROM PES NAT/24</t>
  </si>
  <si>
    <t xml:space="preserve">BOTICARIO NECESS PU MAES/24</t>
  </si>
  <si>
    <t xml:space="preserve">FLORATTA NECESS PU MAES/25</t>
  </si>
  <si>
    <t xml:space="preserve">NSPA ESPONJA BANHO PU MAES/25</t>
  </si>
  <si>
    <t xml:space="preserve">Kit Arbo - Natal 2024 (3 itens)</t>
  </si>
  <si>
    <t xml:space="preserve">Kit Botica 214 Verano en Firenze - Natal 2024 (3 itens)</t>
  </si>
  <si>
    <t xml:space="preserve">Kit Portinari - Natal 2024 (2 itens)</t>
  </si>
  <si>
    <t xml:space="preserve">ESTJ BOTIK VITAMINA C V2</t>
  </si>
  <si>
    <t xml:space="preserve">Kit Casa 214 Vanilla Sublime - Natal 2024 (2 itens)</t>
  </si>
  <si>
    <t xml:space="preserve">Kit Cuide-se Bem Boa Noite - Natal 2024 (3 itens)</t>
  </si>
  <si>
    <t xml:space="preserve">ESTOJO CBEM DELEITE MÃES/25</t>
  </si>
  <si>
    <t xml:space="preserve">Kit Cuide-se Bem Deleite - Natal 2024 (2 itens)</t>
  </si>
  <si>
    <t xml:space="preserve">Kit Cuide-se Bem Feira - Natal 2024 (3 itens)</t>
  </si>
  <si>
    <t xml:space="preserve">ESTOJO CBEM PESSEGURA MÃES 2025 (OPÇÃO 2)</t>
  </si>
  <si>
    <t xml:space="preserve">Kit Celebre Agora Feminino - Natal 2024 (2 itens)</t>
  </si>
  <si>
    <t xml:space="preserve">Kit Celebre Agora Masculino - Natal 2024 (2 itens)</t>
  </si>
  <si>
    <t xml:space="preserve">ESTOJO CELEBRE SUA FORÇA MÃES 2025</t>
  </si>
  <si>
    <t xml:space="preserve">Kit Coffee Man Duo - Natal 2024 (2 itens)</t>
  </si>
  <si>
    <t xml:space="preserve">ESTOJO COFFEE WS MÃES 2025</t>
  </si>
  <si>
    <t xml:space="preserve">Kit Coffee Woman Seduction - Natal 2024 (3 itens)</t>
  </si>
  <si>
    <t xml:space="preserve">ESTJ DR BOTICA POCAO CORACAO CRIANCAS/24</t>
  </si>
  <si>
    <t xml:space="preserve">ESTJ DR BOTICA POCAO CORAGEM CRIANCAS/24</t>
  </si>
  <si>
    <t xml:space="preserve">ESTJ DR BOTICA POCAO DA AVENTURA V2</t>
  </si>
  <si>
    <t xml:space="preserve">Kit Egeo Bomb Black - Natal 2024 (2 itens)</t>
  </si>
  <si>
    <t xml:space="preserve">ESTOJO EGEO CHOC MÃES 2025</t>
  </si>
  <si>
    <t xml:space="preserve">Kit Egeo Choc - Natal 2024 (2 itens)</t>
  </si>
  <si>
    <t xml:space="preserve">ESTOJO EGEO DOLCE MÃES 2025</t>
  </si>
  <si>
    <t xml:space="preserve">Kit Egeo Dolce - Natal 2024 (3 itens)</t>
  </si>
  <si>
    <t xml:space="preserve">ESTOJO ELYSÉE MÃES 2025</t>
  </si>
  <si>
    <t xml:space="preserve">ESTJ ELYSEE REG/21 V2</t>
  </si>
  <si>
    <t xml:space="preserve">Kit Floratta Red - Natal 2024 (3 itens)</t>
  </si>
  <si>
    <t xml:space="preserve">ESTOJO FLORATTA RED MÃES 2025</t>
  </si>
  <si>
    <t xml:space="preserve">Kit Floratta Rose - Natal 2024 (3 itens)</t>
  </si>
  <si>
    <t xml:space="preserve">ESTJ FLORATTA ROSE REG/21 V2</t>
  </si>
  <si>
    <t xml:space="preserve">Kit Glamour Secrets Black - Natal 2024 (2 itens)</t>
  </si>
  <si>
    <t xml:space="preserve">ESTOJO GLAMOUR SB MÃES 2025</t>
  </si>
  <si>
    <t xml:space="preserve">Kit Her Code - Natal 2024 (2 itens)</t>
  </si>
  <si>
    <t xml:space="preserve">Kit Lily Acetinado - Natal 2024 (3 itens)</t>
  </si>
  <si>
    <t xml:space="preserve">ESTOJO LILY CUIDADOS MÃES 2025</t>
  </si>
  <si>
    <t xml:space="preserve">Kit Lily Cuidados - Natal 2024 (3 itens)</t>
  </si>
  <si>
    <t xml:space="preserve">Kit Lily - Natal 2024 (3 itens)</t>
  </si>
  <si>
    <t xml:space="preserve">ESTJ LILY JUMBO REG/21</t>
  </si>
  <si>
    <t xml:space="preserve">ESTOJO LEAU DE LILY SOLEI MÃES 2025</t>
  </si>
  <si>
    <t xml:space="preserve">Kit L'eau de Lily - Natal 2024 (3 itens)</t>
  </si>
  <si>
    <t xml:space="preserve">ESTOJO LILY EDP MÃES 2025</t>
  </si>
  <si>
    <t xml:space="preserve">Kit Linda Irresistível - Natal 2024 (2 itens)</t>
  </si>
  <si>
    <t xml:space="preserve">ESTOJO LINDA MÃES 2025</t>
  </si>
  <si>
    <t xml:space="preserve">ESTOJO LIZ MÃES 2025 (HEROE)</t>
  </si>
  <si>
    <t xml:space="preserve">Kit Liz - Natal 2024 (2 itens)</t>
  </si>
  <si>
    <t xml:space="preserve">ESTOJO LIZ SUBLIME MÃES 2025</t>
  </si>
  <si>
    <t xml:space="preserve">Kit Malbec - Natal 2024 (4 itens)</t>
  </si>
  <si>
    <t xml:space="preserve">ESTJ MALBEC REG/22</t>
  </si>
  <si>
    <t xml:space="preserve">Kit Malbec X - Natal 2024 (2 itens)</t>
  </si>
  <si>
    <t xml:space="preserve">Kit Nativa SPA Ameixa - Natal 2024 (3 itens)</t>
  </si>
  <si>
    <t xml:space="preserve">Kit Nativa SPA Ameixa Dourada - Natal 2024 (3 itens)</t>
  </si>
  <si>
    <t xml:space="preserve">ESTOJO NATIVA SPA AMEIXA MÃES 2025</t>
  </si>
  <si>
    <t xml:space="preserve">Kit Nativa SPA Ameixa Negra - Natal 2024 (3 itens)</t>
  </si>
  <si>
    <t xml:space="preserve">Kit Quasar Vision - Natal 2024 (2 itens)</t>
  </si>
  <si>
    <t xml:space="preserve">Kit Uomini - Natal 2024 (2 itens)</t>
  </si>
  <si>
    <t xml:space="preserve">Kit Zaad - Natal 2024 (2 itens)</t>
  </si>
  <si>
    <t xml:space="preserve">KIT DR BOTICA MINI V3</t>
  </si>
  <si>
    <t xml:space="preserve">MALBEC CLUB APAR BARB GILLETTE MACH 3</t>
  </si>
  <si>
    <t xml:space="preserve">NECESSEIRE MEN COLLAB NBA PES</t>
  </si>
  <si>
    <t xml:space="preserve">MALBEC COND TRAT ANTIC CUIDADOS V3 250ml</t>
  </si>
  <si>
    <t xml:space="preserve">MALBEC COND TRAT ANTIQ CUIDADOS V3 250ml</t>
  </si>
  <si>
    <t xml:space="preserve">MALBEC SHAMP CAB OL CUIDADOS V2 250ml</t>
  </si>
  <si>
    <t xml:space="preserve">MALBEC SHAMP ESF ANTIC CUIDADOS V3 150ml</t>
  </si>
  <si>
    <t xml:space="preserve">MALBEC TON CAP ANTIQ CUIDADOS V3 100ml</t>
  </si>
  <si>
    <t xml:space="preserve">MALBEC BALM POS BARB SENSIT CUID V3 100g</t>
  </si>
  <si>
    <t xml:space="preserve">MALBEC CREM BARB SENSIT CUIDADOS V3 100g</t>
  </si>
  <si>
    <t xml:space="preserve">MALBEC ESPUM P/ BARB 200ml V4</t>
  </si>
  <si>
    <t xml:space="preserve">ZAAD ESPUM P/ BARB 200ml V4</t>
  </si>
  <si>
    <t xml:space="preserve">MEN LOC DES HID CPO 200g V2</t>
  </si>
  <si>
    <t xml:space="preserve">MALBEC CR MULTIPR FAC FPS30 ANTIOL 40ml</t>
  </si>
  <si>
    <t xml:space="preserve">MALBEC SERUM FAC ANTIOL 30ml</t>
  </si>
  <si>
    <t xml:space="preserve">BOTICA 214 SHW GEL CAB/CP/ROS V/FIR 100g</t>
  </si>
  <si>
    <t xml:space="preserve">CLASH SAB BARR 2x80g</t>
  </si>
  <si>
    <t>CLASH</t>
  </si>
  <si>
    <t xml:space="preserve">MEN SAB BARR NBA 2x90g</t>
  </si>
  <si>
    <t xml:space="preserve">MEN SHW GEL MULTIF NBA 205g</t>
  </si>
  <si>
    <t xml:space="preserve">ARBO SHW GEL REG 200g</t>
  </si>
  <si>
    <t xml:space="preserve">EGEO SHW GEL CPO ORIGNL 200g V2</t>
  </si>
  <si>
    <t xml:space="preserve">MALBEC SAB BARRA 2x80g</t>
  </si>
  <si>
    <t xml:space="preserve">MALBEC SHW GEL CAB/CPO GOLD 75g</t>
  </si>
  <si>
    <t xml:space="preserve">THE BLEND SHW GEL 2/1 CAB/CPO 250g V2</t>
  </si>
  <si>
    <t xml:space="preserve">DR BOTICA COND POC/BRLH 400ml V2</t>
  </si>
  <si>
    <t xml:space="preserve">DR BOTICA CREM PENT POC TIRA NO150g V2</t>
  </si>
  <si>
    <t xml:space="preserve">DR BOTICA SHAMP POC ESPUM V3 400ml</t>
  </si>
  <si>
    <t xml:space="preserve">DR BOTICA SAB BARRA POC/CORAG 3x80g V2</t>
  </si>
  <si>
    <t xml:space="preserve">SOPHIE NEXT LEAV CAP DIVERT2 MEMR 100ml</t>
  </si>
  <si>
    <t>SOPHIENEXT</t>
  </si>
  <si>
    <t xml:space="preserve">SOPHIE NEXT LOC HID DIVERT2 MEM 200ml</t>
  </si>
  <si>
    <t xml:space="preserve">QUASAR NEXT COL DIVERT2 50ml</t>
  </si>
  <si>
    <t xml:space="preserve">SOPHIE COL DIVERT2 MEMORIAS 100ml</t>
  </si>
  <si>
    <t xml:space="preserve">SOPHIE COND 200ml V2</t>
  </si>
  <si>
    <t xml:space="preserve">SOPHIE CREM PENT CACHOS V2 200ml</t>
  </si>
  <si>
    <t xml:space="preserve">MA CHERIE SAB BARRA 2x90g</t>
  </si>
  <si>
    <t xml:space="preserve">INTENSE BAT LIQ TINT 16H SUPF 245 V3 5ml</t>
  </si>
  <si>
    <t xml:space="preserve">INTENSE BAT LIQ TINT 16H SUPF 635 V3 5ml</t>
  </si>
  <si>
    <t xml:space="preserve">INTENSE BAT MAT 235 V3 3,8g</t>
  </si>
  <si>
    <t xml:space="preserve">INTENSE GLOS LAB 115 V2 5ml</t>
  </si>
  <si>
    <t xml:space="preserve">INTENSE GLOS LAB DEL/CHOCOLAT ROSA 5,5ml</t>
  </si>
  <si>
    <t xml:space="preserve">INTENSE GLOSS LAB ED LTDA BANANA 5,2ml</t>
  </si>
  <si>
    <t xml:space="preserve">MAKE B BALM LAB CLR/REP LIP/CH PINK 3,6g</t>
  </si>
  <si>
    <t xml:space="preserve">MAKE B BALM LAB CLR/REP LIP/CHR RED 3,6g</t>
  </si>
  <si>
    <t xml:space="preserve">MAKE B BAS LIQ PROT HYAL70 COR50 V2 30ml</t>
  </si>
  <si>
    <t xml:space="preserve">MAKE B BAS LIQ PROT HYAL70 COR80 V2 30ml</t>
  </si>
  <si>
    <t xml:space="preserve">MAKE B BAS LIQ PROT HYAL70 INVIS V3 30ml</t>
  </si>
  <si>
    <t xml:space="preserve">MAKE B BAT STCK PREENCH HYAL V2 3g</t>
  </si>
  <si>
    <t xml:space="preserve">MAKE B CORRET LIQ FAC EFFECT 10 V2 5,7ml</t>
  </si>
  <si>
    <t xml:space="preserve">MAKE B CORRET LIQ FAC EFFECT 50 V2 5,7ml</t>
  </si>
  <si>
    <t xml:space="preserve">MAKE B CORRET LIQ FAC EFFECT 60 V2 5,7ml</t>
  </si>
  <si>
    <t xml:space="preserve">MAKE B CORRET LIQ FAC EFFECT 70 V2 5,7ml</t>
  </si>
  <si>
    <t xml:space="preserve">MAKE B CORRET LIQ FAC EFFECT 80 V2 5,7ml</t>
  </si>
  <si>
    <t xml:space="preserve">MAKE B ILUM FAC STCK SUN HIT BRONZE 6,5g</t>
  </si>
  <si>
    <t xml:space="preserve">MAKE B ILUM FAC STCK SUN HIT ROSE 6,5g</t>
  </si>
  <si>
    <t xml:space="preserve">MAKE B ILUM PO COMP FAC GOLD V2 5,4g</t>
  </si>
  <si>
    <t xml:space="preserve">MAKE B MASC CIL EXPL GROW 10g</t>
  </si>
  <si>
    <t xml:space="preserve">MAKE B SIX MINI LIPS 6x0,04g</t>
  </si>
  <si>
    <t xml:space="preserve">MAKE B SRUM CIL/SOBRANC EXPL GROW 5g</t>
  </si>
  <si>
    <t xml:space="preserve">MAKE B BALM LABIAL NIGHT PLUMP LIP CHRONOLOGY 3,6g</t>
  </si>
  <si>
    <t xml:space="preserve">MAKE B BALM LAB NIGHT MASK LIP/CHRON 9g</t>
  </si>
  <si>
    <t xml:space="preserve">MAKE B BAT ST/PREN HYAL RED/CLAS V3 3,4g</t>
  </si>
  <si>
    <t xml:space="preserve">MAKE B LAP/OLH ULTRABLACK PRETO V2 1,2g</t>
  </si>
  <si>
    <t xml:space="preserve">EGEO DES COL CHOC HIGH 90ml</t>
  </si>
  <si>
    <t xml:space="preserve">LILY DES COL LEAU/LILY BLANCHE 75ml</t>
  </si>
  <si>
    <t xml:space="preserve">LILY EDP GARDENIA 75ml</t>
  </si>
  <si>
    <t xml:space="preserve">ESTJ ZAAD/THE BLEND EXPERIMENTACAO 4x4ml</t>
  </si>
  <si>
    <t xml:space="preserve">MALBEC DES COL ULTRA BLEU V2 100ml</t>
  </si>
  <si>
    <t xml:space="preserve">MALBEC DES COL BLEU V2 100ml</t>
  </si>
  <si>
    <t xml:space="preserve">MALBEC DES COL CLUB 100ml V4</t>
  </si>
  <si>
    <t xml:space="preserve">MEN DES COL NBA 100ml</t>
  </si>
  <si>
    <t xml:space="preserve">REF QUASAR DES COL BLUE 100ml</t>
  </si>
  <si>
    <t xml:space="preserve">REF QUASAR DES COL CLASSIC 100ml</t>
  </si>
  <si>
    <t xml:space="preserve">CBEM CARTCH PRES BEIJINHO</t>
  </si>
  <si>
    <t xml:space="preserve">Azulen Creme, 40g</t>
  </si>
  <si>
    <t>AZULEN</t>
  </si>
  <si>
    <t xml:space="preserve">BOTIK ACQ GEL HID ANTI SIN AC/POLIG 50g</t>
  </si>
  <si>
    <t xml:space="preserve">BOTIK CR HID FAC FIRM AC/POLIG 50g</t>
  </si>
  <si>
    <t xml:space="preserve">THATY SABONETE PERF C/2x90g VS3</t>
  </si>
  <si>
    <t>THATY</t>
  </si>
  <si>
    <t xml:space="preserve">CONNEXION WOODS DES COLONIA 100ml</t>
  </si>
  <si>
    <t>CONNEXION</t>
  </si>
  <si>
    <t xml:space="preserve">C/DIEM MAN DESODORANTE ANT AERO 75g VS3</t>
  </si>
  <si>
    <t>CARPEDIEM</t>
  </si>
  <si>
    <t xml:space="preserve">Egeo Woman Desodorante Colônia, 100ml</t>
  </si>
  <si>
    <t xml:space="preserve">N/SPA REST ROS/CASSIS DES COLONIA 200ml</t>
  </si>
  <si>
    <t xml:space="preserve">GALBE ESPUMA DE BARBEAR 200ml</t>
  </si>
  <si>
    <t>GALBE</t>
  </si>
  <si>
    <t xml:space="preserve">Quasar Fire Desodeorante Colônia, 125ml</t>
  </si>
  <si>
    <t xml:space="preserve">Portinari Desodorante Colônia, 100ml</t>
  </si>
  <si>
    <t xml:space="preserve">ACTIVE MOUSSE LIMPEZA FACIAL 150ml</t>
  </si>
  <si>
    <t>ACTIVE</t>
  </si>
  <si>
    <t xml:space="preserve">MAKE B. MASTERCILS 3D MASCARA VOL PRETA</t>
  </si>
  <si>
    <t xml:space="preserve">SOPHIE TEENS DES COLONIA 75ml</t>
  </si>
  <si>
    <t xml:space="preserve">SOPHIE TEENS GEL GLITTER</t>
  </si>
  <si>
    <t xml:space="preserve">SOPHIE TEENS SABONETE PERF 2x80g</t>
  </si>
  <si>
    <t xml:space="preserve">M/CHERIE LOCAO HIDR 230g VS5</t>
  </si>
  <si>
    <t xml:space="preserve">M/CHERIE DESODORANTE CRM ANT 50g VS5</t>
  </si>
  <si>
    <t xml:space="preserve">M/CHERIE SHAMPOO 230ml VS5</t>
  </si>
  <si>
    <t xml:space="preserve">M/CHERIE CONDICIONADOR 230g VS5</t>
  </si>
  <si>
    <t xml:space="preserve">Men Espuma Hidratante para Barbear, 190g</t>
  </si>
  <si>
    <t xml:space="preserve">THATY PRINCESS LOCAO H PERF DES CPO 200g</t>
  </si>
  <si>
    <t xml:space="preserve">QUASAR ONIX DES COLONIA 125ml</t>
  </si>
  <si>
    <t xml:space="preserve">ACQUA FOUGERE DES COLONIA 250ml VS2</t>
  </si>
  <si>
    <t>ADCOLONIA</t>
  </si>
  <si>
    <t xml:space="preserve">CAPRICHO COR POCKET BRILHO LAB ROSAD VS3</t>
  </si>
  <si>
    <t xml:space="preserve">N/SPA MANTEIGA DES CPO ROMA 250g</t>
  </si>
  <si>
    <t xml:space="preserve">N/SPA CONDICIONADOR CEREJA 250ml</t>
  </si>
  <si>
    <t xml:space="preserve">N/SPA CREME HID DES PES ACAI 75g</t>
  </si>
  <si>
    <t xml:space="preserve">N/SPA OLEO DES CPO VIOLETA 250ml</t>
  </si>
  <si>
    <t xml:space="preserve">N/SPA SABONETE GUARANA 100g</t>
  </si>
  <si>
    <t xml:space="preserve">N/SPA SABONETE ACAI 100g</t>
  </si>
  <si>
    <t xml:space="preserve">N/SPA SHAMPOO VERB/ALOE 400ml</t>
  </si>
  <si>
    <t xml:space="preserve">CUIDE-SE BEM LOCAO DE LIMPEZA 150ml VS2</t>
  </si>
  <si>
    <t xml:space="preserve">GALBE DESODORANTE ROLL ON 55ml VS3</t>
  </si>
  <si>
    <t xml:space="preserve">N/SPA SABONETE ESFOL ALG/MAR 200ml</t>
  </si>
  <si>
    <t xml:space="preserve">MAKE B. MINERAL DUO DE SOMBRAS SAF LILAS</t>
  </si>
  <si>
    <t xml:space="preserve">N/SPA CONDICIONADOR JAB/CAST 250ml</t>
  </si>
  <si>
    <t xml:space="preserve">Intense Sombra Compacta Cor 27, 1,2g</t>
  </si>
  <si>
    <t xml:space="preserve">Intense Pó Compacto Cor 5, 5g (Refil)</t>
  </si>
  <si>
    <t xml:space="preserve">Intense Pó Compacto Cor 6, 5g (Refil)</t>
  </si>
  <si>
    <t xml:space="preserve">THATY P/ HAPPY 2012 DES COLONIA 80ml</t>
  </si>
  <si>
    <t xml:space="preserve">FLORATTA/EMOTION OLEO PER D/CP 150ml VS4</t>
  </si>
  <si>
    <t xml:space="preserve">Floratta Gold Desodorante Colônia, 75ml</t>
  </si>
  <si>
    <t xml:space="preserve">COFFEE MEN DESODORANTE ROLL ON 55ml VS2</t>
  </si>
  <si>
    <t xml:space="preserve">Nativa Spa Pré Shampoo Purificante Argiloterapia, 180ml</t>
  </si>
  <si>
    <t xml:space="preserve">G/PLUS PROT SOLAR AEROS TON FPS30 120ml</t>
  </si>
  <si>
    <t>GOLDENPLUS</t>
  </si>
  <si>
    <t xml:space="preserve">CAPRICHO VINTAGE SOMBRA CREM ROSA RETRO</t>
  </si>
  <si>
    <t xml:space="preserve">ACTIVE GENES 30 + NOITE 50g</t>
  </si>
  <si>
    <t xml:space="preserve">ACTIVE GENES 45 + NOITE 50g</t>
  </si>
  <si>
    <t xml:space="preserve">Intense Sombra Compacta Cor 43, 1,2g</t>
  </si>
  <si>
    <t xml:space="preserve">GALBE GEL APOS BARBA 110g</t>
  </si>
  <si>
    <t xml:space="preserve">Cuide-Se Bem Sabonete Barra Amêndoas Baunilha, 2x80g</t>
  </si>
  <si>
    <t xml:space="preserve">ESTOJO G/PLUS VERAO 2012</t>
  </si>
  <si>
    <t xml:space="preserve">N/SPA DES COL VIOLETA SENSES 100ml</t>
  </si>
  <si>
    <t xml:space="preserve">MAKE B. BCC BATOM PERFEITO LIGHT ROUGE</t>
  </si>
  <si>
    <t xml:space="preserve">N/SPA SHAMPOO VERB/ALOE 400ml VS2</t>
  </si>
  <si>
    <t xml:space="preserve">MAKE B. PO COMPACTO BEGE NUDE VS2</t>
  </si>
  <si>
    <t xml:space="preserve">CAPRICHO DREAM TEAM TRIO DE SOMBRAS</t>
  </si>
  <si>
    <t xml:space="preserve">MAKE B. T/C DUO FRAG GL D/COL BR L C YEL</t>
  </si>
  <si>
    <t xml:space="preserve">MAKE B. TC LAPIS ESF OLH ELETRIC PURPLE</t>
  </si>
  <si>
    <t xml:space="preserve">MAKE B. UN COL QUART DE SOMBRAS BAKED PB</t>
  </si>
  <si>
    <t xml:space="preserve">MAKE B. UN COL QUART DE SOMBR BAKED P BR</t>
  </si>
  <si>
    <t xml:space="preserve">Intense Delineador Circus Duo Olho Abracadabra, 2,5ml</t>
  </si>
  <si>
    <t xml:space="preserve">ESTOJO ANNI NATAL 2015</t>
  </si>
  <si>
    <t xml:space="preserve">CART ADESIVOS INST 2021 C/50</t>
  </si>
  <si>
    <t xml:space="preserve">Válvula Vaporizadora Branca</t>
  </si>
  <si>
    <t xml:space="preserve">TOUCA DE BANHO EM PVC SPULOKIS MENINOS</t>
  </si>
  <si>
    <t xml:space="preserve">BOT PINCEL PO FACIAL IND VS4</t>
  </si>
  <si>
    <t xml:space="preserve">BOT PINCEL BLUSH IND VS4</t>
  </si>
  <si>
    <t xml:space="preserve">BOT PINCEL FAN IND VS3</t>
  </si>
  <si>
    <t xml:space="preserve">BOT PINCEL DE SOMBRA CHANFRADO IND VS3</t>
  </si>
  <si>
    <t xml:space="preserve">Make B. Pincel para Delinear Boca e Sombra</t>
  </si>
  <si>
    <t xml:space="preserve">BOT PINCEL BASE IND VS3</t>
  </si>
  <si>
    <t xml:space="preserve">Make B. Apontador</t>
  </si>
  <si>
    <t xml:space="preserve">MAKE B. RIO SIXTIES APLICADOR CILIO POST</t>
  </si>
  <si>
    <t xml:space="preserve">CUIDE-SE BEM FRASCO PORTATIL P/CON 100ml</t>
  </si>
  <si>
    <t xml:space="preserve">CUIDE-SE BEM FRASCO 100ML P/SHAMPOO</t>
  </si>
  <si>
    <t xml:space="preserve">LENCO EM CHIFFON MAKE B. RIO SIXTIES 13</t>
  </si>
  <si>
    <t xml:space="preserve">PETIT SOPHIE VAPORIZADOR ALUMINIO</t>
  </si>
  <si>
    <t xml:space="preserve">MAXI BOLSA POLIESTER BRAS/14</t>
  </si>
  <si>
    <t xml:space="preserve">MAKE B. TROPICAL COLORS PINCEL KABUKI</t>
  </si>
  <si>
    <t xml:space="preserve">MAKE B. TROPICAL COLORS PINCEL BASE</t>
  </si>
  <si>
    <t xml:space="preserve">MAKE B. TROPICAL COLORS PINCEL PO</t>
  </si>
  <si>
    <t xml:space="preserve">MAXI BOLSA OPS NATAL/11 VDA</t>
  </si>
  <si>
    <t xml:space="preserve">MAKE B NECESS MALHA METAL S/ALCA PEQUENA</t>
  </si>
  <si>
    <t xml:space="preserve">NECESSAIRE  MALHA METAL S/A MAKE B G</t>
  </si>
  <si>
    <t xml:space="preserve">LUVA ESFOLIANTE PVC N/SPA 15</t>
  </si>
  <si>
    <t xml:space="preserve">NATIVA SPA ESPONJA DE BANHO COLORIDA</t>
  </si>
  <si>
    <t xml:space="preserve">ESTJ ZAAD REG/22</t>
  </si>
  <si>
    <t xml:space="preserve">BOT CARTEIRA PU PAIS/15</t>
  </si>
  <si>
    <t xml:space="preserve">PRENDEDOR CANGA EM PP CUIDE-SE BEM 2015</t>
  </si>
  <si>
    <t xml:space="preserve">NECESSAIRE MASC POLIESTER S/A PAIS16</t>
  </si>
  <si>
    <t xml:space="preserve">LATA DECORADA EM METAL NATAL 2016</t>
  </si>
  <si>
    <t xml:space="preserve">Nativa Spa Banheirinha Rosa</t>
  </si>
  <si>
    <t xml:space="preserve">Nativa Spa Banheirinha Transparente</t>
  </si>
  <si>
    <t xml:space="preserve">Kit Caixa Vertical M Rosa Grafismo, Unidade</t>
  </si>
  <si>
    <t xml:space="preserve">Kit Caixa Vertical M Marrom Grafismo, Unidade</t>
  </si>
  <si>
    <t xml:space="preserve">BOTI TAPETINHO LIMPA PINCEIS</t>
  </si>
  <si>
    <t xml:space="preserve">ESTOJO PINCEIS ESSENCIAL</t>
  </si>
  <si>
    <t xml:space="preserve">Mochila Dr. Botica</t>
  </si>
  <si>
    <t xml:space="preserve">BOTICARIO CRTRA PAIS 2015 PU VDA</t>
  </si>
  <si>
    <t xml:space="preserve">NÉCESSAIRE BOTI BABY</t>
  </si>
  <si>
    <t xml:space="preserve">NÉCESSAIRE DR. BOTICA</t>
  </si>
  <si>
    <t xml:space="preserve">KIT TAG C/ 50</t>
  </si>
  <si>
    <t xml:space="preserve">MAKE B PINC PIGM ROSE GOLD</t>
  </si>
  <si>
    <t xml:space="preserve">NÉCESSAIRE RENDA</t>
  </si>
  <si>
    <t xml:space="preserve">ESPONJA KONJAC</t>
  </si>
  <si>
    <t xml:space="preserve">MATCH ESCV P/ACAB ABS</t>
  </si>
  <si>
    <t xml:space="preserve">Esponja Limpeza Facial</t>
  </si>
  <si>
    <t xml:space="preserve">CAIXA INST P LACO VERDE</t>
  </si>
  <si>
    <t xml:space="preserve">BOTI NECESS DUPLA FUME PVC S/ALC VDA</t>
  </si>
  <si>
    <t xml:space="preserve">BOTI ESPNJ DE BNH NUVEM EM PLTL VDA</t>
  </si>
  <si>
    <t xml:space="preserve">ESPONJA MAQUIAGEM</t>
  </si>
  <si>
    <t xml:space="preserve">BOTI CAPINHA BIGODE NAM SILICONE</t>
  </si>
  <si>
    <t xml:space="preserve">BOTI NECESS MASC MARROM PVC S/ALC</t>
  </si>
  <si>
    <t xml:space="preserve">BOTI NECESS PELO ROSA POLIEST S/ALC</t>
  </si>
  <si>
    <t xml:space="preserve">BOLSA VERÃO</t>
  </si>
  <si>
    <t xml:space="preserve">BOTI BABY FRALDA NANINHA</t>
  </si>
  <si>
    <t xml:space="preserve">PORTA-SABONETE LÍQUIDO</t>
  </si>
  <si>
    <t xml:space="preserve">BANDEJA DE LAVABO</t>
  </si>
  <si>
    <t xml:space="preserve">CUIDE-SE BEM BOLSA</t>
  </si>
  <si>
    <t xml:space="preserve">INTENSE ADESIVO FACIAL PS</t>
  </si>
  <si>
    <t xml:space="preserve">CADERNO DE BOLSO PARA IDEIAS BRILHANTES</t>
  </si>
  <si>
    <t xml:space="preserve">Make B. Kit Pincéis Com Case</t>
  </si>
  <si>
    <t xml:space="preserve">BOTI FRASQUEIRA NUDE C/VISOR PU C/A</t>
  </si>
  <si>
    <t xml:space="preserve">NSPA FRASQUEIRA LISTRAS</t>
  </si>
  <si>
    <t xml:space="preserve">FRASQUEIRA ROSÉ</t>
  </si>
  <si>
    <t xml:space="preserve">CBEM CAPINHA BOCA VERMELHA SILICONE</t>
  </si>
  <si>
    <t xml:space="preserve">DR BOTICA QUEBRA CABECA 60 PC PAPEL</t>
  </si>
  <si>
    <t xml:space="preserve">ARBO SHW GEL CAB/CPO 75g</t>
  </si>
  <si>
    <t xml:space="preserve">EGEO CARTCH PRES BLUE</t>
  </si>
  <si>
    <t xml:space="preserve">EGEO CARTCH PRES CHOC</t>
  </si>
  <si>
    <t xml:space="preserve">NSPA AMEIXA LATA ORGANIZADORA</t>
  </si>
  <si>
    <t xml:space="preserve">MOCHILA MALBEC</t>
  </si>
  <si>
    <t xml:space="preserve">MEN CR POS BARBA AZULEN 40g V10</t>
  </si>
  <si>
    <t xml:space="preserve">MATCH SHAMP RESP/CACH 250ml V2</t>
  </si>
  <si>
    <t xml:space="preserve">MATCH COND RESP/CACH 250ml V2</t>
  </si>
  <si>
    <t xml:space="preserve">MATCH CREM MODEL CACH RESP/CACH 290ml V2</t>
  </si>
  <si>
    <t xml:space="preserve">MATCH CR MODEL RESP/CACH CRESP 290ml V2</t>
  </si>
  <si>
    <t xml:space="preserve">MATCH GELAT MODEL CAP RESP/CACH 250g V2</t>
  </si>
  <si>
    <t xml:space="preserve">THE BLEND EDP 100ml V2</t>
  </si>
  <si>
    <t xml:space="preserve">ZAAD EDP 95ml V6</t>
  </si>
  <si>
    <t xml:space="preserve">ZAAD EDP MONDO 95ml V3</t>
  </si>
  <si>
    <t xml:space="preserve">CBEM SAB LIQ INT NUVEM 200ml</t>
  </si>
  <si>
    <t xml:space="preserve">CBEM SAB LIQ INT R/ALG 200ml</t>
  </si>
  <si>
    <t xml:space="preserve">REF LILY CR ACET DES HID CPO 250g V2</t>
  </si>
  <si>
    <t xml:space="preserve">MALBEC DES COL 100ml V4</t>
  </si>
  <si>
    <t xml:space="preserve">MALBEC DES COL VERT 100ml V3</t>
  </si>
  <si>
    <t xml:space="preserve">MALBEC EDP SIGNATURE 90ml V2</t>
  </si>
  <si>
    <t xml:space="preserve">ACCORDES DES COL 80ml V5</t>
  </si>
  <si>
    <t xml:space="preserve">ELYSEE EDP BLANC 50ml V2</t>
  </si>
  <si>
    <t xml:space="preserve">ELYSEE EDP NUIT 50ml V2</t>
  </si>
  <si>
    <t xml:space="preserve">MALBEC BALM POS BARBA SENSIT CLUB 100g</t>
  </si>
  <si>
    <t xml:space="preserve">NSPA LOC DES HID CPO F/AMEI 200ml V5</t>
  </si>
  <si>
    <t xml:space="preserve">NSPA CR H ANTIS COL/PES/BR QUIN 200g V2</t>
  </si>
  <si>
    <t xml:space="preserve">NSPA SAB LIQ CPO AMEI 200ml V3</t>
  </si>
  <si>
    <t xml:space="preserve">MATCH PRO SHAMP H/CARE NUTR 280ml</t>
  </si>
  <si>
    <t xml:space="preserve">BOTICOLL ACQUA FRESCA DES COL 200ml V2</t>
  </si>
  <si>
    <t xml:space="preserve">COFFEE DES COL MAN SEDUC 100ml V4</t>
  </si>
  <si>
    <t xml:space="preserve">QUASAR DES ANTIT AER 75g V9</t>
  </si>
  <si>
    <t xml:space="preserve">QUASAR DES BODY SPR 100ml V9</t>
  </si>
  <si>
    <t xml:space="preserve">REF QUASAR BDY DES SPR 100ml V8</t>
  </si>
  <si>
    <t xml:space="preserve">QUASAR SHW GEL CAB/CPO 200g V2</t>
  </si>
  <si>
    <t xml:space="preserve">ALCHEMISTS EDP ROSE 75ml V2</t>
  </si>
  <si>
    <t>ALCHEMISTS</t>
  </si>
  <si>
    <t xml:space="preserve">CBEM SHAMP HID PONT/PONTA 250m V3</t>
  </si>
  <si>
    <t xml:space="preserve">CBEM MASC CAP REST 250g V3</t>
  </si>
  <si>
    <t xml:space="preserve">CBEM LOC DES HID CPO NUVEM 200ml V2</t>
  </si>
  <si>
    <t xml:space="preserve">CBEM LOC DES HID CPO L/MEL 400ml V7</t>
  </si>
  <si>
    <t xml:space="preserve">CBEM DES COL BDY SPLSH DELEITE 200ml V2</t>
  </si>
  <si>
    <t xml:space="preserve">NSPA CR HID MAO AMEI/NEG 75g V2</t>
  </si>
  <si>
    <t xml:space="preserve">CBEM LOC DES HID CPO L/MEL 200ml V2</t>
  </si>
  <si>
    <t xml:space="preserve">REF CBEM LOC HID DES CPO NUVEM 400ml V2</t>
  </si>
  <si>
    <t xml:space="preserve">CBEM LOC DES HID CPO NUVEM 400ml V2</t>
  </si>
  <si>
    <t xml:space="preserve">ALCHEMISTS EDP OUD 75ml V2</t>
  </si>
  <si>
    <t xml:space="preserve">FLORATTA DES COL AMOR/LAVAN 75ml V2</t>
  </si>
  <si>
    <t xml:space="preserve">DREAM LOC H DES CPO AMOR NO AR 200ml V2</t>
  </si>
  <si>
    <t xml:space="preserve">ELYSEE DES ANTIT AEROSSOL 75g V3</t>
  </si>
  <si>
    <t xml:space="preserve">EGEO DES ANTIT AEROSSOL DOLCE 75g V9</t>
  </si>
  <si>
    <t xml:space="preserve">BOTICOLL PORTINARI DES COL 100ml V5</t>
  </si>
  <si>
    <t xml:space="preserve">NSPA LOC DES HID CPO AMEI/NEG 200ml V4</t>
  </si>
  <si>
    <t xml:space="preserve">NSPA LOC DES HID CPO AMEI 200ml V5</t>
  </si>
  <si>
    <t xml:space="preserve">REF NSPA LOC DES H CPO AMEI/NEG 400ml V2</t>
  </si>
  <si>
    <t xml:space="preserve">REF NSPA LOC FIRM D H CPO QUIN 400ml V2</t>
  </si>
  <si>
    <t xml:space="preserve">MALBEC LOC DES HID CPO VERT 200ml V3</t>
  </si>
  <si>
    <t xml:space="preserve">CAPRICHO DES COL BE MYSELF 50ml V2</t>
  </si>
  <si>
    <t xml:space="preserve">CBEM LOC DES HID CPO R/ALG 400ml V2</t>
  </si>
  <si>
    <t xml:space="preserve">CBEM LOC DES HID CPO R/ALG 200ml V2</t>
  </si>
  <si>
    <t xml:space="preserve">REF CBEM LOC HID DES CPO R/ALG 400ml V2</t>
  </si>
  <si>
    <t xml:space="preserve">CBEM ALCOOL GEL R/ALG 30g V2</t>
  </si>
  <si>
    <t xml:space="preserve">CBEM DES COL SPRAY CPO R/ALG 200ml V2</t>
  </si>
  <si>
    <t xml:space="preserve">CBEM DES COL BDY SPLSH NUVEM 200ml V2</t>
  </si>
  <si>
    <t xml:space="preserve">CBEM DES ANT AER R/ALG 75g/125ml V2</t>
  </si>
  <si>
    <t xml:space="preserve">DR BOTICA SHAMP POC ESPUMA 200ml V2</t>
  </si>
  <si>
    <t xml:space="preserve">DR BOTICA COND POC BRILHO 200ml V2</t>
  </si>
  <si>
    <t xml:space="preserve">CAPRICHO DES COL SWT 50ml V4</t>
  </si>
  <si>
    <t xml:space="preserve">MALBEC DES COL BLEU 50ml</t>
  </si>
  <si>
    <t xml:space="preserve">NSPA CR HID MAO AMEI 75g V5</t>
  </si>
  <si>
    <t xml:space="preserve">QUASAR GEL POS BARBA 110g V7</t>
  </si>
  <si>
    <t xml:space="preserve">QUASAR ESPUM P/ BARB 200ml V6</t>
  </si>
  <si>
    <t xml:space="preserve">BOTICOLL PORTINARI DES BDY SPR 100ml V7</t>
  </si>
  <si>
    <t xml:space="preserve">COFFEE DES ANTIT AER WOMAN SEDUC 75g V4</t>
  </si>
  <si>
    <t xml:space="preserve">MEN BALM POS BARBA 110g V5</t>
  </si>
  <si>
    <t xml:space="preserve">ZAAD DES ANTIT AER 75g V7</t>
  </si>
  <si>
    <t xml:space="preserve">MALBEC DES COL ABS 100ml V5</t>
  </si>
  <si>
    <t xml:space="preserve">MALBEC DES COL SPRT 100ml V4</t>
  </si>
  <si>
    <t xml:space="preserve">REF BOTICOLL PORTINARI DES B/SP 100ml V6</t>
  </si>
  <si>
    <t xml:space="preserve">THE BLEND DES ANTIT AER 75g/125ml V3</t>
  </si>
  <si>
    <t xml:space="preserve">REFIL MALBEC DES BDY SPR REG 100ml PK V5</t>
  </si>
  <si>
    <t xml:space="preserve">CAPRICHO LOC D HID CPO BEMYSELF 200ml V2</t>
  </si>
  <si>
    <t xml:space="preserve">CBEM ALCOOL GEL L/MEL 30g V2</t>
  </si>
  <si>
    <t xml:space="preserve">CBEM CREM PENT CACH 200g V3</t>
  </si>
  <si>
    <t xml:space="preserve">INTENSE DES COL GLOS 50ml V2</t>
  </si>
  <si>
    <t xml:space="preserve">CBEM SAB LIQ MAO ANTBAC NUVEM 400ml V2</t>
  </si>
  <si>
    <t xml:space="preserve">CBEM SAB BARR  L/MEL 2x80g V7</t>
  </si>
  <si>
    <t xml:space="preserve">FLORATTA CR DES HID CPO F/SECR 200ml V3</t>
  </si>
  <si>
    <t xml:space="preserve">ACCORDES DES BDY SPR 100ml V6</t>
  </si>
  <si>
    <t xml:space="preserve">EGEO DES ANTIT AER CHOC 75g V3</t>
  </si>
  <si>
    <t xml:space="preserve">DREAM LOC DES HID CPO CEU/BAUN 200ml V2</t>
  </si>
  <si>
    <t xml:space="preserve">FLORATTA DES BDY SPR ROSE 100ml V8</t>
  </si>
  <si>
    <t xml:space="preserve">ZAAD BALM POS BARB 110g V4</t>
  </si>
  <si>
    <t xml:space="preserve">BOTI CARTCH CUIDADOS NAM/22</t>
  </si>
  <si>
    <t xml:space="preserve">BOTI CARTCH COMB PERF NAM/22</t>
  </si>
  <si>
    <t xml:space="preserve">MAKE B MASC CILIO 4K PANORAMIC 10g</t>
  </si>
  <si>
    <t xml:space="preserve">MALBEC DES ANTIT AEROSOL 31g</t>
  </si>
  <si>
    <t xml:space="preserve">ESTJ SOPHIE MINI V2</t>
  </si>
  <si>
    <t xml:space="preserve">SOPHIE SHAMP 200ml V2</t>
  </si>
  <si>
    <t xml:space="preserve">COFFEE CREM DES HID W/SEDUC 75ml</t>
  </si>
  <si>
    <t xml:space="preserve">ZAAD BALM POS BARBA 40g V3</t>
  </si>
  <si>
    <t xml:space="preserve">CBEM SAB BARRA NUVEM 5x80g V4</t>
  </si>
  <si>
    <t xml:space="preserve">CBEM SAB BARRA SORT 5x80g V4</t>
  </si>
  <si>
    <t xml:space="preserve">BOTI BABY MOCHI MATERNIDADE C/ALC NYLON</t>
  </si>
  <si>
    <t xml:space="preserve">REF NSPA LOC DES H CPO L/PATCH 400ml V2</t>
  </si>
  <si>
    <t xml:space="preserve">BOTI CARTCH COMB CORACAO NAM/22</t>
  </si>
  <si>
    <t xml:space="preserve">BOTI CARTCH COMB LGBTQI C/ALC NAM/22</t>
  </si>
  <si>
    <t xml:space="preserve">BOTI CARTCH PRES COMB 1 MAE/22</t>
  </si>
  <si>
    <t xml:space="preserve">LILY CR HID MAO 50g V3</t>
  </si>
  <si>
    <t xml:space="preserve">CLASH DES COL 100ml</t>
  </si>
  <si>
    <t xml:space="preserve">UOMINI DES COL SPIRIT 100ml</t>
  </si>
  <si>
    <t xml:space="preserve">CLASH DES BDY SPR 100ml</t>
  </si>
  <si>
    <t xml:space="preserve">ACCORDES DES COL HARMONIA 80ml V4</t>
  </si>
  <si>
    <t xml:space="preserve">BOTICOLL SAB BARR CPO PERF 5x80g V2</t>
  </si>
  <si>
    <t xml:space="preserve">REF GLAMOUR DES B/SP SEC BL 100ml V2 PCK</t>
  </si>
  <si>
    <t xml:space="preserve">BOTI GIZ DE CERA</t>
  </si>
  <si>
    <t xml:space="preserve">NSPA SAB BARR CPO AMEI/NEG 2x90g V2</t>
  </si>
  <si>
    <t xml:space="preserve">SOPHIE SAB BARRA 3x80g V2</t>
  </si>
  <si>
    <t xml:space="preserve">DR BOTICA COL POCAO FORCA 120ml V2</t>
  </si>
  <si>
    <t xml:space="preserve">INTENSE GLOS LAB BY MELIS GLOS PNK 5,5ml</t>
  </si>
  <si>
    <t xml:space="preserve">INTENSE BLUSH/ILUM GLOW BY MELISSA 5,5g</t>
  </si>
  <si>
    <t xml:space="preserve">INTENSE GLOS LAB BY MELISS PL/LIPS 5,5ml</t>
  </si>
  <si>
    <t xml:space="preserve">BOTIK CR HID FAC ANTIOX VITAM C 50g</t>
  </si>
  <si>
    <t xml:space="preserve">SOPHIE COL CANDY 100ml V2</t>
  </si>
  <si>
    <t xml:space="preserve">DR BOTICA COL POCAO/CORAG 120ml V2</t>
  </si>
  <si>
    <t xml:space="preserve">FLORATTA DES BDY SPR BLUE 100ml V8</t>
  </si>
  <si>
    <t xml:space="preserve">FLORATTA DES COL BDY SPR S/LOVE 100ml V2</t>
  </si>
  <si>
    <t xml:space="preserve">MEN SHAMP ANTICASPA 200ml V2</t>
  </si>
  <si>
    <t xml:space="preserve">BOTI BABY COL LUA 100ml V2</t>
  </si>
  <si>
    <t xml:space="preserve">INTENSE BAT LIQ TINT 16H SUPF 535 V2 5ml</t>
  </si>
  <si>
    <t xml:space="preserve">INTENSE BAT LIQ TINT 16H SUPF 345 V3 5ml</t>
  </si>
  <si>
    <t xml:space="preserve">INTENSE BAT LIQ TINT 16H SUPF 425 V3 5ml</t>
  </si>
  <si>
    <t xml:space="preserve">INTENSE GLOS LAB 215 V2 5ml</t>
  </si>
  <si>
    <t xml:space="preserve">CBEM SAB BARR CPO L/MEL 5x80g V4</t>
  </si>
  <si>
    <t xml:space="preserve">INTENSE DEL LIQ HOL BY MELISS PINK 3,2ml</t>
  </si>
  <si>
    <t xml:space="preserve">INTENSE DEL LIQ HOL BY MELISS REAL 3,2ml</t>
  </si>
  <si>
    <t xml:space="preserve">NSPA LOC DES HID CPO M/ARG 250ml</t>
  </si>
  <si>
    <t xml:space="preserve">ESTJ NSPA QUINOA REG/21 V2</t>
  </si>
  <si>
    <t xml:space="preserve">CBEM SHAMP MELISSA 250ml</t>
  </si>
  <si>
    <t xml:space="preserve">CBEM COND MELISSA 250ml</t>
  </si>
  <si>
    <t xml:space="preserve">BOTI BOLSA FRU FRU PU</t>
  </si>
  <si>
    <t xml:space="preserve">CBEM CR HID P/PES MELISSA 75g</t>
  </si>
  <si>
    <t xml:space="preserve">CBEM LEAV CAP MELISSA 150ml</t>
  </si>
  <si>
    <t xml:space="preserve">GLAMOUR DES COL SCRT BLACK INTENSE 75ml</t>
  </si>
  <si>
    <t xml:space="preserve">CBEM LOC DES HID CPO MELISSA 200ml</t>
  </si>
  <si>
    <t xml:space="preserve">CBEM LOC DES HID CPO MELISSA 400ml</t>
  </si>
  <si>
    <t xml:space="preserve">CBEM DES COL BDY SPLSH MELI 60ml</t>
  </si>
  <si>
    <t xml:space="preserve">CBEM CR HID MAO MELISSA 25g</t>
  </si>
  <si>
    <t xml:space="preserve">NSPA LOC DES HID CPO M/ALE 250ml</t>
  </si>
  <si>
    <t xml:space="preserve">CBEM SAB LIQ DES CPO MELISSA 150ml</t>
  </si>
  <si>
    <t xml:space="preserve">CBEM DES AER P/PES MELISSA 125ml</t>
  </si>
  <si>
    <t xml:space="preserve">ESTJ MALBEC JUMBO REG/21 V2</t>
  </si>
  <si>
    <t xml:space="preserve">MAKE B ESPNJ MAQUIAGEM PU</t>
  </si>
  <si>
    <t xml:space="preserve">NSPA DES COL BDY SPLSH LILAC 200ml</t>
  </si>
  <si>
    <t xml:space="preserve">NSPA SAB LIQ PERF AMEIXA 250ml</t>
  </si>
  <si>
    <t xml:space="preserve">NSPA SAB LIQ PERF AMEIXA NEGRA 250ml</t>
  </si>
  <si>
    <t xml:space="preserve">NSPA SAB LIQ PERF QUINOA 250ml</t>
  </si>
  <si>
    <t xml:space="preserve">NSPA SAB LIQ PERF ORQUIDEA NOIRE 250ml</t>
  </si>
  <si>
    <t xml:space="preserve">REF NSPA SAB LIQ CPO PERF AMEIXA 200ml</t>
  </si>
  <si>
    <t xml:space="preserve">DR BOTICA COL POC/AMIZ V2 120ml</t>
  </si>
  <si>
    <t xml:space="preserve">ELYSEE EDP V2 50ml</t>
  </si>
  <si>
    <t xml:space="preserve">CBEM NECESSAIRE MELISSA TPU</t>
  </si>
  <si>
    <t xml:space="preserve">DR BOTICA COL POC/CORAC V2 120ml</t>
  </si>
  <si>
    <t xml:space="preserve">MALBEC DES ANTIT AER CLUB V2 75g</t>
  </si>
  <si>
    <t xml:space="preserve">COFFEE DES ANTIT AER MAN V8 75g</t>
  </si>
  <si>
    <t xml:space="preserve">MEN DES ANTIT AER V5 75g</t>
  </si>
  <si>
    <t xml:space="preserve">MEN DES ANTIT AER S/FRAG V4 75g</t>
  </si>
  <si>
    <t xml:space="preserve">BOTICOLL PORTINARI DES ANTIT AER V8 75g</t>
  </si>
  <si>
    <t xml:space="preserve">CAPRICHO DES COL V2 50ml</t>
  </si>
  <si>
    <t xml:space="preserve">KIT DEM FLORATTA DES COL REG 7x4ml V2</t>
  </si>
  <si>
    <t xml:space="preserve">MEN SHAMP 2/1 CAB/BARB V2 200ml</t>
  </si>
  <si>
    <t xml:space="preserve">MALBEC DES COL X V2 100ml</t>
  </si>
  <si>
    <t xml:space="preserve">KIT DEM MALBEC DES COL V2 7x4ml</t>
  </si>
  <si>
    <t xml:space="preserve">SOPHIE SHAMP V2 200ml</t>
  </si>
  <si>
    <t xml:space="preserve">QUASAR NEXT SHOWER GEL CAB/CPO V2 200g</t>
  </si>
  <si>
    <t xml:space="preserve">MALBEC DES COL 20 ANOS 100ml</t>
  </si>
  <si>
    <t xml:space="preserve">KIT OVERBAG BOTI PRESENTEAR ECOMMERCE M</t>
  </si>
  <si>
    <t xml:space="preserve">CAIXA LAÇO P MAES 2023</t>
  </si>
  <si>
    <t xml:space="preserve">CAIXA LACO M MAES 2023</t>
  </si>
  <si>
    <t xml:space="preserve">CAIXA LAÇO G MAES 2023</t>
  </si>
  <si>
    <t xml:space="preserve">CAIXA TOP M MAES 2023</t>
  </si>
  <si>
    <t xml:space="preserve">CARTAO PRESENTE MAES 2023</t>
  </si>
  <si>
    <t xml:space="preserve">KIT SACOLA  P MAES 2023 C/10 VD</t>
  </si>
  <si>
    <t xml:space="preserve">KIT SACOLA M MAES 2023 C/10 VD</t>
  </si>
  <si>
    <t xml:space="preserve">KIT TAG MAES 2023 C/10 VD</t>
  </si>
  <si>
    <t xml:space="preserve">KIT CAIXA LACO P MAES 2023 VD</t>
  </si>
  <si>
    <t xml:space="preserve">KIT CAIXA LACO G MAES 2023 VD</t>
  </si>
  <si>
    <t xml:space="preserve">KIT PAPEL SEDA MAES 2023 C/ 20 VD</t>
  </si>
  <si>
    <t xml:space="preserve">ENVELOPE CAIXA M MAES 2023</t>
  </si>
  <si>
    <t xml:space="preserve">ENVELOPE CAIXA P MAES 2023</t>
  </si>
  <si>
    <t xml:space="preserve">KIT CAIXA LACO M MAES 2023 VD</t>
  </si>
  <si>
    <t xml:space="preserve">ESTJ BOTI BABY NINHO V2</t>
  </si>
  <si>
    <t xml:space="preserve">CARTAO PRESENTE CREME MAOS MAES 2023</t>
  </si>
  <si>
    <t xml:space="preserve">ESTJ ELYSEE EXPERIMENTACAO V2 4x4ml</t>
  </si>
  <si>
    <t xml:space="preserve">ARBO DES COL ATLANTICA 100ml</t>
  </si>
  <si>
    <t xml:space="preserve">BOTIK BRUM REFR FAC/COLO RESV/SIL 110ml</t>
  </si>
  <si>
    <t xml:space="preserve">BOTIK CR NUTR FIRM ROS/PESC RESV/SIL 40g</t>
  </si>
  <si>
    <t xml:space="preserve">NSPA BALM HID LAB LILAC 7,5ml</t>
  </si>
  <si>
    <t xml:space="preserve">NSPA GEL LIMP FAC LILAC 100g</t>
  </si>
  <si>
    <t xml:space="preserve">CARTAO PRESENTE CREME MAOS NAMORADOS 23</t>
  </si>
  <si>
    <t xml:space="preserve">MAKE B BAT ST/PREN HYAL NUD CHIC V3 3,4g</t>
  </si>
  <si>
    <t xml:space="preserve">MAKE B BAT ST/PREN HYAL ROS BLUS V3 3,4g</t>
  </si>
  <si>
    <t xml:space="preserve">MAKE B BAT ST/PREN HYAL CAND TOF V3 3,4g</t>
  </si>
  <si>
    <t xml:space="preserve">PMPCK MEN CABELOS</t>
  </si>
  <si>
    <t xml:space="preserve">INTENSE GLOS LAB DEL/CHOCOLAT MARR 5,5ml</t>
  </si>
  <si>
    <t xml:space="preserve">PMPCK EGEO BLUE DES ANT AER 2x75g/125ml</t>
  </si>
  <si>
    <t xml:space="preserve">FLORATTA DES COL ROSE 30ml</t>
  </si>
  <si>
    <t xml:space="preserve">CAIXA TOP FORCA MAES 2023</t>
  </si>
  <si>
    <t xml:space="preserve">KIT OVERBAG BOTI PRESENTEAR ECOMMERCE P</t>
  </si>
  <si>
    <t xml:space="preserve">CAR PAIS 2023 MALBEC</t>
  </si>
  <si>
    <t xml:space="preserve">MALBEC GEL LIMP FAC ANTIOL 150g</t>
  </si>
  <si>
    <t xml:space="preserve">MATCH SHAMP SCIENCE PRE/POS QUIM 300ml</t>
  </si>
  <si>
    <t xml:space="preserve">MATCH COND SCIENCE PRE/POS QUIM 280ml</t>
  </si>
  <si>
    <t xml:space="preserve">MATCH MASC CAP SCIENCE RECONS V2 250g</t>
  </si>
  <si>
    <t xml:space="preserve">MATCH COND SCIENCE RECONSTRUCAO 280ml</t>
  </si>
  <si>
    <t xml:space="preserve">MATCH SHAMP SCIENCE CRESCIMENTO 300ml</t>
  </si>
  <si>
    <t xml:space="preserve">MATCH COND SCIENCE CRESCIMENTO 280ml</t>
  </si>
  <si>
    <t xml:space="preserve">MATCH TON CAP SCIENCE CRESC V2 65ml</t>
  </si>
  <si>
    <t xml:space="preserve">MATCH SHAMP SCIENCE RECONSTRUCAO 300ml</t>
  </si>
  <si>
    <t xml:space="preserve">CBEM LOC DES HID CPO PESSEGUR/GOST 400ml</t>
  </si>
  <si>
    <t xml:space="preserve">FLORATTA SHOWER GEL CPO BLUE V2 75g</t>
  </si>
  <si>
    <t xml:space="preserve">DR BOTICA GEL CAP POCAO MODELAR V2 80g</t>
  </si>
  <si>
    <t xml:space="preserve">EGEO SHW GEL CAB/CPO BLUE V2 100g</t>
  </si>
  <si>
    <t xml:space="preserve">CBEM SHAMP FEIRA VINAGRE/MACA V2 230ml</t>
  </si>
  <si>
    <t xml:space="preserve">ARBO SHOWER GEL CAB/CPO V2 200g</t>
  </si>
  <si>
    <t xml:space="preserve">SOPHIE NEXT COL DIVERT2 MEM 100ml</t>
  </si>
  <si>
    <t xml:space="preserve">KIT TAG VD PAIS 2023 C/ 10 VD</t>
  </si>
  <si>
    <t xml:space="preserve">SOPHIE NEXT SAB LIQ DIVERT2 MEM 200ml</t>
  </si>
  <si>
    <t xml:space="preserve">MAKE B PLT MULTIF SUN HIT 8g</t>
  </si>
  <si>
    <t xml:space="preserve">SOPHIE NEXT DES ROLL DIVERT2 MEMR 55ml</t>
  </si>
  <si>
    <t xml:space="preserve">MAKE B PLT MULTIF CER/ROUGE NAT/24 73,8g</t>
  </si>
  <si>
    <t xml:space="preserve">BOTI NECESS ROSA/PRETA PU</t>
  </si>
  <si>
    <t xml:space="preserve">CARTUCHO PRESENTE BOTI NATAL/23</t>
  </si>
  <si>
    <t xml:space="preserve">CAIXA LACO P NATAL 2023</t>
  </si>
  <si>
    <t xml:space="preserve">CAIXA LACO M NATAL 2023</t>
  </si>
  <si>
    <t xml:space="preserve">CAIXA LACO G NATAL 2023</t>
  </si>
  <si>
    <t xml:space="preserve">ENVELOPE CAIXA P NATAL 2023</t>
  </si>
  <si>
    <t xml:space="preserve">ENVELOPE CAIXA M NATAL 2023</t>
  </si>
  <si>
    <t xml:space="preserve">CARTAO PRESENTE NATAL 2023</t>
  </si>
  <si>
    <t xml:space="preserve">ARBO NECESSAIRE PES</t>
  </si>
  <si>
    <t xml:space="preserve">BOTI NECESSAIRE VIAGEM NYLON</t>
  </si>
  <si>
    <t xml:space="preserve">KIT SAC P NATAL 2023 C/10 VD</t>
  </si>
  <si>
    <t xml:space="preserve">KIT SAC M NATAL 2023 C/10 VD</t>
  </si>
  <si>
    <t xml:space="preserve">KIT PAPEL SEDA NATAL 2023 C/ 20 VD</t>
  </si>
  <si>
    <t xml:space="preserve">KIT TAG NATAL 2023 C/10 VD</t>
  </si>
  <si>
    <t xml:space="preserve">NSPA OLEO ACUC ESF CPO AMEI V4 200g</t>
  </si>
  <si>
    <t xml:space="preserve">KIT GIFT STATION NAT/23 VD REVENDEDORA</t>
  </si>
  <si>
    <t xml:space="preserve">BOT SUN PR FAC C/C FPS70 A/F COR 02 40ml</t>
  </si>
  <si>
    <t xml:space="preserve">BOT SUN PR FAC C/C FPS70 A/F COR 01 40ml</t>
  </si>
  <si>
    <t xml:space="preserve">BOT SUN PR FAC C/C FPS70 A/F COR 03 40ml</t>
  </si>
  <si>
    <t xml:space="preserve">BOT SUN PR FAC C/C FPS70 A/F COR 04 40ml</t>
  </si>
  <si>
    <t xml:space="preserve">BOT SUN PR FAC C/C FPS70 A/F COR 05 40ml</t>
  </si>
  <si>
    <t xml:space="preserve">BOT SUN PR FAC C/C FPS70 A/F COR 07 40ml</t>
  </si>
  <si>
    <t xml:space="preserve">BOT SUN PR FAC C/C FPS70 A/F COR 06 40ml</t>
  </si>
  <si>
    <t xml:space="preserve">KIT SAC M DISNEY 2023 C/10 VD</t>
  </si>
  <si>
    <t xml:space="preserve">KIT TAG DISNEY 2023 C/ 10 VD</t>
  </si>
  <si>
    <t xml:space="preserve">KIT CART ADESIVA DISNEY 2023 C/ 10 VD</t>
  </si>
  <si>
    <t xml:space="preserve">SOPHIE NEXT AROMAT DIVERT2 MEM 100ml</t>
  </si>
  <si>
    <t xml:space="preserve">NSPA LOC DES AVELUD CPO CER/ROUGE 400ml</t>
  </si>
  <si>
    <t xml:space="preserve">REF NSPA LOC DES AVEL CP CER/ROUGE 350ml</t>
  </si>
  <si>
    <t xml:space="preserve">NSPA LOC DES AVELUD CPO CER/ROUGE 180ml</t>
  </si>
  <si>
    <t xml:space="preserve">NSPA SAB LIQ PERF CPO CER/ROUGE 250ml</t>
  </si>
  <si>
    <t xml:space="preserve">LILY SAB BARRA DECORADO 2x90g</t>
  </si>
  <si>
    <t xml:space="preserve">LILY DES BDY SPR LEAU/LILY BLANC 100ml</t>
  </si>
  <si>
    <t xml:space="preserve">CBEM SHAMP HID NUVEM V2 250ml</t>
  </si>
  <si>
    <t xml:space="preserve">CBEM COND HID NUVEM V2 250ml</t>
  </si>
  <si>
    <t xml:space="preserve">CBEM D/COL BDY SPLSH DEL/CHOCOLAT 200ml</t>
  </si>
  <si>
    <t xml:space="preserve">NSPA DES COL BDY SPLSH CER/ROUGE 200ml</t>
  </si>
  <si>
    <t xml:space="preserve">BOTI NECESS MINI ALG</t>
  </si>
  <si>
    <t xml:space="preserve">NSPA CREM ANT/RESSEC MAOS CER/ROUGE 50g</t>
  </si>
  <si>
    <t xml:space="preserve">KIT SACOLA EXTRA P NATAL 2023 C/10 VD</t>
  </si>
  <si>
    <t xml:space="preserve">MAKE B BAT CREM CER/RGE RED CHERRY 3,6g</t>
  </si>
  <si>
    <t xml:space="preserve">MAKE B GLOS LAB CER/RGE DARK CHERRY 5ml</t>
  </si>
  <si>
    <t xml:space="preserve">SACOLA ENVELOPE P NATAL 2023</t>
  </si>
  <si>
    <t xml:space="preserve">SACOLA ENVELOPE M NATAL 2023</t>
  </si>
  <si>
    <t xml:space="preserve">SACOLA ENVELOPE G NATAL 2023</t>
  </si>
  <si>
    <t xml:space="preserve">INTENSE PLT MULTIF DEL CHOCOLATUDO 5g</t>
  </si>
  <si>
    <t xml:space="preserve">ZAAD EDP MONDO V4 95ml</t>
  </si>
  <si>
    <t xml:space="preserve">CBEM SAB BARRA PESSEGUR/GOST 4x80g</t>
  </si>
  <si>
    <t xml:space="preserve">CBEM D/COL BDY SPLSH NUV/ALEG 200ml</t>
  </si>
  <si>
    <t xml:space="preserve">SOPHIE NEXT LIVRO DIVERT 2 MEMORIAS</t>
  </si>
  <si>
    <t xml:space="preserve">Kit Malbec Gold - Natal 2024 (2 itens)</t>
  </si>
  <si>
    <t xml:space="preserve">Kit Egeo Blue - Natal 2024 (3 itens)</t>
  </si>
  <si>
    <t xml:space="preserve">BOTIK SRUM ALT/POT AC MAND/SALIC V2 30ml</t>
  </si>
  <si>
    <t xml:space="preserve">KIT SAC G INST VERDE C/10 VD</t>
  </si>
  <si>
    <t xml:space="preserve">CBEM BDY SPLSH DES COL MARACUJA</t>
  </si>
  <si>
    <t xml:space="preserve">EGEO SUFLE DES HID CPO CHOC HIGH 250g</t>
  </si>
  <si>
    <t xml:space="preserve">MALBEC DES COL PURE GOLD 100ml</t>
  </si>
  <si>
    <t xml:space="preserve">QUASAR DES COL DEEP BLUE 100ml</t>
  </si>
  <si>
    <t xml:space="preserve">QUASAR DES BDY SPR DEEP BLUE 100ml</t>
  </si>
  <si>
    <t xml:space="preserve">ESTJ FLORATTA BLUE V2</t>
  </si>
  <si>
    <t xml:space="preserve">ESTJ ARBO REG V2</t>
  </si>
  <si>
    <t xml:space="preserve">CBEM CREM ESF CPO PESSEGURA V3 230g</t>
  </si>
  <si>
    <t xml:space="preserve">BOTIK GEL FAC LIMP NUTR VITAM B5 V2 150g</t>
  </si>
  <si>
    <t xml:space="preserve">MA CHERIE LATA PRESENTEAVEL ALUM</t>
  </si>
  <si>
    <t xml:space="preserve">EGEO SHW GEL CAB/CPO BOMB BLACK 100g</t>
  </si>
  <si>
    <t xml:space="preserve">LILY SAB BARR 2x80g</t>
  </si>
  <si>
    <t xml:space="preserve">MAKE B CORRET LIQ FAC EFFECT 15 V2 5,7ml</t>
  </si>
  <si>
    <t xml:space="preserve">MAKE B CORRET LIQ FAC EFFECT 20 V2 5,7ml</t>
  </si>
  <si>
    <t xml:space="preserve">MAKE B CORRET LIQ FAC EFFECT 25 V2 5,7ml</t>
  </si>
  <si>
    <t xml:space="preserve">MAKE B CORRET LIQ FAC EFFECT 30 V2 5,7ml</t>
  </si>
  <si>
    <t xml:space="preserve">MAKE B CORRET LIQ FAC EFFECT 40 V2 5,7ml</t>
  </si>
  <si>
    <t xml:space="preserve">MEN CREM POS BARB AZULEN V11 40g</t>
  </si>
  <si>
    <t xml:space="preserve">EGEO DES COL FRESH MELI 90ml</t>
  </si>
  <si>
    <t xml:space="preserve">EGEO DES COL SWEET MELI 90ml</t>
  </si>
  <si>
    <t xml:space="preserve">BOTICA 214 EDP SEV/DOR FOUG/AROM 90ml</t>
  </si>
  <si>
    <t xml:space="preserve">BOTICA 214 EDP SEV/DOR FLOR/FRUT 75ml</t>
  </si>
  <si>
    <t xml:space="preserve">MALBEC DES BDY SPR GOLD 100ml</t>
  </si>
  <si>
    <t xml:space="preserve">CASA 214 CREM HID MAO VAN/SUBLIM 50g</t>
  </si>
  <si>
    <t xml:space="preserve">BOTI NECESS C/DIVISORIAS PRETA PU NAT/24</t>
  </si>
  <si>
    <t xml:space="preserve">ESTJ MA CHERIE 24</t>
  </si>
  <si>
    <t xml:space="preserve">MALBEC SHAMP ANTIQUEDA CUIDADOS V3 250ml</t>
  </si>
  <si>
    <t xml:space="preserve">REF NSPA LOC DES HID CP UVA MERLOT 350ml</t>
  </si>
  <si>
    <t xml:space="preserve">NSPA LOC DES HID CPO UVA MERLOT 180ml</t>
  </si>
  <si>
    <t xml:space="preserve">NSPA OL BIF DES HID CPO UVA MERL 200ml</t>
  </si>
  <si>
    <t xml:space="preserve">MALBEC CREM FAC 6/1 CUIDADOS 50ml</t>
  </si>
  <si>
    <t xml:space="preserve">MALBEC LOC DES HID CPO CUIDADOS V3 200ml</t>
  </si>
  <si>
    <t xml:space="preserve">MALBEC SAB LIQ CPO CUIDADOS 250g</t>
  </si>
  <si>
    <t xml:space="preserve">MALBEC ESPUM P/BARB SENSIT CUID V3 200ml</t>
  </si>
  <si>
    <t xml:space="preserve">MALBEC SHAMP P/BARBA CUIDADOS V3 100ml</t>
  </si>
  <si>
    <t xml:space="preserve">MALBEC OLEO P/BARBA CUIDADOS V4 25ml</t>
  </si>
  <si>
    <t xml:space="preserve">MALBEC SHAMP ANTIC CUIDADOS V3 250ml</t>
  </si>
  <si>
    <t xml:space="preserve">PMPCK MALBEC SENSITIVE V2</t>
  </si>
  <si>
    <t xml:space="preserve">PMPCK MALBEC CUIDADOS ANTICASPA V3</t>
  </si>
  <si>
    <t xml:space="preserve">PMPCK MALBEC ANTIQUEDA V3</t>
  </si>
  <si>
    <t xml:space="preserve">BOTI BABY COL LUA 100ml</t>
  </si>
  <si>
    <t xml:space="preserve">SOPHIE COND CACH V2 200ml</t>
  </si>
  <si>
    <t xml:space="preserve">BOTIK GEL CONC LIMP FAC AC/GLIC V2 150g</t>
  </si>
  <si>
    <t xml:space="preserve">PMPCK CBEM DES ROLL ON S/ALUMINIO</t>
  </si>
  <si>
    <t xml:space="preserve">CBEM SHAMP FEIRA BANANA V2 230ml</t>
  </si>
  <si>
    <t xml:space="preserve">CBEM COND LISOS V4 250ml</t>
  </si>
  <si>
    <t xml:space="preserve">CBEM COND CACHOS V4 250ml</t>
  </si>
  <si>
    <t xml:space="preserve">CBEM COND F/BANANA V2 170ml</t>
  </si>
  <si>
    <t xml:space="preserve">CBEM MASC SCH F/BANANA V2 30ml</t>
  </si>
  <si>
    <t xml:space="preserve">CBEM SHAMP LISOS V4 250ml</t>
  </si>
  <si>
    <t xml:space="preserve">CBEM SHAMP CACHOS V4 250ml</t>
  </si>
  <si>
    <t xml:space="preserve">CAR GIFT STATION NATAL/23 VD UNIT</t>
  </si>
  <si>
    <t xml:space="preserve">NSPA OLEO ACUCAR ESF CPO PITAYA 200g</t>
  </si>
  <si>
    <t xml:space="preserve">FLORATTA EDP RED PASSION 75ml</t>
  </si>
  <si>
    <t xml:space="preserve">INTENSE GLOSS LAB ED LTDA MELANCIA 5,2ml</t>
  </si>
  <si>
    <t xml:space="preserve">MALBEC SHAMP GRISALHOS CUIDADOS V4 250ml</t>
  </si>
  <si>
    <t xml:space="preserve">REF NSPA LOC DES HID CPO AMEI/NEG 350ml</t>
  </si>
  <si>
    <t xml:space="preserve">REF NSPA LOC DES HID CPO AMEIXA 350ml</t>
  </si>
  <si>
    <t xml:space="preserve">HER CODE EDP TOUCH 50ml</t>
  </si>
  <si>
    <t xml:space="preserve">MATCH OLEO CAP NUTR/PROF V2 50ml</t>
  </si>
  <si>
    <t xml:space="preserve">MATCH MASC CAP NUTR PROFUNDA V2 250g</t>
  </si>
  <si>
    <t xml:space="preserve">MATCH LEAV CAP NUTR/PROF V2 150ml</t>
  </si>
  <si>
    <t xml:space="preserve">MATCH SHAMP NUTR PROFUNDA V2 300ml</t>
  </si>
  <si>
    <t xml:space="preserve">MATCH OL BIFASICO NUTR REGEN V2 90ml</t>
  </si>
  <si>
    <t xml:space="preserve">MATCH MASC CAP NUTR/REGEN V2 250g</t>
  </si>
  <si>
    <t xml:space="preserve">MATCH COND NUTRICAO REGEN V2 280ml</t>
  </si>
  <si>
    <t xml:space="preserve">ENVELOPE P MÃES 2024</t>
  </si>
  <si>
    <t xml:space="preserve">ENVELOPE M MÃES 2024</t>
  </si>
  <si>
    <t xml:space="preserve">KIT CAIXA LACO P MAES/24 VD</t>
  </si>
  <si>
    <t xml:space="preserve">KIT CAIXA LACO M MAES/24 VD</t>
  </si>
  <si>
    <t xml:space="preserve">KIT CAIXA LACO G MAES/24 VD</t>
  </si>
  <si>
    <t xml:space="preserve">CARTAO PRESENTE MAES/24</t>
  </si>
  <si>
    <t xml:space="preserve">KIT SAC. PP MAES 2024 C/10 VD</t>
  </si>
  <si>
    <t xml:space="preserve">KIT SAC. P MAES 2024 C/10 VD</t>
  </si>
  <si>
    <t xml:space="preserve">KIT SAC. M MAES 2024 C/10 VD</t>
  </si>
  <si>
    <t xml:space="preserve">KIT PAPEL SEDA MAES 2024 C/ 20 VD</t>
  </si>
  <si>
    <t xml:space="preserve">KIT TAG VD MAES 2024 C/10</t>
  </si>
  <si>
    <t xml:space="preserve">CAIXA MÃES 2024 LIZ INST</t>
  </si>
  <si>
    <t xml:space="preserve">CAIXA MÃES 2024 HER CODE INST</t>
  </si>
  <si>
    <t xml:space="preserve">KIT GIFT TO GO MAES 2024 VD UNIT</t>
  </si>
  <si>
    <t xml:space="preserve">KIT GIFT TO GO MAES 2024 VD REVEND UNIT</t>
  </si>
  <si>
    <t xml:space="preserve">BOTI BABY LOC CPO BNH/POS BNH LUA 200ml</t>
  </si>
  <si>
    <t xml:space="preserve">BOTIK GEL LIMP FAC CIC/PANT/CER 200g</t>
  </si>
  <si>
    <t xml:space="preserve">BOTIK AGUA MICLR FAC CIC/PANT/CER 200ml</t>
  </si>
  <si>
    <t xml:space="preserve">BOTIK CR MULTIREP FAC CIC/PANT/CER 30g</t>
  </si>
  <si>
    <t xml:space="preserve">BOTICA 214 LC D/HD SEV/DOR AMOR/25 200ml</t>
  </si>
  <si>
    <t xml:space="preserve">GLAMOUR DES COL MYRIAD 75ml V2</t>
  </si>
  <si>
    <t xml:space="preserve">GLAMOUR DES COL 75ml V6</t>
  </si>
  <si>
    <t xml:space="preserve">GLAMOUR DES COL SEC BL 75ml V4</t>
  </si>
  <si>
    <t xml:space="preserve">MALBEC LOC DES HID CPO RPCK 200ml</t>
  </si>
  <si>
    <t xml:space="preserve">SOPHIE SHAMP CACH 200ml</t>
  </si>
  <si>
    <t xml:space="preserve">SOPHIE COND CACH 200ml</t>
  </si>
  <si>
    <t xml:space="preserve">SOPHIE CREM PENT CACH 200ml</t>
  </si>
  <si>
    <t xml:space="preserve">CAIXA TOP MAES/24</t>
  </si>
  <si>
    <t xml:space="preserve">UOMINI DES COL 100ml V5</t>
  </si>
  <si>
    <t xml:space="preserve">UOMINI DES COL BLACK 100ml V5</t>
  </si>
  <si>
    <t xml:space="preserve">UOMINI DES ANTIT AER 75g V7</t>
  </si>
  <si>
    <t xml:space="preserve">UOMINI DES ANTIT AER BLACK 75g V7</t>
  </si>
  <si>
    <t xml:space="preserve">REF UOMINI DES BDY SPR 100ml V6 PCK</t>
  </si>
  <si>
    <t xml:space="preserve">KIT TAG NAMORADOS/24 VD C/10</t>
  </si>
  <si>
    <t xml:space="preserve">CARTAO PRESENTE NAMORADOS/24</t>
  </si>
  <si>
    <t xml:space="preserve">KIT SACOLA M SAO JOAO/24 C/10 VD</t>
  </si>
  <si>
    <t xml:space="preserve">KIT SACOLA M PARINTINS/24 C/10 VD</t>
  </si>
  <si>
    <t xml:space="preserve">CAIXA M PAIS/24</t>
  </si>
  <si>
    <t xml:space="preserve">CAIXA M FLAG PAIS/24</t>
  </si>
  <si>
    <t xml:space="preserve">SACOLA M PAIS/24</t>
  </si>
  <si>
    <t xml:space="preserve">KIT SACOLA M PAIS/24 C/10 VD</t>
  </si>
  <si>
    <t xml:space="preserve">KIT TAG PAIS/24 VD C/10</t>
  </si>
  <si>
    <t xml:space="preserve">CAIXA M CASA 214 2024</t>
  </si>
  <si>
    <t xml:space="preserve">GLAMOUR DES ANTIT AER 75g V7</t>
  </si>
  <si>
    <t xml:space="preserve">GLAMOUR DES BDY SPR SEC BL 100ml V3 PCK</t>
  </si>
  <si>
    <t xml:space="preserve">UOMINI DES BDY SPR 100ml V7 PCK</t>
  </si>
  <si>
    <t xml:space="preserve">GLAMOUR DES COL DIVA 75ml V2</t>
  </si>
  <si>
    <t xml:space="preserve">MATCH PRO MASC CAP NUTRICAO 500g</t>
  </si>
  <si>
    <t xml:space="preserve">CBEM DES COL BDY SPLSH CER LIVRE 200ml</t>
  </si>
  <si>
    <t xml:space="preserve">NSPA COND ROSE 300ml V2</t>
  </si>
  <si>
    <t xml:space="preserve">GLAMOUR DES ANTIT AER GOLD GLAM 75g</t>
  </si>
  <si>
    <t xml:space="preserve">MATCH PRO SHAMP NUTR 60ml MINI</t>
  </si>
  <si>
    <t xml:space="preserve">MATCH PRO SHAMP RECONS 60ml MINI</t>
  </si>
  <si>
    <t xml:space="preserve">GLAMOUR DES COL FEVER 75ml V2</t>
  </si>
  <si>
    <t xml:space="preserve">GLAMOUR DES ANTIT AER MYRIAD 75g V3</t>
  </si>
  <si>
    <t xml:space="preserve">GLAMOUR DES BDY SPR 100ml V6 PCK</t>
  </si>
  <si>
    <t xml:space="preserve">MALBEC EDP SIGNATURE V3 90ml</t>
  </si>
  <si>
    <t xml:space="preserve">MALBEC DES COL V6 100ml</t>
  </si>
  <si>
    <t xml:space="preserve">MALBEC DES COL NOIR V3 100ml</t>
  </si>
  <si>
    <t xml:space="preserve">MALBEC DES COL SPORT V4 100ml</t>
  </si>
  <si>
    <t xml:space="preserve">MALBEC DES COL MAGNETIC V3 100ml</t>
  </si>
  <si>
    <t xml:space="preserve">MALBEC DES COL GOLD V3 100ml</t>
  </si>
  <si>
    <t xml:space="preserve">MALBEC DES COL BLACK V2 100ml</t>
  </si>
  <si>
    <t xml:space="preserve">MALBEC DES COL VERT V3 100ml</t>
  </si>
  <si>
    <t xml:space="preserve">MALBEC DES COL FLAME V2 100ml</t>
  </si>
  <si>
    <t xml:space="preserve">MALBEC SAB BARRA 4x80g</t>
  </si>
  <si>
    <t xml:space="preserve">MALBEC SAB BARRA PURE GOLD 2x80g</t>
  </si>
  <si>
    <t xml:space="preserve">MALBEC SAB BARRA CUIDADOS 2x80g</t>
  </si>
  <si>
    <t xml:space="preserve">MALBEC LOC DES HID CPO PURE GOLD 200ml</t>
  </si>
  <si>
    <t xml:space="preserve">MALBEC CREM PRE/POS BARBA PURE GOLD 200g</t>
  </si>
  <si>
    <t xml:space="preserve">REF MALBEC DES COL 100ml</t>
  </si>
  <si>
    <t xml:space="preserve">MATCH SHAMP NUTR PROFUNDA V2 50ml</t>
  </si>
  <si>
    <t xml:space="preserve">REF MATCH SHAMP NUTR PROFUNDA V2 250ml</t>
  </si>
  <si>
    <t xml:space="preserve">REF MATCH MASC CAP NUTR/PROF V2 250ml</t>
  </si>
  <si>
    <t xml:space="preserve">BOTIK REPAR LAB CIC/PANT/CER 7,5ml</t>
  </si>
  <si>
    <t xml:space="preserve">MAKE B PRIMER FAC DROPS OF BEAUTY 30ml</t>
  </si>
  <si>
    <t xml:space="preserve">COFFEE SAB LIQ CPO WOMAN SEDUCTION 150ml</t>
  </si>
  <si>
    <t xml:space="preserve">LIZ CREM DES HID CPO SUBLIME 100ml</t>
  </si>
  <si>
    <t xml:space="preserve">CBEM SAB BARRA DELEITE V4 2x80g</t>
  </si>
  <si>
    <t xml:space="preserve">CBEM CREM HID MAOS DELEITE V4 45g</t>
  </si>
  <si>
    <t xml:space="preserve">CBEM DES ANTIT ROLL L/MEL V8 55ml</t>
  </si>
  <si>
    <t xml:space="preserve">CBEM LOC DES HID CPO DELEITE V3 400ml</t>
  </si>
  <si>
    <t xml:space="preserve">MATCH COND NUTR/PROF V2 280ml</t>
  </si>
  <si>
    <t xml:space="preserve">NSPA OLEO/CREME CPO AMEIXA 200g</t>
  </si>
  <si>
    <t xml:space="preserve">MAKE B BAT CREM CLR U/BALLET LC WIN 3,6g</t>
  </si>
  <si>
    <t xml:space="preserve">BOTICOLL PORTINARI NECESS PU PAIS/25</t>
  </si>
  <si>
    <t xml:space="preserve">MALBEC NECESS PU PAIS/25 VDA</t>
  </si>
  <si>
    <t xml:space="preserve">MALBEC NECESS PU PAIS/25 ESTJ</t>
  </si>
  <si>
    <t xml:space="preserve">ESTJ MALBEC X AMOR/25</t>
  </si>
  <si>
    <t xml:space="preserve">ESTJ HER CODE AMOR/25</t>
  </si>
  <si>
    <t xml:space="preserve">ESTJ QUASAR CLASSIC AMOR/25</t>
  </si>
  <si>
    <t xml:space="preserve">ESTJ CELEBRE AGORA FEMININO AMOR/25</t>
  </si>
  <si>
    <t xml:space="preserve">ESTJ COFFEE WOMAN SEDUCTION AMOR/25</t>
  </si>
  <si>
    <t xml:space="preserve">ESTJ CELEBRE AGORA MASCULINO AMOR/25</t>
  </si>
  <si>
    <t xml:space="preserve">ESTJ LILY LEAU/LILY AMOR/25</t>
  </si>
  <si>
    <t xml:space="preserve">ESTJ COFFEE MAN DUO AMOR/25</t>
  </si>
  <si>
    <t xml:space="preserve">ESTJ EGEO DOLCE AMOR/25</t>
  </si>
  <si>
    <t xml:space="preserve">ESTJ FLORATTA RED AMOR/25</t>
  </si>
  <si>
    <t xml:space="preserve">ESTJ EGEO ORIGINAL AMOR/25</t>
  </si>
  <si>
    <t xml:space="preserve">BOTICOLL CRAZY DES COL FEELINGS V2 100ml</t>
  </si>
  <si>
    <t xml:space="preserve">CBEM CR HID CPO DEPIL DOC/PESSEGUR 150ml</t>
  </si>
  <si>
    <t xml:space="preserve">ESTJ CBEM DELEITE CHOCOLATUDO AMOR/25</t>
  </si>
  <si>
    <t xml:space="preserve">ESTJ NSPA CEREJA ROUGE AMOR/25</t>
  </si>
  <si>
    <t xml:space="preserve">REF CBEM LOC DES HID CPO DEL V3 350ml</t>
  </si>
  <si>
    <t xml:space="preserve">CBEM LOC DES HID CPO DELEITE V3 200ml</t>
  </si>
  <si>
    <t xml:space="preserve">CBEM SAB BARRA SORTIDO V2 4x80g</t>
  </si>
  <si>
    <t xml:space="preserve">REF MATCH COND NUTR/PROF V2 250ml</t>
  </si>
  <si>
    <t xml:space="preserve">ESTJ MALBEC PREMIUM PAIS/25</t>
  </si>
  <si>
    <t xml:space="preserve">ESTJ THE BLEND PAIS/25</t>
  </si>
  <si>
    <t xml:space="preserve">CBEM SAB BARRA DELEITE V2 4x80g</t>
  </si>
  <si>
    <t xml:space="preserve">ESTJ ZAAD PAIS/25</t>
  </si>
  <si>
    <t xml:space="preserve">ESTJ MALBEC BLACK PAIS/25</t>
  </si>
  <si>
    <t xml:space="preserve">ESTJ ARBO PAIS/25</t>
  </si>
  <si>
    <t xml:space="preserve">ESTJ UOMINI PAIS/25</t>
  </si>
  <si>
    <t xml:space="preserve">ESTJ BOTICOLL PORTINARI PAIS/25</t>
  </si>
  <si>
    <t xml:space="preserve">ESTJ MALBEC PAIS/25</t>
  </si>
  <si>
    <t xml:space="preserve">ESTJ CLASH PAIS/25</t>
  </si>
  <si>
    <t xml:space="preserve">ESTJ QUASAR VISION PAIS/25</t>
  </si>
  <si>
    <t xml:space="preserve">ESTJ BOTICOLL CONNEXION PAIS/25</t>
  </si>
  <si>
    <t xml:space="preserve">ESTJ EGEO BOMB BLACK PAIS/25</t>
  </si>
  <si>
    <t xml:space="preserve">ESTJ CELEBRE FOUG/AROM FORCA PAIS/25</t>
  </si>
  <si>
    <t xml:space="preserve">ESTJ MALBEC CUIDADOS PAIS/25</t>
  </si>
  <si>
    <t xml:space="preserve">INSENSATEZ DES COL V4 100ml</t>
  </si>
  <si>
    <t xml:space="preserve">MAKE B PALETTE BLUSH PINK HIT V2 8g</t>
  </si>
  <si>
    <t xml:space="preserve">MAKE B PALETTE BLUSH CHERRY HIT V2 8g</t>
  </si>
  <si>
    <t xml:space="preserve">MAKE B ILUM PO COMP FAC ROSE V2 5,4g</t>
  </si>
  <si>
    <t xml:space="preserve">ENVELOPE M PAIS 2024</t>
  </si>
  <si>
    <t xml:space="preserve">HER CODE VELA MASSAGEM 90g</t>
  </si>
  <si>
    <t xml:space="preserve">COFFEE DES BDY SPR MAN DUO 100ml</t>
  </si>
  <si>
    <t xml:space="preserve">LILY LOC DES HID CPO LEAU LILY 200ml</t>
  </si>
  <si>
    <t xml:space="preserve">ELYSEE CREM DES HID CPO ACET V2 250g</t>
  </si>
  <si>
    <t xml:space="preserve">REF ELYSEE CR DES HID ACET CPO V2 200g</t>
  </si>
  <si>
    <t xml:space="preserve">MAKE B BAS LIQ C/GLYCOL TX 130 V2 30g</t>
  </si>
  <si>
    <t xml:space="preserve">MAKE B BAS LIQ C/GLYCOL TX 190 V2 30g</t>
  </si>
  <si>
    <t xml:space="preserve">MAKE B BAS LIQ C/GLYCOL TX 120 V2 30g</t>
  </si>
  <si>
    <t xml:space="preserve">MAKE B BAS LIQ C/GLYCOL TX 260 V2 30g</t>
  </si>
  <si>
    <t xml:space="preserve">MAKE B BAS LIQ C/GLYCOL TX 270 V2 30g</t>
  </si>
  <si>
    <t xml:space="preserve">MAKE B BAS LIQ C/GLYCOL TX 180 V2 30g</t>
  </si>
  <si>
    <t xml:space="preserve">MAKE B BAS LIQ C/GLYCOL TX 230 V2 30g</t>
  </si>
  <si>
    <t xml:space="preserve">MAKE B BAS LIQ C/GLYCOL TX 100 V2 30g</t>
  </si>
  <si>
    <t xml:space="preserve">MAKE B BAS LIQ C/GLYCOL TX 140 V2 30g</t>
  </si>
  <si>
    <t xml:space="preserve">MAKE B BAS LIQ C/GLYCOL TX 220 V2 30g</t>
  </si>
  <si>
    <t xml:space="preserve">MAKE B BAS LIQ C/GLYCOL TX 320 V2 30g</t>
  </si>
  <si>
    <t xml:space="preserve">MAKE B BAS LIQ C/GLYCOL TX 330 V2 30g</t>
  </si>
  <si>
    <t xml:space="preserve">MAKE B BAS LIQ C/GLYCOL TX 210 V2 30g</t>
  </si>
  <si>
    <t xml:space="preserve">CBEM DES COL BDY SPLSH AMORUDA 200ml</t>
  </si>
  <si>
    <t xml:space="preserve">MALBEC SPRAY INTIMO PURE GOLD 75ml</t>
  </si>
  <si>
    <t xml:space="preserve">HER CODE CREM AVELUD DES CPO 250g</t>
  </si>
  <si>
    <t xml:space="preserve">HER CODE OL MASS CPO TOUCH 150ml</t>
  </si>
  <si>
    <t xml:space="preserve">MAKE B BAT SHE MULTIF BTY/NAT CHERR 3,6g</t>
  </si>
  <si>
    <t xml:space="preserve">MAKE B BAT SHE MULTIF BTY/NAT GUAVA 3,6g</t>
  </si>
  <si>
    <t xml:space="preserve">MAKE B BAT SHE MULTIF BTY/NAT MAUVE 3,6g</t>
  </si>
  <si>
    <t xml:space="preserve">PMPCK EGEO DES ANTIT AER BLUE V2</t>
  </si>
  <si>
    <t xml:space="preserve">CAIXA LACO P NAT/24</t>
  </si>
  <si>
    <t xml:space="preserve">CAIXA LACO M NAT/24</t>
  </si>
  <si>
    <t xml:space="preserve">CAIXA LACO G NAT/24</t>
  </si>
  <si>
    <t xml:space="preserve">ENVELOPE P NAT/24</t>
  </si>
  <si>
    <t xml:space="preserve">ENVELOPE M NAT/24</t>
  </si>
  <si>
    <t xml:space="preserve">SACOLA UNITARIA PP NAT/24</t>
  </si>
  <si>
    <t xml:space="preserve">SACOLA UNIT P NAT/24</t>
  </si>
  <si>
    <t xml:space="preserve">SACOLA UNIT M NAT/24</t>
  </si>
  <si>
    <t xml:space="preserve">SACOLA UNIT G NAT/24</t>
  </si>
  <si>
    <t xml:space="preserve">CARTAO PRESENTE NAT/24</t>
  </si>
  <si>
    <t xml:space="preserve">ARBO CREM PRE/POS BARBA 100g</t>
  </si>
  <si>
    <t xml:space="preserve">ESTJ ARBO AMOR/25</t>
  </si>
  <si>
    <t xml:space="preserve">CAIXA DIVERTIDAMENTE M INFANTIL 2024</t>
  </si>
  <si>
    <t xml:space="preserve">CBEM D/COL BDY SPLSH FEIR CACH/UVA 200ml</t>
  </si>
  <si>
    <t xml:space="preserve">CBEM SPR PERF P/CAB FEIR CACH/UVA 100ml</t>
  </si>
  <si>
    <t xml:space="preserve">MALBEC SHW GEL CAB/CPO BLEU V2 200g</t>
  </si>
  <si>
    <t xml:space="preserve">ESTJ BOTIK ACIDO HIALURONICO V2</t>
  </si>
  <si>
    <t xml:space="preserve">ESTJ LILY JUMBO REG/25</t>
  </si>
  <si>
    <t xml:space="preserve">KIT PAPEL DE SEDA PAIS 2024 VD C/20</t>
  </si>
  <si>
    <t xml:space="preserve">CARTUCHO PRESENTE NATAL 2024</t>
  </si>
  <si>
    <t xml:space="preserve">MATCH SPR BRLH HID/BRILHO V3 100ml</t>
  </si>
  <si>
    <t xml:space="preserve">MATCH AMP CAP SCIENCE RECONS V2 30ml</t>
  </si>
  <si>
    <t xml:space="preserve">MATCH QUERATINA CONCENTRADA LAB V2 50ml</t>
  </si>
  <si>
    <t xml:space="preserve">ESTJ CBEM NUVEM V2</t>
  </si>
  <si>
    <t xml:space="preserve">MATCH SPR CAP MULTIBENEFICIOS V3 150ml</t>
  </si>
  <si>
    <t xml:space="preserve">MALBEC SHW GEL CAB/CPO 200g</t>
  </si>
  <si>
    <t xml:space="preserve">MAKE B BAT CREM U/BALLET LAC/BALLET 3,6g</t>
  </si>
  <si>
    <t xml:space="preserve">MAKE B BAT BAL CREM U/B LACE RED 3,6g</t>
  </si>
  <si>
    <t xml:space="preserve">MAKE B BAT CR NARC AI QUE LOUCURA 3,6g</t>
  </si>
  <si>
    <t xml:space="preserve">MAKE B BAT CREM NAR DON TCH IS ART 3,6g</t>
  </si>
  <si>
    <t xml:space="preserve">SACOLA MED DIVERT/24 UNITARIA BOTICARIO</t>
  </si>
  <si>
    <t xml:space="preserve">KIT SACOLA M BOTICARIO DVERT/24 VDA C/10</t>
  </si>
  <si>
    <t xml:space="preserve">KIT TAG BOTICARIO DVERTIDAMNT/24 VD C/10</t>
  </si>
  <si>
    <t xml:space="preserve">KIT CART ADES BOTICARIO DVERT/24 VD C/10</t>
  </si>
  <si>
    <t xml:space="preserve">MATCH SHAMP LIS/PROL V2 300ml</t>
  </si>
  <si>
    <t xml:space="preserve">REF MATCH SHAMP LIS/PROL V2 250ml</t>
  </si>
  <si>
    <t xml:space="preserve">MATCH SHAMP HID ANTIFRIZZ V2 300ml</t>
  </si>
  <si>
    <t xml:space="preserve">MATCH SRUM COURO CABEL CIEN/CURV V2 50ml</t>
  </si>
  <si>
    <t xml:space="preserve">MATCH BOOSTER CAP NUTR CIEN/CURV V2 90ml</t>
  </si>
  <si>
    <t xml:space="preserve">MATCH BOOSTER CAP REC CIEN/CURV V2 90ml</t>
  </si>
  <si>
    <t xml:space="preserve">MATCH LEAV IN CAP LEVE CIEN/CUR V2 250ml</t>
  </si>
  <si>
    <t xml:space="preserve">REF MATCH CR PENT CRES CIEN/CUR V2 400ml</t>
  </si>
  <si>
    <t xml:space="preserve">MATCH CR P/PENT CRESP CIEN/CURV V2 450ml</t>
  </si>
  <si>
    <t xml:space="preserve">MATCH SHAMP CIEN/CURV V2 300ml</t>
  </si>
  <si>
    <t xml:space="preserve">MATCH MASC CAP HID 4ABC CIEN/CUR V2 350g</t>
  </si>
  <si>
    <t xml:space="preserve">MATCH FIN CAP JELLY CIEN/CURV V2 350g</t>
  </si>
  <si>
    <t xml:space="preserve">MATCH OL MULTIBEN CIEN/CURV V2 50ml</t>
  </si>
  <si>
    <t xml:space="preserve">NSPA OLEO MULTIF QUINOA V2 85ml</t>
  </si>
  <si>
    <t xml:space="preserve">MALBEC SHW GEL CPO BLACK V2 200g</t>
  </si>
  <si>
    <t xml:space="preserve">REF NSPA SAB LIQ PERF ORQ/NOIRE V2 200ml</t>
  </si>
  <si>
    <t xml:space="preserve">NSPA SAB LIQ PERF ORQ/NOIRE V2 250ml</t>
  </si>
  <si>
    <t xml:space="preserve">NSPA SAB LIQ PERF QUINOA V2 250ml</t>
  </si>
  <si>
    <t xml:space="preserve">NSPA SAB LIQ PERF AMEIXA NEGRA V2 250ml</t>
  </si>
  <si>
    <t xml:space="preserve">REF NSPA SAB LIQ CPO AMEI/NEGRA V2 200ml</t>
  </si>
  <si>
    <t xml:space="preserve">REF NSPA SAB LIQ PERF AMEIXA V2 200ml</t>
  </si>
  <si>
    <t xml:space="preserve">NSPA SAB LIQ CPO AMEIXA V2 250ml</t>
  </si>
  <si>
    <t xml:space="preserve">NSPA LOC DES HID CP FIRM QUINOA V3 400ml</t>
  </si>
  <si>
    <t xml:space="preserve">MATCH LEAV CAP V2 150ml</t>
  </si>
  <si>
    <t xml:space="preserve">BOTI SUN PROT SOL CPO GEL CR FPS70 120g</t>
  </si>
  <si>
    <t xml:space="preserve">BOTI SUN PROT SOL CPO GEL CR FPS50 120g</t>
  </si>
  <si>
    <t xml:space="preserve">CLASH CR PRE E POS BARBA 150g</t>
  </si>
  <si>
    <t xml:space="preserve">CLASH LOC DES HID CPO 200ml</t>
  </si>
  <si>
    <t xml:space="preserve">SACOLA UNIT PP MÃES 2024</t>
  </si>
  <si>
    <t xml:space="preserve">SACOLA UNIT P MÃES 2024</t>
  </si>
  <si>
    <t xml:space="preserve">SACOLA UNIT M MÃES 2024</t>
  </si>
  <si>
    <t xml:space="preserve">SACOLA UNIT G MÃES 2024</t>
  </si>
  <si>
    <t xml:space="preserve">CAIXA LACO M NAMORADOS/24</t>
  </si>
  <si>
    <t xml:space="preserve">SACOLA M NAMORADOS/24</t>
  </si>
  <si>
    <t xml:space="preserve">KIT SACOLA M NAMORADOS/24 C/10 VD</t>
  </si>
  <si>
    <t xml:space="preserve">MALBEC DES ANTIT AER PURE GOLD 75g/125ml</t>
  </si>
  <si>
    <t xml:space="preserve">LIZ CREM DES HID CPO AURA 250g</t>
  </si>
  <si>
    <t xml:space="preserve">LIZ DES COL AURA 100ml</t>
  </si>
  <si>
    <t xml:space="preserve">MAKE B BAS LIQ PROT HYAL70 COR10 V2 30ml</t>
  </si>
  <si>
    <t xml:space="preserve">MAKE B BAS LIQ PROT HYAL70 COR15 V2 30ml</t>
  </si>
  <si>
    <t xml:space="preserve">MAKE B BAS LIQ PROT HYAL70 COR20 V2 30ml</t>
  </si>
  <si>
    <t xml:space="preserve">MAKE B BAS LIQ PROT HYAL70 COR25 V2 30ml</t>
  </si>
  <si>
    <t xml:space="preserve">MAKE B BAS LIQ PROT HYAL70 COR30 V2 30ml</t>
  </si>
  <si>
    <t xml:space="preserve">MAKE B BAS LIQ PROT HYAL70 COR40 V2 30ml</t>
  </si>
  <si>
    <t xml:space="preserve">MAKE B BAS LIQ PROT HYAL70 COR60 V2 30ml</t>
  </si>
  <si>
    <t xml:space="preserve">MAKE B BAS LIQ PROT HYAL70 COR70 V2 30ml</t>
  </si>
  <si>
    <t xml:space="preserve">NSPA OL MULTIF AMEIXA NEGRA V2 85ml</t>
  </si>
  <si>
    <t xml:space="preserve">NSPA OL MULTIF AMEIXA V2 85ml</t>
  </si>
  <si>
    <t xml:space="preserve">CBEM SHAMP FEIRA CACH/UVA 270ml</t>
  </si>
  <si>
    <t xml:space="preserve">CBEM COND FEIR CACH/UVA 250ml</t>
  </si>
  <si>
    <t xml:space="preserve">CBEM MASC CAP FEIR CACH/UVA 250ml</t>
  </si>
  <si>
    <t xml:space="preserve">CBEM CREM PENT FEIR CACH/UVA 300ml</t>
  </si>
  <si>
    <t xml:space="preserve">CBEM SHAMP FEIR OL/COCO 230ml</t>
  </si>
  <si>
    <t xml:space="preserve">CBEM MASC CAP FEIR OL/COCO 250ml</t>
  </si>
  <si>
    <t xml:space="preserve">CBEM MASC CAP FEIRA BANANA 250ml</t>
  </si>
  <si>
    <t xml:space="preserve">CBEM SHAMP FEIR PAST/ABAC 230ml</t>
  </si>
  <si>
    <t xml:space="preserve">CBEM MASC CAP FEI PAS DE ABAC V3 250ml</t>
  </si>
  <si>
    <t xml:space="preserve">MAKE B BALM LAB N/PEEL LIP/CHRO INC 3,6g</t>
  </si>
  <si>
    <t xml:space="preserve">CBEM SAB BARR DUO FEIR MELAN/M VER 2x80g</t>
  </si>
  <si>
    <t xml:space="preserve">KIT BOTIK V2</t>
  </si>
  <si>
    <t xml:space="preserve">MAKE B PLT SOMBRAS URBAN BALLET 14,4g</t>
  </si>
  <si>
    <t xml:space="preserve">MAKE B BAT CREM U/BALLET LACE ROSE 3,6g</t>
  </si>
  <si>
    <t xml:space="preserve">NSPA DES COL BDY SPLSH UVA MERLOT 200ml</t>
  </si>
  <si>
    <t xml:space="preserve">CBEM LOC DES HID CPO AMORUDA 200ml</t>
  </si>
  <si>
    <t xml:space="preserve">CBEM SAB LIQ ESF CPO AMORUDA 200ml</t>
  </si>
  <si>
    <t xml:space="preserve">CBEM BASTAO ANTIATR EF/SHORT AMORA 35g</t>
  </si>
  <si>
    <t xml:space="preserve">CBEM SAB BARR CPO AMORUDA 2x80g</t>
  </si>
  <si>
    <t xml:space="preserve">NSPA SAB BARRA CORP AMEI/NEG V3 2x90g</t>
  </si>
  <si>
    <t xml:space="preserve">CBEM LOC DES HID CPO AMORUDA 400ml</t>
  </si>
  <si>
    <t xml:space="preserve">MALBEC SAB BARRA CUIDADOS 4x80g</t>
  </si>
  <si>
    <t xml:space="preserve">CBEM COND FEIRA OLEO COCO V2 170ml</t>
  </si>
  <si>
    <t xml:space="preserve">BOTIK GEL LIMP FAC VITAM C V2 200g</t>
  </si>
  <si>
    <t xml:space="preserve">BOTIK CREM FAC FIRM AC/HIAL V3 40g</t>
  </si>
  <si>
    <t xml:space="preserve">REF BOTIK CR FAC FIRM AC/HIAL V2 40g</t>
  </si>
  <si>
    <t xml:space="preserve">BOTIK ACQ GEL H FAC ANTIS AC/POL V2 50g</t>
  </si>
  <si>
    <t xml:space="preserve">BOTIK GEL LIMP F MCL AC MAND/SAL V2 150g</t>
  </si>
  <si>
    <t xml:space="preserve">BOTIK MASC FAC R/NOT AC/GLICOL V2 40g</t>
  </si>
  <si>
    <t xml:space="preserve">REF BOTIK MASC FAC R/NOT AC/GLIC V2 40g</t>
  </si>
  <si>
    <t xml:space="preserve">BOTIK SRUM ALT/POT AC/GLICOL V2 30ml</t>
  </si>
  <si>
    <t xml:space="preserve">KIT PAPEL SEDA VDA NAT/24 C/20 UNIDADES</t>
  </si>
  <si>
    <t xml:space="preserve">KIT TAG VDA REVENDR NAT/24 C/10 UNIDADES</t>
  </si>
  <si>
    <t xml:space="preserve">GIFT TO GO NATAL 2024 VDA UNITARIO</t>
  </si>
  <si>
    <t xml:space="preserve">GIFT TO GO NAT/24 VDA REVENDA UNITARIO</t>
  </si>
  <si>
    <t xml:space="preserve">SACOLA CALENDARIO DO ADVENTO NATAL 2024</t>
  </si>
  <si>
    <t xml:space="preserve">COLECIONAV BOT NAT/24 CONE ARVORE UNIT</t>
  </si>
  <si>
    <t xml:space="preserve">CANISTER COLECIONAVEIS BOT NAT/24 UNIT</t>
  </si>
  <si>
    <t xml:space="preserve">COLECIONAVEIS BOT NAT/24 BOLA UNITARIA</t>
  </si>
  <si>
    <t xml:space="preserve">CX FLAGSHIP BOTICARIO UNITARIA NAT/24</t>
  </si>
  <si>
    <t xml:space="preserve">CAIXA PREMIUM BOT UNITARIA NATAL 2024</t>
  </si>
  <si>
    <t xml:space="preserve">QUASAR DES COL RUSH V3 100ml</t>
  </si>
  <si>
    <t xml:space="preserve">BOTIK LOC HID FAC ANTIOL AC/POL V2 110ml</t>
  </si>
  <si>
    <t xml:space="preserve">NSPA CREM HID MAOS/PES LILAC V2 50g</t>
  </si>
  <si>
    <t xml:space="preserve">LILY SERUM LEAVE CAP ACET V2 100ml</t>
  </si>
  <si>
    <t xml:space="preserve">NSPA CR ANTIS P/MAOS FPS15 QUINOA V3 75g</t>
  </si>
  <si>
    <t xml:space="preserve">NSPA CR HID MAO AMEI/NEG V3 75g</t>
  </si>
  <si>
    <t xml:space="preserve">LILY COND ACET V2 250ml</t>
  </si>
  <si>
    <t xml:space="preserve">LILY SHAMP ACET V2 250ml</t>
  </si>
  <si>
    <t xml:space="preserve">INTENSE BAT MAT 430 V4 3,8g</t>
  </si>
  <si>
    <t xml:space="preserve">INTENSE BAT MAT 330 V8 3,8g</t>
  </si>
  <si>
    <t xml:space="preserve">INTENSE BAT MAT 360 V4 3,8g</t>
  </si>
  <si>
    <t xml:space="preserve">INTENSE BAT MAT 520 V3 3,8g</t>
  </si>
  <si>
    <t xml:space="preserve">INTENSE BAT MAT 130 V4 3,8g</t>
  </si>
  <si>
    <t xml:space="preserve">LILY CR D H CP BNH LEAU/LILY BLANC 200ml</t>
  </si>
  <si>
    <t xml:space="preserve">NSPA CR HID MAOS AMEIXA V6 75g</t>
  </si>
  <si>
    <t xml:space="preserve">CBEM LOC DES HID CPO MORAN/LEIT V8 400ml</t>
  </si>
  <si>
    <t xml:space="preserve">CBEM SAB BARRA MORAN/LEIT 4x80g</t>
  </si>
  <si>
    <t xml:space="preserve">CAIXA LAÇO P MAES 25 BOTI</t>
  </si>
  <si>
    <t xml:space="preserve">CAIXA LACO M MAES 25 BOTI</t>
  </si>
  <si>
    <t xml:space="preserve">CAIXA LACO G MAES 25 BOTI</t>
  </si>
  <si>
    <t xml:space="preserve">CAIXA PREMIUM MAES 25 BOTI</t>
  </si>
  <si>
    <t xml:space="preserve">ENVELOPE P MAES 25 BOTI</t>
  </si>
  <si>
    <t xml:space="preserve">ENVELOPE M MAES 25 BOTI</t>
  </si>
  <si>
    <t xml:space="preserve">CBEM DES COL BDY SPLSH M/LEIT V2 200ml</t>
  </si>
  <si>
    <t xml:space="preserve">SACOLA UNITARIA P BOTICARIO MAES/25</t>
  </si>
  <si>
    <t xml:space="preserve">SACOLA UNIT M BOTICARIO MAES/25</t>
  </si>
  <si>
    <t xml:space="preserve">SACOLA BOTI UNIT G MAES/25</t>
  </si>
  <si>
    <t xml:space="preserve">CARTAO PRESENTE BOTICARIO MAES 25 UNIT</t>
  </si>
  <si>
    <t xml:space="preserve">KIT P/SEDA BOTICARIO MAES 25 C/20 VD</t>
  </si>
  <si>
    <t xml:space="preserve">KIT TAG BOTICARIO MAES 25 C/10 VD</t>
  </si>
  <si>
    <t xml:space="preserve">GIFT TO GO BOTICARIO MAES 25 VD UNIT</t>
  </si>
  <si>
    <t xml:space="preserve">COLEC CANISTER BOTICARIO MAES 25 UNIT</t>
  </si>
  <si>
    <t xml:space="preserve">COLECIONAVEL FLOR BOTICARIO MAES 25 UNIT</t>
  </si>
  <si>
    <t xml:space="preserve">ESTJ MALBEC CLUB/DR JONES</t>
  </si>
  <si>
    <t xml:space="preserve">REF LILY CR ACET DES H CPO GARDENIA 250g</t>
  </si>
  <si>
    <t xml:space="preserve">CAIXA LACO M BOTI NAMORADOS/25 UNITARIA</t>
  </si>
  <si>
    <t xml:space="preserve">ENVELOPE M BOTI NAMORADOS/25 UNITARIO</t>
  </si>
  <si>
    <t xml:space="preserve">SACOLA UNIT G NAMORADOS 25 BOTI</t>
  </si>
  <si>
    <t xml:space="preserve">KIT PAPEL SEDA BOTI NAMORADOS 25 C/20 VD</t>
  </si>
  <si>
    <t xml:space="preserve">KIT TAG BOTI NAMORADOS 25 C/10 VD</t>
  </si>
  <si>
    <t xml:space="preserve">GIFT TO GO BOTI NAMORADOS 25 VD UNIT</t>
  </si>
  <si>
    <t xml:space="preserve">PIN URSO BOTI NAMORADOS 25 UNIT</t>
  </si>
  <si>
    <t xml:space="preserve">CHAVEIRO URSO BOTI NAMORADOS 25 UNIT</t>
  </si>
  <si>
    <t xml:space="preserve">CAIXA FLAG BOTI NAMORADOS 25 UNIT</t>
  </si>
  <si>
    <t xml:space="preserve">SACOLA TOP M BOTI NAMORADOS 25 UNIT</t>
  </si>
  <si>
    <t xml:space="preserve">SACOLA BOTI UNIT M NAMORADOS 25</t>
  </si>
  <si>
    <t xml:space="preserve">CAIXA LACO M BOTI PAIS/25 UNIT</t>
  </si>
  <si>
    <t xml:space="preserve">ENVELOPE M BOTI PAIS 2025 UNIT</t>
  </si>
  <si>
    <t xml:space="preserve">SACOLA UNIT M PAIS/25 O BOTICARIO</t>
  </si>
  <si>
    <t xml:space="preserve">SACOLA UNIT G PAIS/25 O BOTICARIO</t>
  </si>
  <si>
    <t xml:space="preserve">KIT PAPEL SEDA BOTICARIO PAIS/25 C/20 VD</t>
  </si>
  <si>
    <t xml:space="preserve">KIT TAG O BOTICARIO PAIS/25 C/10 VD</t>
  </si>
  <si>
    <t xml:space="preserve">GIFT TO GO O BOTICARIO PAIS 2025 VD UNIT</t>
  </si>
  <si>
    <t xml:space="preserve">PIN BALAO O BOTICARIO PAIS/25 UNIT</t>
  </si>
  <si>
    <t xml:space="preserve">PIN AMOR O BOTICARIO PAIS/25 UNIT</t>
  </si>
  <si>
    <t xml:space="preserve">PIN MELHOR PAI O BOTICARIO PAIS/25 UNIT</t>
  </si>
  <si>
    <t xml:space="preserve">PIN SANFONA SAO JOAO BOTI 2025 UNIT</t>
  </si>
  <si>
    <t xml:space="preserve">PIN FOGUEIRA SAO JOAO BOTI 2025 UNIT</t>
  </si>
  <si>
    <t xml:space="preserve">PIN FLOR SAO JOAO BOTI 2025 UNIT</t>
  </si>
  <si>
    <t xml:space="preserve">PIN BALAO SAO JOAO BOTI 2025 UNIT</t>
  </si>
  <si>
    <t xml:space="preserve">CAIXA LAÇO M BOTI DORAMA 2025 UNIT</t>
  </si>
  <si>
    <t xml:space="preserve">COFFEE D/COL DUO MAN FOUG/AMB V2 100ml</t>
  </si>
  <si>
    <t xml:space="preserve">COFFEE D/COL SEDUC MAN OR/AMAD V5 100ml</t>
  </si>
  <si>
    <t xml:space="preserve">COFFEE D/C WOM/FLORIENT/AMBAR V4 100ml</t>
  </si>
  <si>
    <t xml:space="preserve">REF CLASH DES COL 100ml</t>
  </si>
  <si>
    <t xml:space="preserve">NEXT COLONIA 75ml</t>
  </si>
  <si>
    <t>NEXT</t>
  </si>
  <si>
    <t xml:space="preserve">NEXT DESODORANTE CREME 80g</t>
  </si>
  <si>
    <t xml:space="preserve">BOTI SUN PR CP SPR ACQ/FL FPS50 V2 180ml</t>
  </si>
  <si>
    <t xml:space="preserve">ZAAD EDP INTENSE 95ml</t>
  </si>
  <si>
    <t xml:space="preserve">EGEO DES COL COGU MELLOW 90ml</t>
  </si>
  <si>
    <t xml:space="preserve">CBEM DES COL BDY SPLSH DEL CHOCOLAT 60ml</t>
  </si>
  <si>
    <t xml:space="preserve">ZAAD LOC DES HID CPO INTENSE 200ml</t>
  </si>
  <si>
    <t xml:space="preserve">NSPA DES COL BDY SPLSH CER/ROUGE 60ml</t>
  </si>
  <si>
    <t xml:space="preserve">ESTJ MALBEC JUMBO REG/25</t>
  </si>
  <si>
    <t xml:space="preserve">ESTJ HER CODE REG/25</t>
  </si>
  <si>
    <t xml:space="preserve">ESTJ ZAAD REG/25</t>
  </si>
  <si>
    <t xml:space="preserve">ESTJ EGEO DOLCE REG/25</t>
  </si>
  <si>
    <t xml:space="preserve">ESTJ CBEM DELEITE REG/25</t>
  </si>
  <si>
    <t xml:space="preserve">REF MATCH SHAMP NUTR/REGEN 250ml</t>
  </si>
  <si>
    <t xml:space="preserve">REF MATCH COND NUTR/REGEN 250ml</t>
  </si>
  <si>
    <t xml:space="preserve">REF MATCH MASC CAP NUTR/REGEN 250ml</t>
  </si>
  <si>
    <t xml:space="preserve">REF BOTIK SRUM FAC ALT/POT AC/HIAL 30ml</t>
  </si>
  <si>
    <t xml:space="preserve">REF BOTIK SRUM FAC ALT/POT VITAM C 30ml</t>
  </si>
  <si>
    <t xml:space="preserve">EGEO DES COL COGU 90ml</t>
  </si>
  <si>
    <t xml:space="preserve">BOTICOLL CONNEXION DES COL V3 100ml</t>
  </si>
  <si>
    <t xml:space="preserve">MAKE B BAT LIQ MAT AC/POL BRW/WIN V2 5ml</t>
  </si>
  <si>
    <t xml:space="preserve">BOTICA 214 EDP DARK MINT V3 90ml</t>
  </si>
  <si>
    <t xml:space="preserve">ESTJ NSPA AMEIXA REG/25</t>
  </si>
  <si>
    <t xml:space="preserve">QUASAR DES COL CLASSIC V2 100ml</t>
  </si>
  <si>
    <t xml:space="preserve">NSPA SAB BARRA AMEIXA V7 90g</t>
  </si>
  <si>
    <t xml:space="preserve">DR BOTICA CR PENT POC/TR/NO LISOS 350ml</t>
  </si>
  <si>
    <t xml:space="preserve">DR BOTICA SHAMP POC/ESPUM LISOS 400ml</t>
  </si>
  <si>
    <t xml:space="preserve">DR BOTICA COND POC/BRILHO LISOS 400ml</t>
  </si>
  <si>
    <t xml:space="preserve">DR BOTICA COND POC/BRILHO CACHOS 400ml</t>
  </si>
  <si>
    <t xml:space="preserve">DR BOTICA CR PENT POC/TR/NO CACHOS 350ml</t>
  </si>
  <si>
    <t xml:space="preserve">DR BOTICA CR PENT POC/TR/NO CRESP 350ml</t>
  </si>
  <si>
    <t xml:space="preserve">DR BOTICA LOC HID CPO POC/NUVENS 400ml</t>
  </si>
  <si>
    <t xml:space="preserve">DR BOTICA SAB LIQ CPO POC/BOLHAS 400ml</t>
  </si>
  <si>
    <t xml:space="preserve">DR BOTICA SHAMP POC/ESPUM CRESPOS 400ml</t>
  </si>
  <si>
    <t xml:space="preserve">DR BOTICA COND POC/BRILHO CRESPOS 400ml</t>
  </si>
  <si>
    <t xml:space="preserve">BOTI SUN PROT SOL INF ACQ/FL FPS70 120g</t>
  </si>
  <si>
    <t xml:space="preserve">DR BOTICA SHAMP POC/ESPUM CACHOS 400ml</t>
  </si>
  <si>
    <t xml:space="preserve">FLORATTA DES BDY SPRAY RED V2 100ml</t>
  </si>
  <si>
    <t xml:space="preserve">CBEM LOC DES HID CPO DOC/DELIRIOS 400ml</t>
  </si>
  <si>
    <t xml:space="preserve">CBEM CR DUO DES HID CP DOC/DELIRIOS 200g</t>
  </si>
  <si>
    <t xml:space="preserve">CBEM SAB BARR DOCES DELIRIOS 4x80g</t>
  </si>
  <si>
    <t xml:space="preserve">CBEM MOUS BNH DOC/DELIRIOS 150ml</t>
  </si>
  <si>
    <t xml:space="preserve">CBEM CREM HID FAC DOCES DELIRIOS 50g</t>
  </si>
  <si>
    <t xml:space="preserve">MATCH SHAMP MATIZ LOIROS V2 300ml</t>
  </si>
  <si>
    <t xml:space="preserve">CBEM DES COL BDY SPLSH DOC DELIRIO 200ml</t>
  </si>
  <si>
    <t xml:space="preserve">MATCH MASC CAP SCIENCE RECONS V3 250g</t>
  </si>
  <si>
    <t xml:space="preserve">CBEM NECESS DOCES DELIRIOS PES</t>
  </si>
  <si>
    <t xml:space="preserve">MATCH COND HID ANTIF V2 280ml</t>
  </si>
  <si>
    <t xml:space="preserve">FLORATTA EDP RED PASSION V2 75ml</t>
  </si>
  <si>
    <t xml:space="preserve">Não - Top Seller - Top 50</t>
  </si>
  <si>
    <t xml:space="preserve">MATCH COND SCIENCE CRESCIMENTO V2 280ml</t>
  </si>
  <si>
    <t xml:space="preserve">MATCH SHAMP SCIENCE CRESCIMENTO V2 300ml</t>
  </si>
  <si>
    <t xml:space="preserve">MAKE B BAT LIQ MAT AC/POL ULT/BRW V2 5ml</t>
  </si>
  <si>
    <t xml:space="preserve">NSPA LOC DES HID CPO AMEIXA V7 400ml</t>
  </si>
  <si>
    <t xml:space="preserve">NSPA LOC DES HID CPO AMEIX/NEG V4 400ml</t>
  </si>
  <si>
    <t xml:space="preserve">CBEM CR HID MAOS NUVEM V5 45g</t>
  </si>
  <si>
    <t xml:space="preserve">MATCH MASC CAP NUTR PROFUNDA V3 250g</t>
  </si>
  <si>
    <t xml:space="preserve">MATCH MASC CAP NUTRICAO PROFUNDA V3 70g</t>
  </si>
  <si>
    <t xml:space="preserve">FLORATTA EDP FLEUR ECLIPSE V2 75ml</t>
  </si>
  <si>
    <t xml:space="preserve">DR BOTICA ROUPAO INFANTIL PES</t>
  </si>
  <si>
    <t xml:space="preserve">MAKE B BASE LIQ RETIN 3 H INVISIVEL 26g</t>
  </si>
  <si>
    <t xml:space="preserve">MAKE B BASE LIQ RETIN 3 H 120N 26g</t>
  </si>
  <si>
    <t xml:space="preserve">MAKE B BASE LIQ RETIN 3 H 170Q 26g</t>
  </si>
  <si>
    <t xml:space="preserve">MAKE B BASE LIQ RETIN 3 H 205N 26g</t>
  </si>
  <si>
    <t xml:space="preserve">MAKE B BASE LIQ RETIN 3 H 215Q 26g</t>
  </si>
  <si>
    <t xml:space="preserve">MAKE B BASE LIQ RETIN 3 H 225N 26g</t>
  </si>
  <si>
    <t xml:space="preserve">MAKE B BASE LIQ RETIN 3 H 250Q 26g</t>
  </si>
  <si>
    <t xml:space="preserve">MAKE B BASE LIQ RETIN 3 H 260N 26g</t>
  </si>
  <si>
    <t xml:space="preserve">MAKE B BASE LIQ RETIN 3 H 270Q 26g</t>
  </si>
  <si>
    <t xml:space="preserve">MAKE B BASE LIQ RETIN 3 H 285N 26g</t>
  </si>
  <si>
    <t xml:space="preserve">MAKE B BASE LIQ RETIN 3 H 290N 26g</t>
  </si>
  <si>
    <t xml:space="preserve">MAKE B BASE LIQ RETIN 3 H 300Q 26g</t>
  </si>
  <si>
    <t xml:space="preserve">MAKE B BASE LIQ RETIN 3 H 330Q 26g</t>
  </si>
  <si>
    <t xml:space="preserve">MAKE B BASE LIQ RETIN 3 H 340Q 26g</t>
  </si>
  <si>
    <t xml:space="preserve">MAKE B BASE LIQ RETIN 3 H 345N 26g</t>
  </si>
  <si>
    <t xml:space="preserve">MAKE B CORRET LIQ RETIN 3 H 100F 5,5ml</t>
  </si>
  <si>
    <t xml:space="preserve">MAKE B CORRET LIQ RETIN 3 H 120N 5,5ml</t>
  </si>
  <si>
    <t xml:space="preserve">MAKE B CORRET LIQ RETIN 3 H 140Q 5,5ml</t>
  </si>
  <si>
    <t xml:space="preserve">MAKE B CORRET LIQ RETIN 3 H 170Q 5,5ml</t>
  </si>
  <si>
    <t xml:space="preserve">MAKE B CORRET LIQ RETIN 3 H 210Q 5,5ml</t>
  </si>
  <si>
    <t xml:space="preserve">MAKE B CORRET LIQ RETIN 3 H 225N 5,5ml</t>
  </si>
  <si>
    <t xml:space="preserve">MAKE B CORRET LIQ RETIN 3 H 260N 5,5ml</t>
  </si>
  <si>
    <t xml:space="preserve">MAKE B CORRET LIQ RETIN 3 H 275N 5,5ml</t>
  </si>
  <si>
    <t xml:space="preserve">MAKE B CORRET LIQ RETIN 3 H 290N 5,5ml</t>
  </si>
  <si>
    <t xml:space="preserve">MAKE B CORRET LIQ RETIN 3 H 300Q 5,5ml</t>
  </si>
  <si>
    <t xml:space="preserve">MAKE B CORRET LIQ RETIN 3 H 340Q 5,5ml</t>
  </si>
  <si>
    <t xml:space="preserve">MAKE B CORRET LIQ RETIN 3 H 345N 5,5ml</t>
  </si>
  <si>
    <t xml:space="preserve">MAKE B BAT LIQ RETIN 3 H RED VELVET 6ml</t>
  </si>
  <si>
    <t xml:space="preserve">MAKE B BAT LIQ RETIN 3 H PINK/HIBISC 6ml</t>
  </si>
  <si>
    <t xml:space="preserve">MAKE B BAT LIQ RETIN 3 H CARAM/CLASS 6ml</t>
  </si>
  <si>
    <t xml:space="preserve">DR BOTICA MOCHILA PES</t>
  </si>
  <si>
    <t xml:space="preserve">NEXT PASTA MODEL CAP 150g</t>
  </si>
  <si>
    <t xml:space="preserve">FLORATTA DES BDY SPR F/SECRET V2 100ml</t>
  </si>
  <si>
    <t xml:space="preserve">MAKE B BAS LIQ C/GLYCOL TX 300 V2 30g</t>
  </si>
  <si>
    <t xml:space="preserve">BOTICOLL DES COL FELICITA 100ml</t>
  </si>
  <si>
    <t xml:space="preserve">BOTICOLL PORTINARI D/COL MEMORIAS 100ml</t>
  </si>
  <si>
    <t xml:space="preserve">Kit Presente Zaad (3 itens)</t>
  </si>
  <si>
    <t xml:space="preserve">Kit Presente Lily (3 itens)</t>
  </si>
  <si>
    <t xml:space="preserve">Kit Presente Malbec (4 itens)</t>
  </si>
  <si>
    <t xml:space="preserve">Kit Presente Botica 214 Golden Gardênia (3 itens)</t>
  </si>
  <si>
    <t xml:space="preserve">Kit Presente Her Code (2 itens)</t>
  </si>
  <si>
    <t xml:space="preserve">Kit Presente Floratta Red Passion (2 itens)</t>
  </si>
  <si>
    <t xml:space="preserve">Kit Presente Malbec Gold (3 itens)</t>
  </si>
  <si>
    <t xml:space="preserve">Kit Presente Coffe Woman Seduction (3 itens)</t>
  </si>
  <si>
    <t xml:space="preserve">Kit Presente Arbo (2 itens)</t>
  </si>
  <si>
    <t xml:space="preserve">Kit Presente Egeo Dolce (2 itens)</t>
  </si>
  <si>
    <t xml:space="preserve">Kit Presente L'eau De Lily Soleil (3 itens)</t>
  </si>
  <si>
    <t xml:space="preserve">Kit Presente Lily Acetinados (3 itens)</t>
  </si>
  <si>
    <t xml:space="preserve">Kit Presente Floratta Red (3 itens)</t>
  </si>
  <si>
    <t xml:space="preserve">Kit Presente Portinari (2 itens)</t>
  </si>
  <si>
    <t xml:space="preserve">Kit Presente Quasar Deep Blue (2 itens)</t>
  </si>
  <si>
    <t xml:space="preserve">Kit Presente Liz (2 itens)</t>
  </si>
  <si>
    <t xml:space="preserve">Kit Presente Nativa Spa Ameixa Negra (3 itens)</t>
  </si>
  <si>
    <t xml:space="preserve">Kit Presente Egeo Blue (2 itens)</t>
  </si>
  <si>
    <t xml:space="preserve">Kit Presente Egeo Choc (3 itens)</t>
  </si>
  <si>
    <t xml:space="preserve">Kit Presente Insensatez (2 itens)</t>
  </si>
  <si>
    <t xml:space="preserve">Kit Presente Cuide-se Bem Deleite (4 itens)</t>
  </si>
  <si>
    <t xml:space="preserve">Kit Presente Celebre Agora Masculino (2 itens)</t>
  </si>
  <si>
    <t xml:space="preserve">Kit Presente Celebre Agora Feminino (2 itens)</t>
  </si>
  <si>
    <t xml:space="preserve">Kit Presente Nativa Spa Cereja Rouge (2 itens)</t>
  </si>
  <si>
    <t xml:space="preserve">Kit Presente Cuide-se Bem Pessegura (4 itens)</t>
  </si>
  <si>
    <t xml:space="preserve">Kit Presente Malbec Body Spray (3 itens)</t>
  </si>
  <si>
    <t xml:space="preserve">Kit Presente Floratta Red Body Spray (3 itens)</t>
  </si>
  <si>
    <t xml:space="preserve">Kit Presente Cuide-se Bem Rosa e Algodão (2 itens)</t>
  </si>
  <si>
    <t xml:space="preserve">BOTI NECESS MASC PREMIUM PU NAT/25</t>
  </si>
  <si>
    <t xml:space="preserve">BOTI CARTEIRA MASC PU NAT/25</t>
  </si>
  <si>
    <t xml:space="preserve">BOTI NECESSAIRE FEM PU NAT/25</t>
  </si>
  <si>
    <t xml:space="preserve">BOTI NECESSAIRE PES NAT/25</t>
  </si>
  <si>
    <t xml:space="preserve">ESTJ SOPHIE SPIDER GWEN CRIANC/25</t>
  </si>
  <si>
    <t xml:space="preserve">LILY SAB LIQ CPO 100ml</t>
  </si>
  <si>
    <t xml:space="preserve">FLORATTA CR DES HID CPO RED PASS 100g</t>
  </si>
  <si>
    <t xml:space="preserve">EGEO CR DES HID CPO CHOC SUFLE 85g</t>
  </si>
  <si>
    <t xml:space="preserve">CBEM SAB LIQ CPO DELEITE 50ml</t>
  </si>
  <si>
    <t xml:space="preserve">CBEM CR HID MAOS PESSEGURA 45g</t>
  </si>
  <si>
    <t xml:space="preserve">FLORATTA SAB LIQ CPO RED 150ml</t>
  </si>
  <si>
    <t xml:space="preserve">NEXT SAB TEIA SPIDER MAN 90g</t>
  </si>
  <si>
    <t xml:space="preserve">NEXT COL SPIDER MAN 75ml</t>
  </si>
  <si>
    <t xml:space="preserve">NEXT GEL FIX P/CAB SPIDER MAN 150g</t>
  </si>
  <si>
    <t xml:space="preserve">SOPHIE COL SPIDER GWEN 100ml</t>
  </si>
  <si>
    <t xml:space="preserve">SOPHIE JELLY CREAM CPO SPID/GWEN 150g</t>
  </si>
  <si>
    <t xml:space="preserve">SOPHIE PLT MULTIF HYDR/LIN SPID/GWEN 17g</t>
  </si>
  <si>
    <t xml:space="preserve">MAKE B PINCEL DUPLO MULTIF SILVER PRO</t>
  </si>
  <si>
    <t xml:space="preserve">BOTI BABY NANINHA FIDO PES</t>
  </si>
  <si>
    <t xml:space="preserve">SOPHIE NEXT NECESS SP/MAN SP/GWEN CR VEL</t>
  </si>
  <si>
    <t xml:space="preserve">BOT 214 LOC DES HID CPO GOLD/GARD 100ml</t>
  </si>
  <si>
    <t xml:space="preserve">NSPA CREM HID MAOS AMEI/NEG 30g</t>
  </si>
  <si>
    <t xml:space="preserve">INSESATEZ LOC DES HID CPO 100ml</t>
  </si>
  <si>
    <t xml:space="preserve">FLORATTA SAB BARR RED 2x90g</t>
  </si>
  <si>
    <t xml:space="preserve">MAKE B BAT LIQ MAT AC/POL DARK/RG V2 5ml</t>
  </si>
  <si>
    <t xml:space="preserve">MAKE B BAT LIQ MAT AC/POL EXO/ROS V2 5ml</t>
  </si>
  <si>
    <t xml:space="preserve">MAKE B BAT LIQ MAT AC/POL DEEP/RO V2 5ml</t>
  </si>
  <si>
    <t xml:space="preserve">MAKE B BAT LIQ MAT AC/POL WARM/CA V2 5ml</t>
  </si>
  <si>
    <t xml:space="preserve">CBEM NECESSAIRE EVA ESTJ</t>
  </si>
  <si>
    <t xml:space="preserve">Kit Presente Cuide-se Bem Splashes (3 itens)</t>
  </si>
  <si>
    <t xml:space="preserve">CBEM DES COL BDY SPLSH ROS/ALGODAO 60ml</t>
  </si>
  <si>
    <t xml:space="preserve">CBEM DES COL BDY SPLSH NUVEM 60ml</t>
  </si>
  <si>
    <t xml:space="preserve">CBEM DES COL BDY SPLSH BOA NOITE 60ml</t>
  </si>
  <si>
    <t xml:space="preserve">CBEM DES COL BDY SPLSH MORANG/LEITE 60ml</t>
  </si>
  <si>
    <t xml:space="preserve">MAKE B BALM LAB MICRO TINT V2 3,6g</t>
  </si>
  <si>
    <t xml:space="preserve">MAKE B BAT CR C/AC POL ROS/CASHM V2 3,6g</t>
  </si>
  <si>
    <t xml:space="preserve">MAKE B BAT CR C/AC POL NUD/MALVA V2 3,6g</t>
  </si>
  <si>
    <t xml:space="preserve">MAKE B BAT CR C/AC POL REV/BROWN V2 3,6g</t>
  </si>
  <si>
    <t xml:space="preserve">MAKE B BAT CR C/AC POL SOFT NUDE V2 3,6g</t>
  </si>
  <si>
    <t xml:space="preserve">MAKE B BAT GLOSSY C/AC POL NUDE V2 3,6g</t>
  </si>
  <si>
    <t xml:space="preserve">MAKE B BAT CR C/AC POL WATERMEL V2 3,6g</t>
  </si>
  <si>
    <t xml:space="preserve">MAKE B BAT GLOSSY C/AC POL ROSE V2 3,6g</t>
  </si>
  <si>
    <t xml:space="preserve">MAKE B BAT CR C/AC POL REVOL/RED V2 3,6g</t>
  </si>
  <si>
    <t xml:space="preserve">MAKE B BAT CR C/AC POL FASH/BERR V2 3,6g</t>
  </si>
  <si>
    <t xml:space="preserve">MAKE B BAT GLOSSY C/AC POL WINE V2 3,6g</t>
  </si>
  <si>
    <t xml:space="preserve">MAKE B BAT LIQ DIAM C/AC PL GLOW V2 5ml</t>
  </si>
  <si>
    <t xml:space="preserve">MAKE B BAT LIQ DIAM C/AC POL PLAT V2 5ml</t>
  </si>
  <si>
    <t xml:space="preserve">MAKE B BAT LIQ DIAM C/AC POL LUX V2 5ml</t>
  </si>
  <si>
    <t xml:space="preserve">MALBEC DES ANTIT ROLL V10 55ml</t>
  </si>
  <si>
    <t xml:space="preserve">MAKE B BALM LAB MICR TINT G/WINE V2 3,6g</t>
  </si>
  <si>
    <t xml:space="preserve">MAKE B BASE LIQ RETIN 3 H 130Q 26g</t>
  </si>
  <si>
    <t xml:space="preserve">MAKE B BASE LIQ RETIN 3 H 140Q 26g</t>
  </si>
  <si>
    <t xml:space="preserve">MAKE B BASE LIQ RETIN 3 H 185F 26g</t>
  </si>
  <si>
    <t xml:space="preserve">MAKE B BASE LIQ RETIN 3 H 210Q 26g</t>
  </si>
  <si>
    <t xml:space="preserve">MAKE B BASE LIQ RETIN 3 H 220Q 26g</t>
  </si>
  <si>
    <t xml:space="preserve">MAKE B BASE LIQ RETIN 3 H 275N 26g</t>
  </si>
  <si>
    <t xml:space="preserve">Kit Presente Uomini (3 itens)</t>
  </si>
  <si>
    <t xml:space="preserve">Kit Presente Floratta Gold (2 itens)</t>
  </si>
  <si>
    <t xml:space="preserve">CAIXA LACO M BOTI ARANHA 2025 UNIT</t>
  </si>
  <si>
    <t xml:space="preserve">SACOLA UNIT M ARANHA 2025 BOTI</t>
  </si>
  <si>
    <t xml:space="preserve">PAPEL SEDA BOTI ARANHA 2025 UNIT</t>
  </si>
  <si>
    <t xml:space="preserve">CART ADESIVA BOTI ARANHA 2025 UNIT</t>
  </si>
  <si>
    <t xml:space="preserve">KIT TAG BOTI ARANHA 2025 C/10 VD</t>
  </si>
  <si>
    <t xml:space="preserve">FLORATTA DES COL ROSE BOUQUET 75ml</t>
  </si>
  <si>
    <t xml:space="preserve">FLORATTA DES COL RED V2 75ml</t>
  </si>
  <si>
    <t xml:space="preserve">FLORATTA DES COL F/SECRET V3 75ml</t>
  </si>
  <si>
    <t xml:space="preserve">FLORATTA DES COL BLUE V2 75ml</t>
  </si>
  <si>
    <t xml:space="preserve">FLORATTA DES COL ROSE V4 75ml</t>
  </si>
  <si>
    <t xml:space="preserve">FLORATTA DES COL GOLD V3 75ml</t>
  </si>
  <si>
    <t xml:space="preserve">COFFEE DES COL UNIQ WOM FL/GOURM 100ml</t>
  </si>
  <si>
    <t xml:space="preserve">COFFEE DES COL UNIQ MAN FOUG/OR 100ml</t>
  </si>
  <si>
    <t xml:space="preserve">COFFEE D/COL MAN ORIENT/AMB V4 100ml</t>
  </si>
  <si>
    <t xml:space="preserve">COFFEE D/C DUO/WOM/ORIENT/AMAD V2 100ml</t>
  </si>
  <si>
    <t xml:space="preserve">COFFEE D/C SEDUC/WOM/FLORIEN/FR V6 100ml</t>
  </si>
  <si>
    <t xml:space="preserve">FLORATTA DES COL MY BLUE V2 75ml</t>
  </si>
  <si>
    <t xml:space="preserve">FLORATTA DES COL ROM/VER V2 75ml</t>
  </si>
  <si>
    <t xml:space="preserve">FLORATTA DES COL RED BLOSSOM V2 75ml</t>
  </si>
  <si>
    <t xml:space="preserve">REF NSPA LOC DES HID CPO JASM/SAMB 350ml</t>
  </si>
  <si>
    <t xml:space="preserve">Não - Lançamentos</t>
  </si>
  <si>
    <t xml:space="preserve">NSPA CR PERF DES CPO ORQ/LUMIER 400ml</t>
  </si>
  <si>
    <t xml:space="preserve">REF NSPA CR PERF DES CPO ORQ/LUM 350ml</t>
  </si>
  <si>
    <t xml:space="preserve">NSPA CR PERF DES CPO ORQ/LUMIER 180ml</t>
  </si>
  <si>
    <t xml:space="preserve">NSPA SAB LIQ PERF CPO ORQ/LUMIER 250ml</t>
  </si>
  <si>
    <t xml:space="preserve">NSPA ILUM CPO STICK ORQ/LUMIERE 30g</t>
  </si>
  <si>
    <t xml:space="preserve">COFFEE D/C ADD/MAN/ORIENT/AROM V2 100ml</t>
  </si>
  <si>
    <t xml:space="preserve">COFFEE D/COL ADD/WOM/ORIENT/FR V2 100ml</t>
  </si>
  <si>
    <t xml:space="preserve">COFFEE LOC D H CP UNIQ WOM FL/GOUR 200ml</t>
  </si>
  <si>
    <t xml:space="preserve">NSPA OL GLOR DES HID CPO ORQ/LUM 200ml</t>
  </si>
  <si>
    <t xml:space="preserve">LILY EDP ABSOLU V3 75ml</t>
  </si>
  <si>
    <t xml:space="preserve">ESTJ LILY NAT/25</t>
  </si>
  <si>
    <t xml:space="preserve">NSPA DES COL BDY SPLSH ORQ/LUMIERE 200ml</t>
  </si>
  <si>
    <t xml:space="preserve">MAKE B PLT MULTIF READY 45,2g</t>
  </si>
  <si>
    <t xml:space="preserve">NSPA NECESS PREMIUM PES</t>
  </si>
  <si>
    <t xml:space="preserve">PMPCK BOTI SUN ALTA PROTECAO</t>
  </si>
  <si>
    <t xml:space="preserve">BOTIK SRM FAC A/P PREENC AC/HIAL V2 30ml</t>
  </si>
  <si>
    <t xml:space="preserve">NSPA SAB BARRA AMEIXA V3 2x90g</t>
  </si>
  <si>
    <t xml:space="preserve">FLORATTA LOC DES H CP ROSE BOUQUET 200ml</t>
  </si>
  <si>
    <t xml:space="preserve">BOT SUN PR FAC C/C FPS70 ACQ/F C4.5 40ml</t>
  </si>
  <si>
    <t xml:space="preserve">LILY SAB BARRA V2 2x90g</t>
  </si>
  <si>
    <t xml:space="preserve">QUASAR DES COL ICE V3 100ml</t>
  </si>
  <si>
    <t xml:space="preserve">CX PRESENTE G BOT INST/25 VDA</t>
  </si>
  <si>
    <t xml:space="preserve">ENVELOPE PRESENTE P BOTI INST/25 VDA</t>
  </si>
  <si>
    <t xml:space="preserve">ENVELOPE PRESENTE G BOTI INST/25 VDA</t>
  </si>
  <si>
    <t xml:space="preserve">ENVELOPE PRESENTE M BOTI INST/25 VDA</t>
  </si>
  <si>
    <t xml:space="preserve">CX PRESENTE M BOTI INST/25 VDA</t>
  </si>
  <si>
    <t xml:space="preserve">CAIXA PRESENTE P BOT INST/25 VDA</t>
  </si>
  <si>
    <t xml:space="preserve">REF NSPA LOC DES H CP ORQ/NOIRE V2 350ml</t>
  </si>
  <si>
    <t xml:space="preserve">NSPA LOC DES HID CPO ORQ/NOIRE V2 200ml</t>
  </si>
  <si>
    <t xml:space="preserve">NSPA LOC DES HID CPO ORQ/NOIRE V2 400ml</t>
  </si>
  <si>
    <t xml:space="preserve">LILY CR AC DES HID CP LEAU/LILY SOL 200g</t>
  </si>
  <si>
    <t xml:space="preserve">MEN SHW GEL CAB/CPO V6 205g</t>
  </si>
  <si>
    <t xml:space="preserve">ZAAD EDP V3 50ml</t>
  </si>
  <si>
    <t xml:space="preserve">ESTJ BOTIK AC/HIALURONICO V3</t>
  </si>
  <si>
    <t xml:space="preserve">BOTIK CR CON OLH RED/RUG AC/H CAF V2 15g</t>
  </si>
  <si>
    <t xml:space="preserve">COFFEE DES ANTIT AER WOM/SEDUC V5 75g</t>
  </si>
  <si>
    <t xml:space="preserve">NEXT SHAMP REFRESC CAB/CPO 230ml</t>
  </si>
  <si>
    <t xml:space="preserve">REF NSPA OL GLOR D H CPO AMEIXA 150ml</t>
  </si>
  <si>
    <t xml:space="preserve">REF NSPA OL GLOR D H CPO AMEIX/NEG 150ml</t>
  </si>
  <si>
    <t xml:space="preserve">REF NSPA OL GLOR D H CPO AMEN/QUIN 150ml</t>
  </si>
  <si>
    <t xml:space="preserve">NSPA OL GLORIOSO DES HID CPO AMEIX 200ml</t>
  </si>
  <si>
    <t xml:space="preserve">NSPA OL GLOR DES HID CPO AMEIX/NEG 200ml</t>
  </si>
  <si>
    <t xml:space="preserve">NSPA OL GLOR DES HID CPO ORQ/NOIRE 200ml</t>
  </si>
  <si>
    <t xml:space="preserve">NSPA OL GLOR DES HID CPO AMEN/QUIN 200ml</t>
  </si>
  <si>
    <t xml:space="preserve">EGEO BOLSA PES</t>
  </si>
  <si>
    <t xml:space="preserve">COFFEE DES ANTIT AER ORIENT/AMB 125ml</t>
  </si>
  <si>
    <t xml:space="preserve">HADIYA EDP 75ml</t>
  </si>
  <si>
    <t>HADIYA</t>
  </si>
  <si>
    <t xml:space="preserve">MALBEC DES COL BDY SPLSH 200ml</t>
  </si>
  <si>
    <t xml:space="preserve">ELYSEE DES COL BDY SPLSH 200ml</t>
  </si>
  <si>
    <t xml:space="preserve">CBEM LOC DES HID CPO NUVEM N/FORM 400ml</t>
  </si>
  <si>
    <t xml:space="preserve">CBEM LOC DES HID CP BOA/NOI N/FORM 400ml</t>
  </si>
  <si>
    <t xml:space="preserve">CBEM LOC DES HID CP R/ALG N/FORM 400ml</t>
  </si>
  <si>
    <t xml:space="preserve">CBEM LOC DES HID CP CER/LIV N/FORM 400ml</t>
  </si>
  <si>
    <t xml:space="preserve">CBEM LOC DES HID CPO PESSEG N/FORM 400ml</t>
  </si>
  <si>
    <t xml:space="preserve">NSPA OL GLOR DES HID CPO CER/ROUGE 200ml</t>
  </si>
  <si>
    <t xml:space="preserve">ESTJ BOTI CAL/ADVENTO NAT/25</t>
  </si>
  <si>
    <t xml:space="preserve">ESTJ BOTI CAL/ADVENTO MINI NAT/25</t>
  </si>
  <si>
    <t xml:space="preserve">KIT TAG BOTI INSTIT 2025 C/10 VD</t>
  </si>
  <si>
    <t xml:space="preserve">KIT PAPEL SEDA BOTI NATAL 2025 C/20 VD</t>
  </si>
  <si>
    <t xml:space="preserve">KIT PRESENTE QUASAR CLASSIC</t>
  </si>
  <si>
    <t xml:space="preserve">REF CASA 214 AROMAT VAR GARD/IMPER 250ml</t>
  </si>
  <si>
    <t xml:space="preserve">REF CASA 214 AROMAT VAR VAN/SUBLIM 250ml</t>
  </si>
  <si>
    <t xml:space="preserve">MALBEC DES BDY SPR BLACK V3 100ml</t>
  </si>
  <si>
    <t xml:space="preserve">REF CASA 214 SPR AROMAT VAN/SUBLIM 250ml</t>
  </si>
  <si>
    <t xml:space="preserve">MATCH MASC CAP SCIENCE RECONS V4 250g</t>
  </si>
  <si>
    <t xml:space="preserve">PIN BOTI NATAL 2025 UNIT</t>
  </si>
  <si>
    <t xml:space="preserve">CESTA BOTI NATAL 2025 UNIT</t>
  </si>
  <si>
    <t xml:space="preserve">NIINA SECRETS DES COL 100ml</t>
  </si>
  <si>
    <t>SECRETS</t>
  </si>
  <si>
    <t xml:space="preserve">NIINA SECRETS LOC DES HID CPO 200ml</t>
  </si>
  <si>
    <t xml:space="preserve">GLAM BALM NANO 3D GOIABA 3g</t>
  </si>
  <si>
    <t>GLAM</t>
  </si>
  <si>
    <t xml:space="preserve">GLAM ILUM STCK FAC GOLDEN 5g</t>
  </si>
  <si>
    <t xml:space="preserve">GLAM BLUSH STCK MALVA 5g</t>
  </si>
  <si>
    <t xml:space="preserve">Não - Promocionado no ciclo futuro</t>
  </si>
  <si>
    <t xml:space="preserve">GLAM BLUSH STCK GINGER 5g</t>
  </si>
  <si>
    <t xml:space="preserve">GLAM GEL LIMP DEMAQ SK/PERF 100g</t>
  </si>
  <si>
    <t xml:space="preserve">GLAM ESMLT AMEIXA PROFUNDO 7ml</t>
  </si>
  <si>
    <t xml:space="preserve">GLAM ESMLT AZUL CARBONO 7ml</t>
  </si>
  <si>
    <t xml:space="preserve">GLAM LAP GEL P/OLH PRETO 1,2g</t>
  </si>
  <si>
    <t xml:space="preserve">GLAM MASC CILIO VOL INFINITY 8,5g</t>
  </si>
  <si>
    <t xml:space="preserve">INSTANCE LOC DES HID CPO KARITE 400ml V2</t>
  </si>
  <si>
    <t>INSTANCE</t>
  </si>
  <si>
    <t xml:space="preserve">EUDORA GLAM PALETTE ESSENTIAL 5,85g</t>
  </si>
  <si>
    <t xml:space="preserve">GLAM PLT MULTIF PRISMA</t>
  </si>
  <si>
    <t xml:space="preserve">SIAGE SHAMP HAIR/PLAS 250ml</t>
  </si>
  <si>
    <t>SIAGE</t>
  </si>
  <si>
    <t xml:space="preserve">SIAGE MASC CAP HIALUR HAIR/PLAS 250g</t>
  </si>
  <si>
    <t xml:space="preserve">SIAGE BSTR CAP PRO AGNG HAIR/PLAS 100ml</t>
  </si>
  <si>
    <t xml:space="preserve">SIAGE BSTR CAP ACIDCOL HAIR/PLAS 100ml</t>
  </si>
  <si>
    <t xml:space="preserve">INSTANCE CREM HID MAOS ALG/JASM 30g</t>
  </si>
  <si>
    <t xml:space="preserve">INSTANCE DEO COL HARMONIA 50ml</t>
  </si>
  <si>
    <t xml:space="preserve">EUDORA SIÀGE NECESSAIRE TERAPIA DOS FIOS</t>
  </si>
  <si>
    <t xml:space="preserve">SIAGE NECESS HIDR MICLR PRETA C/VDE PES</t>
  </si>
  <si>
    <t xml:space="preserve">NIINA SCRT NECESS ROSA PU/VINIL</t>
  </si>
  <si>
    <t xml:space="preserve">EUD MALA MAO MASC MUNIQUE PRETA NYLON</t>
  </si>
  <si>
    <t>EUDORA</t>
  </si>
  <si>
    <t xml:space="preserve">NIINA SCRT FAIXA SKINCARE ROSA PES</t>
  </si>
  <si>
    <t xml:space="preserve">NIINA SCRT PINCEL ILUM</t>
  </si>
  <si>
    <t xml:space="preserve">EUDORA VOLPE MASTER DESODORANTE COLÔNIA 100 ml</t>
  </si>
  <si>
    <t>VOLPE</t>
  </si>
  <si>
    <t xml:space="preserve">EUD NECESS MASC C/ALC EVA PRETA</t>
  </si>
  <si>
    <t xml:space="preserve">SIÀGE CONDICIONADOR CICA-THERAPY 200ML</t>
  </si>
  <si>
    <t xml:space="preserve">SIAGE MASC CAP RECONS CRONOG 60ml</t>
  </si>
  <si>
    <t xml:space="preserve">SIAGE MASC CAP HID CRONOG 60ml</t>
  </si>
  <si>
    <t xml:space="preserve">SIAGE MASC CAP NUTR CRONOG 60ml</t>
  </si>
  <si>
    <t xml:space="preserve">SIÀGE LEAVE IN CAPILAR CONCENTRADO CICA-THERAPY 100ML</t>
  </si>
  <si>
    <t xml:space="preserve">NIINA SKIN ESF FAC 75g</t>
  </si>
  <si>
    <t xml:space="preserve">NIINA SKIN</t>
  </si>
  <si>
    <t xml:space="preserve">EUDORA NECESS MASC PRETA PES</t>
  </si>
  <si>
    <t xml:space="preserve">NIINA SKIN DEMAQ CLEANSING OIL 110ml</t>
  </si>
  <si>
    <t xml:space="preserve">NIINA SKIN GEL HID FAC 30ml</t>
  </si>
  <si>
    <t xml:space="preserve">EUDORA NIINA SKIN SÉRUM MULTIPROTETOR FPS 50 12 EM 1</t>
  </si>
  <si>
    <t xml:space="preserve">NIINA SKIN GEL DE LIMP FAC 100ml</t>
  </si>
  <si>
    <t xml:space="preserve">EUDORA NIINA SKIN CREME OVERNIGHT RENOVADOR 45G</t>
  </si>
  <si>
    <t xml:space="preserve">NIINA SECRETS GLOSS CRYSTAL RUBI 7ml</t>
  </si>
  <si>
    <t xml:space="preserve">NIINA SECRETS GLOSS CRYSTAL TOPAZIO 7ml</t>
  </si>
  <si>
    <t xml:space="preserve">NIINA SCR CORR LIQ PERF MATCH COR85 10ml</t>
  </si>
  <si>
    <t xml:space="preserve">NIINA SCR CORR LIQ PERF MATCH COR10 10ml</t>
  </si>
  <si>
    <t xml:space="preserve">NIINA SCR CORR LIQ PERF MATCH COR05 10ml</t>
  </si>
  <si>
    <t xml:space="preserve">NIINA SCR CORR LIQ PERF MATCH COR45 10ml</t>
  </si>
  <si>
    <t xml:space="preserve">NIINA SCR CORR LIQ PERF MATCH COR 0 10ml</t>
  </si>
  <si>
    <t xml:space="preserve">NIINA SCR CORR LIQ PERF MATCH COR95 10ml</t>
  </si>
  <si>
    <t xml:space="preserve">NIINA SCR CORR LIQ PERF MATCH COR65 10ml</t>
  </si>
  <si>
    <t xml:space="preserve">GLAM BAT MICR/PLAS SCARLET ABSOLUTO 3,3g</t>
  </si>
  <si>
    <t xml:space="preserve">GLAM BAT MICR/PLAS NUDE ROSADO 3,3g</t>
  </si>
  <si>
    <t xml:space="preserve">GLAM BAT MICR/PLAS MARSALA SUPREMO 3,3g</t>
  </si>
  <si>
    <t xml:space="preserve">GLAM BAT MICR/PLAS VERMELHO RUBY 3,3g</t>
  </si>
  <si>
    <t xml:space="preserve">GLAM BAT MICR/PLAS ROSE DELICADO 3,3g</t>
  </si>
  <si>
    <t xml:space="preserve">SOUL BALM LIQ JEL FRESH MOR/TENT 7,5ml</t>
  </si>
  <si>
    <t>SOUL</t>
  </si>
  <si>
    <t xml:space="preserve">SOUL BALM LIQ JEL FRESH CAC/DESEJ 7,5ml</t>
  </si>
  <si>
    <t xml:space="preserve">EUD CR DES HID CPO INDUL 250g</t>
  </si>
  <si>
    <t xml:space="preserve">EUD CR DES HID CPO RGE 250g V2</t>
  </si>
  <si>
    <t xml:space="preserve">LA VICT CR ACET DES HID CPO 250g V2</t>
  </si>
  <si>
    <t xml:space="preserve">L VICTORIE</t>
  </si>
  <si>
    <t xml:space="preserve">CLUB 6 DES ANTIT AER 125ml 75g</t>
  </si>
  <si>
    <t xml:space="preserve">CLUB 6</t>
  </si>
  <si>
    <t xml:space="preserve">EUD CR DES HID CPO UNIQ 250g V2</t>
  </si>
  <si>
    <t xml:space="preserve">EUD CR DES HID CPO DLX 250g V4</t>
  </si>
  <si>
    <t xml:space="preserve">SOUL MASC CILIO VOL BOMB 10g</t>
  </si>
  <si>
    <t xml:space="preserve">SIÀGE SHAMPOO CICA-THERAPY 250ML</t>
  </si>
  <si>
    <t xml:space="preserve">CARBON ESPUMA BARBEAR TURBO 190g 200ml</t>
  </si>
  <si>
    <t>CARBON</t>
  </si>
  <si>
    <t xml:space="preserve">CARBON POS BARBA GEL CREM TURBO 75g</t>
  </si>
  <si>
    <t xml:space="preserve">CARBON DES COL TURBO 100ml</t>
  </si>
  <si>
    <t xml:space="preserve">AURIEN DEO COL GOLD 100ml</t>
  </si>
  <si>
    <t>AURIEN</t>
  </si>
  <si>
    <t xml:space="preserve">GLAM ILUM STCK FAC LUMINOUS 5g</t>
  </si>
  <si>
    <t xml:space="preserve">SIAGE SHAMP HID MICLR 250ml</t>
  </si>
  <si>
    <t xml:space="preserve">SIAGE MASC CAP HIDRATACAO MICELAR 250g</t>
  </si>
  <si>
    <t xml:space="preserve">SIAGE LEAV CAP HIDRATACAO MICELAR 100ml</t>
  </si>
  <si>
    <t xml:space="preserve">SIAGE COND HIDRATACAO MICELAR 200ml</t>
  </si>
  <si>
    <t xml:space="preserve">KIT PRESENTE</t>
  </si>
  <si>
    <t xml:space="preserve">EUD PINCEL BASE</t>
  </si>
  <si>
    <t xml:space="preserve">EUD PINCEL SOMB 1</t>
  </si>
  <si>
    <t xml:space="preserve">EUD DIVA PINCEL ESFUMAR SOMBRA</t>
  </si>
  <si>
    <t xml:space="preserve">EUD DIVA PINCEL DEPOSITAR SOMBRA</t>
  </si>
  <si>
    <t xml:space="preserve">EUD CURVADOR CILIOS METAL</t>
  </si>
  <si>
    <t xml:space="preserve">SOUL PINCEL BLUSH E PO</t>
  </si>
  <si>
    <t xml:space="preserve">SOUL PINCEL SOMB DUO</t>
  </si>
  <si>
    <t xml:space="preserve">EUD PORTA JOIAS NYLON</t>
  </si>
  <si>
    <t xml:space="preserve">EUDORA CAIXA PRESENTEAVEL DOURADA TAM G</t>
  </si>
  <si>
    <t xml:space="preserve">EUD NECESS POLIESTER S/ALCA</t>
  </si>
  <si>
    <t xml:space="preserve">EUD CLUTCH CLASSICA LACO PU</t>
  </si>
  <si>
    <t xml:space="preserve">EUD BOLSA CLUTCH ZIGZAG PVC C/ALCA</t>
  </si>
  <si>
    <t xml:space="preserve">EUD BOLSA DE MAO METALIZADA PU S/A</t>
  </si>
  <si>
    <t xml:space="preserve">EUD BOLSA CLUTCH COLEC PU S/ALCA G</t>
  </si>
  <si>
    <t xml:space="preserve">EUD BRACELETE DOURADO METAL</t>
  </si>
  <si>
    <t xml:space="preserve">EUD CLUTCH ENVELOPE PU S/ALCA</t>
  </si>
  <si>
    <t xml:space="preserve">EUD NECESSAIRE FLOR CEREJEIRA PVC S/A</t>
  </si>
  <si>
    <t xml:space="preserve">EUD BOLSA ENVELOPE VELUDO  C/A</t>
  </si>
  <si>
    <t xml:space="preserve">EUDORA CLUTCH ABA PU S/ALCA</t>
  </si>
  <si>
    <t xml:space="preserve">EUD NECESSAIRE RENDA PRETA PU S/A</t>
  </si>
  <si>
    <t xml:space="preserve">EUD NEC FLAT METALICA DOURADA PU S/A</t>
  </si>
  <si>
    <t xml:space="preserve">EUD BOLSA CLUTCH MAES PVC C/ALCA</t>
  </si>
  <si>
    <t xml:space="preserve">EUD CLUTCH BABADOS PU S/ALCA</t>
  </si>
  <si>
    <t xml:space="preserve">SOUL PINCEL PARA PIGMENTO</t>
  </si>
  <si>
    <t xml:space="preserve">EUD DIVA PINCEL CORRETIVO</t>
  </si>
  <si>
    <t xml:space="preserve">EUD BOLSA CLUTCH DOURADA PVC S/A</t>
  </si>
  <si>
    <t xml:space="preserve">EUD NECESSAIRE POMPOM PVC S/A</t>
  </si>
  <si>
    <t xml:space="preserve">EUDORA ORGANIZADOR BOLSA POLIESTER C/A</t>
  </si>
  <si>
    <t xml:space="preserve">EUDORA BOLSA DEGRADE EM PVC C/A</t>
  </si>
  <si>
    <t xml:space="preserve">EUDORA CLUTCH CHEVRON MAES PU C/A</t>
  </si>
  <si>
    <t xml:space="preserve">EUD DIVA PINCEL FIBRAS DUPLAS</t>
  </si>
  <si>
    <t xml:space="preserve">EUD PORTA PINCEIS DOURADO PVC S/A</t>
  </si>
  <si>
    <t xml:space="preserve">EUDORA MATEFIX SAQUINHO VELUDO</t>
  </si>
  <si>
    <t xml:space="preserve">EUD NECESS LACO PU S/A</t>
  </si>
  <si>
    <t xml:space="preserve">EUD NECESS ROXA BRILHO PVC S/A</t>
  </si>
  <si>
    <t xml:space="preserve">EUD NECESS TASSEL ROXO PVC S/A</t>
  </si>
  <si>
    <t xml:space="preserve">EUD NECESS MASCULINA PVC C/A</t>
  </si>
  <si>
    <t xml:space="preserve">EUD NECESS TASSEL PRETO PVC S/A</t>
  </si>
  <si>
    <t xml:space="preserve">EUD BOLSA DE MAO TROPICAL PE S/A</t>
  </si>
  <si>
    <t xml:space="preserve">EUD PORTA JOIAS POLIEST S/A</t>
  </si>
  <si>
    <t xml:space="preserve">EUD CLUTCH LUXO ROSE</t>
  </si>
  <si>
    <t xml:space="preserve">EUD ORGN PRETO MULTIUSO POLIESTER S/A</t>
  </si>
  <si>
    <t xml:space="preserve">EUD BOLSA DE MAO CLASSICA PVC S/A</t>
  </si>
  <si>
    <t xml:space="preserve">EUD NECESS LISTRA/RENDA PVC S/A</t>
  </si>
  <si>
    <t xml:space="preserve">EUD BRINCO GOTA METAL</t>
  </si>
  <si>
    <t xml:space="preserve">EUD NECESS PRETA BRLH TPU S/A</t>
  </si>
  <si>
    <t xml:space="preserve">EUD ORGN ROXO/PRETO NAILON C/A</t>
  </si>
  <si>
    <t xml:space="preserve">EUD CHAVEIRO POMPOM POLIEST</t>
  </si>
  <si>
    <t xml:space="preserve">EUD BOLSA MESCLADA POLIEST C/A</t>
  </si>
  <si>
    <t xml:space="preserve">EUD BOLSA DE MAO PELO PVC S/A</t>
  </si>
  <si>
    <t xml:space="preserve">EUD BOLSA DE MAO ROSE</t>
  </si>
  <si>
    <t xml:space="preserve">AURIEN SAQUINHO DE VELUDO</t>
  </si>
  <si>
    <t xml:space="preserve">EUD BOLSA NOITE EDP EVA</t>
  </si>
  <si>
    <t xml:space="preserve">SIAGE SHAMP CBT/FRIZ 250ml RPCK</t>
  </si>
  <si>
    <t xml:space="preserve">SIAGE COND CBT/FRIZ 200ml RPCK</t>
  </si>
  <si>
    <t xml:space="preserve">SIAGE MASC CAP CBT/FRIZ 250g RPCK</t>
  </si>
  <si>
    <t xml:space="preserve">SIAGE CR DEFRIZANTE CBT/FRIZ 100ml RPCK</t>
  </si>
  <si>
    <t xml:space="preserve">SIAGE SPR ANTI FRIZZ CBT/FRIZ 50ml RPCK</t>
  </si>
  <si>
    <t xml:space="preserve">SIÀGE SHAMPOO GLOW EXPERT 250ml</t>
  </si>
  <si>
    <t xml:space="preserve">SIÀGE CONDICIONADOR GLOW EXPERT 200ml</t>
  </si>
  <si>
    <t xml:space="preserve">SIÀGE MÁSCARA CAPILAR GLOW EXPERT 250g</t>
  </si>
  <si>
    <t xml:space="preserve">SIÀGE LEAVE IN BALM DISCIPLINANTE GLOW EXPERT 100ml</t>
  </si>
  <si>
    <t xml:space="preserve">INSTANCE SHAMP ABAC/OLIV 300ml</t>
  </si>
  <si>
    <t xml:space="preserve">INSTANCE COND ABAC/OLIV 300ml</t>
  </si>
  <si>
    <t xml:space="preserve">INSTANCE MASC CAP ABAC/OLIV 200g</t>
  </si>
  <si>
    <t xml:space="preserve">SOUL ESPONJA MAQUIAGEM PU</t>
  </si>
  <si>
    <t xml:space="preserve">INSTANCE EMB PRESENTEAVEL SORTIDA</t>
  </si>
  <si>
    <t xml:space="preserve">SIÀGE MÁSCARA CAPILAR CICA-THERAPY 250G</t>
  </si>
  <si>
    <t xml:space="preserve">NEO CR HID FAC NOT MULTIEFF D/ETG 30g</t>
  </si>
  <si>
    <t>NEO</t>
  </si>
  <si>
    <t xml:space="preserve">NEO D/ETG SRUM ANTIID FAC MULTIEFF 30ml</t>
  </si>
  <si>
    <t xml:space="preserve">SIAGE SHAMP NUTRI ROSE 400ml</t>
  </si>
  <si>
    <t xml:space="preserve">SIAGE COND NUTRI ROSE 400ml</t>
  </si>
  <si>
    <t xml:space="preserve">SIAGE LEAV CAP SPR RESG/IMED 100ml</t>
  </si>
  <si>
    <t xml:space="preserve">SIAGE SHAMP RECONST/FIOS 400ml</t>
  </si>
  <si>
    <t xml:space="preserve">SIAGE COND RECONST/FIOS 400ml</t>
  </si>
  <si>
    <t xml:space="preserve">EUDORA SOUL BASE MULTI 8 EM 1 COR 85 20ML</t>
  </si>
  <si>
    <t xml:space="preserve">EUDORA SOUL BASE MULTI 8 EM 1 COR 10 20ML</t>
  </si>
  <si>
    <t xml:space="preserve">EUDORA SOUL BASE MULTI 8 EM 1 COR 65 20ML</t>
  </si>
  <si>
    <t xml:space="preserve">EUDORA SOUL BASE MULTI 8 EM 1 COR 50 20ML</t>
  </si>
  <si>
    <t xml:space="preserve">EUDORA SOUL BASE MULTI 8 EM 1 COR 95 20ML</t>
  </si>
  <si>
    <t xml:space="preserve">EUDORA SOUL BASE MULTI 8 EM 1 COR 35 20ML</t>
  </si>
  <si>
    <t xml:space="preserve">EUDORA SOUL BASE MULTI 8 EM 1 COR 25 20ML</t>
  </si>
  <si>
    <t xml:space="preserve">EUDORA SOUL BASE MULTI 8 EM 1 COR 00 20ML</t>
  </si>
  <si>
    <t xml:space="preserve">INSTANCE DES ANTIT AER FR/VERM 150ml</t>
  </si>
  <si>
    <t xml:space="preserve">INSTANCE DES ANTIT ROLL FR/VERM 55ml</t>
  </si>
  <si>
    <t xml:space="preserve">LA PIEL CREME ESFOLIANTE CORPORAL ALGAS DO PACIFICO 200G</t>
  </si>
  <si>
    <t xml:space="preserve">LA PIEL</t>
  </si>
  <si>
    <t xml:space="preserve">LA PIEL OL DES HID CPO CRIST/HIMAL 200ml</t>
  </si>
  <si>
    <t xml:space="preserve">CLUB 6 DES ANTIT AER VOYAGE 125ml</t>
  </si>
  <si>
    <t xml:space="preserve">INSTANCE LOC DES HID CPO CER/AMEND 400ml</t>
  </si>
  <si>
    <t xml:space="preserve">INSTANCE DES HID CPO CER/AMEND 200ml</t>
  </si>
  <si>
    <t xml:space="preserve">INSTANCE CR HID MAO CER/AMEND 30g</t>
  </si>
  <si>
    <t xml:space="preserve">INSTANCE OL DES HID CPO CER/AMEND 110ml</t>
  </si>
  <si>
    <t xml:space="preserve">INSTANCE DES ROLL ON CHA VDE/ROMA 55ml</t>
  </si>
  <si>
    <t xml:space="preserve">INSTANCE DES ANTIT AER CHA VDE/ROM 150ml</t>
  </si>
  <si>
    <t xml:space="preserve">INSTANCE DES ANTIT CREM CHA VDE/ROMA 80g</t>
  </si>
  <si>
    <t xml:space="preserve">INSTANCE DES ANTIT CREM S/PERF 80g</t>
  </si>
  <si>
    <t xml:space="preserve">INSTANCE DES ANTIT AER S/PERF 150ml</t>
  </si>
  <si>
    <t xml:space="preserve">DIVA DES ANTIT AER 150ml</t>
  </si>
  <si>
    <t>DIVA</t>
  </si>
  <si>
    <t xml:space="preserve">CLUB 6 DES ANTIT AER CASSINO 150ml</t>
  </si>
  <si>
    <t xml:space="preserve">EUD DES ANTIT AER 90g/150ml V2</t>
  </si>
  <si>
    <t xml:space="preserve">IMPRESSION DES ANTIT AER 90g/150ml V2</t>
  </si>
  <si>
    <t>IMPRESSION</t>
  </si>
  <si>
    <t xml:space="preserve">EUDORA VOLPE MASTER SHOWER GEL 3 EM 1 200g</t>
  </si>
  <si>
    <t xml:space="preserve">NEO DERMO ETG GEL DE LIMP FAC 150g</t>
  </si>
  <si>
    <t xml:space="preserve">EUD PRESENTE CX PRES ESTJ CLUB 6 VOYAGE</t>
  </si>
  <si>
    <t xml:space="preserve">LA PIEL REFIL HIDRATANTE DESODORANTE CORPORAL LÓTUS DO ORIENTE 350 ml</t>
  </si>
  <si>
    <t xml:space="preserve">LA PIEL REFIL HIDRATANTE DESODORANTE CORPORAL TÂMARAS EGÍPCIAS 350 ML</t>
  </si>
  <si>
    <t xml:space="preserve">LA PIEL REFIL HIDRATANTE DESODORANTE CORPORAL ÂMBAR DOURADO 350 ML</t>
  </si>
  <si>
    <t xml:space="preserve">SOUL K/M BAT MATE VINHO ALT/COSTURA 3,7g</t>
  </si>
  <si>
    <t xml:space="preserve">IMPRESSION EDP LEGEND 100ml</t>
  </si>
  <si>
    <t xml:space="preserve">SOUL K/M BAT MATE VERM/ATEMPORAL 3,7g</t>
  </si>
  <si>
    <t xml:space="preserve">EUDORA SOUL BATOM KISS ME HIDRATANTE VERMELHO ENTARDECER 3,7G</t>
  </si>
  <si>
    <t xml:space="preserve">EUDORA SOUL BATOM KISS ME HIDRATANTE LARANJA PÔR DO SOL 3,7G</t>
  </si>
  <si>
    <t xml:space="preserve">NIINA SCR BAS LIQ DAIL TIN CR COR 0</t>
  </si>
  <si>
    <t xml:space="preserve">NIINA SCR BAS LIQ DAIL TIN CR COR13 25ml</t>
  </si>
  <si>
    <t xml:space="preserve">NIINA SCR BAS LIQ DAIL TIN CR COR85 25ml</t>
  </si>
  <si>
    <t xml:space="preserve">NIINA SCR BAS LIQ DAIL TIN CR COR35 25ml</t>
  </si>
  <si>
    <t xml:space="preserve">NIINA SCR BAS LIQ DAIL TIN CR COR70 25ml</t>
  </si>
  <si>
    <t xml:space="preserve">NIINA SCR BAS LIQ DAIL TIN CR COR3 25ml</t>
  </si>
  <si>
    <t xml:space="preserve">NIINA SCR BAS LIQ DAIL TIN CR COR5 25ml</t>
  </si>
  <si>
    <t xml:space="preserve">NIINA SCR BAS LIQ DAIL TIN CR COR48 25ml</t>
  </si>
  <si>
    <t xml:space="preserve">REF INSTANCE DES HID CPO CER/AMEN 350ml</t>
  </si>
  <si>
    <t xml:space="preserve">EUD EDP ROYAL 75ml</t>
  </si>
  <si>
    <t xml:space="preserve">EUD CREM DES HID CPO ROYAL 250g</t>
  </si>
  <si>
    <t xml:space="preserve">NIINA SCRT ESPNJ MAQUIAGEM</t>
  </si>
  <si>
    <t xml:space="preserve">KIT EUDORA BABY</t>
  </si>
  <si>
    <t>EUDORABABY</t>
  </si>
  <si>
    <t xml:space="preserve">EUDORA BABY SABONETE EM BARRA 2x80g</t>
  </si>
  <si>
    <t xml:space="preserve">SIAGE SHAMPOO NUTRI ROSE 400ML REFIL</t>
  </si>
  <si>
    <t xml:space="preserve">SIÀGE CONDICIONADOR NUTRI ROSE 400ML REFIL</t>
  </si>
  <si>
    <t xml:space="preserve">SIÀGE SHAMPOO RECONSTROI OS FIOS 400ML REFIL</t>
  </si>
  <si>
    <t xml:space="preserve">SIAGE CONDICIONADOR RECONSTROI OS FIOS 400ML REFIL</t>
  </si>
  <si>
    <t xml:space="preserve">INSTANCE LOC DES H CPO FR/VERM 200ml V3</t>
  </si>
  <si>
    <t xml:space="preserve">INSTANCE LOC DES HID CPO KARITE 200ml V3</t>
  </si>
  <si>
    <t xml:space="preserve">INSTANCE LOC DES HID CPO BAUN 200ml V2</t>
  </si>
  <si>
    <t xml:space="preserve">REF INSTANCE LOC D H CPO BAUN 350ml V2</t>
  </si>
  <si>
    <t xml:space="preserve">REF INSTANCE LOC D H C FR/VERM 350ml V2</t>
  </si>
  <si>
    <t xml:space="preserve">REF INSTANCE LOC DES H CPO LAV 350ml V2</t>
  </si>
  <si>
    <t xml:space="preserve">REF INSTANCE LOC D H CPO KARITE 350ml V2</t>
  </si>
  <si>
    <t xml:space="preserve">EUDORA BABY CONDICIONADOR 200ml</t>
  </si>
  <si>
    <t xml:space="preserve">INTENTION FOR MAN DES COL STRONG 100ml</t>
  </si>
  <si>
    <t>INTENTION</t>
  </si>
  <si>
    <t xml:space="preserve">INTENTION FOR MAN DES ANT AER STR 125ml</t>
  </si>
  <si>
    <t xml:space="preserve">VOLPE DES COL DNA 100ml</t>
  </si>
  <si>
    <t xml:space="preserve">INSTANCE CREM P/PENT ABAC/OLIV 200ml</t>
  </si>
  <si>
    <t xml:space="preserve">REF INSTANCE LOC DES H CPO CASTAN 350ml</t>
  </si>
  <si>
    <t xml:space="preserve">INSTANCE LOC DES HID CPO LAVAN 200ml</t>
  </si>
  <si>
    <t xml:space="preserve">NIINA SCR BAS LIQ DAILY TINT CRM 95 25ml</t>
  </si>
  <si>
    <t xml:space="preserve">NIINA SCR BAS LIQ DAIL TINT CRM 100 25ml</t>
  </si>
  <si>
    <t xml:space="preserve">AURIEN LOC ILUM DES CPO GOLD 200ml V2</t>
  </si>
  <si>
    <t xml:space="preserve">AURIEN LOC HID DES CPO RUBRA 200ml V3</t>
  </si>
  <si>
    <t xml:space="preserve">AURIEN DES COL RUBRA 100ml V3</t>
  </si>
  <si>
    <t xml:space="preserve">AURIEN SAB LIQ CPO TURQ 200ml V2</t>
  </si>
  <si>
    <t xml:space="preserve">AURIEN DES COL TURQ 100ml V2</t>
  </si>
  <si>
    <t xml:space="preserve">CHIC CREME HID MÃOS RETRÔ 50g</t>
  </si>
  <si>
    <t>CHIC</t>
  </si>
  <si>
    <t xml:space="preserve">IMENSI DES COL 100ml V2</t>
  </si>
  <si>
    <t>IMENSI</t>
  </si>
  <si>
    <t xml:space="preserve">EUD EDP ROUGE 75ml V2</t>
  </si>
  <si>
    <t xml:space="preserve">IMENSI LOC DES HID CPO 200ml V2</t>
  </si>
  <si>
    <t xml:space="preserve">EUD EDP DELUXE 75ml V3</t>
  </si>
  <si>
    <t xml:space="preserve">EUD EDP 75ml V4</t>
  </si>
  <si>
    <t xml:space="preserve">Não - Top seller - Top 30</t>
  </si>
  <si>
    <t xml:space="preserve">LA VICTORIE EDP 75ml V2</t>
  </si>
  <si>
    <t xml:space="preserve">CLUB 6 BALM POS BARBA 75g V2</t>
  </si>
  <si>
    <t xml:space="preserve">CLUB 6 DES COL CASSINO 95ml V2</t>
  </si>
  <si>
    <t xml:space="preserve">CLUB 6 CASSINO LOC DES HID CPO 200ml V2</t>
  </si>
  <si>
    <t xml:space="preserve">CLUB 6 DES COL 95ml V2</t>
  </si>
  <si>
    <t xml:space="preserve">CLUB 6 ESPUM P/ BARB 200ml V2</t>
  </si>
  <si>
    <t xml:space="preserve">IMPRESSION GEL CREME POS BARBA 75g V2</t>
  </si>
  <si>
    <t xml:space="preserve">EUDORA H SHW GEL CAB/CPO ACQUA 200g V2</t>
  </si>
  <si>
    <t xml:space="preserve">EUDORA H</t>
  </si>
  <si>
    <t xml:space="preserve">RUMMO SHW GEL CPO 2/1 LIBERDADE 200g V2</t>
  </si>
  <si>
    <t>RUMMO</t>
  </si>
  <si>
    <t xml:space="preserve">FOR LIFE DES COL 100ml V2</t>
  </si>
  <si>
    <t xml:space="preserve">FOR LIFE</t>
  </si>
  <si>
    <t xml:space="preserve">FOR LIFE SHW GEL 2/1 FOR LIFE 200g V2</t>
  </si>
  <si>
    <t xml:space="preserve">IMPRESSION EDP 100ml V2</t>
  </si>
  <si>
    <t xml:space="preserve">IMPRESSION EDP IN BLACK 100ml V2</t>
  </si>
  <si>
    <t xml:space="preserve">IMPRESS ESPUM P/ BARB 200ml V2</t>
  </si>
  <si>
    <t xml:space="preserve">IMPRESS LOC D HID CPO IN BLACK 200ml V2</t>
  </si>
  <si>
    <t xml:space="preserve">SIAGE SHAMP A SECO STYL 150ml V2</t>
  </si>
  <si>
    <t xml:space="preserve">SIAGE AMP CAP QUERAT RECONST/FIO 60ml V2</t>
  </si>
  <si>
    <t xml:space="preserve">SIAGE AMP CAP RECONST/FIOS 15ml V2</t>
  </si>
  <si>
    <t xml:space="preserve">SIAGE CC CRM CAP RECONST/FIOS 100ml V2</t>
  </si>
  <si>
    <t xml:space="preserve">SIAGE COND ACEL/CRESC 200ml V2</t>
  </si>
  <si>
    <t xml:space="preserve">SIAGE COND CAUT/FIOS 200ml V2</t>
  </si>
  <si>
    <t xml:space="preserve">SIAGE COND REGEN POS QUIMICA 200ml V2</t>
  </si>
  <si>
    <t xml:space="preserve">SIAGE COND LIS INT 200ml V2</t>
  </si>
  <si>
    <t xml:space="preserve">SIAGE COND LOIRO EXPT 200ml V2</t>
  </si>
  <si>
    <t xml:space="preserve">SIAGE COND NUT/DIAM 200ml V2</t>
  </si>
  <si>
    <t xml:space="preserve">SIAGE COND RECONST/FIOS 200ml V2</t>
  </si>
  <si>
    <t xml:space="preserve">SIAGE COND REMOVE OL 200ml V2</t>
  </si>
  <si>
    <t xml:space="preserve">SIAGE COND NUTRI ROSE 200ml V2</t>
  </si>
  <si>
    <t xml:space="preserve">SIAGE COND RVL/CACH 200ml V2</t>
  </si>
  <si>
    <t xml:space="preserve">SIAGE CREM PENT ACEL/CRESC 80g V2</t>
  </si>
  <si>
    <t xml:space="preserve">SIAGE CREM PENT RVL/CACH 500g V2</t>
  </si>
  <si>
    <t xml:space="preserve">SIAGE LEAVE IN CAPILAR NUTRI ROSE 100ml</t>
  </si>
  <si>
    <t xml:space="preserve">SIAGE LEAV CAP SEL FIN LIS INT 100ml V2</t>
  </si>
  <si>
    <t xml:space="preserve">SIAGE MASC CAP ACEL/CRESC 250g V2</t>
  </si>
  <si>
    <t xml:space="preserve">SIAGE MASC CAP CAUTERIZ/FIOS 250g V2</t>
  </si>
  <si>
    <t xml:space="preserve">SIAGE MASC CAP REGEN POS QUIMICA 250g V2</t>
  </si>
  <si>
    <t xml:space="preserve">SIAGE MASC CAP LIS INT 250g ml V2</t>
  </si>
  <si>
    <t xml:space="preserve">SIAGE MASC CAP LOIRO EXPT 250ml V2</t>
  </si>
  <si>
    <t xml:space="preserve">SIAGE MASC CAP NUT/DIAM 250g V2</t>
  </si>
  <si>
    <t xml:space="preserve">SIAGE MASC CAP LOIRO EXPT 100ml V2</t>
  </si>
  <si>
    <t xml:space="preserve">SIAGE MASC CAP RECONST/FIOS 250g V2</t>
  </si>
  <si>
    <t xml:space="preserve">SIAGE MASC CAP NUTRI ROSE 250g V2</t>
  </si>
  <si>
    <t xml:space="preserve">SIAGE MASC CAP RVL/CACH 250g V2</t>
  </si>
  <si>
    <t xml:space="preserve">SIAGE OL CAP RECONST/FIOS 60ml V2</t>
  </si>
  <si>
    <t xml:space="preserve">SIAGE SHAMP ACEL/CRESC 250ml V2</t>
  </si>
  <si>
    <t xml:space="preserve">SIAGE SPR CAP HOT THER CAUT/FIO 60ml V2</t>
  </si>
  <si>
    <t xml:space="preserve">SIAGE SHAMP CAUTERIZ/FIOS 250ml V2</t>
  </si>
  <si>
    <t xml:space="preserve">SIAGE SHAMP REGEN POS QUIMICA 250ml V2</t>
  </si>
  <si>
    <t xml:space="preserve">SIAGE SHAMP LIS INT 250ml V2</t>
  </si>
  <si>
    <t xml:space="preserve">SIAGE SHAMPOO DESAMARELADOR LOIRO EXPERT 250ml</t>
  </si>
  <si>
    <t xml:space="preserve">SIAGE SHAMP RECONST/FIOS 250ml V2</t>
  </si>
  <si>
    <t xml:space="preserve">SIAGE SHAMP REMOVE OL 250ml V2</t>
  </si>
  <si>
    <t xml:space="preserve">SIAGE SHAMP NUTRI ROSE 250ml V2</t>
  </si>
  <si>
    <t xml:space="preserve">SIAGE SHAMP REV/CACH 250ml V2</t>
  </si>
  <si>
    <t xml:space="preserve">SIAGE SPR CAP REVIT RVL/CACH 100ml V2</t>
  </si>
  <si>
    <t xml:space="preserve">SIAGE TON CAP ACEL/CRESC 65ml V2</t>
  </si>
  <si>
    <t xml:space="preserve">CHIC DES COL 95ml V2</t>
  </si>
  <si>
    <t xml:space="preserve">CHIC DES COL RETRO 95ml V2</t>
  </si>
  <si>
    <t xml:space="preserve">EUD CAIXA PRESENTEAVEL NAT/22</t>
  </si>
  <si>
    <t xml:space="preserve">EUDORA BABY FRASQUEIRA COM TROCADOR</t>
  </si>
  <si>
    <t xml:space="preserve">GLAM KIT PINCEIS</t>
  </si>
  <si>
    <t xml:space="preserve">EUD BABY TOALHA BOCA ALGODAO</t>
  </si>
  <si>
    <t xml:space="preserve">LA VICTORIE INTENSE BODY SPRAY DESODORANTE, 100 ml</t>
  </si>
  <si>
    <t xml:space="preserve">EUDORA LYRA BODY SPRAY DESODORANTE, 100 ml</t>
  </si>
  <si>
    <t>LYRA</t>
  </si>
  <si>
    <t xml:space="preserve">EUDORA IMENSI BODY SPRAY DESODORANTE, 100 ml</t>
  </si>
  <si>
    <t xml:space="preserve">EUDORA BODY SPRAY DESODORANTE, 100 ml</t>
  </si>
  <si>
    <t xml:space="preserve">EUDORA MAGNIFIC BODY SPRAY DESODORANTE, 100 ml</t>
  </si>
  <si>
    <t>MAGNIFIC</t>
  </si>
  <si>
    <t xml:space="preserve">INTENTION FOR MAN DES BDY SPR 100ml</t>
  </si>
  <si>
    <t xml:space="preserve">VOLPE DES BDY SPR 100ml</t>
  </si>
  <si>
    <t xml:space="preserve">CLUB 6 DES BDY SPR 100ml</t>
  </si>
  <si>
    <t xml:space="preserve">CLUB 6 PORTA COPOS</t>
  </si>
  <si>
    <t xml:space="preserve">INSTANCE COND ACAI E BAMBU 300ml</t>
  </si>
  <si>
    <t xml:space="preserve">INSTANCE MASC CAP ACAI E BAMBU 200g</t>
  </si>
  <si>
    <t xml:space="preserve">INSTANCE CREM PENT ACAI E BAMBU 200ml</t>
  </si>
  <si>
    <t xml:space="preserve">INSTANCE MASC CAP ACAI/BAMBU 30g</t>
  </si>
  <si>
    <t xml:space="preserve">INSTANCE MASC CAP KARITE 30g</t>
  </si>
  <si>
    <t xml:space="preserve">INSTANCE MASC CAP ABAC/OLIV 30g</t>
  </si>
  <si>
    <t xml:space="preserve">EUDORA H DESODORANTE COLONIA REFRESH 2023 100 ML</t>
  </si>
  <si>
    <t xml:space="preserve">EUDORA CAIXA PRESENTEÁVEL MÃES 2022</t>
  </si>
  <si>
    <t xml:space="preserve">EUDORA VAPORIZADOR PORTA PERFUME</t>
  </si>
  <si>
    <t xml:space="preserve">INSTANCE MARACUJÁ LOÇÃO HIDRATANTE DESODORANTE CORPORAL 400 ml</t>
  </si>
  <si>
    <t xml:space="preserve">INSTANCE MARACUJÁ SPRAY CORPORAL PERFUMADO DESODORANTE COLÔNIA 60ML</t>
  </si>
  <si>
    <t xml:space="preserve">INSTANCE MARACUJÁ POLPA ESFOLIANTE HIDRATANTE DESODORANTE CORPORAL 150G</t>
  </si>
  <si>
    <t xml:space="preserve">EUDORA DESODORANTE COLÔNIA ROSA MARCANTE 50ml</t>
  </si>
  <si>
    <t xml:space="preserve">EUDORA DESODORANTE COLÔNIA CABERNET 50ml VERSAO 3</t>
  </si>
  <si>
    <t xml:space="preserve">EUDORA DESODORANTE COLÔNIA KISS ME NUDE CARAMELO 50ml VERSAO 3</t>
  </si>
  <si>
    <t xml:space="preserve">EUDORA DESODORANTE COLÔNIA KISS ME NOW 50ml VERSAO 2</t>
  </si>
  <si>
    <t xml:space="preserve">EUDORA LOÇÃO PERFUMADA DESODORANTE CORPORAL KISS ME ROSA MARCANTE 100ML V3</t>
  </si>
  <si>
    <t xml:space="preserve">EUDORA LOÇÃO PERFUMADA DESODORANTE CORPORAL KISS ME CABERNET 100ml</t>
  </si>
  <si>
    <t xml:space="preserve">EUDORA LOÇÃO PERFUMADA DESODORANTE CORPORAL KISS ME NUDE CARAMELO 100ml</t>
  </si>
  <si>
    <t xml:space="preserve">EUDORA LOÇÃO PERFUMADA DESODORANTE CORPORAL KISS ME NOW 100ml V2</t>
  </si>
  <si>
    <t xml:space="preserve">EUDORA DESODORANTE COLÔNIA KISS ME NOVO FLANKER 50ml</t>
  </si>
  <si>
    <t xml:space="preserve">EUDORA LOÇÃO PERFUMADA DESODORANTE CORPORAL KISS ME MORE 100ml</t>
  </si>
  <si>
    <t xml:space="preserve">INSTANCE CX PRESENTEAVEL C/TPA</t>
  </si>
  <si>
    <t xml:space="preserve">LA PIEL REFIL HIDRATANTE DESODORANTE CORPORAL CRISTAIS DO HIMALAIA 350 ml</t>
  </si>
  <si>
    <t xml:space="preserve">EUDORA NIINA SECRETS PÓ TRANSLUCIDO KABUKI COR 1 3,5G</t>
  </si>
  <si>
    <t xml:space="preserve">NIINA SECRETS BLUSH MARMORIZADO COR 2 9,6G</t>
  </si>
  <si>
    <t xml:space="preserve">NIINA SECRETS BLUSH MARMORIZADO COR 1 9,6G</t>
  </si>
  <si>
    <t xml:space="preserve">EUDORA NIINA SECRETS PÓ TRANSLUCIDO KABUKI COR 2 3,5G</t>
  </si>
  <si>
    <t xml:space="preserve">EUDORA GLAM BATOM MICRO PLUMP AVELÃ MAGNÍFICO 1,8G</t>
  </si>
  <si>
    <t xml:space="preserve">EUDORA GLAM BATOM MICRO PLUMP VERMELHO ÚNICO 1,8G</t>
  </si>
  <si>
    <t xml:space="preserve">EUDORA GLAM BATOM MICRO PLUMP TERRACOTA RETRÔ 1,8G</t>
  </si>
  <si>
    <t xml:space="preserve">EUDORA GLAM BATOM MICRO PLUMP ROSADO NOBRE 1,8G</t>
  </si>
  <si>
    <t xml:space="preserve">EUDORA GLAM BATOM MICRO PLUMP MALVA ESSENCIAL 1,8G</t>
  </si>
  <si>
    <t xml:space="preserve">EUDORA GLAM DELINEADOR LÍQUIDO PRETO 3ml</t>
  </si>
  <si>
    <t xml:space="preserve">EUDORA GLAM INFINITY MÁSCARA PARA CÍLIOS CRESCIMENTO 8,5g</t>
  </si>
  <si>
    <t xml:space="preserve">SOUL MASC CILIO SUP STAR 10g</t>
  </si>
  <si>
    <t xml:space="preserve">EUDORA SOUL BATOM LIQUIDO KISS ME SEMI MATTE NUDE AUTORAL 5.2 ML</t>
  </si>
  <si>
    <t xml:space="preserve">EUDORA SOUL BATOM LIQUIDO KISS ME SEMI MATTE ROSE ÚNICO 5.2 ML</t>
  </si>
  <si>
    <t xml:space="preserve">EUDORA SOUL BATOM KISS ME EFEITO MATTE NUDE DESTAQUE 3,7g</t>
  </si>
  <si>
    <t xml:space="preserve">EUDORA SOUL BATOM KISS ME EFEITO MATTE NUDE PODER 3,7g</t>
  </si>
  <si>
    <t xml:space="preserve">EUDORA SOUL BATOM KISS ME TINT 2 EM 1 ROSA 5ML</t>
  </si>
  <si>
    <t xml:space="preserve">EUDORA SOUL BATOM KISS ME TINT 2 EM 1 NUDE 5ML</t>
  </si>
  <si>
    <t xml:space="preserve">NIINA SECRETS PALETTE SOMBRA ORANGE 5,6G</t>
  </si>
  <si>
    <t xml:space="preserve">NIINA SECRETS BATOM LÍQUIDO SKINNY MATTE MARSALA MAGNÓLIA 4ML</t>
  </si>
  <si>
    <t xml:space="preserve">EUDORA GLAM BASE LIQUIDA SKIN CONTROL COR 65</t>
  </si>
  <si>
    <t xml:space="preserve">EUDORA GLAM BASE LIQUIDA SKIN CONTROL COR 50</t>
  </si>
  <si>
    <t xml:space="preserve">EUDORA GLAM BASE LIQUIDA SKIN CONTROL COR 45</t>
  </si>
  <si>
    <t xml:space="preserve">EUDORA GLAM BASE LIQUIDA SKIN CONTROL COR 35</t>
  </si>
  <si>
    <t xml:space="preserve">EUDORA GLAM BASE LIQUIDA SKIN CONTROL COR 25</t>
  </si>
  <si>
    <t xml:space="preserve">EUDORA GLAM BASE LIQUIDA SKIN CONTROL COR 15</t>
  </si>
  <si>
    <t xml:space="preserve">EUDORA GLAM BASE LIQUIDA SKIN CONTROL COR 10</t>
  </si>
  <si>
    <t xml:space="preserve">EUDORA GLAM BASE LIQUIDA SKIN CONTROL COR 05</t>
  </si>
  <si>
    <t xml:space="preserve">EUDORA GLAM BASE LIQUIDA SKIN CONTROL COR 100</t>
  </si>
  <si>
    <t xml:space="preserve">EUDORA GLAM BASE LIQUIDA SKIN CONTROL COR 85</t>
  </si>
  <si>
    <t xml:space="preserve">EUDORA GLAM BASE LIQUIDA SKIN CONTROL COR 75</t>
  </si>
  <si>
    <t xml:space="preserve">EUDORA GLAM BASE LIQUIDA SKIN CONTROL COR 00</t>
  </si>
  <si>
    <t xml:space="preserve">EUDORA NIINA SECRETS PÓ TRANSLUCIDO KABUKI COR 3 3,5G</t>
  </si>
  <si>
    <t xml:space="preserve">CLUB 6 DESODORANTE COLÔNIA EXCLUSIVE 95ml V2</t>
  </si>
  <si>
    <t xml:space="preserve">EUDORA SOUL BATOM KISS ME TINT 2 EM 1 VERMELHO 5ML</t>
  </si>
  <si>
    <t xml:space="preserve">CLUB 6 INTENSO DESODORANTE COLÔNIA, 95ml</t>
  </si>
  <si>
    <t xml:space="preserve">EUD DES COL SENS VELV 100ml</t>
  </si>
  <si>
    <t xml:space="preserve">EUD LOC DES HID CPO SENS VELV 150ml</t>
  </si>
  <si>
    <t xml:space="preserve">EUDORA CAIXA CREME MÃOS NATAL/22</t>
  </si>
  <si>
    <t xml:space="preserve">INSTANCE FRUTAS VERMELHAS CREME HIDRATANTE DESODORANTE CORPORAL 400ML</t>
  </si>
  <si>
    <t xml:space="preserve">INSTANCE KARITÉ CREME HIDRATANTE DESODORANTE CORPORAL 400ML</t>
  </si>
  <si>
    <t xml:space="preserve">INSTANCE BAUNILHA CREME HIDRATANTE DESODORANTE CORPORAL 400ML</t>
  </si>
  <si>
    <t xml:space="preserve">INSTANCE FRUTAS VERMELHAS SPRAY CORPORAL PERFUMADO 200ML</t>
  </si>
  <si>
    <t xml:space="preserve">INSTANCE KARITÉ SPRAY CORPORAL PERFUMADO 200ML</t>
  </si>
  <si>
    <t xml:space="preserve">INSTANCE MARACUJÁ SPRAY CORPORAL PERFUMADO 200ML</t>
  </si>
  <si>
    <t xml:space="preserve">REFIL INSTANCE FRUTAS VERMELHAS CREME HIDRATANTE DESODORANTE CORPORAL 350ML</t>
  </si>
  <si>
    <t xml:space="preserve">REFIL INSTANCE KARITE CREME HIDRATANTE DESODORANTE CORPORAL 350ML</t>
  </si>
  <si>
    <t xml:space="preserve">REFIL INSTANCE BAUNILHA CREME HIDRATANTE DESODORANTE CORPORAL 350ML</t>
  </si>
  <si>
    <t xml:space="preserve">REFIL INSTANCE MARACUJÁ CREME HIDRATANTE DESODORANTE CORPORAL 350ML</t>
  </si>
  <si>
    <t xml:space="preserve">INSTANCE FRUTAS VERMELHAS CREME HIDRATANTE DESODORANTE CORPORAL 180ML</t>
  </si>
  <si>
    <t xml:space="preserve">INSTANCE MANTEIGA HIDRATANTE DESODORANTE CORPORAL KARITÉ 180ml</t>
  </si>
  <si>
    <t xml:space="preserve">INSTANCE FRUTAS VERMELHAS CREME DE MÃOS 30G</t>
  </si>
  <si>
    <t xml:space="preserve">INSTANCE MARACUJÁ CREME HIDRATANTE DESODORANTE CORPORAL 400ML</t>
  </si>
  <si>
    <t xml:space="preserve">CLUB 6 INTENSO ANTITRANSPIRANTE DESODORANTE AEROSOL, 125ml (75g)</t>
  </si>
  <si>
    <t xml:space="preserve">NIINA SKIN HIDRATANTE MATIFICANTE ANTIOLEOSIDADE 40g</t>
  </si>
  <si>
    <t xml:space="preserve">NIINA SKIN MÁSCARA NOTURNA LIP REPAIR 9g</t>
  </si>
  <si>
    <t xml:space="preserve">GLAM BATOM LÍQUIDO MATTE TINT NUDE ICÔNICO 4 ML</t>
  </si>
  <si>
    <t xml:space="preserve">GLAM BATOM LÍQUIDO MATTE TINT CASTANHO DIVINO 4 ML</t>
  </si>
  <si>
    <t xml:space="preserve">GLAM BATOM LÍQUIDO MATTE TINT BORDÔ INTENSO 4 ML</t>
  </si>
  <si>
    <t xml:space="preserve">GLAM BATOM LÍQUIDO MATTE TINT ROSÉ VINTAGE 4 ML</t>
  </si>
  <si>
    <t xml:space="preserve">BAD INTENTION DESODORANTE COLONIA 100ml</t>
  </si>
  <si>
    <t xml:space="preserve">GLAM BATOM LÍQUIDO MATTE TINT VERMELHO RADIANTE 4 ML</t>
  </si>
  <si>
    <t xml:space="preserve">EUDORA GLAM ESPONJA DIAMANTE</t>
  </si>
  <si>
    <t xml:space="preserve">SIÀGE SHAMPOO NUTRI ROSÉ 1L</t>
  </si>
  <si>
    <t xml:space="preserve">SIÀGE CONDICIONADOR NUTRI ROSÉ 1L</t>
  </si>
  <si>
    <t xml:space="preserve">SIÀGE SHAMPOO REGENERAÇÃO PÓS QUÍMICA 1L</t>
  </si>
  <si>
    <t xml:space="preserve">SIAGE CONDICIONADOR REGENERAÇÃO PÓS QUÍMICA 1L</t>
  </si>
  <si>
    <t xml:space="preserve">EUDORA MOUSSE BANHO 150ml V2</t>
  </si>
  <si>
    <t xml:space="preserve">INSTANCE BAUNILHA CREME DE MÃOS 30G</t>
  </si>
  <si>
    <t xml:space="preserve">SIÀGE MÁSCARA NUTRI ROSÉ 500G</t>
  </si>
  <si>
    <t xml:space="preserve">INSTANCE BAUNILHA SPRAY CORPORAL PERFUMADO 200ML</t>
  </si>
  <si>
    <t xml:space="preserve">SIÀGE MÁSCARA REGENERAÇÃO PÓS QUÍMICA 500G</t>
  </si>
  <si>
    <t xml:space="preserve">CARBON GEL CREM POS BARBA TURBO 75g V2</t>
  </si>
  <si>
    <t xml:space="preserve">BAD INTENTION SHAMPOO CABELO E CORPO FLANKER 2023 200g</t>
  </si>
  <si>
    <t xml:space="preserve">INSTANCE KARITÉ CREME DE MÃOS 30G</t>
  </si>
  <si>
    <t xml:space="preserve">INSTANCE BAUNILHA CREME HIDRATANTE DESODORANTE CORPORAL 180ML</t>
  </si>
  <si>
    <t xml:space="preserve">SIÀGE PUMP PARA 1L</t>
  </si>
  <si>
    <t xml:space="preserve">SIAGE SHAMP ANTICASPA MEN 250ml V2</t>
  </si>
  <si>
    <t xml:space="preserve">EUDORA LYRA JOY DESODORANTE COLONIA 75ML</t>
  </si>
  <si>
    <t xml:space="preserve">SIÀGE CONDICIONADOR CAUTERIZAÇÃO DOS LISOS 200ml</t>
  </si>
  <si>
    <t xml:space="preserve">SIÀGE SHAMPOO CAUTERIZAÇÃO DOS LISOS 250ml</t>
  </si>
  <si>
    <t xml:space="preserve">SIÀGE MÁSCARA CAPILAR CAUTERIZAÇÃO DOS LISOS 250g</t>
  </si>
  <si>
    <t xml:space="preserve">SIÀGE LEAVE IN CAPILAR CAUTERIZAÇÃO DOS LISOS 100ML</t>
  </si>
  <si>
    <t xml:space="preserve">EUD BABY SHAMP 200ml V2</t>
  </si>
  <si>
    <t xml:space="preserve">EUDORA LYRA JOY LOÇÃO HIDRATANTE DESODORANTE CORPORAL 150ML</t>
  </si>
  <si>
    <t xml:space="preserve">NIINA SKIN HIDRATANTE REDUTOR DE OLHEIRAS 15g</t>
  </si>
  <si>
    <t xml:space="preserve">EUD BABY AGUA COL 100ml V2</t>
  </si>
  <si>
    <t xml:space="preserve">EUD BABY LOC H CPO BNH/POS BNH 200ml V2</t>
  </si>
  <si>
    <t xml:space="preserve">EUD BABY SAB LIQ CABECA/PES 200ml V2</t>
  </si>
  <si>
    <t xml:space="preserve">REFIL LA PIEL HIDRATANTE DESODORANTE CORPORAL ALGAS DO PACIFICO 350ML</t>
  </si>
  <si>
    <t xml:space="preserve">EUDORA PULSE ACTION DESODORANTE COLONIA 100ml</t>
  </si>
  <si>
    <t>PULSE</t>
  </si>
  <si>
    <t xml:space="preserve">AURIEN PLATINÉ DESODORANTE COLÔNIA 100 ml</t>
  </si>
  <si>
    <t xml:space="preserve">EUDORA H DES COL ACQUA 100ml V3</t>
  </si>
  <si>
    <t xml:space="preserve">EUDORA NEO DERMO PRO AGE GEL CREME FACIAL 45+ 50G</t>
  </si>
  <si>
    <t xml:space="preserve">NEO DERMO</t>
  </si>
  <si>
    <t xml:space="preserve">EUDORA NEO DERMO PRO AGE CREME REPARADOR PESCOÇO E COLO 40G</t>
  </si>
  <si>
    <t xml:space="preserve">EUDORA NEO DERMO PRO AGE CREME FACIAL 60+ 50G</t>
  </si>
  <si>
    <t xml:space="preserve">EUDORA NEO DERMO PRO AGE GEL FACIAL 30+ 50G</t>
  </si>
  <si>
    <t xml:space="preserve">EUDORA NEO DERMO PURIFIC TÔNICO MICELAR 200 ML</t>
  </si>
  <si>
    <t xml:space="preserve">EUDORA DIVA FABULOSA LOCAO DESODORANTE HIDRATANTE CORPORAL 200ml</t>
  </si>
  <si>
    <t xml:space="preserve">EUDORA DIVA FABULOSA DESODORANTE COLONIA 100ML</t>
  </si>
  <si>
    <t xml:space="preserve">EUDORA NEO DERMO ACTIVE PRO SÉRUM DUPLA VITAMINA C 30G</t>
  </si>
  <si>
    <t xml:space="preserve">EUDORA NEO DERMO MULTI-EFFECT SÉRUM LIFTING IMEDIATO 20ML</t>
  </si>
  <si>
    <t xml:space="preserve">EUDORA NEO DERMO PURIFIC GEL DE LIMPEZA FACIAL 150 G</t>
  </si>
  <si>
    <t xml:space="preserve">EUDORA NEO DERMO PURIFIC ESFOLIANTE FACIAL 75G</t>
  </si>
  <si>
    <t xml:space="preserve">EUDORA NEO DERMO ACTIVE PRO SÉRUM PREENCHEDOR ÁCIDO HIALURÔNICO 30 ML</t>
  </si>
  <si>
    <t xml:space="preserve">EUDORA NEO DERMO PURIFIC SABONETE EM BARRA 80G</t>
  </si>
  <si>
    <t xml:space="preserve">SIÀGE CONDICIONADOR HIDRATAÇÃO INTENSA MEN 200ML</t>
  </si>
  <si>
    <t xml:space="preserve">SIÀGE SHAMPOO LIMPEZA PURIFICANTE MEN 250ML</t>
  </si>
  <si>
    <t xml:space="preserve">SIÀGE TÔNICO CAPILAR ESTIMULA O CRESCIMENTO MEN 100ML</t>
  </si>
  <si>
    <t xml:space="preserve">SIÀGE SHAMPOO COMBATE À CASPA MEN 250ML v3</t>
  </si>
  <si>
    <t xml:space="preserve">SIÀGE SHAMPOO ESTIMULA O CRESCIMENTO MEN 250ML v2</t>
  </si>
  <si>
    <t xml:space="preserve">SIÀGE POMADA MODEL MEN 90g v2</t>
  </si>
  <si>
    <t xml:space="preserve">PROMOPACK SIÀGE SHAMPOO COMBATE À CASPA MEN</t>
  </si>
  <si>
    <t xml:space="preserve">EUDORA NEO DERMO HIDRA MINERAL HIDRATANTE FACIAL 30G</t>
  </si>
  <si>
    <t xml:space="preserve">EUDORA NEO DERMO HIDRA MINERAL BALM LABIAL 3,5G</t>
  </si>
  <si>
    <t xml:space="preserve">EUDORA NEO DERMO HIDRA MINERAL MOUSSE MICELAR 150ML</t>
  </si>
  <si>
    <t xml:space="preserve">EUDORA NEO DERMO MULTI-EFFECT CREME NOTURNO BIORETINOL 50G</t>
  </si>
  <si>
    <t xml:space="preserve">INSTANCE AMEIXA E PRALINÉ LOÇÃO HIDRATANTE DESODORANTE CORPORAL 400ML</t>
  </si>
  <si>
    <t xml:space="preserve">INSTANCE AMEIXA E PRALINÉ SPRAY CORPORAL PERFUMADO DESODORANTE COLÔNIA 200ML</t>
  </si>
  <si>
    <t xml:space="preserve">INSTANCE AMEIXA E PRALINÉ CREME DE MÃOS 30G</t>
  </si>
  <si>
    <t xml:space="preserve">KIT SACOLA P INST EUD 2022 C/10 VD</t>
  </si>
  <si>
    <t xml:space="preserve">KIT SACOLA M EUD INST 2022 C/10 VD</t>
  </si>
  <si>
    <t xml:space="preserve">EUDORA GLAM FIX GEL SOBRANCELHAS INCOLOR 4 g</t>
  </si>
  <si>
    <t xml:space="preserve">VOLPE NEXT ANTITRANSPIRANTE DESODORANTE AEROSOL, 125ML (75 G)</t>
  </si>
  <si>
    <t xml:space="preserve">VOLPE NEXT DESODORANTE COLÔNIA, 100ML</t>
  </si>
  <si>
    <t xml:space="preserve">EUDORA DESODORANTE COLONIA KISS ME LOVELY 50ml</t>
  </si>
  <si>
    <t xml:space="preserve">EUDORA KISS ME LOVELY LOÇÃO DESODORANTE HIDRATANTE CORPORAL 100ml</t>
  </si>
  <si>
    <t xml:space="preserve">SOUL K/M BAT HID NUDE VELUDO 3,7g</t>
  </si>
  <si>
    <t xml:space="preserve">NIINA SCRT DES COL BLOOM 100ml</t>
  </si>
  <si>
    <t xml:space="preserve">SOUL K/M BAT HID VERMELHO ARRASO 3,7g</t>
  </si>
  <si>
    <t xml:space="preserve">SOUL K/M BAT HID MARROM DESFILE 3,7g</t>
  </si>
  <si>
    <t xml:space="preserve">SOUL K/M BAT MATE CABERNET 3,7g</t>
  </si>
  <si>
    <t xml:space="preserve">SOUL K/M BAT MATE ROSE UNICO 3,7g</t>
  </si>
  <si>
    <t xml:space="preserve">SOUL K/M BAT HID MALVA DA MODA 3,7g</t>
  </si>
  <si>
    <t xml:space="preserve">SOUL K/M BAT MATE MARR AUTENTICO 3,7g</t>
  </si>
  <si>
    <t xml:space="preserve">SOUL K/M BAT MATE MAGMA OBSESSAO 3,7g</t>
  </si>
  <si>
    <t xml:space="preserve">SOUL K/M BAT MATE TERRACOTA 3,7g</t>
  </si>
  <si>
    <t xml:space="preserve">SOUL K/M BAT MAT NUDE AUTORAL 3,5g</t>
  </si>
  <si>
    <t xml:space="preserve">SOUL K/M BAT MATE VERM MODERNO 3,7g</t>
  </si>
  <si>
    <t xml:space="preserve">SOUL K/M BAT MATE VERM PAPARAZZI 3,7g</t>
  </si>
  <si>
    <t xml:space="preserve">NIINA SCRT LOC DES HID CPO BLOOM 200ml</t>
  </si>
  <si>
    <t xml:space="preserve">SOUL K/M BAT HID CASTANHO PASSARELA 3,7g</t>
  </si>
  <si>
    <t xml:space="preserve">SOUL K/M BAT HID BORDO LOOK/DIA 3,7g</t>
  </si>
  <si>
    <t xml:space="preserve">SOUL GLOS LAB TOP COAT ROSA HOLOF 5,2ml</t>
  </si>
  <si>
    <t xml:space="preserve">SOUL GLOS LAB T/COAT PESS FLSH 5,2ml</t>
  </si>
  <si>
    <t xml:space="preserve">INSTANCE BAUNILHA SABONETE LIQUIDO 400ML</t>
  </si>
  <si>
    <t xml:space="preserve">INSTANCE KARITÉ SABONETE LIQUIDO 400ML</t>
  </si>
  <si>
    <t xml:space="preserve">INSTANCE KARITÉ SABONETE BARRA 4x80g</t>
  </si>
  <si>
    <t xml:space="preserve">INSTANCE FRUTAS VERMELHAS SABONETE LÍQUIDO 400ML</t>
  </si>
  <si>
    <t xml:space="preserve">INSTANCE FRUTAS VERMELHAS SABONETE BARRA 4x80g</t>
  </si>
  <si>
    <t xml:space="preserve">INSTANCE FRUTAS VERMELHAS SABONETE ÍNTIMO 180ML</t>
  </si>
  <si>
    <t xml:space="preserve">INSTANCE CEREJA E AMÊNDOAS SABONETE BARRA 4x80g</t>
  </si>
  <si>
    <t xml:space="preserve">INSTANCE CEREJA E AMÊNDOAS ÓLEO BIFÁSICO 200ml</t>
  </si>
  <si>
    <t xml:space="preserve">INSTANCE CEREJA E AMÊNDOAS CREME DE MÃOS 30G</t>
  </si>
  <si>
    <t xml:space="preserve">INSTANCE CEREJA E AMÊNDOAS CREME HIDRATANTE DESODORANTE CORPORAL 400ML</t>
  </si>
  <si>
    <t xml:space="preserve">INSTANCE CEREJA E AMÊNDOAS CREME HIDRATANTE DESODORANTE CORPORAL 180ML</t>
  </si>
  <si>
    <t xml:space="preserve">REFIL INSTANCE CEREJA E AMÊNDOAS CREME HIDRATANTE DESODORANTE CORPORAL 350ML</t>
  </si>
  <si>
    <t xml:space="preserve">INSTANCE ALGODÃO E JASMIM SABONETE BARRA 4x80g</t>
  </si>
  <si>
    <t xml:space="preserve">REFIL INSTANCE ALGODÃO E JASMIM CREME HIDRATANTE DESODORANTE CORPORAL 350ML</t>
  </si>
  <si>
    <t xml:space="preserve">INSTANCE ALGODÃO E JASMIM CREME HIDRATANTE DESODORANTE CORPORAL 400ML</t>
  </si>
  <si>
    <t xml:space="preserve">EUDORA GLAM BLUSH UNITÁRIO PEACH BELLINI 5g</t>
  </si>
  <si>
    <t xml:space="preserve">EUDORA GLAM BLUSH UNITÁRIO ROSÉ SANGRIA 5g</t>
  </si>
  <si>
    <t xml:space="preserve">EUDORA MAGNIFIC COLMAR EAU DE PARFUM 75ML</t>
  </si>
  <si>
    <t xml:space="preserve">EUDORA MAGNIFIC AUDAZ CREME ACETINADO HIDRATANTE DESODORANTE CORPORAL 200G</t>
  </si>
  <si>
    <t xml:space="preserve">INSTANCE BAUNILHA SABONETE ESFOLIANTE CORPORAL 75ml</t>
  </si>
  <si>
    <t xml:space="preserve">EUDORA GLAM BLUSH ILUMINADOR CREMOSO GOLDEN 30G</t>
  </si>
  <si>
    <t xml:space="preserve">EUDORA GLAM SKIN PROTECT BASE PROTETOR STICK ADAPT 7G</t>
  </si>
  <si>
    <t xml:space="preserve">EUDORA GLAM SKIN PROTECT PÓ COMPACTO 10G</t>
  </si>
  <si>
    <t xml:space="preserve">NIINA SECRETS HIDRA BALM CARAMELO 3,2g</t>
  </si>
  <si>
    <t xml:space="preserve">NIINA SECRETS BATOM GLOSS CRYSTAL JASPE 7ml</t>
  </si>
  <si>
    <t xml:space="preserve">NIINA SECRETS HIDRA BALM VINHO 3,2g</t>
  </si>
  <si>
    <t xml:space="preserve">NIINA SECRETS HIDRA BALM ROSA 3,2g</t>
  </si>
  <si>
    <t xml:space="preserve">NIINA SECRETS GLOSS CRYSTAL MOON STONE 7ml</t>
  </si>
  <si>
    <t xml:space="preserve">EUDORA CAIXA PRESENTEÁVEL MAES/23</t>
  </si>
  <si>
    <t xml:space="preserve">EUDORA SOUL BATOM LIQUIDO KISS ME SEMI MATTE VERMELHO MODERNO 5.2 ML</t>
  </si>
  <si>
    <t xml:space="preserve">CHIC LOC DES HID CPO 200ml V2</t>
  </si>
  <si>
    <t xml:space="preserve">INSTANCE MARACUJÁ CREME HIDRATANTE DESODORANTE CORPORAL RELAXANTE 150ML</t>
  </si>
  <si>
    <t xml:space="preserve">INSTANCE ALGODÃO E JASMIM CREME HIDRATANTE DE BANHO 180ML</t>
  </si>
  <si>
    <t xml:space="preserve">CHIC LOC DES HID CPO RETRÔ 200ml V2</t>
  </si>
  <si>
    <t xml:space="preserve">GLAM BATOM LÍQUIDO MATTE TINT VINHO SUBLIME 4 ML</t>
  </si>
  <si>
    <t xml:space="preserve">INSTANCE AMEIXA E PRALINÉ CALDA DE BANHO 200ML</t>
  </si>
  <si>
    <t xml:space="preserve">CAIXA COMBO ESPECIAL NAM/23</t>
  </si>
  <si>
    <t xml:space="preserve">Velvet Sensual Creme Hidratante Desodorante Corporal Avelulado 250 g</t>
  </si>
  <si>
    <t xml:space="preserve">Refil Eudora Indulgent Cream Creme Hid Des Acetinado 200g</t>
  </si>
  <si>
    <t xml:space="preserve">Refil La Victorie Creme Hid Des Acetinado 200g</t>
  </si>
  <si>
    <t xml:space="preserve">La Victorie Intense Creme Acetinado Desodorante Hidratante Corporal 250g</t>
  </si>
  <si>
    <t xml:space="preserve">INSTANCE MARACUJÁ SABONETE BARRA 4x80g</t>
  </si>
  <si>
    <t xml:space="preserve">INSTANCE ALGODÃO E JASMIM SPRAY CORPORAL PERFUMADO 200ML</t>
  </si>
  <si>
    <t xml:space="preserve">ESTOJO ROTINA ESSENCIAL NIINA SKIN</t>
  </si>
  <si>
    <t xml:space="preserve">NIINA SKIN PROTETOR SOLAR FACIAL ANTIOLEOSIDADE FPS 70 40ML</t>
  </si>
  <si>
    <t xml:space="preserve">CHIC DESODORANTE ANTITRANSPIRANTE AEROSOL 75g / 125ml</t>
  </si>
  <si>
    <t xml:space="preserve">CLUB 6 SHW GEL 4/1 CASS 200ml V2</t>
  </si>
  <si>
    <t xml:space="preserve">SOUL K/M BAT MATE PINK NUDE 3,7g</t>
  </si>
  <si>
    <t xml:space="preserve">SOUL K/M BAT MATE NUDE ESTILO 3,7g</t>
  </si>
  <si>
    <t xml:space="preserve">Eudora Magnific Rouge Camélia Des Col 75 ML</t>
  </si>
  <si>
    <t xml:space="preserve">AURIEN DES COL GOLD 100ml V2</t>
  </si>
  <si>
    <t xml:space="preserve">INSTANCE FRUTAS VERMELHAS GELEIA ESFOLIANTE 180G</t>
  </si>
  <si>
    <t xml:space="preserve">EUDORA PULSE ACTION BALM POS BARBA 75G</t>
  </si>
  <si>
    <t xml:space="preserve">INSTANCE MARACUJÁ CREME RELAXANTE 180ML</t>
  </si>
  <si>
    <t xml:space="preserve">GLAM BATOM LIQUIDO DUO CLINICAL PINK UNICO 3,5g</t>
  </si>
  <si>
    <t xml:space="preserve">SIÀGE SHAMPOO PRO CRONOLOGY 250ML</t>
  </si>
  <si>
    <t xml:space="preserve">SIÀGE CONDICIONADOR PRO CRONOLOGY 200ML</t>
  </si>
  <si>
    <t xml:space="preserve">SIÀGE PRO CRONOLOGY LEAVE IN 100ml</t>
  </si>
  <si>
    <t xml:space="preserve">IMENSI LOÇÃO DESODORANTE HIDRATANTE CORPORAL INFINITE 200ml</t>
  </si>
  <si>
    <t xml:space="preserve">IMENSI DES COL INFINITE 100ml</t>
  </si>
  <si>
    <t xml:space="preserve">IMENSI LOÇÃO DESODORANTE HIDRATANTE CORPORAL ALIVE 200ml V2</t>
  </si>
  <si>
    <t xml:space="preserve">EUDORA IMENSI DESODORANTE COLÔNIA ALIVE 100 ML V2</t>
  </si>
  <si>
    <t xml:space="preserve">EUDORA IMENSI DESODORANTE COLÔNIA 100 ML V3</t>
  </si>
  <si>
    <t xml:space="preserve">IMENSI LOÇÃO DESODORANTE HIDRATANTE CORPORAL 200ml V3</t>
  </si>
  <si>
    <t xml:space="preserve">EUDORA NIINA SECRETS DESODORANTE COLÔNIA NIINA SOLARIS 50 ML</t>
  </si>
  <si>
    <t xml:space="preserve">INSTANCE LIMA ROSA SPRAY PERFUMADO DESODORANTE COLÔNIA 200 ML</t>
  </si>
  <si>
    <t xml:space="preserve">INSTANCE LIMA ROSA GEL REFRESCANTE DE BANHO 180ML</t>
  </si>
  <si>
    <t xml:space="preserve">ESTOJO CLUB 6 PAIS 23</t>
  </si>
  <si>
    <t xml:space="preserve">INSTANCE LIMA ROSA CREME HIDRATANTE DESODORANTE CORPORAL 400ML</t>
  </si>
  <si>
    <t xml:space="preserve">INSTANCE LIMA ROSA GELATO HIDRATANTE DESODORANTE CORPORAL 200G</t>
  </si>
  <si>
    <t xml:space="preserve">INSTANCE BAUNILHA HIDRATANTE DESODORANTE CORPORAL 100ml</t>
  </si>
  <si>
    <t xml:space="preserve">INSTANCE DESODORANTE ANTITRANSPIRANTE AEROSOL ALGODAO E JASMIM 150ML</t>
  </si>
  <si>
    <t xml:space="preserve">INSTANCE DESODORANTE ANTITRANSPIRANTE ROLL-ON ALGODAO E JASMIM 55ML</t>
  </si>
  <si>
    <t xml:space="preserve">INSTANCE DESODORANTE ANTITRANSPIRANTE AEROSOL KARITÉ 150ML</t>
  </si>
  <si>
    <t xml:space="preserve">INSTANCE DESODORANTE ANTITRANSPIRANTE CREME KARITÉ 80G</t>
  </si>
  <si>
    <t xml:space="preserve">CLUB 6 LOCÃO HIDRATANTE DESODORANTE CORPORAL 200ML</t>
  </si>
  <si>
    <t xml:space="preserve">EUDORA H SHOWER GEL CABELO E CORPO REFRESH 2023 200g</t>
  </si>
  <si>
    <t xml:space="preserve">SOUL K/M BAT HID AVELA 3,7g</t>
  </si>
  <si>
    <t xml:space="preserve">INSTANCE LIMA ROSA CREME PERFUMADO PARA MÃOS E PÉS 50ML</t>
  </si>
  <si>
    <t xml:space="preserve">SIÀGE MÁSCARA CAPILAR PRO CRONOLOGY 250GR</t>
  </si>
  <si>
    <t xml:space="preserve">SIÀGE PRO CRONOLOGY ATIVO POTENCIALIZADOR DE RECONSTRUÇÃO 15ml</t>
  </si>
  <si>
    <t xml:space="preserve">SIÀGE PRO CRONOLOGY ATIVO POTENCIALIZADOR DE NUTRIÇÃO 15ml</t>
  </si>
  <si>
    <t xml:space="preserve">SOUL K/M BAT MATE MARR TENDENCIA 3,7g</t>
  </si>
  <si>
    <t xml:space="preserve">EUDORA GLAM BASE LIQUIDA SKIN CONTROL COR 83</t>
  </si>
  <si>
    <t xml:space="preserve">EUDORA GLAM BASE LIQUIDA SKIN CONTROL COR 70</t>
  </si>
  <si>
    <t xml:space="preserve">EUDORA GLAM BASE LIQUIDA SKIN CONTROL COR 55</t>
  </si>
  <si>
    <t xml:space="preserve">SIÀGE SHAMPOO CAUTERIZAÇÃO DOS FIOS 250ml RPCK 2</t>
  </si>
  <si>
    <t xml:space="preserve">SIÀGE CONDICIONADOR CAUTERIZAÇÃO DOS FIOS 200ml RPCK 2</t>
  </si>
  <si>
    <t xml:space="preserve">CLUB 6 DESODORANTE ANTITRANSPIRANTE AEROSSOL 125 ml (75 g) V2</t>
  </si>
  <si>
    <t xml:space="preserve">SIÀGE MÁSCARA CAPILAR CAUTERIZAÇÃO DOS FIOS 250g RPCK 2</t>
  </si>
  <si>
    <t xml:space="preserve">SIÀGE SÉRUM DE AUTOAQUECIMENTO CAUTERIZAÇÃO DOS FIOS 60ml RPCK 2</t>
  </si>
  <si>
    <t xml:space="preserve">SIAGE SHAMPOO NUTRI ROSE 250ml RPCK 2</t>
  </si>
  <si>
    <t xml:space="preserve">SIAGE CONDICIONADOR NUTRI ROSE 200ml RPCK 2</t>
  </si>
  <si>
    <t xml:space="preserve">SIAGE MASCARA CAPILAR NUTRI ROSE 250g RPCK 2</t>
  </si>
  <si>
    <t xml:space="preserve">SIAGE LEAVE IN CAPILAR NUTRI ROSE 100ml RPCK 2</t>
  </si>
  <si>
    <t xml:space="preserve">SIAGE SHAMPOO REGENERACAO PÓS QUÍMICA 250ml RPCK 2</t>
  </si>
  <si>
    <t xml:space="preserve">SIAGE MASCARA CAPILAR REGENERACAO PÓS QUÍMICA 250g RPCK 2</t>
  </si>
  <si>
    <t xml:space="preserve">SIAGE CONDICIONADOR REGENERACAO PÓS QUÍMICA 200ml RPCK 2</t>
  </si>
  <si>
    <t xml:space="preserve">SIAGE SHAMP NUT/DIAM V3 250ml</t>
  </si>
  <si>
    <t xml:space="preserve">SIAGE COND NUT/DIAM V3 200ml</t>
  </si>
  <si>
    <t xml:space="preserve">EUDORA H DESODORANTE ANTITRANSPIRANTE AEROSOL 125ml</t>
  </si>
  <si>
    <t xml:space="preserve">EUDORA H DESODORANTE COLÔNIA FLOW 100ml</t>
  </si>
  <si>
    <t xml:space="preserve">SIAGE SHAMPOO REVELA OS CACHOS 250ml RPCK 2</t>
  </si>
  <si>
    <t xml:space="preserve">SIAGE SHAMPOO REMOVE A OLEOSIDADE 250ml RPCK 2</t>
  </si>
  <si>
    <t xml:space="preserve">SIÀGE CREME PARA PENTEAR CACHOS DESCOLORIDOS REVELA OS CACHOS 280ml RPCK 2</t>
  </si>
  <si>
    <t xml:space="preserve">SIAGE MASCARA CAPILAR MATIZADORA LOIRO EXPERT 250g RPCK 2</t>
  </si>
  <si>
    <t xml:space="preserve">SIAGE MASCARA CAPILAR PROTECT PLEX LOIRO EXPERT 100ml RPCK 2</t>
  </si>
  <si>
    <t xml:space="preserve">SIAGE CONDICIONADOR REMOVE A OLEOSIDADE 200ml RPCK 2</t>
  </si>
  <si>
    <t xml:space="preserve">SIAGE CONDICIONADOR REVELA OS CACHOS 200ml RPCK 2</t>
  </si>
  <si>
    <t xml:space="preserve">SIAGE CREME PARA PENTEAR REVELA OS CACHOS 500g RPCK 2</t>
  </si>
  <si>
    <t xml:space="preserve">SIAGE MASCARA CAPILAR REVELA OS CACHOS 250g RPCK 2</t>
  </si>
  <si>
    <t xml:space="preserve">SIAGE SHAMPOO MATIZADOR LOIRO EXPERT 250ml RPCK 2</t>
  </si>
  <si>
    <t xml:space="preserve">SIAGE SPRAY CAPILAR REVITALIZADOR REVELA OS CACHOS 100ml RPCK 2</t>
  </si>
  <si>
    <t xml:space="preserve">SIAGE FLD P/ESCV BABYL STYL V3 100ml</t>
  </si>
  <si>
    <t xml:space="preserve">SIAGE CONDICIONADOR LOIRO EXPERT 200ml RPCK 2</t>
  </si>
  <si>
    <t xml:space="preserve">SIAGE MASCARA CAPILAR LISO INTENSO 250g RPCK 2</t>
  </si>
  <si>
    <t xml:space="preserve">SIAGE CONDICIONADOR ACELERA O CRESCIMENTO 200ml RPCK 2</t>
  </si>
  <si>
    <t xml:space="preserve">SIAGE SHAMPOO ACELERA O CRESCIMENTO 250ml RPCK 2</t>
  </si>
  <si>
    <t xml:space="preserve">SIAGE LEAVE IN CAPILAR SELANTE FINALIZADOR LISO INTENSO 100ml RPCK 2</t>
  </si>
  <si>
    <t xml:space="preserve">SIAGE SHAMPOO LISO INTENSO 250ml RPCK 2</t>
  </si>
  <si>
    <t xml:space="preserve">SIAGE CONDICIONADOR LISO INTENSO 200ml RPCK 2</t>
  </si>
  <si>
    <t xml:space="preserve">SIAGE MASCARA CAPILAR ACELERA O CRESCIMENTO 250g RPCK 2</t>
  </si>
  <si>
    <t xml:space="preserve">SIAGE CREME CONCENTRADO DE PROTEÍNA ACELERA O CRESCIMENTO 80g RPCK 2</t>
  </si>
  <si>
    <t xml:space="preserve">SIAGE TONICO CAPILAR ACELERA O CRESCIMENTO 65ml RPCK 2</t>
  </si>
  <si>
    <t xml:space="preserve">SIAGE SHAMPOO RECONSTROI OS FIOS 250ml RPCK 2</t>
  </si>
  <si>
    <t xml:space="preserve">SIAGE CONDICIONADOR RECONSTROI OS FIOS 200ml RPCK 2</t>
  </si>
  <si>
    <t xml:space="preserve">SIAGE MASCARA CAPILAR RECONSTROI OS FIOS 250g RPCK 2</t>
  </si>
  <si>
    <t xml:space="preserve">SIAGE CC CREAM RECONSTROI OS FIOS 100ml RPCK 2</t>
  </si>
  <si>
    <t xml:space="preserve">SIAGE AMPOLA CAPILAR RECONTROI OS FIOS 15ml RPCK 2</t>
  </si>
  <si>
    <t xml:space="preserve">SIAGE AMPOLA CAPILAR QUERATINA LIQUIDA RECONSTROI OS FIOS 60ml RPCK 2</t>
  </si>
  <si>
    <t xml:space="preserve">SIAGE OLEO DE ARGAN RECONSTROI OS FIOS 60ml RPCK 2</t>
  </si>
  <si>
    <t xml:space="preserve">SABONETES INSTANCE SORTIDOS 4X80G NAT/23</t>
  </si>
  <si>
    <t xml:space="preserve">KIT SACOLA EUDORA  INST 2022 P</t>
  </si>
  <si>
    <t xml:space="preserve">KIT SACOLA EUDORA UNIT NATAL 2022 M</t>
  </si>
  <si>
    <t xml:space="preserve">KIT SACOLA EUDORA G UNIT INST 2022</t>
  </si>
  <si>
    <t xml:space="preserve">KIT CAIXA EUDORA P INST 2022</t>
  </si>
  <si>
    <t xml:space="preserve">KIT CAIXA  EUDORA INST 2022 M</t>
  </si>
  <si>
    <t xml:space="preserve">KIT CAIXA EUDORA G INST 2022</t>
  </si>
  <si>
    <t xml:space="preserve">EUDORA ENVELOPE INST 2022 P</t>
  </si>
  <si>
    <t xml:space="preserve">EUDORA ENVELOPE INST 2022 M</t>
  </si>
  <si>
    <t xml:space="preserve">SIÀGE FRASQUEIRA REGULAR</t>
  </si>
  <si>
    <t xml:space="preserve">SIÀGE ESCOVA DE DESEMBARAÇAR</t>
  </si>
  <si>
    <t xml:space="preserve">EUDORA BOLSA DIA DO AMOR</t>
  </si>
  <si>
    <t xml:space="preserve">EUDORA PINCEL ESFUMAR SOMBRA</t>
  </si>
  <si>
    <t xml:space="preserve">EUDORA PINCEL DEPOSITAR SOMBRA</t>
  </si>
  <si>
    <t xml:space="preserve">EUDORA PINCEL PARA CONTORNO E BASE</t>
  </si>
  <si>
    <t xml:space="preserve">EUDORA GOLDEN EAU DE PARFUM, 75 ML</t>
  </si>
  <si>
    <t xml:space="preserve">EUDORA PINCEL CORRETIVO</t>
  </si>
  <si>
    <t xml:space="preserve">EUDORA PINCEL BLUSH</t>
  </si>
  <si>
    <t xml:space="preserve">EUDORA PINCEL BASE KABUKI</t>
  </si>
  <si>
    <t xml:space="preserve">NIINA SECRETS PINCEL DE BASE</t>
  </si>
  <si>
    <t xml:space="preserve">NIINA SECRETS KIT PINCEIS DE OLHOS</t>
  </si>
  <si>
    <t xml:space="preserve">EUDORA PINCEL DELINEAR CHANFRADO</t>
  </si>
  <si>
    <t xml:space="preserve">EUDORA PINCEL PÓ</t>
  </si>
  <si>
    <t xml:space="preserve">EUDORA MALETA DE MAQUIAGEM</t>
  </si>
  <si>
    <t xml:space="preserve">IMPRESSION NÉCESSAIRE</t>
  </si>
  <si>
    <t xml:space="preserve">INSTANCE KARITÉ LOC DES HIDRATANTE 75ml</t>
  </si>
  <si>
    <t xml:space="preserve">INSTANCE FRUTAS VERMELHAS LOC DES HIDRATANTE 75ml</t>
  </si>
  <si>
    <t xml:space="preserve">INSTANCE BAUNILHA LOC DES HIDRATANTE 75ml</t>
  </si>
  <si>
    <t xml:space="preserve">EUDORA VELVET CONFIDENT LOÇÃO DESODORANTE HIDRATANTE CORPORAL 150ML</t>
  </si>
  <si>
    <t xml:space="preserve">EUDORA VELVET CONFIDENT DESODORANTE COLÔNIA 100ML</t>
  </si>
  <si>
    <t xml:space="preserve">EUDORA NEO DERMO ACTIVE PRO SÉRUM VITAMINA C 30ML</t>
  </si>
  <si>
    <t xml:space="preserve">KIT SACOLA EUDORA M UNIT INST 2022</t>
  </si>
  <si>
    <t xml:space="preserve">EUDORA NÉCESSAIRE DOURADA</t>
  </si>
  <si>
    <t xml:space="preserve">NEO DERMO MASSAGEADOR FACIAL</t>
  </si>
  <si>
    <t xml:space="preserve">INSTANCE CESTINHO DE METAL</t>
  </si>
  <si>
    <t xml:space="preserve">DIVA DES COL ABSOLUTA 100ml</t>
  </si>
  <si>
    <t xml:space="preserve">DIVA LOC DES HID CPO ABSOLUTA 200ml</t>
  </si>
  <si>
    <t xml:space="preserve">NIINA SECRETS BATOM LÍQUIDO SKINNY MATTE PINK PEÔNIA 5ml</t>
  </si>
  <si>
    <t xml:space="preserve">NIINA SECRETS BATOM LÍQUIDO SKINNY MATTE ROSE GARDÊNIA 5ml</t>
  </si>
  <si>
    <t xml:space="preserve">NIINA SECRETS BATOM LÍQUIDO SKINNY MATTE VERMELHO HIBISCO 5ml</t>
  </si>
  <si>
    <t xml:space="preserve">NIINA SECRETS BATOM LÍQUIDO SKINNY MATTE TERRACOTA ORQUÍDEA 5ml</t>
  </si>
  <si>
    <t xml:space="preserve">EUDORA NEO DERMO ACTIVE PRO SÉRUM ÁCIDO HIALURÔNICO 30ML</t>
  </si>
  <si>
    <t xml:space="preserve">SOUL GLOS LAB TOP COAT INCOLOR 5,2ml</t>
  </si>
  <si>
    <t xml:space="preserve">SIÀGE BOOSTER PROAGING HAIR-PLASTIA 100ml</t>
  </si>
  <si>
    <t xml:space="preserve">KIT EUDORA EDP MINIATURA NAT/23</t>
  </si>
  <si>
    <t xml:space="preserve">KIT EUDORA SIÀGE CICA-THERAPY NAT/23</t>
  </si>
  <si>
    <t xml:space="preserve">EUDORA PULSE BOOST DESODORANTE ANTITRANSPIRANTE ROLL ON 55ml</t>
  </si>
  <si>
    <t xml:space="preserve">INSTANCE FRUTAS VERMELHAS SABONETE LÍQUIDO 75ML</t>
  </si>
  <si>
    <t xml:space="preserve">INSTANCE BAUNILHA SABONETE LÍQUIDO 75ML</t>
  </si>
  <si>
    <t xml:space="preserve">EUDORA PULSE BOOST DESODORANTE COLONIA 100ml</t>
  </si>
  <si>
    <t xml:space="preserve">EUDORA GOLDEN CREME ACETINADO DESODORANTE HIDRATANTE CORPORAL, 250G</t>
  </si>
  <si>
    <t xml:space="preserve">SOUL BAT DESCOMPLIC ROSA VERSATIL V2 4g</t>
  </si>
  <si>
    <t xml:space="preserve">SOUL BAT DESCOMPLIC VERM/DESCOMPL V2 4g</t>
  </si>
  <si>
    <t xml:space="preserve">SOUL BAT DESCOMPLIC CARAM SUTIL V2 4g</t>
  </si>
  <si>
    <t xml:space="preserve">SOUL BAT DESCOMPLIC VIN AUTENTICO V2 4g</t>
  </si>
  <si>
    <t xml:space="preserve">INSTANCE DOCES FINOS SABONETE EM MOUSSE CORPORAL TARTELETE DE LIMÃO-SICILIANO 150ml</t>
  </si>
  <si>
    <t xml:space="preserve">INSTANCE DOCES FINOS CREME HIDRATANTE DESODORANTE CORPORAL BOMBOM DE AVELÃ 400ML</t>
  </si>
  <si>
    <t xml:space="preserve">INSTANCE DOCES FINOS CREME HIDRATANTE DESODORANTE CORPORAL MACARON DE FRAMBOESA 400ml</t>
  </si>
  <si>
    <t xml:space="preserve">INSTANCE DOCES FINOS CREME HIDRATANTE DESODORANTE CORPORAL TARTELETE DE LIMÃO-SICILIANO 400ml</t>
  </si>
  <si>
    <t xml:space="preserve">INSTANCE DOCES FINOS SAB BARRA VEG MAC, BOM E TART DE LIMÃO 3X50G</t>
  </si>
  <si>
    <t xml:space="preserve">EUDORA GLAM BLUSH ILUMINADOR CREMOSO ROSE 30G</t>
  </si>
  <si>
    <t xml:space="preserve">SIÀGE SHAMPOO RECONSTROI OS FIOS 400ML</t>
  </si>
  <si>
    <t xml:space="preserve">SIÀGE CONDICIONADOR RECONSTROI OS FIOS 400ML</t>
  </si>
  <si>
    <t xml:space="preserve">SIÀGE CONDICIONADOR RECONSTROI OS FIOS 400ML REFIL</t>
  </si>
  <si>
    <t xml:space="preserve">ENVELOPE EUDORA P MÃES 2023</t>
  </si>
  <si>
    <t xml:space="preserve">KIT SACOLA EUDORA UNIT MAES 23 M</t>
  </si>
  <si>
    <t xml:space="preserve">KIT EUDORA CAIXA MAES 23 P</t>
  </si>
  <si>
    <t xml:space="preserve">SOUL K/M BAT HID ROSA ATITUDE 3,7g</t>
  </si>
  <si>
    <t xml:space="preserve">CLOSE INTENTION DESODORANTE COLONIA 100ML</t>
  </si>
  <si>
    <t xml:space="preserve">CLOSE INTENTION DESODORANTE ANTITRANSPIRANTE AEROSSOL 125ML</t>
  </si>
  <si>
    <t xml:space="preserve">CAIXA COMBO CREME MÃOS NAT/23</t>
  </si>
  <si>
    <t xml:space="preserve">CAIXA COMBO NAT/23</t>
  </si>
  <si>
    <t xml:space="preserve">EUDORA H BALM POS BARBA V2 75g</t>
  </si>
  <si>
    <t xml:space="preserve">EUDORA H ESPUMA DE BARBEAR V2 200ml</t>
  </si>
  <si>
    <t xml:space="preserve">NIINA SECRETS PRIMER HIDRA GLOW 15ml</t>
  </si>
  <si>
    <t xml:space="preserve">EUDORA NIINA SECRETS ILUMINADOR CORPO E ROSTO</t>
  </si>
  <si>
    <t xml:space="preserve">EUDORA NIINA SECRETS GLOSS PUMPLING BRILHO 5,2ml</t>
  </si>
  <si>
    <t xml:space="preserve">NIINA SECRETS DELINEADOR CRYSTAL BRILHO ROSE GOLD 3g</t>
  </si>
  <si>
    <t xml:space="preserve">EUDORA NIINA SECRETS PALETTE DE SOMBRA GREEN 5,6G</t>
  </si>
  <si>
    <t xml:space="preserve">NIINA SECRETS LAPISEIRA SOBRANCELHA 3 EM 1 CLARA 1,1g</t>
  </si>
  <si>
    <t xml:space="preserve">NIINA SECRETS LAPISEIRA SOBRANCELHA 3 EM 1 MÉDIA 1,1g</t>
  </si>
  <si>
    <t xml:space="preserve">NIINA SECRETS LAPISEIRA SOBRANCELHA 3 EM 1 ESCURA 1,1g</t>
  </si>
  <si>
    <t xml:space="preserve">NIINA SECRETS MÁSCARA DE CÍLIOS SUPER BOLD 10g</t>
  </si>
  <si>
    <t xml:space="preserve">NIINA SECRETS PALETTE MULTIFUNCIONAL LUMINOUS 1 12g</t>
  </si>
  <si>
    <t xml:space="preserve">NIINA SECRETS PALETTE MULTIFUNCIONAL LUMINOUS 2 12G</t>
  </si>
  <si>
    <t xml:space="preserve">NIINA SECRETS BASE LÍQUIDA DAILY TINT CREAM COR 25 25ML</t>
  </si>
  <si>
    <t xml:space="preserve">NIINA SECRETS BASE LÍQUIDA DAILY TINT CREAM COR 60 25ML</t>
  </si>
  <si>
    <t xml:space="preserve">NIINA SECRETS CORRETIVO PERFECT MATCH COR 25 10ML</t>
  </si>
  <si>
    <t xml:space="preserve">NIINA SECRETS BATOM CREMOSO LOVE YOU 3g</t>
  </si>
  <si>
    <t xml:space="preserve">NIINA SECRETS LIP OIL SHINE FLOWERS ROSA CENTIFOLIA 7ml</t>
  </si>
  <si>
    <t xml:space="preserve">NIINA SECRETS LIP OIL SHINE FLOWERS ROSA SILVESTRE 7ml</t>
  </si>
  <si>
    <t xml:space="preserve">NIINA SECRETS LIP OIL SHINE FLOWERS ROSA NEGRA 7ml</t>
  </si>
  <si>
    <t xml:space="preserve">EUDORA GLAM LIP KIT ROSÉ ESSENCIAL</t>
  </si>
  <si>
    <t xml:space="preserve">EUDORA GLAM LIP KIT CEREJA ESSENCIAL</t>
  </si>
  <si>
    <t xml:space="preserve">CLUB 6 INTENSO DESODORANTE COLÔNIA, 95ML V2</t>
  </si>
  <si>
    <t xml:space="preserve">NIINA SKIN SÉRUM VITAMINA C FACIAL 30ML</t>
  </si>
  <si>
    <t xml:space="preserve">NIINA SKIN TÔNICO RENOVADOR ANTIOXIDANTE VITAMINA C 110ml</t>
  </si>
  <si>
    <t xml:space="preserve">SIÀGE DERMO TÔNICO ANTIQUEDA 100ML</t>
  </si>
  <si>
    <t xml:space="preserve">SIÀGE SHAMPOO DERMO ANTICASPA/COURO SENS 300ML</t>
  </si>
  <si>
    <t xml:space="preserve">SIÀGE CONDICIONADOR DERMO ANTICASPA/COURO SENS 280ML</t>
  </si>
  <si>
    <t xml:space="preserve">SIÀGE CONDICIONADOR DERMO ANTIQUEDA 280ML</t>
  </si>
  <si>
    <t xml:space="preserve">SIÀGE DERMO SÉRUM CAPILAR ANTICASPA/COURO SENS 48ML</t>
  </si>
  <si>
    <t xml:space="preserve">SIÀGE SHAMPOO DERMO ANTIQUEDA 300ML</t>
  </si>
  <si>
    <t xml:space="preserve">NIINA SKIN SÉRUM FACIAL PRÓ COLÁGENO 30ML</t>
  </si>
  <si>
    <t xml:space="preserve">NIINA SKIN CREME SORBET PREENCHEDOR 80G</t>
  </si>
  <si>
    <t xml:space="preserve">SIÁGE SHAMPOO ANTI OLEOSIDADE HIDRATAÇÃO MICELAR 250ML</t>
  </si>
  <si>
    <t xml:space="preserve">LA PIEL DESODORANTE ANTITRANSPIRANTE ROLL ON BIOSENSITIVE, 55ml</t>
  </si>
  <si>
    <t xml:space="preserve">REFIL SIÀGE MÀSCARA CAPILAR CAUTERIZAÇÃO DOS FIOS 250G</t>
  </si>
  <si>
    <t xml:space="preserve">EUDORA NEO DERMO CREME HIDRATANTE FACIAL MULTI EFFECT 50g</t>
  </si>
  <si>
    <t xml:space="preserve">EUDORA NEO DERMO CREME HIDRATANTE FACIAL HIDRA MINERAL 50g</t>
  </si>
  <si>
    <t xml:space="preserve">REFIL SIÀGE MÀSCARA CAPILAR HAIR-PLASTIA 250G</t>
  </si>
  <si>
    <t xml:space="preserve">REFIL SIÀGE MÀSCARA CAPILAR NUTRI ROSE 250G</t>
  </si>
  <si>
    <t xml:space="preserve">REFIL SIÀGE MÀSCARA CAPILAR CICA-THERAPY 250G</t>
  </si>
  <si>
    <t xml:space="preserve">REFIL SIÀGE MÀSCARA CAPILAR LISO INTENSO 250G</t>
  </si>
  <si>
    <t xml:space="preserve">NIINA SECRETS PÓ SOLTO PERFECT MATCH COR 1 12g</t>
  </si>
  <si>
    <t xml:space="preserve">NIINA SECRETS PÓ SOLTO PERFECT MATCH COR 2 12g</t>
  </si>
  <si>
    <t xml:space="preserve">NIINA SECRETS PÓ SOLTO PERFECT MATCH COR 3 12g</t>
  </si>
  <si>
    <t xml:space="preserve">NIINA SECRETS PÓ SOLTO PERFECT MATCH COR 4 12g</t>
  </si>
  <si>
    <t xml:space="preserve">NIINA SECRETS PÓ SOLTO PERFECT MATCH COR 5 12g</t>
  </si>
  <si>
    <t xml:space="preserve">NIINA SECRETS PÓ SOLTO PERFECT MATCH COR 6 12g</t>
  </si>
  <si>
    <t xml:space="preserve">NIINA SECRETS ESPELHO DE MAQUIAGEM</t>
  </si>
  <si>
    <t xml:space="preserve">SIÀGE KIT PRO CRONOLOGY MÁSCARA + 2 POTENCIALIZADORES</t>
  </si>
  <si>
    <t xml:space="preserve">EUDORA GLAM GLOSS LABIAL TREAT ROSÉ ESSENCIAL, 5,4 ml</t>
  </si>
  <si>
    <t xml:space="preserve">EUDORA GLAM GLOSS LABIAL TREAT CEREJA ESSENCIAL, 5,4 ml</t>
  </si>
  <si>
    <t xml:space="preserve">GLAM CC CREAM SECOND SKIN COR 10 30ml</t>
  </si>
  <si>
    <t xml:space="preserve">GLAM CC CREAM SECOND SKIN COR 0 30ml</t>
  </si>
  <si>
    <t xml:space="preserve">GLAM CC CREAM SECOND SKIN COR 35 30ml</t>
  </si>
  <si>
    <t xml:space="preserve">GLAM CC CREAM SECOND SKIN COR 50 30ml</t>
  </si>
  <si>
    <t xml:space="preserve">EUDORA SOUL PALETTE DE SOMBRAS TURBO 8g</t>
  </si>
  <si>
    <t xml:space="preserve">EUDORA GLAM PALETTE DE SOMBRAS METALS 5,85G</t>
  </si>
  <si>
    <t xml:space="preserve">EUDORA GLAM BLUSH BRONZER COMPACTO GRADIENT METALS 7G</t>
  </si>
  <si>
    <t xml:space="preserve">SIÀGE SHAMPOO RESGATE IMEDIATO 250ML</t>
  </si>
  <si>
    <t xml:space="preserve">SIÀGE CONDICIONADOR RESGATE IMEDIATO 200ML</t>
  </si>
  <si>
    <t xml:space="preserve">SIÀGE MÁSCARA CAPILAR RESGATE IMEDIATO 250G</t>
  </si>
  <si>
    <t xml:space="preserve">SIÀGE ÁGUA LAMELAR RESGATE IMEDIATO 150ML</t>
  </si>
  <si>
    <t xml:space="preserve">EUDORA GLAM CORRETIVO CUSHION COR 85 4ml</t>
  </si>
  <si>
    <t xml:space="preserve">EUDORA GLAM CORRETIVO CUSHION COR 05 4ml</t>
  </si>
  <si>
    <t xml:space="preserve">EUDORA GLAM CORRETIVO CUSHION COR 03 4ml</t>
  </si>
  <si>
    <t xml:space="preserve">EUDORA GLAM CORRETIVO CUSHION COR 65 4ml</t>
  </si>
  <si>
    <t xml:space="preserve">EUDORA GLAM CORRETIVO CUSHION COR 50 4ml</t>
  </si>
  <si>
    <t xml:space="preserve">EUDORA H DES ANTIT AEROSOL FLOW 125ML</t>
  </si>
  <si>
    <t xml:space="preserve">EUDORA GLAM CORRETIVO CUSHION COR 100 4ml</t>
  </si>
  <si>
    <t xml:space="preserve">EUDORA GLAM CORRETIVO CUSHION COR 25 4ml</t>
  </si>
  <si>
    <t xml:space="preserve">EUDORA GLAM CORRETIVO CUSHION COR 15 4ml</t>
  </si>
  <si>
    <t xml:space="preserve">GLAM BLUSH COMPACTO BROWN FASHIONED 5g</t>
  </si>
  <si>
    <t xml:space="preserve">EUDORA GLAM BATOM CREMOSO METALS COR VERMELHO PRECIOSO 3,6G</t>
  </si>
  <si>
    <t xml:space="preserve">EUDORA GLAM BATOM CREMOSO METALS COR NUDE NOBRE 3,6G</t>
  </si>
  <si>
    <t xml:space="preserve">EUDORA GLAM PRIMER LÍQUIDO METALS 32 ML</t>
  </si>
  <si>
    <t xml:space="preserve">EUDORA GLAM SKIN SCULPT BASE LÍQUIDA SEMI MATTE COR 83 30 ML</t>
  </si>
  <si>
    <t xml:space="preserve">EUDORA GLAM SKIN SCULPT BASE LÍQUIDA SEMI MATTE COR 35 30 ML</t>
  </si>
  <si>
    <t xml:space="preserve">EUDORA GLAM SKIN SCULPT BASE LÍQUIDA SEMI MATTE COR 05 30 ML</t>
  </si>
  <si>
    <t xml:space="preserve">EUDORA GLAM SKIN SCULPT BASE LÍQUIDA SEMI MATTE COR 85 30 ML</t>
  </si>
  <si>
    <t xml:space="preserve">EUDORA GLAM SKIN SCULPT BASE LÍQUIDA SEMI MATTE COR 03 30 ML</t>
  </si>
  <si>
    <t xml:space="preserve">EUDORA GLAM SKIN SCULPT BASE LÍQUIDA SEMI MATTE COR 25 30 ML</t>
  </si>
  <si>
    <t xml:space="preserve">EUDORA GLAM SKIN SCULPT BASE LÍQUIDA SEMI MATTE COR 00 30 ML</t>
  </si>
  <si>
    <t xml:space="preserve">EUDORA GLAM SKIN SCULPT BASE LÍQUIDA SEMI MATTE COR 65 30 ML</t>
  </si>
  <si>
    <t xml:space="preserve">EUDORA GLAM SKIN SCULPT BASE LÍQUIDA SEMI MATTE COR 10 30 ML</t>
  </si>
  <si>
    <t xml:space="preserve">EUDORA GLAM SKIN SCULPT BASE LÍQUIDA SEMI MATTE COR 50 30 ML</t>
  </si>
  <si>
    <t xml:space="preserve">EUDORA GLAM SKIN SCULPT BASE LÍQUIDA SEMI MATTE COR 100 30 ML</t>
  </si>
  <si>
    <t xml:space="preserve">EUDORA GLAM SKIN SCULPT BASE LÍQUIDA SEMI MATTE COR 15 30 ML</t>
  </si>
  <si>
    <t xml:space="preserve">EUDORA SOUL BATOM KISS ME EFEITO MATTE LARANJA STYLE 3,7g</t>
  </si>
  <si>
    <t xml:space="preserve">EUDORA SOUL BATOM KISS ME EFEITO MATTE ROSA TRENDY 3,7g</t>
  </si>
  <si>
    <t xml:space="preserve">SIÀGE SHAMPOO CICA THERAPY 400ML</t>
  </si>
  <si>
    <t xml:space="preserve">SIÀGE CONDICIONADOR CICA THERAPY 400ML</t>
  </si>
  <si>
    <t xml:space="preserve">GLAM BALM PREENCH DUO/CLIN 4,5ml</t>
  </si>
  <si>
    <t xml:space="preserve">NIINA SECRETS MALETA DE MAKE</t>
  </si>
  <si>
    <t xml:space="preserve">NIINA SECRETS RPK NECESSAIRE</t>
  </si>
  <si>
    <t xml:space="preserve">CLUB 6 FEVER DESODORANTE COLÔNIA 95ml</t>
  </si>
  <si>
    <t xml:space="preserve">VOLPE TRIUMPH DESODORANTE COLÔNIA 100ml</t>
  </si>
  <si>
    <t xml:space="preserve">EUDORA NECESSAIRE TRANSPARENTE</t>
  </si>
  <si>
    <t xml:space="preserve">SIÀGE NECESSAIRE CRONOLOGY</t>
  </si>
  <si>
    <t xml:space="preserve">SIÀGE SHAMPOO CACHOS E CRESPOS MEN, 250 ml</t>
  </si>
  <si>
    <t xml:space="preserve">SIÀGE CONDICIONADOR CACHOS E CRESPOS MEN, 200 ml</t>
  </si>
  <si>
    <t xml:space="preserve">SIÀGE CREME PARA PENTEAR CACHOS MEN, 450 g</t>
  </si>
  <si>
    <t xml:space="preserve">SIÀGE CREME PARA PENTEAR CRESPOS MEN, 450 g</t>
  </si>
  <si>
    <t xml:space="preserve">SIÀGE ÓLEO CAPILAR CACHOS E CRESPOS MEN, 100 ml</t>
  </si>
  <si>
    <t xml:space="preserve">SIÀGE ATIVADOR DE CACHOS MEN, 100 ml</t>
  </si>
  <si>
    <t xml:space="preserve">KISS ME DELICIOUS DESODORANTE COLÔNIA 50 ML</t>
  </si>
  <si>
    <t xml:space="preserve">EUDORA GLAM BATOM LÍQUIDO DUO CLINICAL CANELA SUBLIME 3,5G</t>
  </si>
  <si>
    <t xml:space="preserve">EUDORA GLAM BATOM LÍQUIDO DUO CLINICAL ROSADO ESSENCIAL 3,5G</t>
  </si>
  <si>
    <t xml:space="preserve">EUDORA GLAM BATOM LÍQUIDO DUO CLINICAL MAGENTA ENIGMÁTICO 3,5G</t>
  </si>
  <si>
    <t xml:space="preserve">EUDORA GLAM BATOM LÍQUIDO DUO CLINICAL MASCAVO IRRESISTÍVEL 3,5G</t>
  </si>
  <si>
    <t xml:space="preserve">EUDORA GLAM BATOM LÍQUIDO DUO CLINICAL VERMELHO MAGNÍFICO 3,5G</t>
  </si>
  <si>
    <t xml:space="preserve">DIVA DES BDY SPR ESPLENDIDA 100ml</t>
  </si>
  <si>
    <t xml:space="preserve">IMPRESSION DES BDY SPR 100ml</t>
  </si>
  <si>
    <t xml:space="preserve">NIINA SECRETS PALETTE MULTIFUNCIONAL CELEBRATION 52g</t>
  </si>
  <si>
    <t xml:space="preserve">EUDORA NEO DERMO PROTETOR SOLAR SEM COR FPS 50 40G</t>
  </si>
  <si>
    <t xml:space="preserve">EUDORA NEO DERMO PROTETOR SOLAR SEM COR FPS 70 40G</t>
  </si>
  <si>
    <t xml:space="preserve">ENVELOPE P EUDORA NATAL 2023</t>
  </si>
  <si>
    <t xml:space="preserve">KIT CAIXA M EUDORA NATAL 2023</t>
  </si>
  <si>
    <t xml:space="preserve">KIT SACOLA M EUDORA NATAL 2023</t>
  </si>
  <si>
    <t xml:space="preserve">EUDORA ROSÉ EAU DE PARFUM, 75 ML</t>
  </si>
  <si>
    <t xml:space="preserve">ESTOJO IMENSI NAMO/24</t>
  </si>
  <si>
    <t xml:space="preserve">ESTOJO CLUB 6 VOYAGE NAMO/24</t>
  </si>
  <si>
    <t xml:space="preserve">Kit Presente Eudora Pulse (2 itens)</t>
  </si>
  <si>
    <t xml:space="preserve">ESTOJO INSTANCE FRUTAS VERMELHAS NAMO/24</t>
  </si>
  <si>
    <t xml:space="preserve">Kit Presente Eudora Roxo Miniatura (2 itens)</t>
  </si>
  <si>
    <t xml:space="preserve">ESTOJO DIVA ESPLENDIDA NAMO/24</t>
  </si>
  <si>
    <t xml:space="preserve">SOUL MÁSCARA DE CÍLIOS TURBO 10g</t>
  </si>
  <si>
    <t xml:space="preserve">EUDORA GLAM BATOM SEMI MATTE AMULIPS VERMELHO ENVOLVENTE 3,4g</t>
  </si>
  <si>
    <t xml:space="preserve">EUDORA GLAM BATOM MATTE AMULIPS VINHO ATITUDE 3,4g</t>
  </si>
  <si>
    <t xml:space="preserve">EUDORA GLAM BATOM SEMI MATTE AMULIPS MARROM CONFIANTE 3,4g</t>
  </si>
  <si>
    <t xml:space="preserve">EUDORA GLAM BATOM SEMI MATTE AMULIPS ROSA AUTÊNTICO 3,4g</t>
  </si>
  <si>
    <t xml:space="preserve">EUDORA GLAM BATOM SEMI MATTE AMULIPS MALVA INCOMPARÁVEL 3,4g</t>
  </si>
  <si>
    <t xml:space="preserve">EUDORA GLAM CASE BATOM AMULIPS PRETO CHIQUE</t>
  </si>
  <si>
    <t xml:space="preserve">EUDORA GLAM CASE BATOM AMULIPS DOURADO SOFISTICADO</t>
  </si>
  <si>
    <t xml:space="preserve">EUDORA GLAM CASE BATOM AMULIPS ROSA GLAMOUR</t>
  </si>
  <si>
    <t xml:space="preserve">EUDORA GLAM BATOM MATTE AMULIPS VERMELHO CORAGEM 3,4g</t>
  </si>
  <si>
    <t xml:space="preserve">EUDORA GLAM BATOM MATTE AMULIPS MARROM DETERMINADO 3,4g</t>
  </si>
  <si>
    <t xml:space="preserve">EUDORA GLAM BATOM MATTE AMULIPS ALARANJADO DESTEMIDO 3,4g</t>
  </si>
  <si>
    <t xml:space="preserve">KIT EUDORA SOUL MÁSCARA BOMB VOLUMAÇO + BATOM DESCOMPLIC VERMELHO DESCOMPLICADO</t>
  </si>
  <si>
    <t xml:space="preserve">KIT EUDORA GLAM MATTE TINT BORDÔ INTENSO + BLUSH UNITÁRIO PEACH BELLINI</t>
  </si>
  <si>
    <t xml:space="preserve">PROMOPACK NIINA SECRETS CELEBRATION</t>
  </si>
  <si>
    <t xml:space="preserve">PROMOPACK NIINA SECRETS QUERIDINHOS</t>
  </si>
  <si>
    <t xml:space="preserve">NECESSAIRE EUDORA COLLECTION - P</t>
  </si>
  <si>
    <t xml:space="preserve">NECESSAIRE EUDORA COLLECTION - M</t>
  </si>
  <si>
    <t xml:space="preserve">NECESSAIRE EUDORA COLLECTION - G</t>
  </si>
  <si>
    <t xml:space="preserve">NECESSAIRE EUDORA COLLECTION - MASCULINA</t>
  </si>
  <si>
    <t xml:space="preserve">NIINA PINCEL ILUMINADOR</t>
  </si>
  <si>
    <t xml:space="preserve">NIINA PINCEL CONTORNO</t>
  </si>
  <si>
    <t xml:space="preserve">NIINA PINCEL BLUSH</t>
  </si>
  <si>
    <t xml:space="preserve">NIINA PINCEL PÓ</t>
  </si>
  <si>
    <t xml:space="preserve">NIINA PINCEL MULTIFUNCIONAL</t>
  </si>
  <si>
    <t xml:space="preserve">NIINA REPACK ESPONJA DE MAKE</t>
  </si>
  <si>
    <t xml:space="preserve">NECESSAIRE EUDORA COLLECTION - GG</t>
  </si>
  <si>
    <t xml:space="preserve">EUDORA GLAM REPACK KIT DE PINCEIS</t>
  </si>
  <si>
    <t xml:space="preserve">NIINA SECRETS MASSAGEADOR FACIAL</t>
  </si>
  <si>
    <t xml:space="preserve">GLAM CC CREAM SECOND SKIN COR 65 30ml</t>
  </si>
  <si>
    <t xml:space="preserve">GLAM CC CREAM SECOND SKIN COR 85 30ml</t>
  </si>
  <si>
    <t xml:space="preserve">LA VICTORIE SABONETE BARRA INTENSE 2x90g</t>
  </si>
  <si>
    <t xml:space="preserve">IMPRESSION SABONETE BARRA 2x90g</t>
  </si>
  <si>
    <t xml:space="preserve">GLAM BATOM LIQUIDO DUO CLINICAL VERMELHO IMPRESCINDIVEL 3,5g</t>
  </si>
  <si>
    <t xml:space="preserve">SIAGE NECESS ROXA PU</t>
  </si>
  <si>
    <t xml:space="preserve">NIINA SECRETS HAIR CLIP</t>
  </si>
  <si>
    <t xml:space="preserve">GLAM PINCEL ESPECIAL</t>
  </si>
  <si>
    <t xml:space="preserve">EUDORA PORTA BATOM</t>
  </si>
  <si>
    <t xml:space="preserve">SIÀGE MASSAGEADOR COURO CABELUDO</t>
  </si>
  <si>
    <t xml:space="preserve">EUDORA CURVADOR DE CÍLIOS TURBO</t>
  </si>
  <si>
    <t xml:space="preserve">PRESENTE SABONETES VELVET</t>
  </si>
  <si>
    <t xml:space="preserve">PRESENTE IMENSI ALIVE</t>
  </si>
  <si>
    <t xml:space="preserve">ESTOJO NIINA MINI</t>
  </si>
  <si>
    <t xml:space="preserve">PRESENTE EDP ROUGE</t>
  </si>
  <si>
    <t xml:space="preserve">PULSE BALM POS BARBA PULSE 75g</t>
  </si>
  <si>
    <t xml:space="preserve">DIVA ESPLÊNDIDA OLÉO PERFUMADO DESODORANTE CORPORAL 200ml</t>
  </si>
  <si>
    <t xml:space="preserve">EUDORA LOÇÃO PERFUMADA DESODORANTE CORPORAL KISS ME DELICIOUS 100ml</t>
  </si>
  <si>
    <t xml:space="preserve">GLAM LAPIS RETR SOBRANC CLARO V2 0,35g</t>
  </si>
  <si>
    <t xml:space="preserve">GLAM LAPIS RETR SOBRANC MEDIO V2 0,35g</t>
  </si>
  <si>
    <t xml:space="preserve">GLAM LAPIS RETR SOBRANC ESCURO V2 0,35g</t>
  </si>
  <si>
    <t xml:space="preserve">EUD CX PRESENTEAVEL MAES/24</t>
  </si>
  <si>
    <t xml:space="preserve">EUDORA NEO DERMO CREME OLHOS ACTIVE PRO 12g</t>
  </si>
  <si>
    <t xml:space="preserve">EUDORA NEO DERMO SÉRUM CONCENTRADO UNIFORMIZADOR ACTIVE PRO 30ml</t>
  </si>
  <si>
    <t xml:space="preserve">EUDORA NEO DERMO HIDRATANTE UNIFORMIZADOR ACTIVE PRO 50g</t>
  </si>
  <si>
    <t xml:space="preserve">SIÁGE LEAVE IN SPRAY RESGATE IMEDIATO 100ML</t>
  </si>
  <si>
    <t xml:space="preserve">ESTOJO EUDORA H PAIS 2024</t>
  </si>
  <si>
    <t xml:space="preserve">ESTOJO PULSE ACTION PAIS 24</t>
  </si>
  <si>
    <t xml:space="preserve">EUDORA H SHW GEL CAB E CPO 200g</t>
  </si>
  <si>
    <t xml:space="preserve">EUDORA H LOC DES HID CPO V2 200ml</t>
  </si>
  <si>
    <t xml:space="preserve">EUDORA CREME ACETINADO DESODORANTE HIDRATANTE CORPORAL ROSÉ, 250G</t>
  </si>
  <si>
    <t xml:space="preserve">SIÀGE GEL CAPILAR ALTA FIXAÇÃO MEN 150g</t>
  </si>
  <si>
    <t xml:space="preserve">MAGNIFIC DESODORANTE SPRAY V2 100ml</t>
  </si>
  <si>
    <t xml:space="preserve">NIINA SKIN GEL DE LIMPEZA FACIAL 300g</t>
  </si>
  <si>
    <t xml:space="preserve">SIÀGE MÁSCARA CAPILAR DERMO ANTIQUEDA 250G</t>
  </si>
  <si>
    <t xml:space="preserve">EUDORA VELVET MILANO DESODORANTE COLÔNIA 100ML</t>
  </si>
  <si>
    <t xml:space="preserve">EUDORA KISS ME DESODORANTE COLÔNIA KISS ME LOVELY VERSAO 2 50ml</t>
  </si>
  <si>
    <t xml:space="preserve">EUDORA H DES COL MARINE 100ml</t>
  </si>
  <si>
    <t xml:space="preserve">EUD NECESS MASCULINA PES</t>
  </si>
  <si>
    <t xml:space="preserve">LA PIEL GEL ESFOLIANTE CORPORAL CRISTAIS DO HIMALAIA 200G v2</t>
  </si>
  <si>
    <t xml:space="preserve">ESTOJO INTENTION PAIS 2024</t>
  </si>
  <si>
    <t xml:space="preserve">NIINA PINCEL BASE DUO FIBER</t>
  </si>
  <si>
    <t xml:space="preserve">BOLSA TOTE EUDORA</t>
  </si>
  <si>
    <t xml:space="preserve">CLUB 6 FEVER DESODORANTE ANTITRANSPIRANTE ROLL ON 55ml</t>
  </si>
  <si>
    <t xml:space="preserve">INSTANCE SPRAY PERFUMADO DESODORANTE COLONIA AMEIXA E PRALINE VERSAO 2 200m</t>
  </si>
  <si>
    <t xml:space="preserve">PULSE DES COL POWER 100ml</t>
  </si>
  <si>
    <t xml:space="preserve">SOUL KISS ME BATOM HIDRATANTE MARROM DELICIOUS 3,7g</t>
  </si>
  <si>
    <t xml:space="preserve">SIAGE SHAMP NUTRI AC/COMPLEX 250ml</t>
  </si>
  <si>
    <t xml:space="preserve">SIAGE COND NUTRI AC/COMPLEX 200ml</t>
  </si>
  <si>
    <t xml:space="preserve">SIAGE MASC CAP NUTRI AC/COMPLEX 250g</t>
  </si>
  <si>
    <t xml:space="preserve">SIAGE FIN CAP NUTRI AC/COMPLEX 100ml</t>
  </si>
  <si>
    <t xml:space="preserve">EUD NECESS ACE MASC LON  NAM/24</t>
  </si>
  <si>
    <t xml:space="preserve">SOUL KISS ME GLOSS DOCES FINOS MACARON DE FRAMBOESA 5,2ml</t>
  </si>
  <si>
    <t xml:space="preserve">SOUL KISS ME GLOSS DOCES FINOS BOMBOM DE AVELÃ 5,2ml</t>
  </si>
  <si>
    <t xml:space="preserve">SOUL KISS ME GLOSS DOCES FINOS TARTELETE DE LIMÃO SICILIANO 5,2ml</t>
  </si>
  <si>
    <t xml:space="preserve">SIAGE SHAMPOO PRO CRONOLOGY CURVAS 250ml</t>
  </si>
  <si>
    <t xml:space="preserve">SIAGE CONDICIONADOR PRO CRONOLOGY CURVAS 250ml</t>
  </si>
  <si>
    <t xml:space="preserve">SIAGE CPP DEFINIÇÃO PRO CRONOLOGY CURVAS 300ml</t>
  </si>
  <si>
    <t xml:space="preserve">SIAGE CPP VOLUME PRO CRONOLOGY CURVAS 300ml</t>
  </si>
  <si>
    <t xml:space="preserve">SIAGE FINALIZADOR JELLY PRO CRONOLOGY CURVAS 300ml</t>
  </si>
  <si>
    <t xml:space="preserve">SOUL LAPISEIRA RETRÁTIL TURBO PRETA 300mg</t>
  </si>
  <si>
    <t xml:space="preserve">SOUL LAPISEIRA RETRÁTIL TURBO MARROM 300mg</t>
  </si>
  <si>
    <t xml:space="preserve">SOUL BATOM LÍQUIDO TURBO SEMI MATTE VERMELHO TURBINADO 5ml</t>
  </si>
  <si>
    <t xml:space="preserve">SOUL BATOM LÍQUIDO TURBO SEMI MATTE PINK TURBINADO 5ml</t>
  </si>
  <si>
    <t xml:space="preserve">SOUL BATOM LÍQUIDO TURBO SEMI MATTE MARROM TURBINADO 5ml</t>
  </si>
  <si>
    <t xml:space="preserve">SOUL MÁSCARA DE CÍLIOS TURBO ULTRA RESISTENTE 10g</t>
  </si>
  <si>
    <t xml:space="preserve">LA PIEL HIDRATANTE DESODORANTE CORPORAL BIOSENSITIVE 400ML</t>
  </si>
  <si>
    <t xml:space="preserve">LA PIEL GEL HIDRATANTE DE BANHO CORPORAL BIOSENSITIVE 200G</t>
  </si>
  <si>
    <t xml:space="preserve">LA PIEL BALM TRIPLA AÇÃO DESODORANTE CORPORAL BIOSENSITIVE 100G</t>
  </si>
  <si>
    <t xml:space="preserve">EUDORA DESODORANTE BODY SPRAY V2 100ml</t>
  </si>
  <si>
    <t xml:space="preserve">INSTANCE SPRAY PERFUMADO DESODORANTE COLÔNIA BAUNILHA GLOW 200ml</t>
  </si>
  <si>
    <t xml:space="preserve">LYRA DESODORANTE BODY SPRAY V2 100ml</t>
  </si>
  <si>
    <t xml:space="preserve">IMENSI DESODORANTE BODY SPRAY V2 100ml</t>
  </si>
  <si>
    <t xml:space="preserve">Kit Eudora Golden - Natal 2024 (2 itens)</t>
  </si>
  <si>
    <t xml:space="preserve">Kit Eudora Bad Intention - Natal 2024 (2 itens)</t>
  </si>
  <si>
    <t xml:space="preserve">Kit Eudora Club 6 - Natal 2024 (2 itens)</t>
  </si>
  <si>
    <t xml:space="preserve">Kit Eudora Diva - Natal 2024 (2 itens)</t>
  </si>
  <si>
    <t xml:space="preserve">Kit Eudora Siàge Glow Expert - Natal 2024 (3 itens)</t>
  </si>
  <si>
    <t xml:space="preserve">Kit Eudora Velvet Sensual - Natal 2024 (2 itens)</t>
  </si>
  <si>
    <t xml:space="preserve">Kit Eudora Kiss Me Cabernet - Natal 2024 (2 itens)</t>
  </si>
  <si>
    <t xml:space="preserve">Kit Eudora Niina Secrets - Natal 2024 (2 itens)</t>
  </si>
  <si>
    <t xml:space="preserve">ESTOJO IMPRESSION NATAL 24</t>
  </si>
  <si>
    <t xml:space="preserve">Kit Eudora La Victorie - Natal 2024 (2 itens)</t>
  </si>
  <si>
    <t xml:space="preserve">Kit Eudora Soul - Natal 2024 (2 itens)</t>
  </si>
  <si>
    <t xml:space="preserve">Kit Eudora Instance - Natal 2024 (3 itens)</t>
  </si>
  <si>
    <t xml:space="preserve">Kit Eudora Instance Karité - Natal 2024 (2 itens)</t>
  </si>
  <si>
    <t xml:space="preserve">INSTANCE AMEIXA E PRALINÉ FONDUE HIDRATANTE CORPORAL 180ml</t>
  </si>
  <si>
    <t xml:space="preserve">INSTANCE AMEIXA E PRALINÉ CREME PERFUMADO PARA MÃOS 30g</t>
  </si>
  <si>
    <t xml:space="preserve">INSTANCE AMEIXA E PRALINÉ CREME HIDRATANTE DESODORANTE CORPORAL 400ML</t>
  </si>
  <si>
    <t xml:space="preserve">REFIL INSTANCE AMEIXA E PRALINÉ CREME HIDRATANTE DESODORANTE CORPORAL 350ML</t>
  </si>
  <si>
    <t xml:space="preserve">INSTANCE AMEIXA E PRALINÉ SABONETE VEGETAL EM BARRA PERFUMADO 4x80g</t>
  </si>
  <si>
    <t xml:space="preserve">IMENSI CREM HID MAOS V2 50g</t>
  </si>
  <si>
    <t xml:space="preserve">CLUB 6 DES COL SPOTLIGHT 95ml</t>
  </si>
  <si>
    <t xml:space="preserve">CAIXA COMBO ESPECIAL PRETA</t>
  </si>
  <si>
    <t xml:space="preserve">BOLD INTENTION DESODORANTE COLÔNIA 100ml</t>
  </si>
  <si>
    <t xml:space="preserve">INSTANCE CREME HIDRATANTE DESODORANTE CORPORAL BAUNILHA GLOW 400ml</t>
  </si>
  <si>
    <t xml:space="preserve">INSTANCE LOÇÃO ILUMINADORA HIDRATANTE DESODORANTE CORPORAL BAUNILHA GLOW 180ml</t>
  </si>
  <si>
    <t xml:space="preserve">INSTANCE SABONETE LÍQUIDO PERFUMADO BAUNILHA GLOW 200ml</t>
  </si>
  <si>
    <t xml:space="preserve">DIVA DESODORANTE COLONIA SUPREMA 100ml</t>
  </si>
  <si>
    <t xml:space="preserve">EUDORA CAIXA COMBO FEM</t>
  </si>
  <si>
    <t xml:space="preserve">INSTANCE CREME HIDRATANTE DESODORANTE CORPORAL ROSA ABSOLUTA 400ml</t>
  </si>
  <si>
    <t xml:space="preserve">REFIL INSTANCE CREME HIDRATANTE DESODORANTE CORPORAL ROSA ABSOLUTA 350ml</t>
  </si>
  <si>
    <t xml:space="preserve">INSTANCE CREME HIDRATANTE PARA MAOS ROSA ABSOLUTA 30g</t>
  </si>
  <si>
    <t xml:space="preserve">INSTANCE SABONETE VEGETAL EM BARRA PERFUMADO ROSA ABSOLUTA 4x80g</t>
  </si>
  <si>
    <t xml:space="preserve">INSTANCE OLEO BIFASICO CORPORAL ROSA ABSOLUTA 200ml</t>
  </si>
  <si>
    <t xml:space="preserve">REFIL NIINA SKIN HIDRATANTE FACIAL 30ml</t>
  </si>
  <si>
    <t xml:space="preserve">MAGNIFIC LOCAO DESODORANTE HIDRATANTE CORPORAL ROUGE CAMELIA 200ml</t>
  </si>
  <si>
    <t xml:space="preserve">NIINA SCRT CLDA / BNH 100ml</t>
  </si>
  <si>
    <t xml:space="preserve">INSTANCE BODY SPLASH DOCES FINOS MACARON DE FRAMBOESA 200ml</t>
  </si>
  <si>
    <t xml:space="preserve">KIT SACOLA M EUDORA UNIT MAES/24</t>
  </si>
  <si>
    <t xml:space="preserve">KIT CAIXA M EUDORA MAES/24</t>
  </si>
  <si>
    <t xml:space="preserve">ENVELOPE P EUDORA MAES/24</t>
  </si>
  <si>
    <t xml:space="preserve">NIINA SECRETS DESODORANTE COLONIA CELEBRATE 100ml</t>
  </si>
  <si>
    <t xml:space="preserve">EUD K/M DES COL PLEASE 50ml</t>
  </si>
  <si>
    <t xml:space="preserve">PROMOPACK SIÀGE CACHOS E CRESPOS MEN</t>
  </si>
  <si>
    <t xml:space="preserve">NEO DERMO CR OLH RUG/LINH ACTIV/PRO 15g</t>
  </si>
  <si>
    <t xml:space="preserve">NEO DERMO SERUM LIFT IMED ACTIV/PRO 30ml</t>
  </si>
  <si>
    <t xml:space="preserve">NEO DERMO CR CONTOR FAC ACTIV/PRO 50g</t>
  </si>
  <si>
    <t xml:space="preserve">NIINA SECRETS BLUSH STICK DAILY ROSA 5g</t>
  </si>
  <si>
    <t xml:space="preserve">NIINA SECRETS BLUSH STICK DAILY MALVA 5g</t>
  </si>
  <si>
    <t xml:space="preserve">NIINA SECRETS BLUSH STICK DAILY CORAL 5g</t>
  </si>
  <si>
    <t xml:space="preserve">NIINA SECRETS ILUMINADOR LÍQUIDO LUMINOUS ROSE 10ml</t>
  </si>
  <si>
    <t xml:space="preserve">NIINA SECRETS ILUMINADOR LÍQUIDO LUMINOUS BRONZE 10ml</t>
  </si>
  <si>
    <t xml:space="preserve">NIINA SECRETS BATOM DUO PERFECT MATCH AVELÃ 1,65g</t>
  </si>
  <si>
    <t xml:space="preserve">NIINA SECRETS BATOM DUO PERFECT MATCH MALVA 1,65g</t>
  </si>
  <si>
    <t xml:space="preserve">NIINA SECRETS BATOM DUO PERFECT MATCH ROSA 1,65g</t>
  </si>
  <si>
    <t xml:space="preserve">NIINA SECRETS BATOM DUO PERFECT MATCH VERMELHO 1,65g</t>
  </si>
  <si>
    <t xml:space="preserve">EUDORA SOUL KISS ME BATOM LIQUIDO SEMI MATTE PEACH PARIS 5,2ml</t>
  </si>
  <si>
    <t xml:space="preserve">EUDORA GLAM PAETÊ SHINE BATOM CREMOSO VERMELHO 2,5g</t>
  </si>
  <si>
    <t xml:space="preserve">EUDORA GLAM PAETÊ SHINE BATOM CREMOSO ROSÊ 2,5g</t>
  </si>
  <si>
    <t xml:space="preserve">GLAM ILUM FAC COMP PAETE SHINE 5g</t>
  </si>
  <si>
    <t xml:space="preserve">EUDORA GLAM PAETÊ SHINE GLITTER MULTIFUNCIONAL ROSÊ</t>
  </si>
  <si>
    <t xml:space="preserve">KIT SACOLA M EUDORA UNIT NATAL 2024</t>
  </si>
  <si>
    <t xml:space="preserve">KIT CAIXA M EUDORA NATAL 2024</t>
  </si>
  <si>
    <t xml:space="preserve">ENVELOPE P EUDORA NATAL 2024</t>
  </si>
  <si>
    <t xml:space="preserve">EUDORA SOUL KISS ME BATOM HIDRATANTE AVELÃ 3,7g</t>
  </si>
  <si>
    <t xml:space="preserve">EUDORA SOUL KISS ME BATOM HIDRATANTE NUDE VELUDO 3,7g</t>
  </si>
  <si>
    <t xml:space="preserve">EUDORA SOUL KISS ME BATOM HIDRATANTE ROSA ATITUDE 3,7g</t>
  </si>
  <si>
    <t xml:space="preserve">EUDORA SOUL KISS ME BATOM MATTE PINK NUDE 3,7g</t>
  </si>
  <si>
    <t xml:space="preserve">EUDORA SOUL KISS ME BATOM MATTE CABERNET 3,7g</t>
  </si>
  <si>
    <t xml:space="preserve">EUDORA SOUL KISS ME BATOM MATTE ROSE ÚNICO 3,7g</t>
  </si>
  <si>
    <t xml:space="preserve">EUDORA SOUL KISS ME BATOM MATTE MAGMA OBSESSÃO 3,7g</t>
  </si>
  <si>
    <t xml:space="preserve">EUDORA SOUL KISS ME BATOM MATTE NUDE AUTORAL 3,7g</t>
  </si>
  <si>
    <t xml:space="preserve">EUDORA SOUL KISS ME BATOM MATTE VERMELHO MODERNO 3,7g</t>
  </si>
  <si>
    <t xml:space="preserve">EUDORA SOUL KISS ME BATOM MATTE MARROM AUTÊNTICO 3,7g</t>
  </si>
  <si>
    <t xml:space="preserve">GLAM LAP OLHO KJAL C/ESFUM MARR INT 1,1g</t>
  </si>
  <si>
    <t xml:space="preserve">GLAM LAP OLHO KJAL C/ESFUM PRET ABS 1,1g</t>
  </si>
  <si>
    <t xml:space="preserve">SOUL DELIN LIQ OLHO PRET ESSENCIAL 2,5ml</t>
  </si>
  <si>
    <t xml:space="preserve">GLAM CANETA DELIN PRETA 1ml</t>
  </si>
  <si>
    <t xml:space="preserve">SOUL BASE LIQ ULTRA MATE COR 30 25ML</t>
  </si>
  <si>
    <t xml:space="preserve">EUD KISS ME DEO COLONIA CABERNET 50ml</t>
  </si>
  <si>
    <t xml:space="preserve">EUD K/M LOC PERF DES CPO CABERNET 100ml</t>
  </si>
  <si>
    <t xml:space="preserve">NEO D/ETG SERUM CONC ANTIS TOT/REGEN 30g</t>
  </si>
  <si>
    <t xml:space="preserve">NEO D/ETAG</t>
  </si>
  <si>
    <t xml:space="preserve">NEO D/ETG FLD ANTIS CONTOR OLHOS 15g</t>
  </si>
  <si>
    <t xml:space="preserve">NEO D/ETG CR ANTIS DNA PROTECT 50g</t>
  </si>
  <si>
    <t xml:space="preserve">NEO D/ETG MOUSSE LIMP MICLR FAC 150ml</t>
  </si>
  <si>
    <t xml:space="preserve">SOUL K/M BALM LAB MORANGO VERAO 3,4g</t>
  </si>
  <si>
    <t xml:space="preserve">SOUL K/M BALM LAB UVA TROPICAL 3,4g</t>
  </si>
  <si>
    <t xml:space="preserve">NEO D/ETG SOL MICLR FAC 100ml</t>
  </si>
  <si>
    <t xml:space="preserve">EUD H DEO COL 100ml</t>
  </si>
  <si>
    <t xml:space="preserve">EUDORA SOUL KISS ME BATOM HIDRATANTE MALVA DA MODA 3,7g</t>
  </si>
  <si>
    <t xml:space="preserve">NEO D/ETG ESF FAC LIMP PROFUN 50g</t>
  </si>
  <si>
    <t xml:space="preserve">NEO D/ETG PR SOL FPS50 CC CR B/INT 40g</t>
  </si>
  <si>
    <t xml:space="preserve">NEO ETAGE</t>
  </si>
  <si>
    <t xml:space="preserve">NEO D/ETG PR SOL FPS50 CC CR B/MED 40g</t>
  </si>
  <si>
    <t xml:space="preserve">NEO D/ETG PR SOL FPS50 CC CR B/CARAM 40g</t>
  </si>
  <si>
    <t xml:space="preserve">NEO D/ETG PR SOL FPS50 CC CR B/NAT 40g</t>
  </si>
  <si>
    <t xml:space="preserve">NEO D/ETG PRO SRUM ANTIOX VIT C/PUR 30g</t>
  </si>
  <si>
    <t xml:space="preserve">NEO ETAGE PREENC FAC ACIDO HIALUR 30ml</t>
  </si>
  <si>
    <t xml:space="preserve">SOUL BASE LIQ ULT MATE COR 00 25ml</t>
  </si>
  <si>
    <t xml:space="preserve">SOUL BASE LIQ ULT MATE COR 10 25ml</t>
  </si>
  <si>
    <t xml:space="preserve">GLAM CORRET LIQ SK/PERF L/D B/MED 1 6,4g</t>
  </si>
  <si>
    <t xml:space="preserve">SOUL BASE LIQ ULT MATE COR 13 25ml</t>
  </si>
  <si>
    <t xml:space="preserve">GLAM CORRET LIQ SK/PERF L/D B/CL 6,4g</t>
  </si>
  <si>
    <t xml:space="preserve">GLAM CORRET LIQ SK/PERF L/D BEGE 6,4g</t>
  </si>
  <si>
    <t xml:space="preserve">GLAM CORRET LIQ SK/PERF L/D B/M/2 6,4g</t>
  </si>
  <si>
    <t xml:space="preserve">GLAM CORRET LIQ SK/PERF L/D B/ESC 1 6,4g</t>
  </si>
  <si>
    <t xml:space="preserve">SOUL DEMAQ CREME 60ML</t>
  </si>
  <si>
    <t xml:space="preserve">CARBON DES COL SPEED 100ml</t>
  </si>
  <si>
    <t xml:space="preserve">GLAM BLUSH/BRNZ DUO PESSEGO SUPREMO 5g</t>
  </si>
  <si>
    <t xml:space="preserve">GLAM CORRET LIQ SK/PERF L/D B/ESC 2 6,4g</t>
  </si>
  <si>
    <t xml:space="preserve">GLAM ILUM FAC COMP 7g</t>
  </si>
  <si>
    <t xml:space="preserve">EUD MAKE BAT LIQ MAT SUPR FUCSIA/VAL 4ml</t>
  </si>
  <si>
    <t xml:space="preserve">EUD MAKE</t>
  </si>
  <si>
    <t xml:space="preserve">EUD MAKE BAT LIQ MAT SUPR BORD/AVEL 4ml</t>
  </si>
  <si>
    <t xml:space="preserve">EUD MAKE BAT LIQ MAT SUPR VERM/AMBAR 4ml</t>
  </si>
  <si>
    <t xml:space="preserve">ESTOJO EUDORA EDP ROXO MAES 2025</t>
  </si>
  <si>
    <t xml:space="preserve">ESTOJO EUDORA VELVET AUTHENTIC MAES 2025</t>
  </si>
  <si>
    <t xml:space="preserve">ESTOJO EUDORA SIÀGE NUTRI ROSÉ MAES 2025</t>
  </si>
  <si>
    <t xml:space="preserve">ESTOJO LYRA MAES 2025</t>
  </si>
  <si>
    <t xml:space="preserve">ESTOJO INSTANCE FRUTAS VERMELHAS MAES 2025</t>
  </si>
  <si>
    <t xml:space="preserve">PRESENTE NIINA SECRETS NAMORADOS 2025</t>
  </si>
  <si>
    <t xml:space="preserve">PRESENTE LA VICTORIE INTENSE NAMORADOS 2025</t>
  </si>
  <si>
    <t xml:space="preserve">SIAGE SHAMP REG POS QUIM 250ml RPCK</t>
  </si>
  <si>
    <t xml:space="preserve">SIAGE COND REG POS QUIM 200ml RPCK</t>
  </si>
  <si>
    <t xml:space="preserve">SIAGE MASC CAP REG POS QUIM 250g RPCK</t>
  </si>
  <si>
    <t xml:space="preserve">EUD KIT DE PINCÉIS OLHOS</t>
  </si>
  <si>
    <t xml:space="preserve">SIAGE NECESS 2025 PU</t>
  </si>
  <si>
    <t xml:space="preserve">SIAGE NECESSAIRE PU MAES/25</t>
  </si>
  <si>
    <t xml:space="preserve">PRESENTE CLUB 6 VOYAGE NAMORADOS 25</t>
  </si>
  <si>
    <t xml:space="preserve">PRESENTE EUDORA H NAMORADOS 25</t>
  </si>
  <si>
    <t xml:space="preserve">EUDORA GLAM PALETTE OLHOS ROYALE 7g</t>
  </si>
  <si>
    <t xml:space="preserve">EUDORA KISS ME BATOM BALA HIDRATANTE CHERRY CEREJA DIVINA 3,7g</t>
  </si>
  <si>
    <t xml:space="preserve">EUD EDP ROSE V2 75ml</t>
  </si>
  <si>
    <t xml:space="preserve">NIINA SCRT BAT LIQ SK/MAT ROSA LOTUS 5ml</t>
  </si>
  <si>
    <t xml:space="preserve">NIINA SCRT BAT LIQ SK/MAT MARR/LIRIO 5ml</t>
  </si>
  <si>
    <t xml:space="preserve">NIINA SCRT BAT LIQ SK/MAT CAST/BEGON 5ml</t>
  </si>
  <si>
    <t xml:space="preserve">NIINA SCRT BAT LIQ SK/MAT MALV/CAMEL 5ml</t>
  </si>
  <si>
    <t xml:space="preserve">EUDORA KISS ME BATOM BALA MATTE CHERRY VERMELHO VICIANTE 3,7g</t>
  </si>
  <si>
    <t xml:space="preserve">EUDORA GLAM PAETÊ SOMBRA &amp; PRIMER MULTIFUNCIONAL HOLOGRÁFICO 7ML</t>
  </si>
  <si>
    <t xml:space="preserve">ENVELOPE P EUDORA UNIT MÃES 2025</t>
  </si>
  <si>
    <t xml:space="preserve">KIT CAIXA M EUDORA UNIT MÃES 2025</t>
  </si>
  <si>
    <t xml:space="preserve">KIT SACOLA M EUDORA UNIT MÃES 2025</t>
  </si>
  <si>
    <t xml:space="preserve">SIAGE AMPOLA CAPILAR NUTRIÇÃO PRO CRONOLOGY 30ml</t>
  </si>
  <si>
    <t xml:space="preserve">SIAGE AMPOLA CAPILAR RECONSTRUÇÃO PRO CRONOLOGY 30ml</t>
  </si>
  <si>
    <t xml:space="preserve">EUDORA KISS ME LÁPIS MULTIFUNCIONAL 3-1 CHERRY VERMELHO 1,2g</t>
  </si>
  <si>
    <t xml:space="preserve">NIINA SKIN GEL DE LIMPEZA FACIAL V2 100g</t>
  </si>
  <si>
    <t xml:space="preserve">GLAM BATOM CREMOSO METALS ROSE DIVA 3,6g</t>
  </si>
  <si>
    <t xml:space="preserve">INSTANCE D/C SPR CP PERF MOR/IRRES 200ml</t>
  </si>
  <si>
    <t xml:space="preserve">EUDORA KISS ME GLOSS CHERRY</t>
  </si>
  <si>
    <t xml:space="preserve">INSTANCE DESODORANTE COLONIA BODY SPLASH ROSA ABSOLUTA 200ml</t>
  </si>
  <si>
    <t xml:space="preserve">NIINA SCRT CONTORNO FAC STICK COR 4 5g</t>
  </si>
  <si>
    <t xml:space="preserve">NIINA SKIN CREM SORB FACIAL FIRM V2 80g</t>
  </si>
  <si>
    <t xml:space="preserve">EUD EDP NOIR 75ml</t>
  </si>
  <si>
    <t xml:space="preserve">EUD EDP V5 75ml</t>
  </si>
  <si>
    <t xml:space="preserve">EUD EDP ROUGE V3 75ml</t>
  </si>
  <si>
    <t xml:space="preserve">EUD EDP GOLDEN V2 75ml</t>
  </si>
  <si>
    <t xml:space="preserve">INSTANCE LOC DES H CPO MORAN/IRRES 400ml</t>
  </si>
  <si>
    <t xml:space="preserve">INSTANCE SAB BARR MORAN/IRRES 4x80g</t>
  </si>
  <si>
    <t xml:space="preserve">INSTANCE CREM MASS CPO MORAN/IRRES 180ml</t>
  </si>
  <si>
    <t xml:space="preserve">DIVA SUPREMA LOÇÃO ILUMINADORA HIDRATANTE DESODORANTE CORPORAL 150ml</t>
  </si>
  <si>
    <t xml:space="preserve">INSTANCE LOÇÃO HIDRATANTE DESODORANTE CORPORAL BAUNILHA 400ml</t>
  </si>
  <si>
    <t xml:space="preserve">INSTANCE REFIL CREME HIDRATANTE CORPORAL BAUNILHA 350ml</t>
  </si>
  <si>
    <t xml:space="preserve">INSTANCE LOÇÃO HIDRATANTE DESODORANTE CORPORAL BAUNILHA 180ml</t>
  </si>
  <si>
    <t xml:space="preserve">INSTANCE LOÇÃO HIDRATANTE DESODORANTE CORPORAL BAUNILHA 75ml</t>
  </si>
  <si>
    <t xml:space="preserve">CLUB 6 LOC DES HID CPO SPOTLIGHT 200ml</t>
  </si>
  <si>
    <t xml:space="preserve">NIINA SCRT ESPONJA DE MAQUIAGEM PU</t>
  </si>
  <si>
    <t xml:space="preserve">NIINA SECRETS ESPELHO POCKET LED</t>
  </si>
  <si>
    <t xml:space="preserve">NIINA SECRETS PINC ESP MULTIF PS</t>
  </si>
  <si>
    <t xml:space="preserve">EUD MAKE BAT LIQ MAT SUPR MARR/PREC 4ml</t>
  </si>
  <si>
    <t xml:space="preserve">EUD MAKE BAT LIQ MAT SUPR NUD/CONFOR 4ml</t>
  </si>
  <si>
    <t xml:space="preserve">EUD MAKE BAT LIQ MAT SUPR ROSAD/SUAV 4ml</t>
  </si>
  <si>
    <t xml:space="preserve">NIINA SCRT CONTORNO STICK COR 1 5g</t>
  </si>
  <si>
    <t xml:space="preserve">NIINA SCRT CONTORNO FAC STICK COR 2 5g</t>
  </si>
  <si>
    <t xml:space="preserve">NIINA SCRT CONTORNO FAC STICK COR 3 5g</t>
  </si>
  <si>
    <t xml:space="preserve">EUD CREM DES HID CPO NOIR 250g</t>
  </si>
  <si>
    <t xml:space="preserve">INSTANCE SAB LIQ MAOS BAUNILHA V2 400ml</t>
  </si>
  <si>
    <t xml:space="preserve">CAIXA EUDORA M INST 2025 UNIT</t>
  </si>
  <si>
    <t xml:space="preserve">NIINA SCRT BLUSH STICK DAILY AMORA 5g</t>
  </si>
  <si>
    <t xml:space="preserve">EUD PORTA PINCEIS TUBO PVC</t>
  </si>
  <si>
    <t xml:space="preserve">EUD NECESS MAQ VINIL PVC C/ALCA</t>
  </si>
  <si>
    <t xml:space="preserve">EUD NECESS VISOR TRANSP C/DOUR PVC</t>
  </si>
  <si>
    <t xml:space="preserve">EUD NECESS LASER CUT TRANSP PVC S/A</t>
  </si>
  <si>
    <t xml:space="preserve">EUD BOLSA DE MAO CARAMELO TASSEL PVC S/A</t>
  </si>
  <si>
    <t xml:space="preserve">EUD CHAVEIRO FRANJA PU</t>
  </si>
  <si>
    <t xml:space="preserve">EUD BOLSA BRONZE LISTRAS PVC C/A</t>
  </si>
  <si>
    <t xml:space="preserve">EUD NECESS PTA PAETE REVERSIVEL PVC C/A</t>
  </si>
  <si>
    <t xml:space="preserve">EUD VISEIRA PRETA LINHO</t>
  </si>
  <si>
    <t xml:space="preserve">EUD NECESS KISS ME PU C/ALC</t>
  </si>
  <si>
    <t xml:space="preserve">GLAM PINC ESFUMAR SOMBRA</t>
  </si>
  <si>
    <t xml:space="preserve">GLAM PINC DELINEAR OLHOS CHANFRADO</t>
  </si>
  <si>
    <t xml:space="preserve">GLAM PINC DEPOSITAR SOMBRA</t>
  </si>
  <si>
    <t xml:space="preserve">GLAM PINC BASE PERFEITA</t>
  </si>
  <si>
    <t xml:space="preserve">GLAM PINC PO</t>
  </si>
  <si>
    <t xml:space="preserve">GLAM PINC CORRETIVO</t>
  </si>
  <si>
    <t xml:space="preserve">GLAM PINC CONTORNO E BASE</t>
  </si>
  <si>
    <t xml:space="preserve">GLAM PINC BLUSH</t>
  </si>
  <si>
    <t xml:space="preserve">GLAM PINC BASE KABUKI</t>
  </si>
  <si>
    <t xml:space="preserve">EUD SAQUINHO VELUDO ROSE P</t>
  </si>
  <si>
    <t xml:space="preserve">EUD BRACELETE DOURADO METAL V2</t>
  </si>
  <si>
    <t xml:space="preserve">INSTANCE DES COL FR/VERM 200ml</t>
  </si>
  <si>
    <t xml:space="preserve">INSTANCE DES COL BAUN 200ml</t>
  </si>
  <si>
    <t xml:space="preserve">INSTANCE SAB LIQ CPO GEL ESF F/VERM 200g</t>
  </si>
  <si>
    <t xml:space="preserve">INSTANCE CREM DES HID MAOS KARITE 30g</t>
  </si>
  <si>
    <t xml:space="preserve">INSTANCE CREM DES HID PES KARITE 75g</t>
  </si>
  <si>
    <t xml:space="preserve">INSTANCE SAB LIQ MAOS LAVANDA 250ml</t>
  </si>
  <si>
    <t xml:space="preserve">INSTANCE SAB LIQ INT FR/VERM 200ml</t>
  </si>
  <si>
    <t xml:space="preserve">INSTANCE SAB LIQ CPO CREM KARITE 200ml</t>
  </si>
  <si>
    <t xml:space="preserve">INSTANCE LOC DES HID CPO FAV/BAUN 400ml</t>
  </si>
  <si>
    <t xml:space="preserve">INSTANCE LOC DES HID CPO LAVANDA 400ml</t>
  </si>
  <si>
    <t xml:space="preserve">INSTANCE SHAMP FR/VERM 300ml</t>
  </si>
  <si>
    <t xml:space="preserve">INSTANCE COND FR/VERM 300ml</t>
  </si>
  <si>
    <t xml:space="preserve">INSTANCE COND KARITE 300ml</t>
  </si>
  <si>
    <t xml:space="preserve">INSTANCE SAB LIQ CPO ESF BAUN 200ml</t>
  </si>
  <si>
    <t xml:space="preserve">EUD CX PRES NAM/18 TAM P</t>
  </si>
  <si>
    <t xml:space="preserve">EUD CX PRES NAM/18 TAM M</t>
  </si>
  <si>
    <t xml:space="preserve">SOUL MASC CILIO TURBO PRV/AG 10g</t>
  </si>
  <si>
    <t xml:space="preserve">SOUL MASC CILIO MICROESFERAS TURBO 10g</t>
  </si>
  <si>
    <t xml:space="preserve">INSTANCE CREM DES HID MAOS FAV/BAUN 30g</t>
  </si>
  <si>
    <t xml:space="preserve">INSTANCE MANTG HID DES CPO KARITE 150g</t>
  </si>
  <si>
    <t xml:space="preserve">SOUL KISS ME CAIXA PRESENTEAVEL</t>
  </si>
  <si>
    <t xml:space="preserve">EUD DES COL RUMMO AVENTURA 100ml</t>
  </si>
  <si>
    <t xml:space="preserve">GLAM ESMLT MAGENTA SUBLIME 7ml</t>
  </si>
  <si>
    <t xml:space="preserve">INSTANCE MASC CAP KARITE 200g</t>
  </si>
  <si>
    <t xml:space="preserve">EUD ORGN PRETO MULTIUSO POLIEST S/A V2</t>
  </si>
  <si>
    <t xml:space="preserve">EUD NECESS BICOLOR PVC S/A V2</t>
  </si>
  <si>
    <t xml:space="preserve">SOUL BLUSH LIQ ROSA CORADINHO 15ML</t>
  </si>
  <si>
    <t xml:space="preserve">SOUL BLUSH LIQ PESSEGO SAUDAVEL 15ML</t>
  </si>
  <si>
    <t xml:space="preserve">SOUL SOMB P/OLHOS DUO TERRACOTA 4ML CADA</t>
  </si>
  <si>
    <t xml:space="preserve">SOUL LAPIS RETR OLHOS PRETO 350mg</t>
  </si>
  <si>
    <t xml:space="preserve">SOUL BASE LIQ ULT MATE COR 35 25ml</t>
  </si>
  <si>
    <t xml:space="preserve">SOUL BASE LIQ ULT MATE COR 40 25ml</t>
  </si>
  <si>
    <t xml:space="preserve">SOUL BASE LIQ ULT MATE COR 55 25ml</t>
  </si>
  <si>
    <t xml:space="preserve">SOUL BASE LIQ ULT MATE COR 75 25ml</t>
  </si>
  <si>
    <t xml:space="preserve">SOUL BASE LIQ ULT MATE COR 70 25ml</t>
  </si>
  <si>
    <t xml:space="preserve">LYRA DES COL 75ml</t>
  </si>
  <si>
    <t xml:space="preserve">EUD CX PRES PAIS 2018 P</t>
  </si>
  <si>
    <t xml:space="preserve">EUD NECESS QUADRADA PAETE ROXA P PET S/A</t>
  </si>
  <si>
    <t xml:space="preserve">EUD BOLSA MAO ABA TRESSE PRETA PU S/A</t>
  </si>
  <si>
    <t xml:space="preserve">EUD COLAR CRISTAL PRATA METAL</t>
  </si>
  <si>
    <t xml:space="preserve">EUD CARTEIRA MASCULINA PRETA PU</t>
  </si>
  <si>
    <t xml:space="preserve">EUD FRASQ BOWLER FUME M PVC C/A</t>
  </si>
  <si>
    <t xml:space="preserve">EUD BOLSA MAO PHYTON ENVEL DOUR PVC S/A</t>
  </si>
  <si>
    <t xml:space="preserve">EUD NECESS FLAT LA ROSE P PES S/A</t>
  </si>
  <si>
    <t xml:space="preserve">EUD NECESS FLAT MAKE PRETA M PVC S/A</t>
  </si>
  <si>
    <t xml:space="preserve">EUD NECESS VELUDO VERM M POLIEST S/A</t>
  </si>
  <si>
    <t xml:space="preserve">GLAM PINC ROSTO MEGA ESCOVA MULTIUSO</t>
  </si>
  <si>
    <t xml:space="preserve">VOLPE DES COL 100ml</t>
  </si>
  <si>
    <t xml:space="preserve">SIAGE SHAMP MEN FORCA 250ml</t>
  </si>
  <si>
    <t xml:space="preserve">SIAGE POMADA CAP MODEL MEN 90g</t>
  </si>
  <si>
    <t xml:space="preserve">EUDORA GLAM SKIN PERFECTION BASE LÍQUIDA COR 00 30ml</t>
  </si>
  <si>
    <t xml:space="preserve">EUDORA GLAM SKIN PERFECTION BASE LÍQUIDA COR 05 30ml</t>
  </si>
  <si>
    <t xml:space="preserve">EUDORA GLAM SKIN PERFECTION BASE LÍQUIDA COR 10 30ml</t>
  </si>
  <si>
    <t xml:space="preserve">EUDORA GLAM SKIN PERFECTION BASE LÍQUIDA COR 15 30ml</t>
  </si>
  <si>
    <t xml:space="preserve">EUDORA GLAM SKIN PERFECTION BASE LÍQUIDA COR 20 30ml</t>
  </si>
  <si>
    <t xml:space="preserve">EUDORA GLAM SKIN PERFECTION BASE LÍQUIDA COR 25 30ml</t>
  </si>
  <si>
    <t xml:space="preserve">EUDORA GLAM SKIN PERFECTION BASE LÍQUIDA COR 30 30ml</t>
  </si>
  <si>
    <t xml:space="preserve">EUDORA GLAM SKIN PERFECTION BASE LÍQUIDA COR 35 30ml</t>
  </si>
  <si>
    <t xml:space="preserve">EUDORA GLAM SKIN PERFECTION BASE LÍQUIDA COR 40 30ml</t>
  </si>
  <si>
    <t xml:space="preserve">EUDORA GLAM SKIN PERFECTION BASE LÍQUIDA COR 45 30ml</t>
  </si>
  <si>
    <t xml:space="preserve">EUDORA GLAM SKIN PERFECTION BASE LÍQUIDA COR 50 30ml</t>
  </si>
  <si>
    <t xml:space="preserve">EUDORA GLAM SKIN PERFECTION BASE LÍQUIDA COR 55 30ml</t>
  </si>
  <si>
    <t xml:space="preserve">EUDORA GLAM SKIN PERFECTION PRIMER MATTE 35ml</t>
  </si>
  <si>
    <t xml:space="preserve">INSTANCE SAB BARRA CASTANHAR CAST 5x85g</t>
  </si>
  <si>
    <t xml:space="preserve">NEO D/ETAGE GEL HID FAC HIDRA/MINER 30ml</t>
  </si>
  <si>
    <t xml:space="preserve">EUD BOLSA EXPER PRETA SHOPPER PVC C/A V2</t>
  </si>
  <si>
    <t xml:space="preserve">EUDORA CX PRESENT 2019 EUDORA TAM P</t>
  </si>
  <si>
    <t xml:space="preserve">GLAM ESPONJA MAQ GOTA PRETA PU</t>
  </si>
  <si>
    <t xml:space="preserve">SIAGE SHAMP RECONST OS FIOS 250ml RPCK</t>
  </si>
  <si>
    <t xml:space="preserve">SIAGE COND RECONST/FIOS 200ml RPCK</t>
  </si>
  <si>
    <t xml:space="preserve">SIAGE MASC CAP RECONST/FIOS 250g RPCK</t>
  </si>
  <si>
    <t xml:space="preserve">SIAGE AMPOLA CAP RECONST/FIOS 15ml RPCK</t>
  </si>
  <si>
    <t xml:space="preserve">SIAGE CC CREAM RECONST/FIOS 100ml RPCK</t>
  </si>
  <si>
    <t xml:space="preserve">SIAGE OLEO ARGAN RECONST/FIOS 60ml</t>
  </si>
  <si>
    <t xml:space="preserve">SIAGE SHAMP NUTRI DIAMOND 250ml RPCK</t>
  </si>
  <si>
    <t xml:space="preserve">SIAGE MASC CAP NUTRI DIAMOND 250g RPCK</t>
  </si>
  <si>
    <t xml:space="preserve">SIAGE SHAMP NUTRI OURO 250ml RPCK</t>
  </si>
  <si>
    <t xml:space="preserve">SIAGE COND NUTRI DIAMOND 200ml RPCK</t>
  </si>
  <si>
    <t xml:space="preserve">SIAGE CREM CONC PROT ACEL/CRESC 80g RPCK</t>
  </si>
  <si>
    <t xml:space="preserve">SIAGE SHAMP NUTRI ROSE 250ml</t>
  </si>
  <si>
    <t xml:space="preserve">SIAGE COND NUTRI ROSE 200ml</t>
  </si>
  <si>
    <t xml:space="preserve">SIAGE MASC CAP NUTRI ROSE 250g</t>
  </si>
  <si>
    <t xml:space="preserve">NEO D/ETG PRO SRUM FAC LIFT/IMED 20ml</t>
  </si>
  <si>
    <t xml:space="preserve">SIAGE SHAMP RVL/CACH 250ml RPCK</t>
  </si>
  <si>
    <t xml:space="preserve">SIAGE COND RVL/CACH 200ml RPCK</t>
  </si>
  <si>
    <t xml:space="preserve">SIAGE MASC CAP RVL/CACH 250g RPCK</t>
  </si>
  <si>
    <t xml:space="preserve">SIAGE CREM P/PENTEAR RVL/CACH 500g RPCK</t>
  </si>
  <si>
    <t xml:space="preserve">SIAGE SPR CAP REVIT RVL/CACH 100ml RPCK</t>
  </si>
  <si>
    <t xml:space="preserve">SIAGE SHAMP LISO INTENSO 250ml RPCK</t>
  </si>
  <si>
    <t xml:space="preserve">SIAGE COND LISO INTENSO 200ml RPCK</t>
  </si>
  <si>
    <t xml:space="preserve">SIAGE MASC CAP LISO INTENSO 250g</t>
  </si>
  <si>
    <t xml:space="preserve">SIAGE LEAV CAP SEL FIN LIS IN 100ml RPCK</t>
  </si>
  <si>
    <t xml:space="preserve">SIAGE SHAMP MATIZ LOIRO EXPERT 250ml</t>
  </si>
  <si>
    <t xml:space="preserve">SIAGE COND LOIRO EXPERT 200ml</t>
  </si>
  <si>
    <t xml:space="preserve">SIAGE MASC CAP MATIZ LOIRO EXPERT 250g</t>
  </si>
  <si>
    <t xml:space="preserve">SIAGE COND REMOVE OL 200ml RPCK</t>
  </si>
  <si>
    <t xml:space="preserve">SIAGE SHAMP REMOVE OL 250ml RPCK</t>
  </si>
  <si>
    <t xml:space="preserve">SIAGE COND NUTRI OURO 200ml RPCK</t>
  </si>
  <si>
    <t xml:space="preserve">SIAGE SHAMP ACEL/CRESC 250ml RPCK</t>
  </si>
  <si>
    <t xml:space="preserve">SIAGE COND ACEL/CRESC 200ml RPCK</t>
  </si>
  <si>
    <t xml:space="preserve">SIAGE MASC CAP ACEL/CRESC 250g RPCK</t>
  </si>
  <si>
    <t xml:space="preserve">SIAGE TON CAP ACEL/CRESC 65ml RPCK</t>
  </si>
  <si>
    <t xml:space="preserve">GLAM BAS COMP SK/PERF COR 05 7g</t>
  </si>
  <si>
    <t xml:space="preserve">GLAM BAS COMP SK/PERF COR 20 7g</t>
  </si>
  <si>
    <t xml:space="preserve">GLAM BAS COMP SK/PERF COR 40 7g</t>
  </si>
  <si>
    <t xml:space="preserve">GLAM BAS COMP SK/PERF COR 50 7g</t>
  </si>
  <si>
    <t xml:space="preserve">GLAM BAS COMP SK/PERF COR 60 7g</t>
  </si>
  <si>
    <t xml:space="preserve">EUDORA GLAM SKIN PERFECTION PÓ SOLTO MATIFICANTE CLARO-MÉDIO 20g</t>
  </si>
  <si>
    <t xml:space="preserve">EUDORA GLAM SKIN PERFECTION PÓ SOLTO MATIFICANTE MÉDIO - ESCURO 20g</t>
  </si>
  <si>
    <t xml:space="preserve">GLAM BRUMA FIXADORA EFEITO LIFTING 110ml</t>
  </si>
  <si>
    <t xml:space="preserve">SOUL PO COMP FAC ULT MATE COR 05 10g</t>
  </si>
  <si>
    <t xml:space="preserve">SOUL PO COMP FAC ULT MATE COR 20 10g</t>
  </si>
  <si>
    <t xml:space="preserve">SOUL PO COMP FAC ULT MATE COR 50 10g</t>
  </si>
  <si>
    <t xml:space="preserve">SOUL PO COMP FAC ULT MATE COR 60 10g</t>
  </si>
  <si>
    <t xml:space="preserve">SOUL PO COMP FAC ULT MATE COR 90 10g</t>
  </si>
  <si>
    <t xml:space="preserve">SOUL PO COMP FAC ULT MATE COR 95 10g</t>
  </si>
  <si>
    <t xml:space="preserve">EUD K/M DES COL NUDE CARAMELO 50ml</t>
  </si>
  <si>
    <t xml:space="preserve">EUD K/M LOC DES HID CPO NUD/CARAM 100ml</t>
  </si>
  <si>
    <t xml:space="preserve">GLAM APONT DUPLO PRETO ABS</t>
  </si>
  <si>
    <t xml:space="preserve">VOLPE DES ANTIT AER 125ml/75g</t>
  </si>
  <si>
    <t xml:space="preserve">LYRA LOC DES HID CPO 150ml</t>
  </si>
  <si>
    <t xml:space="preserve">EUDORA EDP UNIQUE 75ml</t>
  </si>
  <si>
    <t xml:space="preserve">EUDORA GLAM SKIN PERFECTION PRIMER FACIAL GLOW 15ml</t>
  </si>
  <si>
    <t xml:space="preserve">GLAM BAT LIQ MAT BLR SG/PEL AVL/NT 5,5ml</t>
  </si>
  <si>
    <t xml:space="preserve">GLAM BAT LIQ MAT BLR SG/PEL MG/INS 5,5ml</t>
  </si>
  <si>
    <t xml:space="preserve">GLAM LAPIS RETR P/SOBRANC DEFIN PERF MED</t>
  </si>
  <si>
    <t xml:space="preserve">GLAM MASC CILIO VOL BIOTINA 5,2ml CADA</t>
  </si>
  <si>
    <t xml:space="preserve">GLAM ESMLT VINHO MAGNIFICO 7ml</t>
  </si>
  <si>
    <t xml:space="preserve">EUDORA SOUL KISS ME BATOM HIDRATANTE CASTANHO PASSARELA 3,7g</t>
  </si>
  <si>
    <t xml:space="preserve">EUDORA SOUL KISS ME BATOM HIDRATANTE BORDÔ LOOK DO DIA 3,7g</t>
  </si>
  <si>
    <t xml:space="preserve">EUDORA SOUL KISS ME BATOM MATTE MARROM TENDÊNCIA 3,7g</t>
  </si>
  <si>
    <t xml:space="preserve">EUDORA SOUL KISS ME BATOM MATTE VERMELHO PAPARAZZI 3,7g</t>
  </si>
  <si>
    <t xml:space="preserve">EUDORA SOUL KISS ME BATOM MATTE NUDE ESTILO 3,7g</t>
  </si>
  <si>
    <t xml:space="preserve">GLAM BAT LIQ DUO CLIN MAGENTA ENIGM 3,5g</t>
  </si>
  <si>
    <t xml:space="preserve">GLAM BAT LIQ DUO CLINIC VERM MAGNIF 3,5g</t>
  </si>
  <si>
    <t xml:space="preserve">GLAM BAT LIQ DUO/CLIN CAN SUBLIME 3,5g</t>
  </si>
  <si>
    <t xml:space="preserve">GLAM BAT LIQ DUO/CLIN ROS ESSENC 3,5g</t>
  </si>
  <si>
    <t xml:space="preserve">GLAM BAT LIQ DUO/CLIN MASCAVO IRRES 3,5g</t>
  </si>
  <si>
    <t xml:space="preserve">EUD SHW GEL CPO 2/1 EUD H AQUA 200g</t>
  </si>
  <si>
    <t xml:space="preserve">EUD H DES ANTIT AER 75g/125ml</t>
  </si>
  <si>
    <t xml:space="preserve">SOUL LAP P/SOBRANC MED/CLARO 1,1g</t>
  </si>
  <si>
    <t xml:space="preserve">SOUL LAP P/SOBRANC MEDIO ESCURO 1,1g</t>
  </si>
  <si>
    <t xml:space="preserve">GLAM KIT MINI PINCEIS 3UN</t>
  </si>
  <si>
    <t xml:space="preserve">SIAGE AMP CAP QUERAT LIQ REC/FIOS 60ml</t>
  </si>
  <si>
    <t xml:space="preserve">EUD NECESS QUADRADA ROXA PVC S/A</t>
  </si>
  <si>
    <t xml:space="preserve">EUDORA CAIXA P NAT/19</t>
  </si>
  <si>
    <t xml:space="preserve">INSTANCE DES COL 50ml</t>
  </si>
  <si>
    <t xml:space="preserve">GLAM OL SECANTE REG 10ml</t>
  </si>
  <si>
    <t xml:space="preserve">SOUL PO COMP FAC ULT MATE COR 80 10g</t>
  </si>
  <si>
    <t xml:space="preserve">SOUL PO COMP FAC ULT MATE COR 70 10g</t>
  </si>
  <si>
    <t xml:space="preserve">CARTAO NATAL EUDORA</t>
  </si>
  <si>
    <t xml:space="preserve">EUDORA GLAM SKIN PERFECTION BASE LÍQUIDA COR 60 30ml</t>
  </si>
  <si>
    <t xml:space="preserve">EUDORA GLAM SKIN PERFECTION BASE LÍQUIDA COR 65 30ml</t>
  </si>
  <si>
    <t xml:space="preserve">EUDORA GLAM SKIN PERFECTION BASE LÍQUIDA COR 70 30ml</t>
  </si>
  <si>
    <t xml:space="preserve">CHIC LOC DES HID CPO CHERIE 150ml</t>
  </si>
  <si>
    <t xml:space="preserve">CHIC DES COL CHERIE 95ml</t>
  </si>
  <si>
    <t xml:space="preserve">RUMMO DES COL EXPLORER 100ml</t>
  </si>
  <si>
    <t xml:space="preserve">SIAGE COND HAIR PLASTIA 200ml</t>
  </si>
  <si>
    <t xml:space="preserve">SIAGE SHAMP CAUT/FIO 250ml</t>
  </si>
  <si>
    <t xml:space="preserve">SIAGE COND CAUT/FIO 200ml</t>
  </si>
  <si>
    <t xml:space="preserve">SIAGE MASC CAP CAUT/FIOS 250g</t>
  </si>
  <si>
    <t xml:space="preserve">SIAGE SRUM CAP HOT THERAPY CAUT/FIO 60ml</t>
  </si>
  <si>
    <t xml:space="preserve">LA PIEL LOC DES HID CPO LOT/ORIENT 400ml</t>
  </si>
  <si>
    <t xml:space="preserve">LA PIEL LOC DES HID CPO AMBR DOUR 400ml</t>
  </si>
  <si>
    <t xml:space="preserve">LA PIEL LOC DES HID CPO TAMA/EGIP 400ml</t>
  </si>
  <si>
    <t xml:space="preserve">LA PIEL HIDRATANTE DESODORANTE CORPORAL ALGAS DO PACÍFICO 400ML</t>
  </si>
  <si>
    <t xml:space="preserve">LA PIEL LOC DES HID CPO CRIST/HIM 400ml</t>
  </si>
  <si>
    <t xml:space="preserve">LA PIEL D/COL SPR CP PER AMBR DOUR 200ml</t>
  </si>
  <si>
    <t xml:space="preserve">LA PIEL DES COL SPR CPO P CRIS/HIM 200ml</t>
  </si>
  <si>
    <t xml:space="preserve">LA PIEL SAB LIQ CPO LOT/ORIENTE 200ml</t>
  </si>
  <si>
    <t xml:space="preserve">LA PIEL SAB LIQ CPO AMBR DOUR 200ml</t>
  </si>
  <si>
    <t xml:space="preserve">LA PIEL GEL ESF CPO CRIST/HIMALAIA 200g</t>
  </si>
  <si>
    <t xml:space="preserve">LA PIEL CR HID MAO AMBR DOUR FPS15 50g</t>
  </si>
  <si>
    <t xml:space="preserve">LA PIEL CR HID MAO TAMA/EGIP FPS15 50g</t>
  </si>
  <si>
    <t xml:space="preserve">LA PIEL HIDRATANTE DE MÃOS ALGAS DO PACÍFICO FPS 15 50g</t>
  </si>
  <si>
    <t xml:space="preserve">SIAGE SHAMP NUTRI OL/POD 250ml</t>
  </si>
  <si>
    <t xml:space="preserve">SIAGE COND NUTRI OL/POD 200ml</t>
  </si>
  <si>
    <t xml:space="preserve">SIAGE MASC CAP NUTRI OL/POD 250g</t>
  </si>
  <si>
    <t xml:space="preserve">SIAGE ELIX OVER NUTRI OL/POD 150ml</t>
  </si>
  <si>
    <t xml:space="preserve">SIAGE OL CAP BIF NUTRI OL/POD 90ml</t>
  </si>
  <si>
    <t xml:space="preserve">NEO MASC FAC PEEL OFF DERMO ETG 50ml</t>
  </si>
  <si>
    <t xml:space="preserve">NEO CR HID FAC NOT BIORETINOL D/ETG 50g</t>
  </si>
  <si>
    <t xml:space="preserve">NEO PROT FAC FPS 50 DERMO ETG 50g</t>
  </si>
  <si>
    <t xml:space="preserve">NEO PROT FAC FPS 70 DERMO ETG 50g</t>
  </si>
  <si>
    <t xml:space="preserve">INSTANCE LOC DES HID CPO LEI/AVEL 400ml</t>
  </si>
  <si>
    <t xml:space="preserve">CLUB 6 DES COL VOYAGE 95ml</t>
  </si>
  <si>
    <t xml:space="preserve">CLUB 6 SHAMP LIMP CAP 250ml</t>
  </si>
  <si>
    <t xml:space="preserve">MAGNIFIC EDP 75ml</t>
  </si>
  <si>
    <t xml:space="preserve">MAGNIFIC LOC DES HID CPO 200g</t>
  </si>
  <si>
    <t xml:space="preserve">EUDORA GLAM SKIN PERFECTION BASE LÍQUIDA COR 75 30ml</t>
  </si>
  <si>
    <t xml:space="preserve">EUDORA GLAM SKIN PERFECTION BASE LÍQUIDA COR 80 30ml</t>
  </si>
  <si>
    <t xml:space="preserve">EUDORA GLAM SKIN PERFECTION BASE LÍQUIDA COR 85 30ml</t>
  </si>
  <si>
    <t xml:space="preserve">EUDORA GLAM SKIN PERFECTION BASE LÍQUIDA COR 90 30ml</t>
  </si>
  <si>
    <t xml:space="preserve">EUDORA GLAM SKIN PERFECTION BASE LÍQUIDA COR 95 30ml</t>
  </si>
  <si>
    <t xml:space="preserve">SECRETS BAT LIQ SKINNY MAT VIN/JASM 4ml</t>
  </si>
  <si>
    <t xml:space="preserve">SECRETS BAT LIQ SKINNY MAT VERM/HIB 4ml</t>
  </si>
  <si>
    <t xml:space="preserve">SECRETS BAT LIQ SKINNY MAT TERR/ORQ 4ml</t>
  </si>
  <si>
    <t xml:space="preserve">SECRETS BAT LIQ SKINNY MAT PINK/PEON 4ml</t>
  </si>
  <si>
    <t xml:space="preserve">SECRETS BAT LIQ SKINNY MAT ROSA/GARD 4ml</t>
  </si>
  <si>
    <t xml:space="preserve">SECRETS BASE LIQ HIDRA GLOW COR 00 30ml</t>
  </si>
  <si>
    <t xml:space="preserve">SECRETS BAS LIQ HD/GLOW COR 05 30ml</t>
  </si>
  <si>
    <t xml:space="preserve">SECRETS BAS LIQ HD/GLOW COR 10 30ml</t>
  </si>
  <si>
    <t xml:space="preserve">SECRETS BAS LIQ HD/GLOW COR 13 30ml</t>
  </si>
  <si>
    <t xml:space="preserve">SECRETS BAS LIQ HD/GLOW COR 25 30ml</t>
  </si>
  <si>
    <t xml:space="preserve">SECRETS BAS LIQ HD/GLOW COR 30 30ml</t>
  </si>
  <si>
    <t xml:space="preserve">SECRETS BAS LIQ HD/GLOW COR 35 30ml</t>
  </si>
  <si>
    <t xml:space="preserve">SECRETS BAS LIQ HD/GLOW COR 40 30ml</t>
  </si>
  <si>
    <t xml:space="preserve">SECRETS BAS LIQ HD/GLOW COR 45 30ml</t>
  </si>
  <si>
    <t xml:space="preserve">SECRETS BAS LIQ HD/GLOW COR 55 30ml</t>
  </si>
  <si>
    <t xml:space="preserve">SECRETS BAS LIQ HD/GLOW COR 65 30ml</t>
  </si>
  <si>
    <t xml:space="preserve">SECRETS BAS LIQ HD/GLOW COR 70 30ml</t>
  </si>
  <si>
    <t xml:space="preserve">SECRETS BAS LIQ HD/GLOW COR 75 30ml</t>
  </si>
  <si>
    <t xml:space="preserve">SECRETS BAS LIQ HD/GLOW COR 80 30ml</t>
  </si>
  <si>
    <t xml:space="preserve">SECRETS BAS LIQ HD/GLOW COR 90 30ml</t>
  </si>
  <si>
    <t xml:space="preserve">SECRETS PRIM FAC HD/BLUR 11g</t>
  </si>
  <si>
    <t xml:space="preserve">REF GLAM BAS LIQ SK/PERF COR 00 30ml</t>
  </si>
  <si>
    <t xml:space="preserve">REF GLAM BAS LIQ SK/PERF COR 05 30ml</t>
  </si>
  <si>
    <t xml:space="preserve">REF GLAM BAS LIQ SK/PERF COR 10 30ml</t>
  </si>
  <si>
    <t xml:space="preserve">REF GLAM BAS LIQ SK/PERF COR 15 30ml</t>
  </si>
  <si>
    <t xml:space="preserve">REF GLAM BAS LIQ SK/PERF COR 20 30ml</t>
  </si>
  <si>
    <t xml:space="preserve">REF GLAM BAS LIQ SK/PERF COR 25 30ml</t>
  </si>
  <si>
    <t xml:space="preserve">REF GLAM BAS LIQ SK/PERF COR 30 30ml</t>
  </si>
  <si>
    <t xml:space="preserve">REF GLAM BAS LIQ SK/PERF COR 35 30ml</t>
  </si>
  <si>
    <t xml:space="preserve">REF GLAM BAS LIQ SK/PERF COR 40 30ml</t>
  </si>
  <si>
    <t xml:space="preserve">REF GLAM BAS LIQ SK/PERF COR 45 30ml</t>
  </si>
  <si>
    <t xml:space="preserve">REF GLAM BAS LIQ SK/PERF COR 50 30ml</t>
  </si>
  <si>
    <t xml:space="preserve">REF GLAM BAS LIQ SK/PERF COR 55 30ml</t>
  </si>
  <si>
    <t xml:space="preserve">REF GLAM BAS LIQ SK/PERF COR 60 30ml</t>
  </si>
  <si>
    <t xml:space="preserve">REF GLAM BAS LIQ SK/PERF COR 65 30ml</t>
  </si>
  <si>
    <t xml:space="preserve">REF GLAM BAS LIQ SK/PERF COR 70 30ml</t>
  </si>
  <si>
    <t xml:space="preserve">REF GLAM BAS LIQ SK/PERF COR 75 30ml</t>
  </si>
  <si>
    <t xml:space="preserve">REF GLAM BAS LIQ SK/PERF COR 80 30ml</t>
  </si>
  <si>
    <t xml:space="preserve">REF GLAM BAS LIQ SK/PERF COR 85 30ml</t>
  </si>
  <si>
    <t xml:space="preserve">REF GLAM BAS LIQ SK/PERF COR 90 30ml</t>
  </si>
  <si>
    <t xml:space="preserve">REF GLAM BAS LIQ SK/PERF COR 95 30ml</t>
  </si>
  <si>
    <t xml:space="preserve">EUDORA CAIXINHA CREME MAOS INSTANCE</t>
  </si>
  <si>
    <t xml:space="preserve">EUD BRIN SOLIT CRIADO C/CRIST SWAROVSKI</t>
  </si>
  <si>
    <t xml:space="preserve">GLAM GLOSS LAB TREAT AVELA SUTIL 5,4ml</t>
  </si>
  <si>
    <t xml:space="preserve">GLAM GLOSS LAB TREAT ROSE NATURAL 5,4ml</t>
  </si>
  <si>
    <t xml:space="preserve">EUD KIDS COL ERA UMA VEZ 100ml</t>
  </si>
  <si>
    <t>EUDORAKIDS</t>
  </si>
  <si>
    <t xml:space="preserve">EUDORA KIDS SHAMPOO BRILHO DAS ESTRELAS 200ml</t>
  </si>
  <si>
    <t xml:space="preserve">EUD KIDS COL IMAGINACAO 100ml</t>
  </si>
  <si>
    <t xml:space="preserve">EUDORA KIDS GEL FIXADOR PODER CONGELANTE 100g</t>
  </si>
  <si>
    <t xml:space="preserve">EUDORA KIDS CONDICIONADOR MACIO FEITO NUVEM 200ml</t>
  </si>
  <si>
    <t xml:space="preserve">EUDORA PULSE DESODORANTE COLONIA 100ml</t>
  </si>
  <si>
    <t xml:space="preserve">CLUB 6 SHAMP CAB/CPO 200ml</t>
  </si>
  <si>
    <t xml:space="preserve">EUD ESPONJA MAQ FAC NIINA SECRETS PU</t>
  </si>
  <si>
    <t xml:space="preserve">EUD LUVA APLICADORA AUTOBR PES</t>
  </si>
  <si>
    <t xml:space="preserve">SECRETS BAS LIQ HD/GLOW COR 95 30ml</t>
  </si>
  <si>
    <t xml:space="preserve">SECRETS BAS LIQ HD/GLOW COR 100 30ml</t>
  </si>
  <si>
    <t xml:space="preserve">INTENTION FOR MAN DES COL 100ml</t>
  </si>
  <si>
    <t xml:space="preserve">EUDORA H DES COL ENERGY SAMPA 1 100ml</t>
  </si>
  <si>
    <t xml:space="preserve">DIVA ESPLÊNDIDA DESODORANTE COLONIA 100ml</t>
  </si>
  <si>
    <t xml:space="preserve">DIVA ESPLÊNDIDA LOCAO DESODORANTE HIDRATANTE CORPORAL 200ml</t>
  </si>
  <si>
    <t xml:space="preserve">DIVA DESODORANTE COLONIA 100ml</t>
  </si>
  <si>
    <t xml:space="preserve">DIVA DESODORANTE COLONIA NUIT 100ml</t>
  </si>
  <si>
    <t xml:space="preserve">DIVA LOCAO DESODORANTE HIDRATANTE CORPORAL 200ml</t>
  </si>
  <si>
    <t xml:space="preserve">DIVA LOCAO DESODORANTE HIDRATANTE CORPORAL NUIT 200ml</t>
  </si>
  <si>
    <t xml:space="preserve">LA VICTORIE EAU DE PARFUM INTENSE 75ml</t>
  </si>
  <si>
    <t xml:space="preserve">LA VICTORIE CREME DESODORANTE HIDRATANTE CORPORAL INTENSE 250g</t>
  </si>
  <si>
    <t xml:space="preserve">LA VICTORIE INTENSE SABONETE LIQUIDO CORPORAL 200ml</t>
  </si>
  <si>
    <t xml:space="preserve">GLAM BALM LAB NANO 3D INCOLOR 3g</t>
  </si>
  <si>
    <t xml:space="preserve">GLAM BAS PROT STCK SKIN PROT COR 05 8g</t>
  </si>
  <si>
    <t xml:space="preserve">GLAM BAS PROT STCK SKIN PROT COR 10 8g</t>
  </si>
  <si>
    <t xml:space="preserve">GLAM BAS PROT STCK SKIN PROT COR 15 8g</t>
  </si>
  <si>
    <t xml:space="preserve">GLAM BAS PROT STCK SKIN PROT COR 25 8g</t>
  </si>
  <si>
    <t xml:space="preserve">GLAM BAS PROT STCK SKIN PROT COR 35 8g</t>
  </si>
  <si>
    <t xml:space="preserve">GLAM BAS PROT STCK SKIN PROT COR 50 8g</t>
  </si>
  <si>
    <t xml:space="preserve">GLAM ESMLT CREM PINK INCONFUNDIVEL 7ml</t>
  </si>
  <si>
    <t xml:space="preserve">GLAM ESMALTE CREM LARANJA VERAO 7ml</t>
  </si>
  <si>
    <t xml:space="preserve">GLAM BAS COMP SK/PERF COR 70 7g</t>
  </si>
  <si>
    <t xml:space="preserve">SOUL BAT DESCOMPLIC ROSA VERSATIL 4g</t>
  </si>
  <si>
    <t xml:space="preserve">SOUL BAT DESCOMPLIC VERM DESCOMPLIC 4g</t>
  </si>
  <si>
    <t xml:space="preserve">SOUL BAT DESCOMPLIC CARAMELO SUTIL 4g</t>
  </si>
  <si>
    <t xml:space="preserve">SOUL BAT DESCOMPLIC VINHO AUTENTICO 4g</t>
  </si>
  <si>
    <t xml:space="preserve">EUD KIDS PALETTE MULTIF 7g</t>
  </si>
  <si>
    <t xml:space="preserve">SECRETS ILUMINADOR POWER GLOW ROSÉ 10g</t>
  </si>
  <si>
    <t xml:space="preserve">SECRETS BRUMA NUTRI FRESH 110ml</t>
  </si>
  <si>
    <t xml:space="preserve">SECRETS MASCARA CILIOS SUPER UP 8g</t>
  </si>
  <si>
    <t xml:space="preserve">SECRETS BLUSH &amp; GO AMORA SECRETO 5g</t>
  </si>
  <si>
    <t xml:space="preserve">SECRETS BLUSH &amp; GO PÊSSEGO SECRETO 5g</t>
  </si>
  <si>
    <t xml:space="preserve">SIAGE NECESS EVA/PES S/ALC</t>
  </si>
  <si>
    <t xml:space="preserve">EUDORA MOCHILA INFANTIL</t>
  </si>
  <si>
    <t xml:space="preserve">SOUL ESPNJ FAC MAQUIAGEM</t>
  </si>
  <si>
    <t xml:space="preserve">EUDORA TOALHA BABY COM CAPUZ</t>
  </si>
  <si>
    <t xml:space="preserve">LA PIEL SAB LIQ ESF CPO TAMA/EGIP 200ml</t>
  </si>
  <si>
    <t xml:space="preserve">LA PIEL SRUM CONC CPO BSTR BIOCOLAG 25ml</t>
  </si>
  <si>
    <t xml:space="preserve">LA PIEL DES COL SPR CPO PERF LT/OR 200ml</t>
  </si>
  <si>
    <t xml:space="preserve">LA PIEL MANTG DES HID CPO AMBR DOUR 250g</t>
  </si>
  <si>
    <t xml:space="preserve">LA PIEL OL DES HID CPO LOT/ORIENTE 200ml</t>
  </si>
  <si>
    <t xml:space="preserve">LA PIEL D/COL SPR CP PERF TAM/EGIP 200ml</t>
  </si>
  <si>
    <t xml:space="preserve">LA PIEL ÓLEO HIDRATANTE DESODORANTE CORPORAL ALGAS DO PACIFICO 200ML</t>
  </si>
  <si>
    <t xml:space="preserve">LA PIEL CREME HIDRATANTE COLO E PESCOÇO ALGAS DO PACIFICO 200 G</t>
  </si>
  <si>
    <t xml:space="preserve">LA PIEL CR HID MAO FPS15 CRIST/HIMAL 50g</t>
  </si>
  <si>
    <t xml:space="preserve">INSTANCE CR HID MAO LEI/AVEL 30g</t>
  </si>
  <si>
    <t xml:space="preserve">IMPRESSION EDP AUDAZ 100ml</t>
  </si>
  <si>
    <t xml:space="preserve">EUD DES COL KIS ME NOW 50ml</t>
  </si>
  <si>
    <t xml:space="preserve">EUD K/M DES COL R/MARCAN 50ml V2</t>
  </si>
  <si>
    <t xml:space="preserve">EUD LOC PERF DES CPO K/M R/MARC 100ml V2</t>
  </si>
  <si>
    <t xml:space="preserve">SIAGE NECESS METALICA S/ALC</t>
  </si>
  <si>
    <t xml:space="preserve">SOUL MASC CILIO TRB 10g</t>
  </si>
  <si>
    <t xml:space="preserve">INSTANCE SAB LIQ MAO ANTBAC FR/VER 250ml</t>
  </si>
  <si>
    <t xml:space="preserve">SOUL BAT LIQ EF NAT T/MOOD ROS EN 5,5ml</t>
  </si>
  <si>
    <t xml:space="preserve">SOUL BAT LIQ EF NAT T/MOOD VERM H 5,5ml</t>
  </si>
  <si>
    <t xml:space="preserve">SOUL BAT LIQ EF NAT T/MOOD UVA REL 5,5ml</t>
  </si>
  <si>
    <t xml:space="preserve">EUDORA H BALM POS BARBA 75g</t>
  </si>
  <si>
    <t xml:space="preserve">SOUL BAS LIQ ULT MATE COR 90 25ml</t>
  </si>
  <si>
    <t xml:space="preserve">SOUL BAS LIQ ULT/MATE COR 100 25ML</t>
  </si>
  <si>
    <t xml:space="preserve">INSTANCE CREM HID MAO ANTBAC FR/VERM 30g</t>
  </si>
  <si>
    <t xml:space="preserve">GLAM ESMLT AMORA INTENSO 7ml</t>
  </si>
  <si>
    <t xml:space="preserve">GLAM ESMLT NUDE ATEMPORAL 7ml</t>
  </si>
  <si>
    <t xml:space="preserve">SECRETS ILUMINADOR POWER GLOW GOLD 10g</t>
  </si>
  <si>
    <t xml:space="preserve">EUDORA H DESODORANTE COLONIA 100ml VERSAO 2</t>
  </si>
  <si>
    <t xml:space="preserve">EUDORA H DESODORANTE COLONIA ENERGY 100ml VERSAO 2</t>
  </si>
  <si>
    <t xml:space="preserve">EUDORA H DESODORANTE COLONIA READY 100ml VERSÃO 2</t>
  </si>
  <si>
    <t xml:space="preserve">EUDORA H DESODORANTE COLONIA ACQUA 100ml VERSAO 3</t>
  </si>
  <si>
    <t xml:space="preserve">EUD DES COL VELV AUTHENTIC 100ml</t>
  </si>
  <si>
    <t xml:space="preserve">EUD LOC DES HID CPO VELV AUTHENTIC 150ml</t>
  </si>
  <si>
    <t xml:space="preserve">EUD DES COL VELV CRIST 100ml</t>
  </si>
  <si>
    <t xml:space="preserve">EUD DES COL VELV DIVINE 100ml</t>
  </si>
  <si>
    <t xml:space="preserve">EUD LOC DES HID CPO VELV CRIST 150ml</t>
  </si>
  <si>
    <t xml:space="preserve">EUD LOC DES HID CPO VELV DIVINE 150ml</t>
  </si>
  <si>
    <t xml:space="preserve">CLUB 6 DESODORANTE COLONIA 95ml V4</t>
  </si>
  <si>
    <t xml:space="preserve">CLUB 6 DESODORANTE COLONIA VOYAGE 95ml v3</t>
  </si>
  <si>
    <t xml:space="preserve">CLUB 6 DESODORANTE COLONIA CASSINO 95ml V3</t>
  </si>
  <si>
    <t xml:space="preserve">CLUB 6 DESODORANTE COLÔNIA EXCLUSIVE 95ml</t>
  </si>
  <si>
    <t xml:space="preserve">IMENSI LOC DES HID CPO ALIVE 200ml</t>
  </si>
  <si>
    <t xml:space="preserve">IMENSI DES COL ALIVE 100ml</t>
  </si>
  <si>
    <t xml:space="preserve">EUD DES COL VELV EXCL 100ml</t>
  </si>
  <si>
    <t xml:space="preserve">EUD SAB LIQ CPO VELVET EXCLUSIVE 200ml</t>
  </si>
  <si>
    <t xml:space="preserve">SIAGE NECESS PES PRETA</t>
  </si>
  <si>
    <t xml:space="preserve">EUD MAKE ESPONJA MAQ PU</t>
  </si>
  <si>
    <t xml:space="preserve">EUD MAKE BAT LIQ DUO CLIN CAN/SBLM 3,5g</t>
  </si>
  <si>
    <t xml:space="preserve">EUD MAKE BAT LIQ DUO CLIN MAG/ENIG 3,5g</t>
  </si>
  <si>
    <t xml:space="preserve">EUD MAKE BAT LIQ DUO CLIN MASCV/IRR 3,5g</t>
  </si>
  <si>
    <t xml:space="preserve">EUD MAKE BAT LIQ DUO CLIN ROSAD/ESS 3,5g</t>
  </si>
  <si>
    <t xml:space="preserve">EUD MAKE BAT LIQ DUO CLIN VERM/MAGN 3,5g</t>
  </si>
  <si>
    <t xml:space="preserve">EUD MAKE BAT LIQ TINT K/M VERM/HAP 5,5ml</t>
  </si>
  <si>
    <t xml:space="preserve">EUD MAKE BAT LIQ TINT K/M ROSAD/EN 5,5ml</t>
  </si>
  <si>
    <t xml:space="preserve">EUD MAKE DELIN LIQ TRB PRET ESSENC 2,5ml</t>
  </si>
  <si>
    <t xml:space="preserve">EUD MAKE LAP RETR P/OLH TURBO PRETO 0,3g</t>
  </si>
  <si>
    <t xml:space="preserve">EUD MAKE LAPIS RETR OLH TRB MARROM 0,3g</t>
  </si>
  <si>
    <t xml:space="preserve">EUD MAKE GLOS LAB K/M INCOLOR 5,2ml</t>
  </si>
  <si>
    <t xml:space="preserve">EUD MAKE GLOS LAB K/M ROS/HOLOFOTE 5,2ml</t>
  </si>
  <si>
    <t xml:space="preserve">EUD MAKE BAT LIQ TINT K/M UVA/REL 5,5ml</t>
  </si>
  <si>
    <t xml:space="preserve">EUD MAKE GLOS LAB K/M PESS/FLASH 5,2ml</t>
  </si>
  <si>
    <t xml:space="preserve">EUD CREM DES HID CPO ROUGE V3 250g</t>
  </si>
  <si>
    <t xml:space="preserve">EUD MAKE MASC CILIOS PRV/AG FOREVER 8g</t>
  </si>
  <si>
    <t xml:space="preserve">EUD MAKE MASC SOBRANC FOREVER INCOLOR 4g</t>
  </si>
  <si>
    <t xml:space="preserve">EUD MAKE DELIN LIQ FOREVER PRETO 3ml</t>
  </si>
  <si>
    <t xml:space="preserve">EUD MAK BAT LIQ MAT TIN FOR VERM/RAD 4ml</t>
  </si>
  <si>
    <t xml:space="preserve">EUD MAK BAT LIQ MAT TIN FOR ROS/VINT 4ml</t>
  </si>
  <si>
    <t xml:space="preserve">EUD MAK BAT LIQ MAT TIN FOR NUD/ICON 4ml</t>
  </si>
  <si>
    <t xml:space="preserve">EUD MAK BAT LIQ MAT TIN FOR BORD/INT 4ml</t>
  </si>
  <si>
    <t xml:space="preserve">EUD MAK BAT LIQ MAT TIN FOR VIN/SBLM 4ml</t>
  </si>
  <si>
    <t xml:space="preserve">EUD MAK BAT LIQ MAT TIN FOR MALV/ABS 4ml</t>
  </si>
  <si>
    <t xml:space="preserve">EUD MAK BAT LIQ MAT TIN FOR MARR/POD 4ml</t>
  </si>
  <si>
    <t xml:space="preserve">EUD MAKE BAT LIQ GLIT K/M NUDE 5,2ml</t>
  </si>
  <si>
    <t xml:space="preserve">EUD MAKE BAT LIQ GLIT K/M VERMELHO 5,2ml</t>
  </si>
  <si>
    <t xml:space="preserve">EUD MAKE BAT LIQ GLIT K/M ROSA 5,2ml</t>
  </si>
  <si>
    <t xml:space="preserve">EUD NECESS COLLECTION 2 DOURADO PU</t>
  </si>
  <si>
    <t xml:space="preserve">EUD NECESS COLLECTION 3 DOURADO PU</t>
  </si>
  <si>
    <t xml:space="preserve">EUD KIT PINCEIS DOURADOS</t>
  </si>
  <si>
    <t xml:space="preserve">EUD MOUSSE BANHO ROUGE 150g</t>
  </si>
  <si>
    <t xml:space="preserve">INSTANCE GELEIA ESF CPO FR/VERM 180g</t>
  </si>
  <si>
    <t xml:space="preserve">INSTANCE SAB LIQ INT FR/VERM RPCK 180ml</t>
  </si>
  <si>
    <t xml:space="preserve">INSTANCE SAB BARR FR/VERM RPCK 4x80g</t>
  </si>
  <si>
    <t xml:space="preserve">INSTANCE MNTG/P U/H DES CP GEL/PIST 150g</t>
  </si>
  <si>
    <t xml:space="preserve">INSTANCE SAB BARR GELATOS SORTIDO 4x80g</t>
  </si>
  <si>
    <t xml:space="preserve">SIAGE OL CAP RECONSTROI/FIOS 60ml</t>
  </si>
  <si>
    <t xml:space="preserve">INSTANCE DES ANTIT CREM BAUNILHA 80g</t>
  </si>
  <si>
    <t xml:space="preserve">INSTANCE DES ANT ROLL FR/VERM V2 55ml</t>
  </si>
  <si>
    <t xml:space="preserve">INSTANCE DES ANTIT AER F/VER V2 150ml</t>
  </si>
  <si>
    <t xml:space="preserve">INSTANCE DES ANTIT CREM KARITE V2 80g</t>
  </si>
  <si>
    <t xml:space="preserve">INSTANCE D/C BDY SPLSH GEL/PISTAC 200ml</t>
  </si>
  <si>
    <t xml:space="preserve">DIVA CREM HID MAOS 50g</t>
  </si>
  <si>
    <t xml:space="preserve">EUD CREM DES HID CPO GOLDEN V2 250g</t>
  </si>
  <si>
    <t xml:space="preserve">EUD CREM DES HID CPO ROSE V2 250g</t>
  </si>
  <si>
    <t xml:space="preserve">SIAGE OL CAP NUTRI ROSE 60ml</t>
  </si>
  <si>
    <t xml:space="preserve">KIT SIAGE HAIR PLASTIA MINI</t>
  </si>
  <si>
    <t xml:space="preserve">INSTANCE LOC DES HID CPO FR/VERM 180ml</t>
  </si>
  <si>
    <t xml:space="preserve">INSTANCE LOC DES HID CPO OBS/BAUN 180ml</t>
  </si>
  <si>
    <t xml:space="preserve">INSTANCE CR HID MAOS OBS/BAUN 30g</t>
  </si>
  <si>
    <t xml:space="preserve">INSTANCE SAB LIQ CPO OBS/BAUN 400ml</t>
  </si>
  <si>
    <t xml:space="preserve">INSTANCE SAB LIQ MAOS FR/VERM RPCK 400ml</t>
  </si>
  <si>
    <t xml:space="preserve">LYRA DES COL HAP 75ml</t>
  </si>
  <si>
    <t xml:space="preserve">LYRA DES COL V2 75ml</t>
  </si>
  <si>
    <t xml:space="preserve">EUD MAKE GLOS LAB K/M GEL/PISTACCH 5,2ml</t>
  </si>
  <si>
    <t xml:space="preserve">EUD MAKE GLOS LAB K/M GEL/VAN/CAR 5,2ml</t>
  </si>
  <si>
    <t xml:space="preserve">INSTANCE D/COL SPR PERF OBS/BAU V3 200ml</t>
  </si>
  <si>
    <t xml:space="preserve">INSTANCE D/COL SPR PERF KARITE V3 200ml</t>
  </si>
  <si>
    <t xml:space="preserve">EUD NECESS MINI PU NAT/25</t>
  </si>
  <si>
    <t xml:space="preserve">INSTANC CR DES HID CP GEL PISTACCH 400ml</t>
  </si>
  <si>
    <t xml:space="preserve">INSTANC CR DES HID CP GEL VAN/CAR 400ml</t>
  </si>
  <si>
    <t xml:space="preserve">INSTANCE SAB CALDA GELAT VAN/CARAM 180ml</t>
  </si>
  <si>
    <t xml:space="preserve">N/DERMO PROT SOL FAC FPS70 DEF COR 1 40g</t>
  </si>
  <si>
    <t xml:space="preserve">N/DERMO PROT SOL FAC FPS70 DEF COR 2 40g</t>
  </si>
  <si>
    <t xml:space="preserve">N/DERMO PROT SOL FAC FPS70 DEF COR 3 40g</t>
  </si>
  <si>
    <t xml:space="preserve">N/DERMO PROT SOL FAC FPS70 DEF COR 4 40g</t>
  </si>
  <si>
    <t xml:space="preserve">NIINA LOÇÃO ILUMINADORA 100ml</t>
  </si>
  <si>
    <t xml:space="preserve">Kit Presente Edp Rouge (2 itens)</t>
  </si>
  <si>
    <t xml:space="preserve">Kit Presente Imensi (2 itens)</t>
  </si>
  <si>
    <t xml:space="preserve">Kit Presente Instance Karité (3 itens)</t>
  </si>
  <si>
    <t xml:space="preserve">INSTANCE SAB BARR MARACUJA RPCK 4x80g</t>
  </si>
  <si>
    <t xml:space="preserve">INSTANCE OLEO BIF CPO ROSAS 200ml</t>
  </si>
  <si>
    <t xml:space="preserve">INSTANCE CR HID MAOS ROSAS 30g</t>
  </si>
  <si>
    <t xml:space="preserve">INSTANCE CR HID MAOS CER/AMEND RPCK 30g</t>
  </si>
  <si>
    <t xml:space="preserve">INSTANCE SAB VEGT BARR PERF ROSAS 4x80g</t>
  </si>
  <si>
    <t xml:space="preserve">KIT SACOLA M EUDORA UNIT NATAL 2025</t>
  </si>
  <si>
    <t xml:space="preserve">EUD DES COL VELVET SENSUAL INTENSE 100ml</t>
  </si>
  <si>
    <t xml:space="preserve">Kit Presente Diva Travel Size (4 itens)</t>
  </si>
  <si>
    <t xml:space="preserve">Kit Presente Kiss Me Rosa Marcante (2 itens)</t>
  </si>
  <si>
    <t xml:space="preserve">Kit Presente Make Soul (2 itens)</t>
  </si>
  <si>
    <t xml:space="preserve">ESTJ INSTANCE BAUNILHA NAT/25</t>
  </si>
  <si>
    <t xml:space="preserve">Kit Presente Body Spray Eudora (2 itens)</t>
  </si>
  <si>
    <t xml:space="preserve">Kit Presente Body Spray Club 6 (2 itens)</t>
  </si>
  <si>
    <t xml:space="preserve">EUD MAKE BAT LIQ CR METALS ROS TRC 2,5ml</t>
  </si>
  <si>
    <t xml:space="preserve">EUD MAKE ILUM FAC COMP METALS ROSE 4,5g</t>
  </si>
  <si>
    <t xml:space="preserve">INSTANCE LOC DES H CP MARAC RPCK 400ml</t>
  </si>
  <si>
    <t xml:space="preserve">REF INSTANC LOC D H CPO MARAC RPCK 350ml</t>
  </si>
  <si>
    <t xml:space="preserve">INSTANCE LOC DES HID CPO ROSAS 400ml</t>
  </si>
  <si>
    <t xml:space="preserve">REF INSTANC LOC DES HID CPO ROSAS 350ml</t>
  </si>
  <si>
    <t xml:space="preserve">INSTANCE D/C BDY SPLSH MARACUJA V2 200ml</t>
  </si>
  <si>
    <t xml:space="preserve">INSTANCE D/C BDY SPLSH AMEIX/PR V3 200ml</t>
  </si>
  <si>
    <t xml:space="preserve">EUD MAKE BAT LIQ CR MET/ROS MALV/R 2,5ml</t>
  </si>
  <si>
    <t xml:space="preserve">EUD MAKE PLT MULT METALS ROSE CLUTCH 10g</t>
  </si>
  <si>
    <t xml:space="preserve">EUD MAKE PRIMER FAC LIQ METALS ROSE 34ml</t>
  </si>
  <si>
    <t xml:space="preserve">NEO DERMO CR ANT FAC 30 PRO AGE V2 50g</t>
  </si>
  <si>
    <t xml:space="preserve">EUD MAKE MASC/CILIO TURBO 10g</t>
  </si>
  <si>
    <t xml:space="preserve">INSTANCE SAB BARRA KARITE RPCK 4x80g</t>
  </si>
  <si>
    <t xml:space="preserve">INSTANC OL BIF D H CPO CER/AM RPCK 200ml</t>
  </si>
  <si>
    <t xml:space="preserve">INSTANCE SAB BARR CER/AMEND RPCK 4x80g</t>
  </si>
  <si>
    <t xml:space="preserve">INSTANCE CR HID MAOS FR/VERM V2 30g</t>
  </si>
  <si>
    <t xml:space="preserve">INSTANCE CR HID MAOS KARITE RPCK 30g</t>
  </si>
  <si>
    <t xml:space="preserve">INSTANCE SAB BARR AMEIXA/PRALINE 4x80g</t>
  </si>
  <si>
    <t xml:space="preserve">INSTANCE CR HID MAOS AMEI/PRAL RPCK 30g</t>
  </si>
  <si>
    <t xml:space="preserve">NIINA SCRT PLT SOMBRAS SHINE 5,4g</t>
  </si>
  <si>
    <t xml:space="preserve">INSTANCE CALDA BNH AMEIX/PRAL RPKC 180ml</t>
  </si>
  <si>
    <t xml:space="preserve">ESTJ DIVA ESPLENDIDA NAT/25</t>
  </si>
  <si>
    <t xml:space="preserve">ESTJ EUD KISS ME DELICIOUS NAT/25</t>
  </si>
  <si>
    <t xml:space="preserve">EUD LOC DES CPO ILUM K/M DELICIOUS 100ml</t>
  </si>
  <si>
    <t xml:space="preserve">EUD MAKE MASC/CILIO TURBO VOLUMACO 10g</t>
  </si>
  <si>
    <t xml:space="preserve">INSTANCE SAB LIQ MAOS KARITE RPCK 400ml</t>
  </si>
  <si>
    <t xml:space="preserve">NIINA SCRT NECESS PUFFER PINK PU</t>
  </si>
  <si>
    <t xml:space="preserve">INSTANCE SAB BARRA SORTIDO 4x80g</t>
  </si>
  <si>
    <t xml:space="preserve">MAGNIFIC EDP AMOST CONVENC 10ml</t>
  </si>
  <si>
    <t xml:space="preserve">SIAGE MASC CAP RECONS CRONOG 8x60ml CX</t>
  </si>
  <si>
    <t xml:space="preserve">SIAGE MASC CAP HIDRAT CRONOG 8x60ml CX</t>
  </si>
  <si>
    <t xml:space="preserve">SIAGE MASC CAP NUTR CRONOG 8x60ml CX</t>
  </si>
  <si>
    <t xml:space="preserve">VOLPE DES ANTIT AER V2 125ml/75g</t>
  </si>
  <si>
    <t xml:space="preserve">LYRA DES COL JOY CONV 10ml</t>
  </si>
  <si>
    <t xml:space="preserve">PULSE DES COL V2 100ml</t>
  </si>
  <si>
    <t xml:space="preserve">EUD MAKE LAP SOBRANC TURBO CLARO 1,1g</t>
  </si>
  <si>
    <t xml:space="preserve">EUD MAKE LAP SOBRANC TURBO MEDIO 1,1g</t>
  </si>
  <si>
    <t xml:space="preserve">EUDORA MAKE BASE LIQUIDA CONTROL SKIN PERFECTION 100F 30ml</t>
  </si>
  <si>
    <t xml:space="preserve">EUDORA MAKE BASE LIQUIDA CONTROL SKIN PERFECTION 120N 30ml</t>
  </si>
  <si>
    <t xml:space="preserve">EUDORA MAKE BASE LIQUIDA CONTROL SKIN PERFECTION 288Q 30ml</t>
  </si>
  <si>
    <t xml:space="preserve">EUDORA MAKE BASE LIQUIDA CONTROL SKIN PERFECTION 140Q 30ml</t>
  </si>
  <si>
    <t xml:space="preserve">EUDORA MAKE BASE LIQUIDA CONTROL SKIN PERFECTION 170Q 30ml</t>
  </si>
  <si>
    <t xml:space="preserve">EUDORA MAKE BASE LIQUIDA CONTROL SKIN PERFECTION 185F 30ml</t>
  </si>
  <si>
    <t xml:space="preserve">EUDORA MAKE BASE LIQUIDA CONTROL SKIN PERFECTION 200Q 30ml</t>
  </si>
  <si>
    <t xml:space="preserve">EUDORA MAKE BASE LIQUIDA CONTROL SKIN PERFECTION 210Q 30ml</t>
  </si>
  <si>
    <t xml:space="preserve">EUDORA MAKE BASE LIQUIDA CONTROL SKIN PERFECTION 215N 30ml</t>
  </si>
  <si>
    <t xml:space="preserve">EUDORA MAKE BASE LIQUIDA CONTROL SKIN PERFECTION 225Q 30ml</t>
  </si>
  <si>
    <t xml:space="preserve">EUDORA MAKE BASE LIQUIDA CONTROL SKIN PERFECTION 235N 30ml</t>
  </si>
  <si>
    <t xml:space="preserve">EUDORA MAKE BASE LIQUIDA CONTROL SKIN PERFECTION 250Q 30ml</t>
  </si>
  <si>
    <t xml:space="preserve">EUDORA MAKE BASE LIQUIDA CONTROL SKIN PERFECTION 260N 30ml</t>
  </si>
  <si>
    <t xml:space="preserve">EUDORA MAKE BASE LIQUIDA CONTROL SKIN PERFECTION 270Q 30ml</t>
  </si>
  <si>
    <t xml:space="preserve">EUDORA MAKE BASE LIQUIDA CONTROL SKIN PERFECTION 275N 30ml</t>
  </si>
  <si>
    <t xml:space="preserve">EUDORA H ESPUM P/BARB V3 200ml</t>
  </si>
  <si>
    <t xml:space="preserve">EUDORA MÁSCARA DE CÍLIOS BOMB ALONGAMENTO CHERRY VINHO 10g</t>
  </si>
  <si>
    <t xml:space="preserve">INSTANCE CHÁ VERDE&amp;ROMÃ DESODORANTE ANTITRANSPIRANTE ROLL ON, 55ml</t>
  </si>
  <si>
    <t xml:space="preserve">CLUB 6 DES COL VOYAGE V3 95ml</t>
  </si>
  <si>
    <t xml:space="preserve">CLUB 6 DES COL V4 95ml</t>
  </si>
  <si>
    <t xml:space="preserve">CLUB 6 DES COL INTENSO V3 95ml</t>
  </si>
  <si>
    <t xml:space="preserve">CLUB 6 DES COL FEVER V2 95ml</t>
  </si>
  <si>
    <t xml:space="preserve">CLUB 6 DES COL CASSINO V4 95ml</t>
  </si>
  <si>
    <t xml:space="preserve">CLUB 6 DES COL EXCLUSIVE V3 95ml</t>
  </si>
  <si>
    <t xml:space="preserve">PULSE DES COL ACTION V2 100ml</t>
  </si>
  <si>
    <t xml:space="preserve">PULSE DES COL BOOST V2 100ml</t>
  </si>
  <si>
    <t xml:space="preserve">VELVET CONFIDENT DESODORANTE COLÔNIA VERSAO 2, 100ml</t>
  </si>
  <si>
    <t xml:space="preserve">VELVET SENSUAL DESODORANTE COLÔNIA V2, 100ml</t>
  </si>
  <si>
    <t xml:space="preserve">EUDORA MAKE BASE LIQUIDA CONTROL SKIN PERFECTION 300Q 30ml</t>
  </si>
  <si>
    <t xml:space="preserve">EUDORA MAKE BASE LIQUIDA CONTROL SKIN PERFECTION 320Q 30ml</t>
  </si>
  <si>
    <t xml:space="preserve">EUDORA MAKE BASE LIQUIDA CONTROL SKIN PERFECTION 325F 30ml</t>
  </si>
  <si>
    <t xml:space="preserve">EUDORA MAKE BASE LIQUIDA CONTROL SKIN PERFECTION 335F 30ml</t>
  </si>
  <si>
    <t xml:space="preserve">EUDORA MAKE BASE LIQUIDA CONTROL SKIN PERFECTION 345F 30ml</t>
  </si>
  <si>
    <t xml:space="preserve">DIVA LOC DES HID CPO V3 200ml</t>
  </si>
  <si>
    <t xml:space="preserve">SIAGE MASC CAP NUTRI ROSE V4 250g</t>
  </si>
  <si>
    <t xml:space="preserve">EUDORA NIINA SECRETS LIP OIL SHINE FLOWERS ROSA SUBLIME 7ML</t>
  </si>
  <si>
    <t xml:space="preserve">EUDORA NIINA SECRETS LIP OIL SHINE FLOWERS ROSA MAGNÍFICA 7ML</t>
  </si>
  <si>
    <t xml:space="preserve">EUDORA NIINA SECRETS LIP OIL SHINE FLOWERS ROSA ETERNA 7ML</t>
  </si>
  <si>
    <t xml:space="preserve">EUDORA MAKE BATOM LÍQUIDO MATTE SUPREME COR NUDE 1 4,0ml</t>
  </si>
  <si>
    <t xml:space="preserve">EUDORA MAKE BATOM LÍQUIDO MATTE SUPREME COR NUDE 2 4,0ml</t>
  </si>
  <si>
    <t xml:space="preserve">EUDORA MAKE BATOM LÍQUIDO MATTE SUPREME COR NUDE 3 4,0ml</t>
  </si>
  <si>
    <t xml:space="preserve">EUDORA MAKE BATOM LÍQUIDO MATTE SUPREME COR NUDE 4 4,0ml</t>
  </si>
  <si>
    <t xml:space="preserve">EUDORA MAKE BATOM LÍQUIDO MATTE SUPREME COR NUDE 5 4,0ml</t>
  </si>
  <si>
    <t xml:space="preserve">EUDORA MAKE BATOM LÍQUIDO MATTE SUPREME COR NUDE 6 4,0ml</t>
  </si>
  <si>
    <t xml:space="preserve">KIT TAG VD REVEND EUD INSTIT 2025 C/20</t>
  </si>
  <si>
    <t xml:space="preserve">QDB BAS AQUA HIDRATANTE COR 01 F 30ml</t>
  </si>
  <si>
    <t>QDB</t>
  </si>
  <si>
    <t xml:space="preserve">QDB BAS AQUA HIDRATANTE COR 01 Q 30ml</t>
  </si>
  <si>
    <t xml:space="preserve">QDB BAS AQUA HIDRATANTE COR 02 Q30ml</t>
  </si>
  <si>
    <t xml:space="preserve">QDB BAS AQUA HIDRATANTE COR 03 F 30ml</t>
  </si>
  <si>
    <t xml:space="preserve">QDB BAS AQUA HIDRATANTE COR 03 Q 30ml</t>
  </si>
  <si>
    <t xml:space="preserve">QDB BAS AQUA HIDRATANTE COR 04 F 30ml</t>
  </si>
  <si>
    <t xml:space="preserve">QDB BAS AQUA HIDRATANTE COR 04 Q 30ml</t>
  </si>
  <si>
    <t xml:space="preserve">QDB BAS AQUA HIDRATANTE COR 06 N 30ml</t>
  </si>
  <si>
    <t xml:space="preserve">QDB BAS AQUA HIDRATANTE COR 06 Q 30ml</t>
  </si>
  <si>
    <t xml:space="preserve">QDB BAS AQUA HIDRATANTE COR 07 N 30ml</t>
  </si>
  <si>
    <t xml:space="preserve">QDB BAS AQUA HIDRATANTE COR 07 Q 30ml</t>
  </si>
  <si>
    <t xml:space="preserve">QDB BAS AQUA HIDRATANTE COR 12 Q 30ml</t>
  </si>
  <si>
    <t xml:space="preserve">QUEM DISSE BERENICE CORRETIVO LIQUIDO LONGA DURAÇÃO COR 1 4ML</t>
  </si>
  <si>
    <t xml:space="preserve">QUEM DISSE BERENICE CORRETIVO LIQUIDO LONGA DURAÇÃO COR 10 4ML</t>
  </si>
  <si>
    <t xml:space="preserve">QUEM DISSE BERENICE CORRETIVO LIQUIDO LONGA DURAÇÃO COR 11 4ML</t>
  </si>
  <si>
    <t xml:space="preserve">QUEM DISSE BERENICE CORRETIVO LIQUIDO LONGA DURAÇÃO COR 12 4ML</t>
  </si>
  <si>
    <t xml:space="preserve">QUEM DISSE BERENICE CORRETIVO LIQUIDO LONGA DURAÇÃO COR 3 4ML</t>
  </si>
  <si>
    <t xml:space="preserve">QUEM DISSE BERENICE CORRETIVO LIQUIDO LONGA DURAÇÃO COR 4 4ML</t>
  </si>
  <si>
    <t xml:space="preserve">QUEM DISSE BERENICE CORRETIVO LIQUIDO LONGA DURAÇÃO COR 5 4ML</t>
  </si>
  <si>
    <t xml:space="preserve">QUEM DISSE BERENICE CORRETIVO LIQUIDO LONGA DURAÇÃO COR 6 4ML</t>
  </si>
  <si>
    <t xml:space="preserve">QUEM DISSE BERENICE CORRETIVO LIQUIDO LONGA DURAÇÃO COR 7 4ML</t>
  </si>
  <si>
    <t xml:space="preserve">QUEM DISSE BERENICE CORRETIVO LIQUIDO LONGA DURAÇÃO COR 8 4ML</t>
  </si>
  <si>
    <t xml:space="preserve">QUEM DISSE BERENICE CORRETIVO LIQUIDO LONGA DURAÇÃO COR 9 4ML</t>
  </si>
  <si>
    <t xml:space="preserve">QDB CORRET COLOR VERDE 3,5g RPCK</t>
  </si>
  <si>
    <t xml:space="preserve">QDB CORRET COLOR SALMAO 3,5g RPCK</t>
  </si>
  <si>
    <t xml:space="preserve">QDB CORRET COLOR AMARELO 3,5g RPCK</t>
  </si>
  <si>
    <t xml:space="preserve">SKINQ GEL REVITALIZADOR PARA ÁREA DOS OLHOS</t>
  </si>
  <si>
    <t xml:space="preserve">SKINQ SÉRUM CONCENTRADO ANTIOXIDANTE VITAMINA C</t>
  </si>
  <si>
    <t xml:space="preserve">QDB BAT LIQ SUPERMATE TINTOLI 4ml</t>
  </si>
  <si>
    <t xml:space="preserve">QDB PINC SUPERACAB ESCOVA MULTIUSO</t>
  </si>
  <si>
    <t xml:space="preserve">QDB PINCEL BASE</t>
  </si>
  <si>
    <t xml:space="preserve">QDB SABONETE LIQ DEMAQ 30ml</t>
  </si>
  <si>
    <t xml:space="preserve">BASE NUTRIÇÃO ATIVA COR 12 Q, 30 ml</t>
  </si>
  <si>
    <t xml:space="preserve">BASE NUTRIÇÃO ATIVA COR 14 N, 30 ml</t>
  </si>
  <si>
    <t xml:space="preserve">BASE NUTRIÇÃO ATIVA COR 15 Q, 30 ml</t>
  </si>
  <si>
    <t xml:space="preserve">QDB PINCEL PO VS2</t>
  </si>
  <si>
    <t xml:space="preserve">QDB BB CREM COR 03 Q 30ml RPCK</t>
  </si>
  <si>
    <t xml:space="preserve">QDB BB CREM COR 13 Q 30ml RPCK</t>
  </si>
  <si>
    <t xml:space="preserve">QDB BASE LIQ SUPERMAT COR 01 F 30ml RPCK</t>
  </si>
  <si>
    <t xml:space="preserve">QDB CORRET ALTA/COB COR 1 3,5g RPCK</t>
  </si>
  <si>
    <t xml:space="preserve">QDB CORRET ALTA/COB COR 12 3,5g RPCK</t>
  </si>
  <si>
    <t xml:space="preserve">QDB CORRET ALTA/COB COR 2 3,5g RPCK</t>
  </si>
  <si>
    <t xml:space="preserve">QDB CORRET ALTA/COB COR 5 3,5g RPCK</t>
  </si>
  <si>
    <t xml:space="preserve">QDB CORRET ALTA/COB COR 6 3,5g RPCK</t>
  </si>
  <si>
    <t xml:space="preserve">QDB BASE LIQ SUPERMAT COR 01 Q 30ml RPCK</t>
  </si>
  <si>
    <t xml:space="preserve">QDB BASE LIQ SUPERMAT COR 02 Q 30ml RPCK</t>
  </si>
  <si>
    <t xml:space="preserve">QDB BASE LIQ SUPERMAT COR 03 Q 30ml RPCK</t>
  </si>
  <si>
    <t xml:space="preserve">QDB BASE LIQ SUPERMAT COR 04 N 30ml RPCK</t>
  </si>
  <si>
    <t xml:space="preserve">QDB BASE LIQ SUPERMAT COR 04 Q 30ml RPCK</t>
  </si>
  <si>
    <t xml:space="preserve">QDB BASE LIQ SUPERMAT COR 05 Q 30ml RPCK</t>
  </si>
  <si>
    <t xml:space="preserve">QDB BASE LIQ SUPERMAT COR 06 N 30ml RPCK</t>
  </si>
  <si>
    <t xml:space="preserve">QDB BASE LIQ SUPERMAT COR 06 Q 30ml RPCK</t>
  </si>
  <si>
    <t xml:space="preserve">QDB BASE LIQ SUPERMAT COR 07 N 30ml RPCK</t>
  </si>
  <si>
    <t xml:space="preserve">QDB BASE LIQ SUPERMAT COR 07 Q 30ml RPCK</t>
  </si>
  <si>
    <t xml:space="preserve">QDB BASE LIQ SUPERMAT COR 09 Q 30ml RPCK</t>
  </si>
  <si>
    <t xml:space="preserve">QDB BASE LIQ SUPERMAT COR 10 Q 30ml RPCK</t>
  </si>
  <si>
    <t xml:space="preserve">QDB BASE LIQ SUPERMAT COR 11 N 30ml RPCK</t>
  </si>
  <si>
    <t xml:space="preserve">QDB BASE LIQ SUPERMAT COR 12 Q 30ml RPCK</t>
  </si>
  <si>
    <t xml:space="preserve">QDB BASE LIQ SUPERMAT COR 13 Q 30ml RPCK</t>
  </si>
  <si>
    <t xml:space="preserve">QDB BASE LIQ SUPERMAT COR 14 N 30ml RPCK</t>
  </si>
  <si>
    <t xml:space="preserve">QDB BASE LIQ SUPERMAT COR 14 Q 30ml RPCK</t>
  </si>
  <si>
    <t xml:space="preserve">QDB BASE LIQ SUPERMAT COR 15 Q 30ml RPCK</t>
  </si>
  <si>
    <t xml:space="preserve">QDB BASE LIQ SUPERMAT COR 16 Q 30ml RPCK</t>
  </si>
  <si>
    <t xml:space="preserve">SKINQ ESPUMA DE LIMPEZA NUTRITIVA</t>
  </si>
  <si>
    <t xml:space="preserve">SKINQ CREME ANTIOXIDANTE FACIAL DIA FPS 50</t>
  </si>
  <si>
    <t xml:space="preserve">QDB BAT LIQ SUPERMATE CASTANHELI 4ml</t>
  </si>
  <si>
    <t xml:space="preserve">QDB LAPIS SOBRANC ESCURETE 350mg RPCK</t>
  </si>
  <si>
    <t xml:space="preserve">QDB CANETA SOBRANCELHA ESCURETE</t>
  </si>
  <si>
    <t xml:space="preserve">QDB CANETA SOBRANCELHA CLARETE</t>
  </si>
  <si>
    <t xml:space="preserve">QDB BAT LIQ SUPERMATE BORDOLI 4ml</t>
  </si>
  <si>
    <t xml:space="preserve">QDB BAT LIQ SUPERMATE CARAMELI 4ml</t>
  </si>
  <si>
    <t xml:space="preserve">QDB BATOM VOLUMAO MARSALE 3,4g</t>
  </si>
  <si>
    <t xml:space="preserve">QDB BAT LIQ SUPERMATE BEGELI 4ml</t>
  </si>
  <si>
    <t xml:space="preserve">QDB BAT LIQ SUPERMATE LILALI 4ml</t>
  </si>
  <si>
    <t xml:space="preserve">QDB BATOM SUPER TINT MARSALATINT 4ml</t>
  </si>
  <si>
    <t xml:space="preserve">QDB BATOM SUPER TINT NUDETINT 4ml</t>
  </si>
  <si>
    <t xml:space="preserve">QUEM DISSE BERENICE GLITTER LIQUIDO MULTIUSO DOURATIX 4ML</t>
  </si>
  <si>
    <t xml:space="preserve">QDB LAP OLH ESFUM RETR MARR RPCK</t>
  </si>
  <si>
    <t xml:space="preserve">QDB LAPIS SOBRANC CLARETE 350mg RPCK</t>
  </si>
  <si>
    <t xml:space="preserve">QDB MASC SOBRANC MASC FIBRAS CLARETE 3,5g</t>
  </si>
  <si>
    <t xml:space="preserve">QDB MASC SOBRANC C/FIBRAS ESCURETE 3,5g</t>
  </si>
  <si>
    <t xml:space="preserve">QDB GLIT SLT P/OLHO BRANCOLITTER 1g RPCK</t>
  </si>
  <si>
    <t xml:space="preserve">QDB GLIT SLT P/OLHO ROSELITTER 1g RPCK</t>
  </si>
  <si>
    <t xml:space="preserve">QDB BATOM SUPER TINT MARRONTINT</t>
  </si>
  <si>
    <t xml:space="preserve">QDB BATOM SUPER TINT MAUVETINT</t>
  </si>
  <si>
    <t xml:space="preserve">QDB BATOM SUPER TINT UVATINT</t>
  </si>
  <si>
    <t xml:space="preserve">QDB BATOM SUPER TINT VEVETINT</t>
  </si>
  <si>
    <t xml:space="preserve">QDB LAP OLH BEGETE 1,2g V3</t>
  </si>
  <si>
    <t xml:space="preserve">QDB LAPIS OLHO BRANCOLITO 1,2g V2</t>
  </si>
  <si>
    <t xml:space="preserve">QDB LAPIS OLH ZUZULINO 1,2g V2</t>
  </si>
  <si>
    <t xml:space="preserve">QDB LAPIS OLHO ROSATON 1,2g V2</t>
  </si>
  <si>
    <t xml:space="preserve">QDB LAPIS OLHO VERDEZULEX 1,2g V2</t>
  </si>
  <si>
    <t xml:space="preserve">QDB LAPIS OLHO COBREZIMO 1,2g V2</t>
  </si>
  <si>
    <t xml:space="preserve">QUEM DISSE BERENICE BATOM LÍQUIDO SUPERMATE GOIABALI 4ML</t>
  </si>
  <si>
    <t xml:space="preserve">QUEM DISSE BERENICE BATOM LÍQUIDO SUPERMATE MARSALILI 4ML</t>
  </si>
  <si>
    <t xml:space="preserve">QUEM DISSE BERENICE BATOM LÍQUIDO SUPERMATE RUBILI 4ML</t>
  </si>
  <si>
    <t xml:space="preserve">QUEM DISSE BERENICE BATOM LÍQUIDO SUPERMATE AMENDOLI 4ML</t>
  </si>
  <si>
    <t xml:space="preserve">QDB BATOM MATE ALTA PIGMENTACAO ROSACIA RPCK 3,8g</t>
  </si>
  <si>
    <t xml:space="preserve">QDB BATOM MATE ALTA PIGMENTACAO MARRONTERRA RPCK 3,8g</t>
  </si>
  <si>
    <t xml:space="preserve">QDB BATOM MATE ALTA PIGMENTACAO NUDETOM RPCK 3,8g</t>
  </si>
  <si>
    <t xml:space="preserve">QDB BATOM MATE ALTA PIGMENTACAO VERMELITO RPCK 3,8g</t>
  </si>
  <si>
    <t xml:space="preserve">QDB BATOM MATE ALTA PIGMENTACAO AMORANDO RPCK 3,8g</t>
  </si>
  <si>
    <t xml:space="preserve">QDB BATOM HIDRATANTE MALVADA RPCK 3,8g</t>
  </si>
  <si>
    <t xml:space="preserve">QDB BATOM HIDRATANTE MARRONZÍSSIMO RPCK 3,8g</t>
  </si>
  <si>
    <t xml:space="preserve">QDB BATOM HIDRATANTE MALVALI RPCK 3,8g</t>
  </si>
  <si>
    <t xml:space="preserve">QDB BATOM HIDRATANTE NUDETE RPCK 3,8g</t>
  </si>
  <si>
    <t xml:space="preserve">QDB BATOM HIDRATANTE VINHETE RPCK 3,8g</t>
  </si>
  <si>
    <t xml:space="preserve">QDB BAT LIQ SUPERMATE ROSETALI 4ml</t>
  </si>
  <si>
    <t xml:space="preserve">QDB BAT LIQ SUPERMATE MARRONLI 4ml</t>
  </si>
  <si>
    <t xml:space="preserve">QDB CANET DELIN OLHOS FININHA 1ml RPCK</t>
  </si>
  <si>
    <t xml:space="preserve">QDB MASC CILIO ALONG ESCNDL RES/AG RPC</t>
  </si>
  <si>
    <t xml:space="preserve">QDB BAT LIQ SUPERMATE AMORLI 4ml</t>
  </si>
  <si>
    <t xml:space="preserve">QDB BAT LIQ SUPERMATE MORENALI 4ml</t>
  </si>
  <si>
    <t xml:space="preserve">QDB BAT LIQ SUPERMATE VERMELI 4ml</t>
  </si>
  <si>
    <t xml:space="preserve">QDB BAT LIQ SUPERMATE VINHELI 4ml</t>
  </si>
  <si>
    <t xml:space="preserve">QDB BATOM SUPER TINT ROSADOTINT 4ml</t>
  </si>
  <si>
    <t xml:space="preserve">QUEM DISSE BERENICE GLITER LIQUIDO MULTIUSO ROSATIX 4ML</t>
  </si>
  <si>
    <t xml:space="preserve">QDB LAP OLH ESFUM RETR PRET RPCK</t>
  </si>
  <si>
    <t xml:space="preserve">QDB LAP OLH PRETUCO 1,2g V3</t>
  </si>
  <si>
    <t xml:space="preserve">QUEM DISSE BERENICE CORRETIVO LIQUIDO LONGA DURAÇÃO COR 2 4ML</t>
  </si>
  <si>
    <t xml:space="preserve">QDB PO COMP FAC TRANSL INSTMAT 5,5g RPCK</t>
  </si>
  <si>
    <t xml:space="preserve">QDB SAB LIQ FAC DEMAQ 90ml RPCK</t>
  </si>
  <si>
    <t xml:space="preserve">QDB MÁSCARA BIG BANG RESISTENTE A ÁGUA</t>
  </si>
  <si>
    <t>MON</t>
  </si>
  <si>
    <t xml:space="preserve">SKINQ BALM LABIAL HIDRATAÇÃO E VOLUME</t>
  </si>
  <si>
    <t xml:space="preserve">SKINQ CREME REVITALIZADOR FACIAL NOITE</t>
  </si>
  <si>
    <t xml:space="preserve">QDB CORRETIVO ALTA COBERTURA COR 5</t>
  </si>
  <si>
    <t xml:space="preserve">QDB PALETA DE SOMBRAS REFIL VAZIA PRA DOIS</t>
  </si>
  <si>
    <t xml:space="preserve">QDB PALETA DE SOMBRAS REFIL VAZIA PRA OITO</t>
  </si>
  <si>
    <t xml:space="preserve">QDB PALETA DE SOMBRAS REFIL VAZIA PRA QUATRO</t>
  </si>
  <si>
    <t xml:space="preserve">QDB PINCEL MARCADOR</t>
  </si>
  <si>
    <t xml:space="preserve">QDB PINCEL SUPERACAB DELINEADOR INCLINAD</t>
  </si>
  <si>
    <t xml:space="preserve">QDB BATOM LÍQUIDO MATE MARRONLI 5,6ml V2</t>
  </si>
  <si>
    <t xml:space="preserve">QDB BATOM MATE VELUDO MARRONTERRA 3,8G</t>
  </si>
  <si>
    <t xml:space="preserve">QDB SABONETE LIQUIDO DEMAQUILANTE</t>
  </si>
  <si>
    <t xml:space="preserve">QDB LAPIS OLHOS PRETUCO 1,2G</t>
  </si>
  <si>
    <t xml:space="preserve">QDB LATA MANDALA CEREJA MINIATURAS METAL</t>
  </si>
  <si>
    <t xml:space="preserve">QDB CILIOS POSTICOS DELINEADOR 1 PAR</t>
  </si>
  <si>
    <t xml:space="preserve">QDB ESMLT HIPOALERG CEREJA BERE 8ml</t>
  </si>
  <si>
    <t xml:space="preserve">QDB ESMALTE ZUZULINO 7,5ml</t>
  </si>
  <si>
    <t xml:space="preserve">QDB PINCEL SUPERACAB DUO FIBRA SOMBRA</t>
  </si>
  <si>
    <t xml:space="preserve">QDB PINCEL SUPERACABAMENTO ESCOVINHA MULTIUSO</t>
  </si>
  <si>
    <t xml:space="preserve">QDB PINCEL MULTIUSO KABUKI</t>
  </si>
  <si>
    <t xml:space="preserve">QDB PINCEL SILICONE PIGMENTO</t>
  </si>
  <si>
    <t xml:space="preserve">QDB PINCEL BATOM</t>
  </si>
  <si>
    <t xml:space="preserve">QDB PINCEL DELINEADOR</t>
  </si>
  <si>
    <t xml:space="preserve">QDB BATOM VOLUMAO ABOBORE 3,4g</t>
  </si>
  <si>
    <t xml:space="preserve">QDB PINCEL SOBRANCELHA DUPLO</t>
  </si>
  <si>
    <t xml:space="preserve">QDB PINCEL ESFUMADOR PARA SOMBRA</t>
  </si>
  <si>
    <t xml:space="preserve">QDB PINCEL SOMBRA</t>
  </si>
  <si>
    <t xml:space="preserve">QDB PINCEL ESFUMADOR RAPIDO</t>
  </si>
  <si>
    <t xml:space="preserve">BATOM MATE ALTA PIGMENTACAO VERMELHÍSSIMO</t>
  </si>
  <si>
    <t xml:space="preserve">BATOM MATE ALTA PIGMENTACAO MARRONZÁ</t>
  </si>
  <si>
    <t xml:space="preserve">BATOM MATE ALTA PIGMENTACAO NUDITA</t>
  </si>
  <si>
    <t xml:space="preserve">BATOM MATE ALTA PIGMENTACAO VERMEMOR</t>
  </si>
  <si>
    <t xml:space="preserve">QDB ESFOLIANTE NUTRITIVO LABIAL</t>
  </si>
  <si>
    <t xml:space="preserve">QDB BALM HIDRATAÇÃO INTENSA</t>
  </si>
  <si>
    <t xml:space="preserve">Loção Desodorante Hidratante HIDRA 400ml</t>
  </si>
  <si>
    <t xml:space="preserve">Loção Desodorante Hidratante HIDRA 200ml</t>
  </si>
  <si>
    <t xml:space="preserve">QDB SORB DES HID CPO LICH 200g</t>
  </si>
  <si>
    <t xml:space="preserve">Creme Hidratante Mãos HIDRA 30g</t>
  </si>
  <si>
    <t xml:space="preserve">Esfoliante corporal HIDRA 150g</t>
  </si>
  <si>
    <t xml:space="preserve">Sabonete Líquido Mãos e Corpo HIDRA 200g</t>
  </si>
  <si>
    <t xml:space="preserve">Splash Desodorante Corporal HIDRA</t>
  </si>
  <si>
    <t xml:space="preserve">QDB BATOM COR E NUTRIÇÃO NUTRIRUBI</t>
  </si>
  <si>
    <t xml:space="preserve">QDB BATOM COR E NUTRIÇÃO NUTRIGOIABA</t>
  </si>
  <si>
    <t xml:space="preserve">QDB BATOM COR E NUTRIÇÃO NUTRIVINHE</t>
  </si>
  <si>
    <t xml:space="preserve">QDB BATOM COR E NUTRIÇÃO NUTRIROSE</t>
  </si>
  <si>
    <t xml:space="preserve">Seja Como Flor Desodorante Loção Hidratante Corporal 200ml</t>
  </si>
  <si>
    <t xml:space="preserve">Desobediência Desodorante Hidratante Corporal 200g</t>
  </si>
  <si>
    <t>DESOBED</t>
  </si>
  <si>
    <t xml:space="preserve">Seja Como Flor Desodorante Colônia 75ml</t>
  </si>
  <si>
    <t xml:space="preserve">Amor na Amora Desodorante Colônia 75ml</t>
  </si>
  <si>
    <t xml:space="preserve">Eau de Parfum Desobediente 100ml</t>
  </si>
  <si>
    <t xml:space="preserve">QDB BAT LIQ SUPERMATE CAPPUCCINOLI 4ml</t>
  </si>
  <si>
    <t xml:space="preserve">QDB GLOSS LAB SUPERBRILHO MALVALEX 4ml</t>
  </si>
  <si>
    <t xml:space="preserve">QDB GLOSS LAB SUPERBRILHO DOURADEX 4ml</t>
  </si>
  <si>
    <t xml:space="preserve">QDB GLOSS LAB SUPERBRILHO ROSADEX 4ml</t>
  </si>
  <si>
    <t xml:space="preserve">QDB BAT LIQ SUPERMATE ROSALI 4ml</t>
  </si>
  <si>
    <t xml:space="preserve">QDB BAT LIQ SUPERMATE UVALI 4ml</t>
  </si>
  <si>
    <t xml:space="preserve">QDB GLOSS LAB SUPERBRILHO ROSEX 4ml</t>
  </si>
  <si>
    <t xml:space="preserve">PÓ TRANSLÚCIDO SOLTO INSTAMATTE AMARELÊ</t>
  </si>
  <si>
    <t xml:space="preserve">BATOM HIDRATANTE VERMELEXO</t>
  </si>
  <si>
    <t xml:space="preserve">BATOM HIDRATANTE VINDITO</t>
  </si>
  <si>
    <t xml:space="preserve">BATOM HIDRATANTE VINHIS</t>
  </si>
  <si>
    <t xml:space="preserve">BATOM MATE ALTA PIGMENTACAO VERMELARANJA</t>
  </si>
  <si>
    <t xml:space="preserve">QDB CORRET FAC AQUA HID COR 1 9ml</t>
  </si>
  <si>
    <t xml:space="preserve">QDB CORRET FAC AQUA HID COR 2 9ml</t>
  </si>
  <si>
    <t xml:space="preserve">QDB CORRET FAC AQUA HID COR 6 9ml</t>
  </si>
  <si>
    <t xml:space="preserve">QDB CORRET FAC AQUA HID COR 4 9ml</t>
  </si>
  <si>
    <t xml:space="preserve">QDB CORRET FAC AQUA HID COR 5 9ml</t>
  </si>
  <si>
    <t xml:space="preserve">QDB CORRET LIQ FAC AQUA COR 8 9ml</t>
  </si>
  <si>
    <t xml:space="preserve">QDB CORRET FAC AQUA HID COR 7 9ml</t>
  </si>
  <si>
    <t xml:space="preserve">QDB CORRET FAC AQUA HID COR 11 9ml</t>
  </si>
  <si>
    <t xml:space="preserve">QDB CORRET FAC AQUA HID COR 12 9ml</t>
  </si>
  <si>
    <t xml:space="preserve">QDB REFIL SOMB CINTIL BEGINHA 1,5g V2</t>
  </si>
  <si>
    <t xml:space="preserve">QDB REFIL SOMB METAL COBRELUZ 1,5g V2</t>
  </si>
  <si>
    <t xml:space="preserve">QDB REFIL SOMB CINTIL LILICOTA 1,5g V2</t>
  </si>
  <si>
    <t xml:space="preserve">QDB REFIL SOMB MAT MARRONDITO 1,5g V2</t>
  </si>
  <si>
    <t xml:space="preserve">QDB REFIL SOMB CINTIL NUDITE 1,5g V2</t>
  </si>
  <si>
    <t xml:space="preserve">QDB REFIL SOMB MATE NUNETE 1,5g V2</t>
  </si>
  <si>
    <t xml:space="preserve">QDB REFIL SOMB METAL OURADO 1,5g V2</t>
  </si>
  <si>
    <t xml:space="preserve">QDB REFIL SOMB CINTIL PINKINI 1,5g V2</t>
  </si>
  <si>
    <t xml:space="preserve">QDB REFIL SOMB GLIT PRETAZ 1,5g V2</t>
  </si>
  <si>
    <t xml:space="preserve">QDB REFIL SOMB MAT PRETISSIMA 1,5g V2</t>
  </si>
  <si>
    <t xml:space="preserve">QDB REFIL SOMB METAL ROXETE 1,5g V2</t>
  </si>
  <si>
    <t xml:space="preserve">QDB REFIL SOMB MAT MARRONTERRA 1,5g V2</t>
  </si>
  <si>
    <t xml:space="preserve">QDB REFIL SOMB MAT ROSALIN 1,5g V2</t>
  </si>
  <si>
    <t xml:space="preserve">QDB REFIL SOMB MAT VERMERE 1,5g V2</t>
  </si>
  <si>
    <t xml:space="preserve">QDB REFIL SOMB MAT VINHE 1,5g V2</t>
  </si>
  <si>
    <t xml:space="preserve">QDB REFIL SOMB MAT MARRONZACO 1,5g V2</t>
  </si>
  <si>
    <t xml:space="preserve">QDB LAP OLH AZULAX 1,2g V3</t>
  </si>
  <si>
    <t xml:space="preserve">QDB DELIN OLHOS LIQ PRETOLINO 2,5ml V3</t>
  </si>
  <si>
    <t xml:space="preserve">QUEM DISSE BERENICE BATOM LÍQUIDO SUPERMATE CACAULI 4ML</t>
  </si>
  <si>
    <t xml:space="preserve">QUEM DISSE BERENICE BATOM LÍQUIDO SUPERMATE ROSADILI 4ML</t>
  </si>
  <si>
    <t xml:space="preserve">QDB BATOM HIDRATANTE VERMELHADO RPCK 3,8g</t>
  </si>
  <si>
    <t xml:space="preserve">QDB BATOM HIDRATANTE DOURALEXO RPCK</t>
  </si>
  <si>
    <t xml:space="preserve">QDB BATOM HIDRATANTE ROSARAO RPCK 3,8g</t>
  </si>
  <si>
    <t xml:space="preserve">QDB BATOM HIDRATANTE MARRONITO RPCK 3,8g</t>
  </si>
  <si>
    <t xml:space="preserve">QDB BATOM HIDRATANTE MALVELITA RPCK 3,8g</t>
  </si>
  <si>
    <t xml:space="preserve">QDB BATOM MATE ALTA PIGMENTACAO BORDONITO RPCK 3,8g</t>
  </si>
  <si>
    <t xml:space="preserve">QDB BATOM MATE ALTA PIGMENTACAO VINHOSA RPCK 3,8g</t>
  </si>
  <si>
    <t xml:space="preserve">QDB BATOM MATE ALTA PIGMENTACAO MARRO RPCK 3,8g</t>
  </si>
  <si>
    <t xml:space="preserve">QDB BATOM MATE ALTA PIGMENTACAO MALVENITO RPCK 3,8g</t>
  </si>
  <si>
    <t xml:space="preserve">QDB BATOM MATE ALTA PIGMENTACAO ROSETOM RPCK 3,8g</t>
  </si>
  <si>
    <t xml:space="preserve">QDB PO COMP FAC COR 1 6g RPCK</t>
  </si>
  <si>
    <t xml:space="preserve">QDB PO COMP FAC COR 2 6g RPCK</t>
  </si>
  <si>
    <t xml:space="preserve">QDB PO COMP FAC COR 3 6g RPCK</t>
  </si>
  <si>
    <t xml:space="preserve">QDB PO COMP FAC COR 4 6g RPCK</t>
  </si>
  <si>
    <t xml:space="preserve">QDB PO COMP FAC COR 5 6g RPCK</t>
  </si>
  <si>
    <t xml:space="preserve">QDB PO COMP FAC COR 6 6g RPCK</t>
  </si>
  <si>
    <t xml:space="preserve">QDB PO COMP FAC COR 7 6g RPCK</t>
  </si>
  <si>
    <t xml:space="preserve">QDB PO COMP FAC COR 8 6g RPCK</t>
  </si>
  <si>
    <t xml:space="preserve">QDB PO COMP FAC COR 9 6g RPCK</t>
  </si>
  <si>
    <t xml:space="preserve">QDB PO COMP FAC COR 10 6g RPCK</t>
  </si>
  <si>
    <t xml:space="preserve">QDB PO COMP FAC COR 11 6g RPCK</t>
  </si>
  <si>
    <t xml:space="preserve">QDB BLUSH COMP ROSITA 2g RPCK</t>
  </si>
  <si>
    <t xml:space="preserve">QDB BLUSH COMP MALVISSIMA 2g RPCK</t>
  </si>
  <si>
    <t xml:space="preserve">QDB BLUSH COMP CEREJETIM 2g RPCK</t>
  </si>
  <si>
    <t xml:space="preserve">QDB BLUSH COMP MARSALETE 2g RPCK</t>
  </si>
  <si>
    <t xml:space="preserve">QDB LAP CONTOR LAB ROSELETIS 1,1g RPCK</t>
  </si>
  <si>
    <t xml:space="preserve">QDB LAP CONTOR LAB MARRONIS 1,1g RPCK</t>
  </si>
  <si>
    <t xml:space="preserve">QDB LAP CONTOR LAB NUDETIS 1,1g RPCK</t>
  </si>
  <si>
    <t xml:space="preserve">QDB LAP CONTOR LAB VERMETIS 1,1g RPCK</t>
  </si>
  <si>
    <t xml:space="preserve">BASE EM PÓ COR 01F</t>
  </si>
  <si>
    <t xml:space="preserve">BASE EM PÓ COR 02Q</t>
  </si>
  <si>
    <t xml:space="preserve">BASE EM PÓ COR 03F</t>
  </si>
  <si>
    <t xml:space="preserve">BASE EM PÓ COR 03Q</t>
  </si>
  <si>
    <t xml:space="preserve">BASE EM PÓ COR 04Q</t>
  </si>
  <si>
    <t xml:space="preserve">BASE EM PÓ COR 07N</t>
  </si>
  <si>
    <t xml:space="preserve">BASE EM PÓ COR 09Q</t>
  </si>
  <si>
    <t xml:space="preserve">MÁSCARA DE CÍLIOS VOLUME E DEFINIÇÃO</t>
  </si>
  <si>
    <t xml:space="preserve">QDB PINCEL SUPERACABAMENTO PELE PERFEITA</t>
  </si>
  <si>
    <t xml:space="preserve">QDB PRIMER FAC INSTAMATTE 30ml RPCK</t>
  </si>
  <si>
    <t xml:space="preserve">QDB DEMAQUILANTE BIFÁSICO RPC</t>
  </si>
  <si>
    <t xml:space="preserve">QDB BAT MAT COL ROSE RK VERM/AME SE 3,8g</t>
  </si>
  <si>
    <t xml:space="preserve">QDB BAT MAT COL/ROS RK ROS/SEJA LUZ 3,8g</t>
  </si>
  <si>
    <t xml:space="preserve">QDB BAT MAT COL ROSE RK MALV/ESTR 3,8g</t>
  </si>
  <si>
    <t xml:space="preserve">QDB BAT MAT COL ROSE RK AVEL/H AMOR 3,8g</t>
  </si>
  <si>
    <t xml:space="preserve">QDB BASE LIQ ALTA COBERT COR 00N 30ml</t>
  </si>
  <si>
    <t xml:space="preserve">QDB BASE LIQ ALTA COBERT COR 02Q 30ml</t>
  </si>
  <si>
    <t xml:space="preserve">QDB BASE LIQ ALTA COBERT COR 03F 30ml</t>
  </si>
  <si>
    <t xml:space="preserve">QDB BASE LIQ ALTA COBERT COR 03Q 30ml</t>
  </si>
  <si>
    <t xml:space="preserve">QDB BASE LIQ ALTA COBERT COR 14Q 30ml</t>
  </si>
  <si>
    <t xml:space="preserve">QDB SAB LIQ FAC CLEASING OIL 105ml</t>
  </si>
  <si>
    <t xml:space="preserve">QDB BATOM VOLUMAO MARSALE 3,4G RPCK</t>
  </si>
  <si>
    <t xml:space="preserve">QDB BAT VOLUMAO GOIABALE 3,4G RPCK</t>
  </si>
  <si>
    <t xml:space="preserve">QDB BAT VOLUMAO ABOBORE 3,4G RPCK</t>
  </si>
  <si>
    <t xml:space="preserve">QDB BAT VOLUMAO CASTANHELE 3,4G RPCK</t>
  </si>
  <si>
    <t xml:space="preserve">QDB BAT VOLUMAO ROSADOLE 3,4G RPCK</t>
  </si>
  <si>
    <t xml:space="preserve">QDB BAT VOLUMAO ROSELELE 3,4G RPCK</t>
  </si>
  <si>
    <t xml:space="preserve">QDB BAT VOLUMAO BORDOLE 3,4G RPCK</t>
  </si>
  <si>
    <t xml:space="preserve">QDB BAT LIQ SUPERMATE NUDELILI 4ml</t>
  </si>
  <si>
    <t xml:space="preserve">QDB BAT MAT ALT PIG CASTANHITO 3,8g RPCK</t>
  </si>
  <si>
    <t xml:space="preserve">QDB BAT MAT ALT PIGM PRETO 3,8g RPCK</t>
  </si>
  <si>
    <t xml:space="preserve">QDB BAT MAT ALT PIGM VERMELHOU 3,8g RPCK</t>
  </si>
  <si>
    <t xml:space="preserve">QDB BAT MAT ALT PIGM VERMEREJA 3,8g RPCK</t>
  </si>
  <si>
    <t xml:space="preserve">QDB BAT MAT ALT PIGM VINHOM 3,8g RPCK</t>
  </si>
  <si>
    <t xml:space="preserve">QDB BATOM HID ARMAROSA 3,8g RPCK</t>
  </si>
  <si>
    <t xml:space="preserve">QDB BATOM HID CARAMELINDO 3,8g RPCK</t>
  </si>
  <si>
    <t xml:space="preserve">QDB BATOM HID COBRETE 3,8g RPCK</t>
  </si>
  <si>
    <t xml:space="preserve">QDB BATOM HID LILAVANDA 3,8g RPCK</t>
  </si>
  <si>
    <t xml:space="preserve">QDB BATOM HID MALVALEXO 3,8g RPCK</t>
  </si>
  <si>
    <t xml:space="preserve">QDB BATOM HID MARRONLEXO 3,8g RPCK</t>
  </si>
  <si>
    <t xml:space="preserve">QDB BATOM HID NUDELINA 3,8g RPCK</t>
  </si>
  <si>
    <t xml:space="preserve">QDB BATOM HID NUDISSIMO 3,8g RPCK</t>
  </si>
  <si>
    <t xml:space="preserve">QDB BATOM HID ROSALILA 3,8g RPCK</t>
  </si>
  <si>
    <t xml:space="preserve">QDB BATOM HID ROSALINA 3,8g RPCK</t>
  </si>
  <si>
    <t xml:space="preserve">QDB BATOM HID ROSAX 3,8g RPCK</t>
  </si>
  <si>
    <t xml:space="preserve">QDB BATOM HID ROSELE 3,8g RPCK</t>
  </si>
  <si>
    <t xml:space="preserve">QDB BATOM HID VERMELECHO 3,8g RPCK</t>
  </si>
  <si>
    <t xml:space="preserve">QDB BATOM HID VERMELHAO 3,8g RPCK</t>
  </si>
  <si>
    <t xml:space="preserve">QDB BATOM HID VERMELHETE 3,8g RPCK</t>
  </si>
  <si>
    <t xml:space="preserve">QDB BLUSH COMP CASTANHEX 2g RPCK</t>
  </si>
  <si>
    <t xml:space="preserve">QDB EST REDINHAS PROTETORAS PVC 6UN</t>
  </si>
  <si>
    <t xml:space="preserve">QDB GLOSS LAB EFEITO VINIL TRANSP 4ml</t>
  </si>
  <si>
    <t xml:space="preserve">QDB LATA MANDALA ROXA MINIATURAS METAL</t>
  </si>
  <si>
    <t xml:space="preserve">QDB LIXA COM ESPELHO</t>
  </si>
  <si>
    <t xml:space="preserve">QDB MASC CAP TONAL HID ROSANTE 150g</t>
  </si>
  <si>
    <t xml:space="preserve">QDB PALETA SOMBRA REFIL PARA 2 1,5g RPCK</t>
  </si>
  <si>
    <t xml:space="preserve">QDB PALETA SOMBRA REFIL PARA 4 1,5g RPCK</t>
  </si>
  <si>
    <t xml:space="preserve">QDB PALETA SOMBRA REFIL PARA 8 1,5g RPCK</t>
  </si>
  <si>
    <t xml:space="preserve">QDB PENT GARFO METAL</t>
  </si>
  <si>
    <t xml:space="preserve">QDB PENTEADOR DE CILIOS MULTIUSO PP</t>
  </si>
  <si>
    <t xml:space="preserve">QDB PINCEL CORRETIVO</t>
  </si>
  <si>
    <t xml:space="preserve">QDB PINCEL ESPONJA 2014</t>
  </si>
  <si>
    <t xml:space="preserve">QDB PINCEL SUPERACAB CONICO MULTIUSO</t>
  </si>
  <si>
    <t xml:space="preserve">QDB PO SLT TRANSL INSTMAT ROSELE 8g RPCK</t>
  </si>
  <si>
    <t xml:space="preserve">QDB REFIL SOMB HOLOG BERINJ 13 1,5g RPCK</t>
  </si>
  <si>
    <t xml:space="preserve">QDB REFIL SOMB HOLOG MARRONLES 1,5g RPCK</t>
  </si>
  <si>
    <t xml:space="preserve">QDB REFIL SOMBRA ROSALES HOLOG 1,5g RPCK</t>
  </si>
  <si>
    <t xml:space="preserve">QDB SPRAY ILUMINADOR CAPILAR 150ml</t>
  </si>
  <si>
    <t xml:space="preserve">QDB TOALHA DEMAQUILANTE PES</t>
  </si>
  <si>
    <t xml:space="preserve">QDB MASC CILIO BIG BANG PUSH 10g</t>
  </si>
  <si>
    <t xml:space="preserve">QDB GEL HID FAC TRIVITAMINICO 50g</t>
  </si>
  <si>
    <t xml:space="preserve">QDB ESFOLIANTE SKIN Q ACAO 360 50g</t>
  </si>
  <si>
    <t xml:space="preserve">QDB PO COMP FAC MULTIEFEITOS 18g</t>
  </si>
  <si>
    <t xml:space="preserve">QDB PO COMP FAC MULTIEF BRONZE 4/1 18g</t>
  </si>
  <si>
    <t xml:space="preserve">QDB PO COMP FAC MULTIEF NAPOLITANO 18g</t>
  </si>
  <si>
    <t xml:space="preserve">QDB BAT LIQ SUPERMAT BEIJO QUE FICA 4ml</t>
  </si>
  <si>
    <t xml:space="preserve">QDB DES COL BEIJO QUE FICA 75ml</t>
  </si>
  <si>
    <t xml:space="preserve">QDB LOC DES HID CPO BEIJO QUE FICA 200ml</t>
  </si>
  <si>
    <t xml:space="preserve">QDB BAT LIQ VOLUMAO AMORALI 5,5ml</t>
  </si>
  <si>
    <t xml:space="preserve">QDB PALETA SOMBRAS LOVE COLL 20g</t>
  </si>
  <si>
    <t xml:space="preserve">LOÇÃO HIDRATANTE DESODORANTE CORPORAL NUTRI 400ML</t>
  </si>
  <si>
    <t xml:space="preserve">LOÇÃO HIDRATANTE DESODORANTE CORPORAL NUTRI 200ML</t>
  </si>
  <si>
    <t xml:space="preserve">MANTEIGA DESODORANTE HIDRATANTE CORPORAL NUTRI 100G</t>
  </si>
  <si>
    <t xml:space="preserve">CREME HIDRATANTE PARA AS MÃOS NUTRI 30G</t>
  </si>
  <si>
    <t xml:space="preserve">QDB SOMB LIQ GLIT LOVE COLL ROSE 5,6ml</t>
  </si>
  <si>
    <t xml:space="preserve">QDB DELIN LIQ PEEL OFF AZ/SPIRIT 3,2ml</t>
  </si>
  <si>
    <t xml:space="preserve">QDB ESF CPO GLOW 150g</t>
  </si>
  <si>
    <t xml:space="preserve">QDB LOC DES ILUM CPO GLOW 180ml</t>
  </si>
  <si>
    <t xml:space="preserve">QDB GEL LIMP FAC COMB OLEOS SKIN Q 150ml</t>
  </si>
  <si>
    <t xml:space="preserve">QDB SRUM FAC TRIP COMB SKIN Q 30ml</t>
  </si>
  <si>
    <t xml:space="preserve">QDB SOL RENOV FAC DUPL COMB SKIN Q 110ml</t>
  </si>
  <si>
    <t xml:space="preserve">QDB GLOS VOLUMAO VERM BOCAO 9,5ml</t>
  </si>
  <si>
    <t xml:space="preserve">QDB GLOS VOLUMAO CEREJA EXPLOSAO 9,5ml</t>
  </si>
  <si>
    <t xml:space="preserve">QDB GLOS VOLUMAO NASCI ASSIM 9,5ml</t>
  </si>
  <si>
    <t xml:space="preserve">QDB APONTADOR DUPLO</t>
  </si>
  <si>
    <t xml:space="preserve">QDB NECESS REDINHA PES</t>
  </si>
  <si>
    <t xml:space="preserve">QDB SRUM FAC PREENCHE TUDO SKIN 30ml</t>
  </si>
  <si>
    <t xml:space="preserve">QDB CREMAO FAC REPARA/ACALMA SKIN 30g</t>
  </si>
  <si>
    <t xml:space="preserve">ESTJ QDB SKIN Q COMBATE OLEOSIDADE</t>
  </si>
  <si>
    <t xml:space="preserve">QDB ESPONJA MAQUIAGEM PU</t>
  </si>
  <si>
    <t xml:space="preserve">QDB MASSAG FACIAL ABS</t>
  </si>
  <si>
    <t xml:space="preserve">QDB KIT PINCEIS REG</t>
  </si>
  <si>
    <t xml:space="preserve">QDB MALETA MAQUIAGEM PU</t>
  </si>
  <si>
    <t xml:space="preserve">QDB SHAMP REABILITA 250ml</t>
  </si>
  <si>
    <t xml:space="preserve">QDB COND REABILITA 200ml</t>
  </si>
  <si>
    <t xml:space="preserve">QDB SRUM ACIDIFICANTE CAP REABILITA 90ml</t>
  </si>
  <si>
    <t xml:space="preserve">QDB PALETA MULTIF SUPERNOVA 30,4g</t>
  </si>
  <si>
    <t xml:space="preserve">QDB LOC DES HID CPO 7 BELO 200ml</t>
  </si>
  <si>
    <t xml:space="preserve">QDB CREM HID MAOS 7BELO 50g</t>
  </si>
  <si>
    <t xml:space="preserve">QDB NECESS NAT/22 PES</t>
  </si>
  <si>
    <t xml:space="preserve">QDB DES COL BDY SPLSH 7BELO 200ml</t>
  </si>
  <si>
    <t xml:space="preserve">QDB CREM HID MAO REPAIR 30g</t>
  </si>
  <si>
    <t xml:space="preserve">QDB BALM REPARADOR DES CPO REPAIR 85g</t>
  </si>
  <si>
    <t xml:space="preserve">QDB LOC DES HID CPO REPAIR 400ml</t>
  </si>
  <si>
    <t xml:space="preserve">QDB LOC DES HID CPO REPAIR 200ml</t>
  </si>
  <si>
    <t xml:space="preserve">QDB DES COL BDY SPLSH REPAIR 200ml</t>
  </si>
  <si>
    <t xml:space="preserve">QDB GLIT GEL MULT BEATS ROS/GLD/FOL 4,5g</t>
  </si>
  <si>
    <t xml:space="preserve">QDB GLIT GEL MULT BEATS FURT/COR/AL 4,5g</t>
  </si>
  <si>
    <t xml:space="preserve">QDB BASE LIQ LEVANTA TUDO 01F 30ml</t>
  </si>
  <si>
    <t xml:space="preserve">QDB BASE LIQ LEVANTA TUDO COR 02Q 30ml</t>
  </si>
  <si>
    <t xml:space="preserve">QDB BASE LIQ LEVANTA TUDO COR 03F 30ml</t>
  </si>
  <si>
    <t xml:space="preserve">QDB BASE LIQ LEVANTA TUDO COR 03Q 30ml</t>
  </si>
  <si>
    <t xml:space="preserve">QDB BASE LIQ LEVANTA TUDO COR 04Q 30ml</t>
  </si>
  <si>
    <t xml:space="preserve">QDB BASE LIQ LEVANTA TUDO COR 06Q 30ml</t>
  </si>
  <si>
    <t xml:space="preserve">QDB BASE LIQ LEVANTA TUDO COR 07N 30ml</t>
  </si>
  <si>
    <t xml:space="preserve">QDB BASE LIQ LEVANTA TUDO COR 09Q 30ml</t>
  </si>
  <si>
    <t xml:space="preserve">QDB BASE LIQ LEVANTA TUDO COR 10N 30ml</t>
  </si>
  <si>
    <t xml:space="preserve">QDB BASE LIQ LEVANTA TUDO COR 12Q 30ml</t>
  </si>
  <si>
    <t xml:space="preserve">QDB BASE LIQ LEVANTA TUDO COR 14N 30ml</t>
  </si>
  <si>
    <t xml:space="preserve">QDB BASE LIQ LEVANTA TUDO COR 15Q 30ml</t>
  </si>
  <si>
    <t xml:space="preserve">QDB BASE LIQ LEVANTA TUDO INCOLOR 30ml</t>
  </si>
  <si>
    <t xml:space="preserve">QDB PINCA ACO INOX</t>
  </si>
  <si>
    <t xml:space="preserve">QDB MASC CILIO BIG BANG S/LIMITES 10g</t>
  </si>
  <si>
    <t xml:space="preserve">QDB SRUM REST FAC ACORD/GLOW SKIN Q 30ml</t>
  </si>
  <si>
    <t xml:space="preserve">QDB BAT LIQ CREM SNH VERM POSITIV 5ml</t>
  </si>
  <si>
    <t xml:space="preserve">QDB BAT LIQ CREM SNH VINHO OTIMISMO 5ml</t>
  </si>
  <si>
    <t xml:space="preserve">QDB BAT LIQ CREM SNH ROSA ENERGIA 5ml</t>
  </si>
  <si>
    <t xml:space="preserve">QDB BAT LIQ CREM SNH TERRAC EMPATIA 5ml</t>
  </si>
  <si>
    <t xml:space="preserve">QDB PLT MULTIF PLURAL 24,6g</t>
  </si>
  <si>
    <t xml:space="preserve">QDB MASC CILIO ROSE 10g</t>
  </si>
  <si>
    <t xml:space="preserve">QDB SRUM FAC LEVANTA TUDO SKIN Q 30ml</t>
  </si>
  <si>
    <t xml:space="preserve">ESTJ QDB SKIN Q SEM SURTAR</t>
  </si>
  <si>
    <t xml:space="preserve">QDB BALM LAB LIQ ESSSQ VERM CHAMAS 4,6ml</t>
  </si>
  <si>
    <t xml:space="preserve">QDB BALM LAB LIQ GELAAA ROSA GLAC 4,6ml</t>
  </si>
  <si>
    <t xml:space="preserve">QDB OLEO MASSAGEM CPO PRAZER BERE 110ml</t>
  </si>
  <si>
    <t xml:space="preserve">QDB SAB LIQ INT PRAZER BERE 200ml</t>
  </si>
  <si>
    <t xml:space="preserve">QDB GEL CPO HID PRAZER BERE 30g</t>
  </si>
  <si>
    <t xml:space="preserve">QDB LOC DES HID CPO PRAZER BERE 200ml</t>
  </si>
  <si>
    <t xml:space="preserve">QDB MULTIPR FAC HID MAT FPS50 SKINQ 50g</t>
  </si>
  <si>
    <t xml:space="preserve">QDB SKIN Q SRUM MULTIAREAS UNIFOR 30ml</t>
  </si>
  <si>
    <t xml:space="preserve">QDB MASC CIL TD/COLOR LAV EXPR 10g</t>
  </si>
  <si>
    <t xml:space="preserve">QDB MASC CIL COLOR OLH/DEST AZUL DIV 10g</t>
  </si>
  <si>
    <t xml:space="preserve">QDB MASC CILIO SOBR TD/COLOR TRANSP 12g</t>
  </si>
  <si>
    <t xml:space="preserve">QDB SHAMP RECARREGA 250ml</t>
  </si>
  <si>
    <t xml:space="preserve">QDB COND RECARREGA 200ml</t>
  </si>
  <si>
    <t xml:space="preserve">QDB LEAV CAP RECARREGA 150ml</t>
  </si>
  <si>
    <t xml:space="preserve">QDB SHAMP SOLIDO RECARREGA 90g</t>
  </si>
  <si>
    <t xml:space="preserve">QDB FLD PROT TERMICO CAP RECARREGA 90ml</t>
  </si>
  <si>
    <t xml:space="preserve">QDB SAB LIQ CPO 7BELO 200ml</t>
  </si>
  <si>
    <t xml:space="preserve">QDB BASE LIQ ACORDEI ASSIM 00 N 30ml</t>
  </si>
  <si>
    <t xml:space="preserve">QDB BASE LIQ ACORDEI ASSIM 02 Q 30ml</t>
  </si>
  <si>
    <t xml:space="preserve">QDB BASE LIQ ACORDEI ASSIM 03 F 30ml</t>
  </si>
  <si>
    <t xml:space="preserve">QDB BASE LIQ ACORDEI ASSIM 03 Q 30ml</t>
  </si>
  <si>
    <t xml:space="preserve">QDB BASE LIQ ACORDEI ASSIM 04 Q 30ml</t>
  </si>
  <si>
    <t xml:space="preserve">QDB BASE LIQ ACORDEI ASSIM 06 Q 30ml</t>
  </si>
  <si>
    <t xml:space="preserve">QDB BASE LIQ ACORDEI ASSIM 07 N 30ml</t>
  </si>
  <si>
    <t xml:space="preserve">QDB BASE LIQ ACORDEI ASSIM 09 Q 30ml</t>
  </si>
  <si>
    <t xml:space="preserve">QDB BASE LIQ ACORDEI ASSIM 10 N 30ml</t>
  </si>
  <si>
    <t xml:space="preserve">QDB BASE LIQ ACORDEI ASSIM 12 Q 30ml</t>
  </si>
  <si>
    <t xml:space="preserve">QDB BASE LIQ ACORDEI ASSIM 14N 30ml</t>
  </si>
  <si>
    <t xml:space="preserve">QDB BASE LIQ ACORDEI ASSIM 16Q 30ml</t>
  </si>
  <si>
    <t xml:space="preserve">QDB BRUMA FAC FIX ACORDEI ASSIM 100ml</t>
  </si>
  <si>
    <t xml:space="preserve">QDB GELEIA DES HID CPO PODDELAS 150g</t>
  </si>
  <si>
    <t xml:space="preserve">QDB BAT DIVERTIDA MAKE ROSA/RAD 3,5g</t>
  </si>
  <si>
    <t xml:space="preserve">QDB BAT DIVERTIDA MAKE LILAS/CONTAG 3,5g</t>
  </si>
  <si>
    <t xml:space="preserve">QDB BLUSH CREM DIVERTIDA MAKE CORAL 2,3g</t>
  </si>
  <si>
    <t xml:space="preserve">QDB DEL CAN OLH PODD PRET OI GENTE 1,2ml</t>
  </si>
  <si>
    <t xml:space="preserve">QDB PALETTE MULTIF PODDELAS COR 1 4,2g</t>
  </si>
  <si>
    <t xml:space="preserve">QDB BAT DUO GLOS PODDELAS VERM/INSCR 8ml</t>
  </si>
  <si>
    <t xml:space="preserve">QDB BAT DUO GLOS PODDELAS NUD/DX/LIK 8ml</t>
  </si>
  <si>
    <t xml:space="preserve">QDB BALM LAB JELLY PODD VERM/VIVO 6,5ml</t>
  </si>
  <si>
    <t xml:space="preserve">QDB GEL LIMP FAC SKIN Q 150g</t>
  </si>
  <si>
    <t xml:space="preserve">QDB HID FAC PODDELAS SKINQ 80g</t>
  </si>
  <si>
    <t xml:space="preserve">QDB BST MULTIF HALLOWEEN 1 4,4g</t>
  </si>
  <si>
    <t xml:space="preserve">QDB BST MULTIF HALLOWEEN 2 4,4g</t>
  </si>
  <si>
    <t xml:space="preserve">QDB LAGR/GLIT GEL VERM MULTIF HALLOW 9ml</t>
  </si>
  <si>
    <t xml:space="preserve">QDB PINCEL DUO SOBRANCELHA</t>
  </si>
  <si>
    <t xml:space="preserve">QDB PINCEL MULTIUSO ROSTO</t>
  </si>
  <si>
    <t xml:space="preserve">QDB PINCEL ESFUMADOR SOMBRA</t>
  </si>
  <si>
    <t xml:space="preserve">QDB PINCEL CONTORNO</t>
  </si>
  <si>
    <t xml:space="preserve">QDB PINCEL MULTIPLO ACABAMENTO PS</t>
  </si>
  <si>
    <t xml:space="preserve">QDB PINCEL DELINEAR OLHOS</t>
  </si>
  <si>
    <t xml:space="preserve">QDB PINCEL BLUSH</t>
  </si>
  <si>
    <t xml:space="preserve">QDB PINCEL SUPERACAB PELE PERFEITA</t>
  </si>
  <si>
    <t xml:space="preserve">QDB MALETA MAQUIAGEM G PU</t>
  </si>
  <si>
    <t xml:space="preserve">QDB CREM RENOV FAC PEL/AUGE SKIN Q 30ml</t>
  </si>
  <si>
    <t xml:space="preserve">QDB MASC CILIO BIG BANG 360 10g</t>
  </si>
  <si>
    <t xml:space="preserve">QDB BALM HID LAB MORANGO TANGO 3,5g</t>
  </si>
  <si>
    <t xml:space="preserve">QDB BALM HID LAB AMORA AFLORA 3,5g</t>
  </si>
  <si>
    <t xml:space="preserve">QDB BALM HID LAB MELANCIA FANTASIA 3,5g</t>
  </si>
  <si>
    <t xml:space="preserve">QDB HID FAC TODA REGENERADA SKIN Q 50ml</t>
  </si>
  <si>
    <t xml:space="preserve">QDB BAT LIQ MAT FINERR TERRAC/OUSAD 5ml</t>
  </si>
  <si>
    <t xml:space="preserve">QDB BAT LIQ MAT FINERR TO COM TUDO 5ml</t>
  </si>
  <si>
    <t xml:space="preserve">QDB BAT LIQ MAT FINERR VIN TO PHYNA 5ml</t>
  </si>
  <si>
    <t xml:space="preserve">QDB BAT LIQ MAT FINERR MALV TO BELIS 5ml</t>
  </si>
  <si>
    <t xml:space="preserve">QDB TOALHA DEMAQ ALG</t>
  </si>
  <si>
    <t xml:space="preserve">QDB FAIXA SKIN CARE POLIESTER</t>
  </si>
  <si>
    <t xml:space="preserve">QDB BAT LIQ DUO GLOS 7BELO ROS/UNICO 4ml</t>
  </si>
  <si>
    <t xml:space="preserve">QDB PLT SOBRANCELHAS 4,8g</t>
  </si>
  <si>
    <t xml:space="preserve">ESTJ QDB 7BELO CORPO</t>
  </si>
  <si>
    <t xml:space="preserve">ESTJ QDB 7BELO CORPO/MAKE</t>
  </si>
  <si>
    <t xml:space="preserve">KIT QDB CAIXA P INST 2023 VD</t>
  </si>
  <si>
    <t xml:space="preserve">KIT CAIXA QDB M INST 2023 VD</t>
  </si>
  <si>
    <t xml:space="preserve">KIT CAIXA QDB G INST 2023 VD</t>
  </si>
  <si>
    <t xml:space="preserve">QDB TORRE BRILHO LAB DIVERTIDA MAKE 3g</t>
  </si>
  <si>
    <t xml:space="preserve">QDB BAT LIQ DUO GLOS 7BELO VERM/EXCL 4ml</t>
  </si>
  <si>
    <t xml:space="preserve">QDB EDP MUITO DESOBEDIENTE 100ml</t>
  </si>
  <si>
    <t xml:space="preserve">QDB PLT MULTIFUNCIONAL CELEBRA 21,6g</t>
  </si>
  <si>
    <t xml:space="preserve">QDB NECESSAIRE PES NAT/23</t>
  </si>
  <si>
    <t xml:space="preserve">CARTUCHO PRESENTE QDB NATAL 2023</t>
  </si>
  <si>
    <t xml:space="preserve">QDB LAP BAT 3/1 FABER CASTELL VERM 1,2g</t>
  </si>
  <si>
    <t xml:space="preserve">QDB LAP BAT 3/1 FABER CASTEL DAMASC 1,2g</t>
  </si>
  <si>
    <t xml:space="preserve">QDB LAP BAT 3/1 FABER CASTELL ROSA 1,2g</t>
  </si>
  <si>
    <t xml:space="preserve">QDB CX LAP P/OLH FABER CASTELL 4x1,1g</t>
  </si>
  <si>
    <t xml:space="preserve">QDB MASC CIL FABER CASTELL PRETO 6ml</t>
  </si>
  <si>
    <t xml:space="preserve">QDB PLT SOMB P/COLOR FABER CASTELL 7,6g</t>
  </si>
  <si>
    <t xml:space="preserve">QDB ILUM P/OLH BASTAO FABER CASTELL 5g</t>
  </si>
  <si>
    <t xml:space="preserve">REF QDB ESPUM LIMP NUTR SKINQ LAR 110ml</t>
  </si>
  <si>
    <t xml:space="preserve">QDB PLT MULTIF CAMALEOA 12g</t>
  </si>
  <si>
    <t xml:space="preserve">QDB DIVERTIDA MAKE PLT MULTIF 1 12g</t>
  </si>
  <si>
    <t xml:space="preserve">QDB NECESSAIRE TPU</t>
  </si>
  <si>
    <t xml:space="preserve">QDB BAT LIQ INSTAMATTE ROSETALI 4ml</t>
  </si>
  <si>
    <t xml:space="preserve">QDB BAT LIQ INSTAMATTE MORENALI 4ml</t>
  </si>
  <si>
    <t xml:space="preserve">QDB BAT LIQ INSTAMATTE CASTANHELI 4ml</t>
  </si>
  <si>
    <t xml:space="preserve">QDB BAT LIQ INSTAMATTE MARRONLI 4ml</t>
  </si>
  <si>
    <t xml:space="preserve">QDB BAT LIQ INSTAMATTE GOIABALI 4ml</t>
  </si>
  <si>
    <t xml:space="preserve">QDB BAT LIQ INSTAMATTE VINHELI 4ml</t>
  </si>
  <si>
    <t xml:space="preserve">QDB BAT LIQ INSTAMATTE ROSEIRALI 4ml</t>
  </si>
  <si>
    <t xml:space="preserve">QDB BAT LIQ INSTAMATTE CACAULI 4ml</t>
  </si>
  <si>
    <t xml:space="preserve">QDB BAT LIQ INSTAMATTE AMORLI 4ml</t>
  </si>
  <si>
    <t xml:space="preserve">QDB BAT LIQ INSTAMATTE UVALI 4ml</t>
  </si>
  <si>
    <t xml:space="preserve">QDB BAT LIQ INSTAMATTE BORDOLI 4ml</t>
  </si>
  <si>
    <t xml:space="preserve">QDB BAT LIQ INSTAMATTE BEGELI 4ml</t>
  </si>
  <si>
    <t xml:space="preserve">QDB BAT LIQ INSTAMATTE LILALI 4ml</t>
  </si>
  <si>
    <t xml:space="preserve">QDB BAT LIQ INSTAMATTE TERRACOTALI 4ml</t>
  </si>
  <si>
    <t xml:space="preserve">QDB BAT LIQ INSTAMATTE CARAMELI 4ml</t>
  </si>
  <si>
    <t xml:space="preserve">QDB BAT LIQ INSTAMATTE AMENDOLI 4ml</t>
  </si>
  <si>
    <t xml:space="preserve">QDB BAT LIQ INSTAMATTE MARSALILI 4ml</t>
  </si>
  <si>
    <t xml:space="preserve">QDB BAT LIQ INSTAMATTE MALVALI 4ml</t>
  </si>
  <si>
    <t xml:space="preserve">QDB BAT LIQ INSTAMATTE CEREJALI 4ml</t>
  </si>
  <si>
    <t xml:space="preserve">QDB BAT LIQ INSTAMATTE VERMELHOLI 4ml</t>
  </si>
  <si>
    <t xml:space="preserve">QDB BAT LIQ INSTAMATTE DAMASCOLI 4ml</t>
  </si>
  <si>
    <t xml:space="preserve">QDB BAT LIQ INSTAMATTE AVELALI 4ml</t>
  </si>
  <si>
    <t xml:space="preserve">QDB BAT LIQ INSTAMATTE ROSADOLI 4ml</t>
  </si>
  <si>
    <t xml:space="preserve">QDB BAT LIQ INSTAMATTE CAFELI 4ml</t>
  </si>
  <si>
    <t xml:space="preserve">QDB BAT LIQ INSTAMATTE JABUTICALI 4ml</t>
  </si>
  <si>
    <t xml:space="preserve">QDB BAT LIQ CR DOS SONHOS VERMELITE 4ml</t>
  </si>
  <si>
    <t xml:space="preserve">QDB BAT LIQ INSTAMATTE VERMELI 4ml</t>
  </si>
  <si>
    <t xml:space="preserve">QDB CURVADOR CILIOS ACO CARBONO/SILICONE</t>
  </si>
  <si>
    <t xml:space="preserve">QDB ESPONJA MAQ P/PO CORACAO PES</t>
  </si>
  <si>
    <t xml:space="preserve">QDB KIT DE ESPONJAS DUPLA INFALIVEL</t>
  </si>
  <si>
    <t xml:space="preserve">QDB KIT PINCEIS MAQ</t>
  </si>
  <si>
    <t xml:space="preserve">QDB KIT PINCEIS SUPER COLOR</t>
  </si>
  <si>
    <t xml:space="preserve">QDB NECESS NATAL/SONHOS PES</t>
  </si>
  <si>
    <t xml:space="preserve">QDB PINCEL MULTI EFEITOS</t>
  </si>
  <si>
    <t xml:space="preserve">QDB PINCEL PO/BLUSH</t>
  </si>
  <si>
    <t xml:space="preserve">QDB PINCEL ROSTO SUPER DENSO</t>
  </si>
  <si>
    <t xml:space="preserve">QDB AGUA MICELAR H/POTTER SKINQ 110ml</t>
  </si>
  <si>
    <t xml:space="preserve">QDB GEL LIM FAC AUL/TRANS SKINQ 2/1 100g</t>
  </si>
  <si>
    <t xml:space="preserve">QDB GEL LIMP FAC CBT/OL SKINQ V2 150ml</t>
  </si>
  <si>
    <t xml:space="preserve">KIT QDB SKINQ</t>
  </si>
  <si>
    <t xml:space="preserve">QDB BALM LAB HOGWARTS BOL/CALDEIRAO 3,2g</t>
  </si>
  <si>
    <t xml:space="preserve">QDB BALM LAB HOGWARTS SAPO/CHOC 3,2g</t>
  </si>
  <si>
    <t xml:space="preserve">QDB BALM LAB HOGWARTS SORV/LIMAO 3,2g</t>
  </si>
  <si>
    <t xml:space="preserve">QDB BAS LIQ TINT ALT/COBERT 110Q 30ml</t>
  </si>
  <si>
    <t xml:space="preserve">QDB BAS LIQ TINT ALT/COBERT 180Q 30ml</t>
  </si>
  <si>
    <t xml:space="preserve">QDB BAS LIQ TINT ALT/COBERT 185F 30ml</t>
  </si>
  <si>
    <t xml:space="preserve">QDB BAS LIQ TINT ALT/COBERT 190N 30ml</t>
  </si>
  <si>
    <t xml:space="preserve">QDB BAS LIQ TINT ALT/COBERT 230Q 30ml</t>
  </si>
  <si>
    <t xml:space="preserve">QDB BAS LIQ TINT ALT/COBERT 245F 30ml</t>
  </si>
  <si>
    <t xml:space="preserve">QDB BAS LIQ TINT ALT/COBERT 290F 30ml</t>
  </si>
  <si>
    <t xml:space="preserve">QDB BAS LIQ TINT ALT/COBERT 300N 30ml</t>
  </si>
  <si>
    <t xml:space="preserve">QDB BAS LIQ TO NO GLOW 310Q 30ml</t>
  </si>
  <si>
    <t xml:space="preserve">QDB BAS LIQ TO NO GLOW 330N 30ml</t>
  </si>
  <si>
    <t xml:space="preserve">QDB BAT CREM BERE 120 3,8g</t>
  </si>
  <si>
    <t xml:space="preserve">QDB BAT CREM BERE 223 3,8g</t>
  </si>
  <si>
    <t xml:space="preserve">QDB BAT CREM BERE 227 3,8g</t>
  </si>
  <si>
    <t xml:space="preserve">QDB BAT CREM BERE 260 3,8g</t>
  </si>
  <si>
    <t xml:space="preserve">QDB BAT CREM BERE 270 3,8g</t>
  </si>
  <si>
    <t xml:space="preserve">QDB BAT CREM BERE 280 3,8g</t>
  </si>
  <si>
    <t xml:space="preserve">QDB BAT CREM BERE 310 3,8g</t>
  </si>
  <si>
    <t xml:space="preserve">QDB BAT CREM BERE 350 3,8g</t>
  </si>
  <si>
    <t xml:space="preserve">QDB BAT CREM BERE 420 3,8g</t>
  </si>
  <si>
    <t xml:space="preserve">QDB BAT CREM BERE 540 3,8g</t>
  </si>
  <si>
    <t xml:space="preserve">QDB BAT CREM LARANJA CORALZITO 3,8g</t>
  </si>
  <si>
    <t xml:space="preserve">QDB BAT EF MAT BERE 130 4,0g</t>
  </si>
  <si>
    <t xml:space="preserve">QDB BAT EF MAT BERE 235 4,0g</t>
  </si>
  <si>
    <t xml:space="preserve">QDB BAT EF MAT BERE 330 4,0g</t>
  </si>
  <si>
    <t xml:space="preserve">QDB BAT EF MAT BERE 430 4,0g</t>
  </si>
  <si>
    <t xml:space="preserve">QDB BAT LIQ CREM DOS SONHOS LARANJIT 4ml</t>
  </si>
  <si>
    <t xml:space="preserve">QDB BAT LIQ CREM DOS SONHOS ROSITE 4ml</t>
  </si>
  <si>
    <t xml:space="preserve">QDB BAT LIQ CREM DOS SONHOS ROXITE 4ml</t>
  </si>
  <si>
    <t xml:space="preserve">QDB BAT LIQ CREM DOS SONHOS UVITE 4ml</t>
  </si>
  <si>
    <t xml:space="preserve">QDB BAT LIQ MAT VOL MARROM TAMARALI 4ml</t>
  </si>
  <si>
    <t xml:space="preserve">QDB BAT LIQ MAT VOL ROSA PINKLI 4ml</t>
  </si>
  <si>
    <t xml:space="preserve">QDB BAT LIQ MAT VOL ROSA ROSELI 4ml</t>
  </si>
  <si>
    <t xml:space="preserve">QDB BAT LIQ MAT VOL ROXO AMEIXALI 4ml</t>
  </si>
  <si>
    <t xml:space="preserve">QDB BAT STCK SEMI MAT VOL AMEND V2 3,4g</t>
  </si>
  <si>
    <t xml:space="preserve">QDB BAT STCK SEMI MAT VOL COBRE/LAR 3,4g</t>
  </si>
  <si>
    <t xml:space="preserve">QDB BAT STCK SEMI MAT VOL GOIABA V4 3,4g</t>
  </si>
  <si>
    <t xml:space="preserve">QDB BAT STCK SEMI MAT VOL GOIABA V3 3,4g</t>
  </si>
  <si>
    <t xml:space="preserve">QDB BAT STCK SEMI MAT VOL MARSAL V4 3,4g</t>
  </si>
  <si>
    <t xml:space="preserve">QDB BAT STCK SEMI MAT VOL ROSADO V3 3,4g</t>
  </si>
  <si>
    <t xml:space="preserve">QDB BAT STCK SEMI MAT VOL VERM/RUB 3,4g</t>
  </si>
  <si>
    <t xml:space="preserve">QDB BLUSH COMP AMORATIN 2g</t>
  </si>
  <si>
    <t xml:space="preserve">QDB BLUSH COMP COBRELITO 2g</t>
  </si>
  <si>
    <t xml:space="preserve">QDB BLUSH COMP ROSADINLEX 2g</t>
  </si>
  <si>
    <t xml:space="preserve">QDB BLUSH COMP VERMETIN 2g</t>
  </si>
  <si>
    <t xml:space="preserve">QDB BLUSH LIQ BL/GLW CORAL/PESSEG 15ml</t>
  </si>
  <si>
    <t xml:space="preserve">QDB BLUSH LIQ GUARANA 6,8ml</t>
  </si>
  <si>
    <t xml:space="preserve">QDB CORRET FAC TINT ALT/COB 105 9ml</t>
  </si>
  <si>
    <t xml:space="preserve">QDB GLOS DOS SONHOS CASTANHEX 4ml</t>
  </si>
  <si>
    <t xml:space="preserve">QDB GLOS DOS SONHOS CEREJEX 4ml</t>
  </si>
  <si>
    <t xml:space="preserve">QDB GLOS DOS SONHOS CORALDEX 4ml</t>
  </si>
  <si>
    <t xml:space="preserve">QDB GLOS DOS SONHOS MALVALEX 4ml</t>
  </si>
  <si>
    <t xml:space="preserve">QDB GLOS DOS SONHOS ROXOLEX 4ml</t>
  </si>
  <si>
    <t xml:space="preserve">QDB GLOS DOS SONHOS VERMEDEX 4ml</t>
  </si>
  <si>
    <t xml:space="preserve">QDB GLOSS LAB GUARANA 10ml</t>
  </si>
  <si>
    <t xml:space="preserve">QDB ILUM FAC COMP DOURADIX 5g</t>
  </si>
  <si>
    <t xml:space="preserve">QDB ILUM PO COMP FAC ROSELUZ V3 5g</t>
  </si>
  <si>
    <t xml:space="preserve">QDB LAP 3/1 MULTIF BEGE ATRACAO 1,2g</t>
  </si>
  <si>
    <t xml:space="preserve">QDB LAP 3/1 MULTIF LARANJA VERAO 1,2g</t>
  </si>
  <si>
    <t xml:space="preserve">QDB LAP 3/1 MULTIF MARROM ANIMACAO 1,2g</t>
  </si>
  <si>
    <t xml:space="preserve">QDB LAP OLH BEGETE V4 1,2g</t>
  </si>
  <si>
    <t xml:space="preserve">QDB LAP OLH COBREZIMO V3 1,2g</t>
  </si>
  <si>
    <t xml:space="preserve">QDB LAP OLH MARRONLITO V4 1,2g</t>
  </si>
  <si>
    <t xml:space="preserve">QDB LAP OLH PRETUCO V4 1,2g</t>
  </si>
  <si>
    <t xml:space="preserve">QDB LAP OLH ROSATON V3 1,2g</t>
  </si>
  <si>
    <t xml:space="preserve">QDB LAP OLHOS AZULAX V4 1,2g</t>
  </si>
  <si>
    <t xml:space="preserve">QDB LAPIS SOBRANC ESCURETE 1,14g V2</t>
  </si>
  <si>
    <t xml:space="preserve">QDB LAPIS OLHOS LARANJETE 1,2g</t>
  </si>
  <si>
    <t xml:space="preserve">QDB LAPIS OLHOS LAVANDISSIMA 1,2g</t>
  </si>
  <si>
    <t xml:space="preserve">QDB LAPIS OLHOS PINKETE 1,2g</t>
  </si>
  <si>
    <t xml:space="preserve">QDB LAPIS OLHOS UVISSIMA 1,2g</t>
  </si>
  <si>
    <t xml:space="preserve">QDB MASC CILIOS 4/1 BENEFICIO/SONHOS 10g</t>
  </si>
  <si>
    <t xml:space="preserve">QDB MASC CILIOS BIG BANG V3 10g</t>
  </si>
  <si>
    <t xml:space="preserve">QDB PLT MULTIF BEM VINDO/HOGWARTS 54g</t>
  </si>
  <si>
    <t xml:space="preserve">QDB PRIMER FAC LIQ INSTAMATTE 20ml</t>
  </si>
  <si>
    <t xml:space="preserve">QDB EDP SEMPRE DESOBEDIENTE 100ml</t>
  </si>
  <si>
    <t xml:space="preserve">QDB PR SOL FAC C/COR FPS70 SKINQ 02 40ml</t>
  </si>
  <si>
    <t xml:space="preserve">QDB PR SOL FAC C/COR FPS70 SKINQ 03 40ml</t>
  </si>
  <si>
    <t xml:space="preserve">QDB PR SOL FAC C/COR FPS70 SKINQ 04 40ml</t>
  </si>
  <si>
    <t xml:space="preserve">QDB PR SOL FAC C/COR FPS70 SKINQ 40ml</t>
  </si>
  <si>
    <t xml:space="preserve">QDB PROT SOL FAC FPS70 SKINQ 40ml</t>
  </si>
  <si>
    <t xml:space="preserve">QDB LAPIS OLHOS MARRONLITO 1,2g V1</t>
  </si>
  <si>
    <t xml:space="preserve">QDB LAPIS OLHOS MARRONLITO 1,2G</t>
  </si>
  <si>
    <t xml:space="preserve">QDB PINCEL DUO FIBRA</t>
  </si>
  <si>
    <t xml:space="preserve">QDB PINCEL BLUSH VS2</t>
  </si>
  <si>
    <t xml:space="preserve">QDB DES COL FLOR MAIS ROSA 75ml V3</t>
  </si>
  <si>
    <t xml:space="preserve">QDB ILUM LIQ ROSTO/CPO GUARANA 30ml</t>
  </si>
  <si>
    <t xml:space="preserve">QDB PLT MAQ P/OLHO GUAR/ANTARTICA 4x2,4g</t>
  </si>
  <si>
    <t xml:space="preserve">QDB SAB LIQ CPO GUARANA 200ml</t>
  </si>
  <si>
    <t xml:space="preserve">QDB LOC DES HID CPO GUARANA 200ml</t>
  </si>
  <si>
    <t xml:space="preserve">QDB MASC CILIO BIG BANG 10g V2</t>
  </si>
  <si>
    <t xml:space="preserve">QDB BAT STCK SEMI MAT VOL CASTAN V3 3,4g</t>
  </si>
  <si>
    <t xml:space="preserve">QDB BAT STCK SEMI MAT VOL BORDOL V3 3,4g</t>
  </si>
  <si>
    <t xml:space="preserve">QDB BAT STCK SEMI MAT VOL ROSELE V3 3,4g</t>
  </si>
  <si>
    <t xml:space="preserve">QDB BAT STCK SEMI MAT VOL MARSAL V3 3,4g</t>
  </si>
  <si>
    <t xml:space="preserve">QDB BAT STCK SEMI MAT VOL AMEND V3 3,4g</t>
  </si>
  <si>
    <t xml:space="preserve">QDB BAT STCK SEMI MAT VOL ABOBOR V3 3,4g</t>
  </si>
  <si>
    <t xml:space="preserve">QDB BAT STCK SEMI MAT VOL ROSEIR V3 3,4g</t>
  </si>
  <si>
    <t xml:space="preserve">QDB BASE LIQ INSTAMATTE 230Q 30ml</t>
  </si>
  <si>
    <t xml:space="preserve">QDB BASE LIQ INSTAMATTE 245F 30ml</t>
  </si>
  <si>
    <t xml:space="preserve">QDB BASE LIQ INSTAMATTE 250Q 30ml</t>
  </si>
  <si>
    <t xml:space="preserve">QDB BASE LIQ INSTAMATTE 240F 30ml</t>
  </si>
  <si>
    <t xml:space="preserve">QDB BASE LIQ INSTAMATTE 180Q 30ml</t>
  </si>
  <si>
    <t xml:space="preserve">QDB BASE LIQ INSTAMATTE 140N 30ml</t>
  </si>
  <si>
    <t xml:space="preserve">QDB BASE LIQ INSTAMATTE 280Q 30ml</t>
  </si>
  <si>
    <t xml:space="preserve">QDB BASE LIQ INSTAMATTE 292O 30ml</t>
  </si>
  <si>
    <t xml:space="preserve">QDB BASE LIQ INSTAMATTE 185F 30ml</t>
  </si>
  <si>
    <t xml:space="preserve">QDB BASE LIQ INSTAMATTE 260O 30ml</t>
  </si>
  <si>
    <t xml:space="preserve">QDB BASE LIQ INSTAMATTE 210N 30ml</t>
  </si>
  <si>
    <t xml:space="preserve">QDB BASE LIQ INSTAMATTE 200F 30ml</t>
  </si>
  <si>
    <t xml:space="preserve">QDB BASE LIQ INSTAMATTE 130Q 30ml</t>
  </si>
  <si>
    <t xml:space="preserve">QDB BASE LIQ INSTAMATTE 150F 30ml</t>
  </si>
  <si>
    <t xml:space="preserve">QDB BASE LIQ INSTAMATTE 290F 30ml</t>
  </si>
  <si>
    <t xml:space="preserve">QDB BASE LIQ INSTAMATTE 190N 30ml</t>
  </si>
  <si>
    <t xml:space="preserve">QDB BASE LIQ INSTAMATTE 300N 30ml</t>
  </si>
  <si>
    <t xml:space="preserve">QDB BASE LIQ INSTAMATTE 310Q 30ml</t>
  </si>
  <si>
    <t xml:space="preserve">QDB BASE LIQ INSTAMATTE 220O 30ml</t>
  </si>
  <si>
    <t xml:space="preserve">QDB BASE LIQ INSTAMATTE 225Q 30ml</t>
  </si>
  <si>
    <t xml:space="preserve">QDB BASE LIQ INSTAMATTE 270Q 30ml</t>
  </si>
  <si>
    <t xml:space="preserve">QDB BASE LIQ INSTAMATTE 120N 30ml</t>
  </si>
  <si>
    <t xml:space="preserve">QDB BASE LIQ INSTAMATTE 215Q 30ml</t>
  </si>
  <si>
    <t xml:space="preserve">QDB BASE LIQ INSTAMATTE 110Q 30ml</t>
  </si>
  <si>
    <t xml:space="preserve">QDB BASE LIQ INSTAMATTE 330N 30ml</t>
  </si>
  <si>
    <t xml:space="preserve">QDB BASE LIQ INSTAMATTE 320N 30ml</t>
  </si>
  <si>
    <t xml:space="preserve">QDB BASE LIQ INSTAMATTE 100F 30ml</t>
  </si>
  <si>
    <t xml:space="preserve">QDB GEL REVIT P/OLH V2 15g</t>
  </si>
  <si>
    <t xml:space="preserve">KIT TAG MAES QDB 2023 C/10 VD</t>
  </si>
  <si>
    <t xml:space="preserve">SACOLA ENVELOPE QDB P MAES 2023</t>
  </si>
  <si>
    <t xml:space="preserve">SACOLA QDB G MAES 2023</t>
  </si>
  <si>
    <t xml:space="preserve">CAIXA QDB G MAES 2023</t>
  </si>
  <si>
    <t xml:space="preserve">QDB NECESS GUARANA PU</t>
  </si>
  <si>
    <t xml:space="preserve">QDB LAP OLH VERDEZULEX V3 1,2g</t>
  </si>
  <si>
    <t xml:space="preserve">QDB LAP OLH BRANCOLITO V3 1,2g</t>
  </si>
  <si>
    <t xml:space="preserve">QDB LAP OLH ZUZULINO V3 1,2g</t>
  </si>
  <si>
    <t xml:space="preserve">QDB ESFOLIANTE FACIAL BRIGADEIRO 50g</t>
  </si>
  <si>
    <t xml:space="preserve">QDB MASC / CILIO ALONG RESIST A AGU 10g</t>
  </si>
  <si>
    <t xml:space="preserve">QDB BRUMA FACIAL 110ml</t>
  </si>
  <si>
    <t xml:space="preserve">QDB MASC CILIO VOLUME/DEFINICAO 10g</t>
  </si>
  <si>
    <t xml:space="preserve">QDB BAT VOL LIQ TAMARALI V2 5,5ml</t>
  </si>
  <si>
    <t xml:space="preserve">QDB BAT VOL LIQ ROSELI V2 5,5ml</t>
  </si>
  <si>
    <t xml:space="preserve">QDB BAT VOL LIQ MORANGOLI V2 5,5ml</t>
  </si>
  <si>
    <t xml:space="preserve">QDB BAT VOL LIQ AMORALI V2 5,5ml</t>
  </si>
  <si>
    <t xml:space="preserve">QDB BAT VOL LIQ DAMASCOLI V2 5,5ml</t>
  </si>
  <si>
    <t xml:space="preserve">QDB BAT VOL LIQ AMEIXALI V2 5,5ml</t>
  </si>
  <si>
    <t xml:space="preserve">QDB BAT STCK SEMI MAT VOL TERRAC V3 3,4g</t>
  </si>
  <si>
    <t xml:space="preserve">QDB BALM LAB HIDRATANTE V2 7,5g</t>
  </si>
  <si>
    <t xml:space="preserve">QDB ILUM PO COMP FAC POMO/OURO 5g</t>
  </si>
  <si>
    <t xml:space="preserve">SACOLA ENVELOPE P QDB P INST 2023</t>
  </si>
  <si>
    <t xml:space="preserve">SACOLA G QDB INST 2023</t>
  </si>
  <si>
    <t xml:space="preserve">CAIXA QDB P INST 2023</t>
  </si>
  <si>
    <t xml:space="preserve">CAIXA QDB M INST 2023</t>
  </si>
  <si>
    <t xml:space="preserve">CAIXA QDB  G INST 2023</t>
  </si>
  <si>
    <t xml:space="preserve">SACOLA QDB GG INST 2023</t>
  </si>
  <si>
    <t xml:space="preserve">SACOLA QDB P INST 2023</t>
  </si>
  <si>
    <t xml:space="preserve">SACOLA QDB M INST 2023</t>
  </si>
  <si>
    <t xml:space="preserve">CARTAO PRESENTE QDB INST 2023</t>
  </si>
  <si>
    <t xml:space="preserve">QDB BAT STCK SEMI MAT VOL MARR/CHOC 3,4g</t>
  </si>
  <si>
    <t xml:space="preserve">QDB BAT LIQ MAT VOL VERM/MORANGOLI 4ml</t>
  </si>
  <si>
    <t xml:space="preserve">QDB BAT LIQ MAT VOL ROSA AMORALI 4ml</t>
  </si>
  <si>
    <t xml:space="preserve">QDB BAT LIQ MAT VOL MARR/DAMASCO V3 4ml</t>
  </si>
  <si>
    <t xml:space="preserve">QDB BAT LIQ MAT VOL MARR/CAMURCALI 4ml</t>
  </si>
  <si>
    <t xml:space="preserve">QDB DELINEADOR LIQ INCENDIO 7ml</t>
  </si>
  <si>
    <t xml:space="preserve">QDB DELINEADOR LIQ LUMOS 7ml</t>
  </si>
  <si>
    <t xml:space="preserve">QDB PO COMP FAC TRANSL INSTMAT V2 6g</t>
  </si>
  <si>
    <t xml:space="preserve">QDB PO SLT TRANS INSTMAT ROSELELE V2 10g</t>
  </si>
  <si>
    <t xml:space="preserve">QDB PO SLT TRANS INSTMAT AMARELE V2 10g</t>
  </si>
  <si>
    <t xml:space="preserve">QDB LAP 3/1 MULTIF VERMELHO CORACAO 1,2g</t>
  </si>
  <si>
    <t xml:space="preserve">QDB LAP 3/1 MULTIF ROSA IMAGINACAO 1,2g</t>
  </si>
  <si>
    <t xml:space="preserve">QDB BAS LIQ TINT ALT/COBERT 100F 30ml</t>
  </si>
  <si>
    <t xml:space="preserve">QDB BAS LIQ TINT ALT/COBERT 120N 30ml</t>
  </si>
  <si>
    <t xml:space="preserve">QDB BAS LIQ TINT ALT/COBERT 130Q 30ml</t>
  </si>
  <si>
    <t xml:space="preserve">QDB BAS LIQ TINT ALT/COBERT 140N 30ml</t>
  </si>
  <si>
    <t xml:space="preserve">QDB BAS LIQ TINT ALT/COBERT 150F 30ml</t>
  </si>
  <si>
    <t xml:space="preserve">QDB BAS LIQ TINT ALT/COBERT 200F 30ml</t>
  </si>
  <si>
    <t xml:space="preserve">QDB BAS LIQ TINT ALT/COBERT 210N 30ml</t>
  </si>
  <si>
    <t xml:space="preserve">QDB BAS LIQ TINT ALT/COBERT 215Q 30ml</t>
  </si>
  <si>
    <t xml:space="preserve">QDB BAS LIQ TINT ALT/COBERT 220O 30ml</t>
  </si>
  <si>
    <t xml:space="preserve">QDB BAS LIQ TINT ALT/COBERT 225Q 30ml</t>
  </si>
  <si>
    <t xml:space="preserve">QDB BAS LIQ TINT ALT/COBERT 240F 30ml</t>
  </si>
  <si>
    <t xml:space="preserve">QDB BAS LIQ TINT ALT/COBERT 250Q 30ml</t>
  </si>
  <si>
    <t xml:space="preserve">QDB BAS LIQ TINT ALT/COBERT 260O 30ml</t>
  </si>
  <si>
    <t xml:space="preserve">QDB BAS LIQ TINT ALT/COBERT 270Q 30ml</t>
  </si>
  <si>
    <t xml:space="preserve">QDB BAS LIQ TINT ALT/COBERT 280Q 30ml</t>
  </si>
  <si>
    <t xml:space="preserve">QDB BAS LIQ TINT ALT/COBERT 292O 30ml</t>
  </si>
  <si>
    <t xml:space="preserve">QDB BAS LIQ TINT ALT/COBERT 310Q 30ml</t>
  </si>
  <si>
    <t xml:space="preserve">QDB BAS LIQ TINT ALT/COBERT 320N 30ml</t>
  </si>
  <si>
    <t xml:space="preserve">QDB BAS LIQ TINT ALT/COBERT 330N 30ml</t>
  </si>
  <si>
    <t xml:space="preserve">QDB GLOS DOS SONHOS DOURADEX 4ml</t>
  </si>
  <si>
    <t xml:space="preserve">QDB GLOS DOS SONHOS ROSADEX 4ml</t>
  </si>
  <si>
    <t xml:space="preserve">QDB GLOS DOS SONHOS PURPUREX 4ml</t>
  </si>
  <si>
    <t xml:space="preserve">QDB PRIMER FACIAL 20ml</t>
  </si>
  <si>
    <t xml:space="preserve">QDB CORRET FAC TINT ALT/COB 115 9ml</t>
  </si>
  <si>
    <t xml:space="preserve">QDB CORRET FAC TINT ALT/COB 145 9ml</t>
  </si>
  <si>
    <t xml:space="preserve">QDB CORRET FAC TINT ALT/COB 195 9ml</t>
  </si>
  <si>
    <t xml:space="preserve">QDB CORRET FAC TINT ALT/COB 225 9ml</t>
  </si>
  <si>
    <t xml:space="preserve">QDB CORRET FAC TINT ALT/COB 255 9ml</t>
  </si>
  <si>
    <t xml:space="preserve">QDB CORRET FAC TINT ALT/COB 295 9ml</t>
  </si>
  <si>
    <t xml:space="preserve">QDB CORRET FAC TINT ALT/COB 315 9ml</t>
  </si>
  <si>
    <t xml:space="preserve">QDB CORRET FAC TINT ALT/COB 335 9ml</t>
  </si>
  <si>
    <t xml:space="preserve">QDB BAT LIQ CREM DOS SONHOS MARRONZ 4ml</t>
  </si>
  <si>
    <t xml:space="preserve">QDB BAT MATE LARANJA QUENTITO 3,8g</t>
  </si>
  <si>
    <t xml:space="preserve">QDB BAT MATE ROSA ROSADISSIMO 3,8g</t>
  </si>
  <si>
    <t xml:space="preserve">QDB BAT CREM PINK MAGENTEX 3,8g</t>
  </si>
  <si>
    <t xml:space="preserve">QDB BAT CREM VERMELHO FRAMBOESITA 3,8g</t>
  </si>
  <si>
    <t xml:space="preserve">QDB SAB LIQ MAO/CPO LICHIA V2   200ml</t>
  </si>
  <si>
    <t xml:space="preserve">QDB GEL ESF CPO LICHIA V2 150g</t>
  </si>
  <si>
    <t xml:space="preserve">QDB GLOS DOS SONHOS VINILDEX 4ml</t>
  </si>
  <si>
    <t xml:space="preserve">QDB CORRET FAC TINT ALT/COB VERDE 9ml</t>
  </si>
  <si>
    <t xml:space="preserve">QDB CORRET FAC TINT ALT/COB SALMAO 9ml</t>
  </si>
  <si>
    <t xml:space="preserve">QDB CORRET FAC TINT ALT/COB LARANJA 9ml</t>
  </si>
  <si>
    <t xml:space="preserve">QDB BAT LIQ INSTAMATTE AZALEIALI 4ml</t>
  </si>
  <si>
    <t xml:space="preserve">QDB GEL LIMP FAC SKINQ DOCE/LEITE 150g</t>
  </si>
  <si>
    <t xml:space="preserve">QDB GEL HID FAC CASQUINHA/BAUNILHA 80g</t>
  </si>
  <si>
    <t xml:space="preserve">QDB BAT STCK SEMI MAT VOL MARS/VIN 3,4g</t>
  </si>
  <si>
    <t xml:space="preserve">QDB BAT STCK SEMI MAT VOL ROSEIR V4 3,4g</t>
  </si>
  <si>
    <t xml:space="preserve">QDB BAT STCK SEMI MAT VOL ROSADO V4 3,4g</t>
  </si>
  <si>
    <t xml:space="preserve">QDB BAT STCK SEMI MAT VOL ROSELE V4 3,4g</t>
  </si>
  <si>
    <t xml:space="preserve">QDB NECESS ICONICA 25 PU</t>
  </si>
  <si>
    <t xml:space="preserve">QDB CASE P/ PINCEIS ACES COST PES</t>
  </si>
  <si>
    <t xml:space="preserve">QDB PALETA MULTIFUNCIONAL SONHOS 24,6g</t>
  </si>
  <si>
    <t xml:space="preserve">QDB BAT CREM BERE 340 3,8g</t>
  </si>
  <si>
    <t xml:space="preserve">QDB BAT CREM BERE 250 3,8g</t>
  </si>
  <si>
    <t xml:space="preserve">QDB BAT EF MAT BERE 360 4,0g</t>
  </si>
  <si>
    <t xml:space="preserve">QDB BAT EF MAT BERE 520 4,0g</t>
  </si>
  <si>
    <t xml:space="preserve">QDB GLOS LAB ACUC S/CULPA DOCE/LEITE 4ml</t>
  </si>
  <si>
    <t xml:space="preserve">QDB ESPUM LIMP FAC NUTRIT V2   150ml</t>
  </si>
  <si>
    <t xml:space="preserve">QDB BAS LIQ TO NO GLOW 100F 30ml</t>
  </si>
  <si>
    <t xml:space="preserve">QDB BAS LIQ TO NO GLOW 120N 30ml</t>
  </si>
  <si>
    <t xml:space="preserve">QDB BAS LIQ TO NO GLOW 130Q 30ml</t>
  </si>
  <si>
    <t xml:space="preserve">QDB BAS LIQ TO NO GLOW 180Q 30ml</t>
  </si>
  <si>
    <t xml:space="preserve">QDB LAP OLHOS PRETITO 1,1g</t>
  </si>
  <si>
    <t xml:space="preserve">QDB LAP OLHOS MARRONTITO 1,1g</t>
  </si>
  <si>
    <t xml:space="preserve">QDB BAS LIQ TO NO GLOW 150F 30ml</t>
  </si>
  <si>
    <t xml:space="preserve">QDB BAS LIQ TO NO GLOW 190N 30ml</t>
  </si>
  <si>
    <t xml:space="preserve">QDB BLUSH LIQ BL/GLW PRATA PEROLALI 15ml</t>
  </si>
  <si>
    <t xml:space="preserve">QDB BLUSH LIQ BL/GLW ROS/ROSEDOUREX 15ml</t>
  </si>
  <si>
    <t xml:space="preserve">QDB BLUSH LIQ BL/GLW COBRE COBRETIN 15ml</t>
  </si>
  <si>
    <t xml:space="preserve">QDB BAS LIQ TO NO GLOW 200F 30ml</t>
  </si>
  <si>
    <t xml:space="preserve">QDB BAS LIQ TO NO GLOW 210N 30ml</t>
  </si>
  <si>
    <t xml:space="preserve">QDB BAS LIQ TO NO GLOW 220O 30ml</t>
  </si>
  <si>
    <t xml:space="preserve">QDB BAS LIQ TO NO GLOW 240F 30ml</t>
  </si>
  <si>
    <t xml:space="preserve">QDB BAS LIQ TO NO GLOW 260O 30ml</t>
  </si>
  <si>
    <t xml:space="preserve">QDB BAS LIQ TO NO GLOW 270Q 30ml</t>
  </si>
  <si>
    <t xml:space="preserve">QDB BAS LIQ TO NO GLOW 250Q 30ml</t>
  </si>
  <si>
    <t xml:space="preserve">QDB BAS LIQ TO NO GLOW 280Q 30ml</t>
  </si>
  <si>
    <t xml:space="preserve">QDB BAS LIQ TO NO GLOW 290F 30ml</t>
  </si>
  <si>
    <t xml:space="preserve">QDB BAS LIQ TO NO GLOW 292O 30ml</t>
  </si>
  <si>
    <t xml:space="preserve">QDB BAS LIQ TO NO GLOW 300N 30ml</t>
  </si>
  <si>
    <t xml:space="preserve">QDB BAS LIQ TO NO GLOW 230Q 30ml</t>
  </si>
  <si>
    <t xml:space="preserve">QDB PLT MULTIF NUDETE 7g</t>
  </si>
  <si>
    <t xml:space="preserve">QDB PLT MULTIF ROSELELE 7g</t>
  </si>
  <si>
    <t xml:space="preserve">QDB BLUSH COMP SALVAMOS O DIA JUNTAS 4g</t>
  </si>
  <si>
    <t xml:space="preserve">QDB KIT CAN DEL LIVRES/DETERMINAD 3x0,4g</t>
  </si>
  <si>
    <t xml:space="preserve">QDB HID LAB CEREJA LIVRE VIOLET 6,2g</t>
  </si>
  <si>
    <t xml:space="preserve">QDB HID LAB DELEITE ROSA NUDE 6,2g</t>
  </si>
  <si>
    <t xml:space="preserve">QDB HID LAB LEITE/MEL INCOLOR 6,2g</t>
  </si>
  <si>
    <t xml:space="preserve">QDB HID LAB PESSEGURA CORAL 6,2g</t>
  </si>
  <si>
    <t xml:space="preserve">QDB DES COL BDY SPLSH EXPR/HOGW 200ml</t>
  </si>
  <si>
    <t xml:space="preserve">QDB BASE LIQ LEV TUDO COR 02Q   V2 30ml</t>
  </si>
  <si>
    <t xml:space="preserve">QDB BASE LIQ LEV TUDO COR 03F   V2 30ml</t>
  </si>
  <si>
    <t xml:space="preserve">QDB BASE LIQ LEV TUDO COR 03Q   V2 30ml</t>
  </si>
  <si>
    <t xml:space="preserve">QDB BASE LIQ LEV TUDO COR 10N   V2 30ml</t>
  </si>
  <si>
    <t xml:space="preserve">QDB BASE LIQ LEV TUDO COR 09Q   V2 30ml</t>
  </si>
  <si>
    <t xml:space="preserve">QDB BASE LIQ LEV TUDO COR 04Q   V2 30ml</t>
  </si>
  <si>
    <t xml:space="preserve">QDB BASE LIQ LEV TUDO COR 12Q   V2 30ml</t>
  </si>
  <si>
    <t xml:space="preserve">QDB BASE LIQ LEV TUDO COR 06Q   V2 30ml</t>
  </si>
  <si>
    <t xml:space="preserve">QDB BASE LIQ LEV TUDO COR 07N   V2 30ml</t>
  </si>
  <si>
    <t xml:space="preserve">QDB BAS LIQ LEV TUDO COR 01F   V2 30ml</t>
  </si>
  <si>
    <t xml:space="preserve">QDB CREMAO FAC REPARA/ACALMA   SKIN V2 30g</t>
  </si>
  <si>
    <t xml:space="preserve">QDB GEL LIMP ROST/PESC MEN/SUP/LIND 100g</t>
  </si>
  <si>
    <t xml:space="preserve">QDB HID FAC DOCINHO MENIN/SUPERPOD 40ml</t>
  </si>
  <si>
    <t xml:space="preserve">QDB HID LAB FLORZINHA MENIN/SUPERPOD 9g</t>
  </si>
  <si>
    <t xml:space="preserve">QDB SOMBRA REFIL BRANCAREIA ACETINADA</t>
  </si>
  <si>
    <t xml:space="preserve">QDB SOMBRA REFIL VERDELICIA GLITTER</t>
  </si>
  <si>
    <t xml:space="preserve">QDB PO ILUMINADOR COMPACTO ROSELUZ 5g</t>
  </si>
  <si>
    <t xml:space="preserve">DESODORANTE COLÔNIA O LADO ROSA DA VIDA 10ML</t>
  </si>
  <si>
    <t xml:space="preserve">DESODORANTE COLÔNIA A FLOR MAIS ROSA DO MEU JARDIM 10ML RPC</t>
  </si>
  <si>
    <t xml:space="preserve">QDB PO ILUMINADOR COMP ROSELUZ 5g V2</t>
  </si>
  <si>
    <t xml:space="preserve">QDB LAP OLH MARRONLITO 1,2g V3</t>
  </si>
  <si>
    <t xml:space="preserve">QDB REFIL SOMB ACET BRANCAREIA 1,5g V2</t>
  </si>
  <si>
    <t xml:space="preserve">QDB REFIL SOMB MAT MARRONE 1,5g V2</t>
  </si>
  <si>
    <t xml:space="preserve">QDB REFIL SOMB GLIT VERDELICIA 1,5g V2</t>
  </si>
  <si>
    <t xml:space="preserve">QDB BLUSH LIQ BL/GLW ROSA ROSALIX 15ml</t>
  </si>
  <si>
    <t xml:space="preserve">QDB BLUSH LIQ BL/GLW VERM/LICHIALI 15ml</t>
  </si>
  <si>
    <t xml:space="preserve">QDB BAT LIQ MAT VOL ROSELI ED/LIM 5,5ml</t>
  </si>
  <si>
    <t xml:space="preserve">QDB BAT STCK S/M VOL CASTANH ED/LIM 3,4g</t>
  </si>
  <si>
    <t xml:space="preserve">QDB PLT DUO SOMBRAS 3g</t>
  </si>
  <si>
    <t xml:space="preserve">QDB GLOS LAB CACH/UVA 10ml</t>
  </si>
  <si>
    <t xml:space="preserve">QDB GLOS LAB ALGODAO DOCE 10ml</t>
  </si>
  <si>
    <t xml:space="preserve">QDB BAL HID LAB AMORUDA 6,2g</t>
  </si>
  <si>
    <t xml:space="preserve">CAIXA ESPECIAL M QDB HP/24</t>
  </si>
  <si>
    <t xml:space="preserve">QDB PLT SOMBRAS CHAME AS MENINAS 4g</t>
  </si>
  <si>
    <t xml:space="preserve">QDB LIP OIL VERM ME SIGAM MENINAS 9,5ml</t>
  </si>
  <si>
    <t xml:space="preserve">QDB LIP OIL ROSA POD SER DURONAS 9,5ml</t>
  </si>
  <si>
    <t xml:space="preserve">QDB LIP OIL TRANSL ESSE MEU JEITO 9,5ml</t>
  </si>
  <si>
    <t xml:space="preserve">REF QDB ESP LIM F NUT SKINQ LAR V2 110ml</t>
  </si>
  <si>
    <t xml:space="preserve">CARTUCHO PRESENTE QDB/24</t>
  </si>
  <si>
    <t xml:space="preserve">QDB BAT LIQ CR DOS SONHOS MARRONZ V2 4ml</t>
  </si>
  <si>
    <t xml:space="preserve">QDB BAT LIQ CR DOS SONHOS VERMEL V2 4ml</t>
  </si>
  <si>
    <t xml:space="preserve">QDB SRUM FAC PREENCHE TUDO SKINQ V2 30ml</t>
  </si>
  <si>
    <t xml:space="preserve">QDB SRUM FAC LEVANTA TUDO SKINQ V2 30ml</t>
  </si>
  <si>
    <t xml:space="preserve">QDB SRUM REST FAC ACOR/GLW SKINQ V2 30ml</t>
  </si>
  <si>
    <t xml:space="preserve">QDB BAT LIQ CR DOS SONHOS ROSITE V2 4ml</t>
  </si>
  <si>
    <t xml:space="preserve">QDB BAT LIQ CR DOS SONHOS ROXITE V2 4ml</t>
  </si>
  <si>
    <t xml:space="preserve">QDB BAT LIQ CR DOS SONHOS LARANJ V2 4ml</t>
  </si>
  <si>
    <t xml:space="preserve">QDB BAT LIQ CR DOS SONHOS UVITE V2 4ml</t>
  </si>
  <si>
    <t xml:space="preserve">CAR PRESENTE QDB NAT/24</t>
  </si>
  <si>
    <t xml:space="preserve">QDB BOLSA MENINAS SUPERPODEROSAS PES</t>
  </si>
  <si>
    <t xml:space="preserve">QDB BALM LAB CREAM ROSA TOD/LINDINHA 5g</t>
  </si>
  <si>
    <t xml:space="preserve">QDB BALM LAB CREAM VERM TOD/FLORZINHA 5g</t>
  </si>
  <si>
    <t xml:space="preserve">QDB BALM LAB CREAM MARROM TOD/DOCINHO 5g</t>
  </si>
  <si>
    <t xml:space="preserve">QDB LOC DES HID CPO ILUM AULA/FEIT 180ml</t>
  </si>
  <si>
    <t xml:space="preserve">CINTA P/CX M QDB MSP 2025</t>
  </si>
  <si>
    <t xml:space="preserve">CARTUCHO PRESENTE QDB MSP 2025</t>
  </si>
  <si>
    <t xml:space="preserve">QDB LENCO REMOVEDOR OLEOSIDADE C/50 UN</t>
  </si>
  <si>
    <t xml:space="preserve">QDB JELLY TINT BLUSH PINK FRESH 5g</t>
  </si>
  <si>
    <t xml:space="preserve">QDB JELLY TINT BLUSH BORDO FRESH 5g</t>
  </si>
  <si>
    <t xml:space="preserve">QDB BALM LAB HID BANANA 6,2g</t>
  </si>
  <si>
    <t xml:space="preserve">QDB BALM LAB HID FRAMBOESA 6,2g</t>
  </si>
  <si>
    <t xml:space="preserve">QDB LAP OLHOS MARRONZIX 1,2g</t>
  </si>
  <si>
    <t xml:space="preserve">QDB PO SLT TO NO GLOW 1 9g</t>
  </si>
  <si>
    <t xml:space="preserve">QDB PO SLT TO NO GLOW 2 9g</t>
  </si>
  <si>
    <t xml:space="preserve">QDB PO SLT TO NO GLOW 3 9g</t>
  </si>
  <si>
    <t xml:space="preserve">QDB PO SLT TO NO GLOW 4 9g</t>
  </si>
  <si>
    <t xml:space="preserve">QDB PLT MULTIF TO NO GLOW 14,2g</t>
  </si>
  <si>
    <t xml:space="preserve">QDB PO SLT TO NO GLOW 5 9g</t>
  </si>
  <si>
    <t xml:space="preserve">QDB LIMPA PINCEIS SANEANTE/TAPETINHO 40g</t>
  </si>
  <si>
    <t xml:space="preserve">QDB BAT MAT ALT/PIG ROSACIA RPCK V2 3,8g</t>
  </si>
  <si>
    <t xml:space="preserve">QDB BAT MAT ALT/PIG AMORAND RPCK V2 3,8g</t>
  </si>
  <si>
    <t xml:space="preserve">QDB BAT MAT ALT/PIG MARRONT RPCK V2 3,8g</t>
  </si>
  <si>
    <t xml:space="preserve">QDB BAT MAT ALT/PIG NUDETOM RPCK V2 3,8g</t>
  </si>
  <si>
    <t xml:space="preserve">QDB BAT MAT ALT/PIG MALVEN RPCK V2 3,8g</t>
  </si>
  <si>
    <t xml:space="preserve">QDB BAT MAT ALT/PIG VERM RPCK V2 3,8g</t>
  </si>
  <si>
    <t xml:space="preserve">QDB BAT MAT ALT/PIG VINHOM RPCK V2 3,8g</t>
  </si>
  <si>
    <t xml:space="preserve">QDB BATOM MATE ALT/PIG CAST RPCK V2 3,8g</t>
  </si>
  <si>
    <t xml:space="preserve">CHAVEIRO GLOSS QDB 2025</t>
  </si>
  <si>
    <t xml:space="preserve">QDB MASC/CILIO POP 10g</t>
  </si>
  <si>
    <t xml:space="preserve">QDB BASE LIQ POP 100F 30ml</t>
  </si>
  <si>
    <t xml:space="preserve">QDB BASE LIQ POP 120N 30ml</t>
  </si>
  <si>
    <t xml:space="preserve">QDB BASE LIQ POP 140N 30ml</t>
  </si>
  <si>
    <t xml:space="preserve">QDB BASE LIQUIDA POP 150Q 30ml</t>
  </si>
  <si>
    <t xml:space="preserve">QDB BASE LIQ POP 180Q 30ml</t>
  </si>
  <si>
    <t xml:space="preserve">QDB BASE LIQ POP 200N 30ml</t>
  </si>
  <si>
    <t xml:space="preserve">QDB BASE LIQ POP 210Q 30ml</t>
  </si>
  <si>
    <t xml:space="preserve">QDB BASE LIQ POP 230Q 30ml</t>
  </si>
  <si>
    <t xml:space="preserve">QDB BASE LIQ POP 240F 30ml</t>
  </si>
  <si>
    <t xml:space="preserve">QDB BASE LIQ POP 260OQ 30ml</t>
  </si>
  <si>
    <t xml:space="preserve">QDB BASE LIQ POP 270Q 30ml</t>
  </si>
  <si>
    <t xml:space="preserve">QDB BASE LIQ POP 290N 30ml</t>
  </si>
  <si>
    <t xml:space="preserve">QDB BAT CREM POP ROSA MALVA 3,6g</t>
  </si>
  <si>
    <t xml:space="preserve">QDB BAT CREM POP ROSA RADIANTE 3,6g</t>
  </si>
  <si>
    <t xml:space="preserve">QDB BAT CREM POP NUDE AVELA 3,6g</t>
  </si>
  <si>
    <t xml:space="preserve">QDB BAT SEMIMATE POP MARR/GLACE 3,6g</t>
  </si>
  <si>
    <t xml:space="preserve">QDB BAT SEMIMATE POP ROS/SUPREMO 3,6g</t>
  </si>
  <si>
    <t xml:space="preserve">QDB BAT SEMIMATE POP VERM/ICONICO 3,6g</t>
  </si>
  <si>
    <t xml:space="preserve">QDB BASE LIQ POP 300Q 30ml</t>
  </si>
  <si>
    <t xml:space="preserve">QDB BASE LIQ POP 310Q 30ml</t>
  </si>
  <si>
    <t xml:space="preserve">QDB BASE LIQ POP 330F 30ml</t>
  </si>
  <si>
    <t xml:space="preserve">QDB BASE LIQ POP 345OF 30ml</t>
  </si>
  <si>
    <t xml:space="preserve">AU MIGOS PETS SHAMP PELOS CLAROS 400ml</t>
  </si>
  <si>
    <t>AU.MIGOS</t>
  </si>
  <si>
    <t xml:space="preserve">CUIDADOS PETS</t>
  </si>
  <si>
    <t xml:space="preserve">AU MIGOS PETS SHAMP FILHOTES 400ml</t>
  </si>
  <si>
    <t xml:space="preserve">AU MIGOS PETS LIMP/HID PAT ADULTOS 120ml</t>
  </si>
  <si>
    <t xml:space="preserve">AU MIGOS PETS SHAMP 5/1 ADULTOS 400ml</t>
  </si>
  <si>
    <t xml:space="preserve">AU MIGOS PETS COND ADULTOS 400ml</t>
  </si>
  <si>
    <t xml:space="preserve">AU MIGOS PETS COL FILHOTES 60ml</t>
  </si>
  <si>
    <t xml:space="preserve">AU MIGOS PETS BANHO SECO ADULTOS 240ml</t>
  </si>
  <si>
    <t xml:space="preserve">AU MIGOS PETS COL ADULTOS 60ml</t>
  </si>
  <si>
    <t xml:space="preserve">AU MIGOS PETS LENCO UMED ADULT 50UN</t>
  </si>
  <si>
    <t xml:space="preserve">AU MIGOS PETS COL ADULT CHAMEGO 60ml</t>
  </si>
  <si>
    <t xml:space="preserve">EDP FLEURS ETERNELLES - LA VIOLETTE 75ML</t>
  </si>
  <si>
    <t>O.U.I</t>
  </si>
  <si>
    <t xml:space="preserve">EDP FLEURS ETERNELLES - L’HYSOPE 75ML</t>
  </si>
  <si>
    <t xml:space="preserve">EDP FLEURS ETERNELLES - LA JONQUILLE 75ML</t>
  </si>
  <si>
    <t xml:space="preserve">O.U.i Sacola Pequena</t>
  </si>
  <si>
    <t xml:space="preserve">O.U.i Sacola Media</t>
  </si>
  <si>
    <t xml:space="preserve">O.U.i Sacola Grande</t>
  </si>
  <si>
    <t xml:space="preserve">O.U.i Kit Caixa Pequena</t>
  </si>
  <si>
    <t xml:space="preserve">O.U.i Kit Caixa Media unitario</t>
  </si>
  <si>
    <t xml:space="preserve">O.U.i kit Caixa Grande unitario</t>
  </si>
  <si>
    <t xml:space="preserve">OUI EDP ÉLÉGANCE ROYALE 115 75ml</t>
  </si>
  <si>
    <t xml:space="preserve">OUI EDP MYSTERE ROYAL 084 75ml</t>
  </si>
  <si>
    <t xml:space="preserve">OUI SAB BARRA LAMOURESSE 90g</t>
  </si>
  <si>
    <t xml:space="preserve">OUI SAB BARRA ICONIQUE 90g</t>
  </si>
  <si>
    <t xml:space="preserve">OUI RECHARGE EDP LA VILLETTE 470 75ml</t>
  </si>
  <si>
    <t xml:space="preserve">OUI RECHARGE EDP MADELEINE 862 75ml</t>
  </si>
  <si>
    <t xml:space="preserve">OUI RECHARGE EDP ICONIQUE 001 75ml</t>
  </si>
  <si>
    <t xml:space="preserve">OUI RECHARGE EDP HOTEL DE VILLE 193 75ml</t>
  </si>
  <si>
    <t xml:space="preserve">OUI RECHARGE CREME RICHE LAMOURESSE 200g</t>
  </si>
  <si>
    <t xml:space="preserve">OUI SAVON BARBE HOMME 90g</t>
  </si>
  <si>
    <t xml:space="preserve">OUI EDP RIVIERE BLEUE 30ml</t>
  </si>
  <si>
    <t xml:space="preserve">OUI EDP PARADIS ROUGE 30ml</t>
  </si>
  <si>
    <t xml:space="preserve">OUI SAB BARR JARDIN DE GRASSE 90g</t>
  </si>
  <si>
    <t xml:space="preserve">Necessaire Feminina</t>
  </si>
  <si>
    <t xml:space="preserve">Necessaire Masculina</t>
  </si>
  <si>
    <t xml:space="preserve">OUI EDP JARDIN DE GRASSE 115ml</t>
  </si>
  <si>
    <t xml:space="preserve">OUI EDP JD/GRASSE ROSE 100ml</t>
  </si>
  <si>
    <t xml:space="preserve">OUI EDP SCAPIN 245 INTENSE 75ML</t>
  </si>
  <si>
    <t xml:space="preserve">OUI EDP JD/GRASSE C/VALVULA 100ml</t>
  </si>
  <si>
    <t xml:space="preserve">OUI SAB LIQ MULTIF JD/GRASSE ROSE 400ml</t>
  </si>
  <si>
    <t xml:space="preserve">OUI SAB BARR JD/GRASSE ROSE 90g</t>
  </si>
  <si>
    <t xml:space="preserve">OUI CR DES HID CPO JD/GRASSE ROSE 400ml</t>
  </si>
  <si>
    <t xml:space="preserve">OUI CR MÃOS MADELEINE 30G</t>
  </si>
  <si>
    <t xml:space="preserve">OUI CR RICHE SCAPIN 245 INTENSE 200G</t>
  </si>
  <si>
    <t xml:space="preserve">OUI CREME MULTIFONCTIONNELLE PÓS BARBA 50g</t>
  </si>
  <si>
    <t xml:space="preserve">OUI EDP ICONIQUE 001 INTENSE 75ML</t>
  </si>
  <si>
    <t xml:space="preserve">OUI SHOWER GEL ICONIQUE 001 INTENSE 200g</t>
  </si>
  <si>
    <t xml:space="preserve">OUI LOC HIDR ÉLÉGANCE ROYALE 400ML</t>
  </si>
  <si>
    <t xml:space="preserve">OUI DES ANTIT AER H/VILLE 193 V2 75g</t>
  </si>
  <si>
    <t xml:space="preserve">OUI CREME À RASER 100g</t>
  </si>
  <si>
    <t xml:space="preserve">OUI CR HID MAO JD/GRASSE ROSE 30g</t>
  </si>
  <si>
    <t xml:space="preserve">OUI DES ANTIT AER LEXPERIENCE 706 V2 75g</t>
  </si>
  <si>
    <t xml:space="preserve">OUI DES ANTIT AER ICONIQUE V2 75g</t>
  </si>
  <si>
    <t xml:space="preserve">OUI SHW GEL CAB/CPO LE FLANEUR 020 200g</t>
  </si>
  <si>
    <t xml:space="preserve">OUI EDP LE FLANEUR 020 75ml</t>
  </si>
  <si>
    <t xml:space="preserve">OUI EDP LOR DE LA MEDITERRANEE MASC 75ml</t>
  </si>
  <si>
    <t xml:space="preserve">OUI EDP LOR DE LA MEDITERRANEE FEM 75ml</t>
  </si>
  <si>
    <t xml:space="preserve">OUI CREM DES RICHE LA VILLETTE 200g</t>
  </si>
  <si>
    <t xml:space="preserve">OUI LOC DES HID CPO LA VILLETTE 400ml</t>
  </si>
  <si>
    <t xml:space="preserve">OUI SHW GEL CAB/CPO LOR DE MEDIT 200g</t>
  </si>
  <si>
    <t xml:space="preserve">OUI LOC DES HID CPO LOR DE MEDIT 200ml</t>
  </si>
  <si>
    <t xml:space="preserve">OUI EDP MADELEINE 862 LA PISTACHERIE 75ML</t>
  </si>
  <si>
    <t xml:space="preserve">OUI CR RICH DES H CP MAD862 LA/PIST 200g</t>
  </si>
  <si>
    <t xml:space="preserve">Kit O.U.i Scapin 245 (3 itens)</t>
  </si>
  <si>
    <t xml:space="preserve">Kit O.U.i Iconique 001 (3 itens)</t>
  </si>
  <si>
    <t xml:space="preserve">Kit O.U.i Jardin de Grasse (3 itens)</t>
  </si>
  <si>
    <t xml:space="preserve">OUI EDP JD/GR/SAUG/BLANCH 100ml</t>
  </si>
  <si>
    <t xml:space="preserve">OUI SAB LIQ MULTIF JD/GR/SG/BLANCH 200ml</t>
  </si>
  <si>
    <t xml:space="preserve">OUI CR HID MAOS JD/GR/SAUG/BLANCH 30g</t>
  </si>
  <si>
    <t xml:space="preserve">OUI LOC DES HID CP JD/GR/SAUG/BLAN 200ml</t>
  </si>
  <si>
    <t xml:space="preserve">OUI SAB BARR JD/GR/SAUG/BLANCH 90g</t>
  </si>
  <si>
    <t xml:space="preserve">OUI EDP LE CHARMEUR 250 75ml</t>
  </si>
  <si>
    <t xml:space="preserve">OUI LOC DES HID CPO L/CHARM 250 200ml</t>
  </si>
  <si>
    <t xml:space="preserve">ESTJ OUI EDP LA COLLECTION FEM 3x5ml</t>
  </si>
  <si>
    <t xml:space="preserve">ESTJ OUI EDP LA COLLECTION MASC 3x5ml</t>
  </si>
  <si>
    <t xml:space="preserve">OUI JARDIN DE GRASSE LOÇÃO DESODORANTE HIDRATANTE CORPORAL, 200 ml</t>
  </si>
  <si>
    <t xml:space="preserve">OUI SHW GEL ICONIQUE 200g</t>
  </si>
  <si>
    <t xml:space="preserve">EAU DE PARFUM SCAPIN 245, 75 ml</t>
  </si>
  <si>
    <t xml:space="preserve">EAU DE PARFUM L'AMOUR-ESSE 142, 75 ml</t>
  </si>
  <si>
    <t xml:space="preserve">EAU DE PARFUM MADELEINE 862, 75 ml</t>
  </si>
  <si>
    <t xml:space="preserve">EAU DE PARFUM LA VILETTE 470, 75 ml</t>
  </si>
  <si>
    <t xml:space="preserve">EAU DE PARFUM L’ EXPÉRIENCE 706, 75 ml</t>
  </si>
  <si>
    <t xml:space="preserve">EAU DE PARFUM ICONIQUE 001, 75 ml</t>
  </si>
  <si>
    <t xml:space="preserve">EAU DE PARFUM JARDIN DE GRASSE, 115 ml</t>
  </si>
  <si>
    <t xml:space="preserve">REFIL EAU DE PARFUM SCAPIN 245, 75 ml</t>
  </si>
  <si>
    <t xml:space="preserve">REFIL EAU DE PARFUM L'AMOUR-ESSE 142, 75 ml</t>
  </si>
  <si>
    <t xml:space="preserve">REFIL EAU DE PARFUM L’ EXPÉRIENCE 706, 75 ml</t>
  </si>
  <si>
    <t xml:space="preserve">CRÈME RICHE SCAPIN 245, 200 g</t>
  </si>
  <si>
    <t xml:space="preserve">REFIL CRÈME RICHE SCAPIN 245, 200 g</t>
  </si>
  <si>
    <t xml:space="preserve">CRÈME RICHE L'AMOUR-ESSE 142, 200 g</t>
  </si>
  <si>
    <t xml:space="preserve">LOÇÃO HIDRATANTE SCAPIN 245, 400 ml</t>
  </si>
  <si>
    <t xml:space="preserve">LOÇÃO HIDRATANTE L'AMOUR-ESSE 142, 400 ml</t>
  </si>
  <si>
    <t xml:space="preserve">CREME DE MÃOS ESSENTIELLE, 30g</t>
  </si>
  <si>
    <t xml:space="preserve">CREME DE MÃOS JARDIN DE GRASSE, 30g</t>
  </si>
  <si>
    <t xml:space="preserve">SABONETE L'AMOUR-ESSE 142, 190 g</t>
  </si>
  <si>
    <t xml:space="preserve">SABONETE JARDIN DE GRASSE, 190 g</t>
  </si>
  <si>
    <t xml:space="preserve">SABONETE LÍQUIDO JARDIN DE GRASSE, 400 ml</t>
  </si>
  <si>
    <t xml:space="preserve">CREME ESFOLIANTE REGENERADOR, 200 g</t>
  </si>
  <si>
    <t xml:space="preserve">ÓLEO ABSLUTO REVITALIZANTE, 100 ml</t>
  </si>
  <si>
    <t xml:space="preserve">BATOM ROUGE À LÈVRES, 3,5 g</t>
  </si>
  <si>
    <t xml:space="preserve">LA COLLECTION 01 - scapin 245, 5 ml, l'amour-esse 142, 5 ml e madeleine 862, 5 ml</t>
  </si>
  <si>
    <t xml:space="preserve">EAU DE PARFUM HÔTEL DE VILLE 193, 75 ml</t>
  </si>
  <si>
    <t xml:space="preserve">OUI LT HID DES CPO MADEL 862 400ml</t>
  </si>
  <si>
    <t xml:space="preserve">OUI LT HID DES CPO PARADIS ROUGE 400ml</t>
  </si>
  <si>
    <t xml:space="preserve">OUI CREM HID DES CPO MADEL 862 200g</t>
  </si>
  <si>
    <t xml:space="preserve">OUI CREM HID DES CPO PARADIS ROUGE 200g</t>
  </si>
  <si>
    <t xml:space="preserve">OUI EDP SCAPIN 245 30ml</t>
  </si>
  <si>
    <t xml:space="preserve">OUI EDP LAMOURESSE 142 30ml</t>
  </si>
  <si>
    <t xml:space="preserve">OUI EDP MADELEINE 862 30ml</t>
  </si>
  <si>
    <t xml:space="preserve">OUI EDP LA VILLETTE 470 30ml</t>
  </si>
  <si>
    <t xml:space="preserve">OUI EDP LEXPERIENCE 706 30ml</t>
  </si>
  <si>
    <t xml:space="preserve">OUI EDP ICONIQUE 001 30ml</t>
  </si>
  <si>
    <t xml:space="preserve">OUI EDP RIVIERE BLEUE 75ml</t>
  </si>
  <si>
    <t xml:space="preserve">OUI EDP PARADIS ROUGE 75ml</t>
  </si>
  <si>
    <t xml:space="preserve">OUI EDP HOTEL DE VILLE 193 30ml</t>
  </si>
  <si>
    <t xml:space="preserve">OUI CREM HID MAO SCAPIN 245 30g</t>
  </si>
  <si>
    <t xml:space="preserve">OUI SAB BARR SAVON PARFUM ICONIQUE 190g</t>
  </si>
  <si>
    <t xml:space="preserve">OUI EDP SCAPIN 245 V2 75ml</t>
  </si>
  <si>
    <t xml:space="preserve">OUI EDP ICONIQUE 001 V2 75ml</t>
  </si>
  <si>
    <t xml:space="preserve">OUI EDP LEXPERIENCE V2 75ml</t>
  </si>
  <si>
    <t xml:space="preserve">OUI EDP LA VILLETTE 470 V2 75ml</t>
  </si>
  <si>
    <t xml:space="preserve">OUI NECESSAIRE PU</t>
  </si>
  <si>
    <t xml:space="preserve">ESTJ OUI EDP LA COLLECTION MASC V2</t>
  </si>
  <si>
    <t xml:space="preserve">Kit Presente Madeleine (3 itens)</t>
  </si>
  <si>
    <t xml:space="preserve">Kit Presente Iconique 001 Intense (2 itens)</t>
  </si>
  <si>
    <t xml:space="preserve">OUI CR DES HID CPO JD/GR/ROS V2 400ml</t>
  </si>
  <si>
    <t xml:space="preserve">REF OUI EDP ICONIQUE 001 V2 75ml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</si>
</sst>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_-&quot;R$&quot;* #,##0.00_-;\-&quot;R$&quot;* #,##0.00_-;_-&quot;R$&quot;* &quot;-&quot;??_-;_-@"/>
  </numFmts>
  <fonts count="4">
    <font>
      <sz val="11.000000"/>
      <color theme="1"/>
      <name val="Calibri"/>
      <scheme val="minor"/>
    </font>
    <font>
      <b/>
      <sz val="9.000000"/>
      <color indexed="65"/>
      <name val="IBM Plex Sans"/>
    </font>
    <font>
      <b/>
      <sz val="9.000000"/>
      <color theme="1"/>
      <name val="IBM Plex Sans"/>
    </font>
    <font>
      <sz val="9.000000"/>
      <color theme="1"/>
      <name val="IBM Plex Sans"/>
    </font>
  </fonts>
  <fills count="7">
    <fill>
      <patternFill patternType="none"/>
    </fill>
    <fill>
      <patternFill patternType="gray125"/>
    </fill>
    <fill>
      <patternFill patternType="solid">
        <fgColor rgb="FF06A472"/>
        <bgColor rgb="FF06A472"/>
      </patternFill>
    </fill>
    <fill>
      <patternFill patternType="solid">
        <fgColor rgb="FFD8D8D8"/>
        <bgColor rgb="FFD8D8D8"/>
      </patternFill>
    </fill>
    <fill>
      <patternFill patternType="solid">
        <fgColor rgb="FFC5E0B3"/>
        <bgColor rgb="FFC5E0B3"/>
      </patternFill>
    </fill>
    <fill>
      <patternFill patternType="solid">
        <fgColor indexed="65"/>
        <bgColor indexed="65"/>
      </patternFill>
    </fill>
    <fill>
      <patternFill patternType="solid">
        <fgColor theme="0"/>
        <bgColor theme="0"/>
      </patternFill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18">
    <xf fontId="0" fillId="0" borderId="0" numFmtId="0" xfId="0"/>
    <xf fontId="1" fillId="2" borderId="0" numFmtId="0" xfId="0" applyFont="1" applyFill="1" applyAlignment="1">
      <alignment horizontal="center" vertical="center"/>
    </xf>
    <xf fontId="2" fillId="3" borderId="0" numFmtId="164" xfId="0" applyNumberFormat="1" applyFont="1" applyFill="1" applyAlignment="1">
      <alignment horizontal="center" vertical="center" wrapText="1"/>
    </xf>
    <xf fontId="2" fillId="4" borderId="0" numFmtId="10" xfId="0" applyNumberFormat="1" applyFont="1" applyFill="1" applyAlignment="1">
      <alignment horizontal="center" vertical="center" wrapText="1"/>
    </xf>
    <xf fontId="1" fillId="2" borderId="0" numFmtId="0" xfId="0" applyFont="1" applyFill="1" applyAlignment="1">
      <alignment horizontal="center" vertical="center" wrapText="1"/>
    </xf>
    <xf fontId="3" fillId="5" borderId="0" numFmtId="0" xfId="0" applyFont="1" applyFill="1" applyAlignment="1">
      <alignment horizontal="center"/>
    </xf>
    <xf fontId="3" fillId="0" borderId="0" numFmtId="10" xfId="0" applyNumberFormat="1" applyFont="1" applyAlignment="1">
      <alignment horizontal="left" vertical="center"/>
    </xf>
    <xf fontId="3" fillId="0" borderId="0" numFmtId="10" xfId="0" applyNumberFormat="1" applyFont="1" applyAlignment="1">
      <alignment horizontal="center" vertical="center"/>
    </xf>
    <xf fontId="3" fillId="5" borderId="0" numFmtId="10" xfId="0" applyNumberFormat="1" applyFont="1" applyFill="1" applyAlignment="1">
      <alignment horizontal="center"/>
    </xf>
    <xf fontId="3" fillId="5" borderId="0" numFmtId="164" xfId="0" applyNumberFormat="1" applyFont="1" applyFill="1" applyAlignment="1">
      <alignment horizontal="center"/>
    </xf>
    <xf fontId="3" fillId="0" borderId="0" numFmtId="164" xfId="0" applyNumberFormat="1" applyFont="1" applyAlignment="1">
      <alignment horizontal="center"/>
    </xf>
    <xf fontId="3" fillId="6" borderId="0" numFmtId="0" xfId="0" applyFont="1" applyFill="1" applyAlignment="1">
      <alignment horizontal="center"/>
    </xf>
    <xf fontId="3" fillId="6" borderId="0" numFmtId="1" xfId="0" applyNumberFormat="1" applyFont="1" applyFill="1" applyAlignment="1">
      <alignment horizontal="center"/>
    </xf>
    <xf fontId="3" fillId="6" borderId="0" numFmtId="0" xfId="0" applyFont="1" applyFill="1" applyAlignment="1">
      <alignment horizontal="left"/>
    </xf>
    <xf fontId="3" fillId="0" borderId="0" numFmtId="0" xfId="0" applyFont="1" applyAlignment="1">
      <alignment horizontal="center" vertical="center"/>
    </xf>
    <xf fontId="3" fillId="5" borderId="0" numFmtId="1" xfId="0" applyNumberFormat="1" applyFont="1" applyFill="1" applyAlignment="1">
      <alignment horizontal="center"/>
    </xf>
    <xf fontId="3" fillId="0" borderId="0" numFmtId="0" xfId="0" applyFont="1" applyAlignment="1">
      <alignment horizontal="center"/>
    </xf>
    <xf fontId="3" fillId="6" borderId="0" numFmtId="164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178" zoomScale="100" workbookViewId="0">
      <selection activeCell="A1" activeCellId="0" sqref="A1"/>
    </sheetView>
  </sheetViews>
  <sheetFormatPr defaultRowHeight="14.25"/>
  <cols>
    <col customWidth="1" min="1" max="1" width="11.130000000000001"/>
    <col customWidth="1" min="2" max="2" width="60.630000000000003"/>
    <col customWidth="1" min="3" max="3" width="20.879999999999999"/>
    <col customWidth="1" min="4" max="4" width="22.629999999999999"/>
    <col customWidth="1" min="5" max="5" width="37.630000000000003"/>
    <col customWidth="1" min="6" max="6" width="21.379999999999999"/>
    <col customWidth="1" min="7" max="7" width="15"/>
    <col customWidth="1" min="8" max="8" width="14"/>
    <col customWidth="1" min="9" max="9" width="10.880000000000001"/>
  </cols>
  <sheetData>
    <row r="1" ht="14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4" t="s">
        <v>6</v>
      </c>
      <c r="H1" s="4" t="s">
        <v>7</v>
      </c>
      <c r="I1" s="4" t="s">
        <v>8</v>
      </c>
    </row>
    <row r="2" ht="14.25">
      <c r="A2" s="5">
        <v>73607</v>
      </c>
      <c r="B2" s="6" t="s">
        <v>9</v>
      </c>
      <c r="C2" s="7" t="s">
        <v>10</v>
      </c>
      <c r="D2" s="7" t="s">
        <v>11</v>
      </c>
      <c r="E2" s="5" t="s">
        <v>12</v>
      </c>
      <c r="F2" s="8"/>
      <c r="G2" s="9">
        <f>H2*(1-15%)*(1-F2)</f>
        <v>178.41499999999999</v>
      </c>
      <c r="H2" s="9">
        <v>209.90000000000001</v>
      </c>
      <c r="I2" s="9">
        <f>H2-G2</f>
        <v>31.485000000000014</v>
      </c>
    </row>
    <row r="3" ht="14.25">
      <c r="A3" s="5">
        <v>10623</v>
      </c>
      <c r="B3" s="6" t="s">
        <v>13</v>
      </c>
      <c r="C3" s="7" t="s">
        <v>14</v>
      </c>
      <c r="D3" s="7" t="s">
        <v>11</v>
      </c>
      <c r="E3" s="5" t="s">
        <v>15</v>
      </c>
      <c r="F3" s="8"/>
      <c r="G3" s="9">
        <f>H3*(1-15%)*(1-F3)</f>
        <v>135.91499999999999</v>
      </c>
      <c r="H3" s="9">
        <v>159.90000000000001</v>
      </c>
      <c r="I3" s="9">
        <f>H3-G3</f>
        <v>23.985000000000014</v>
      </c>
    </row>
    <row r="4" ht="14.25">
      <c r="A4" s="5">
        <v>25458</v>
      </c>
      <c r="B4" s="6" t="s">
        <v>16</v>
      </c>
      <c r="C4" s="7" t="s">
        <v>17</v>
      </c>
      <c r="D4" s="7" t="s">
        <v>11</v>
      </c>
      <c r="E4" s="5" t="s">
        <v>12</v>
      </c>
      <c r="F4" s="8"/>
      <c r="G4" s="9">
        <f>H4*(1-15%)*(1-F4)</f>
        <v>140.16499999999999</v>
      </c>
      <c r="H4" s="9">
        <v>164.90000000000001</v>
      </c>
      <c r="I4" s="9">
        <f>H4-G4</f>
        <v>24.735000000000014</v>
      </c>
    </row>
    <row r="5" ht="14.25">
      <c r="A5" s="5">
        <v>22516</v>
      </c>
      <c r="B5" s="6" t="s">
        <v>18</v>
      </c>
      <c r="C5" s="7" t="s">
        <v>19</v>
      </c>
      <c r="D5" s="7" t="s">
        <v>11</v>
      </c>
      <c r="E5" s="5" t="s">
        <v>12</v>
      </c>
      <c r="F5" s="8"/>
      <c r="G5" s="9">
        <f>H5*(1-15%)*(1-F5)</f>
        <v>178.41499999999999</v>
      </c>
      <c r="H5" s="9">
        <v>209.90000000000001</v>
      </c>
      <c r="I5" s="9">
        <f>H5-G5</f>
        <v>31.485000000000014</v>
      </c>
    </row>
    <row r="6" ht="14.25">
      <c r="A6" s="5">
        <v>20603</v>
      </c>
      <c r="B6" s="6" t="s">
        <v>20</v>
      </c>
      <c r="C6" s="7" t="s">
        <v>21</v>
      </c>
      <c r="D6" s="7" t="s">
        <v>11</v>
      </c>
      <c r="E6" s="5" t="s">
        <v>12</v>
      </c>
      <c r="F6" s="8"/>
      <c r="G6" s="9">
        <f>H6*(1-15%)*(1-F6)</f>
        <v>178.41499999999999</v>
      </c>
      <c r="H6" s="9">
        <v>209.90000000000001</v>
      </c>
      <c r="I6" s="9">
        <f>H6-G6</f>
        <v>31.485000000000014</v>
      </c>
    </row>
    <row r="7" ht="14.25">
      <c r="A7" s="5">
        <v>74723</v>
      </c>
      <c r="B7" s="6" t="s">
        <v>22</v>
      </c>
      <c r="C7" s="7" t="s">
        <v>10</v>
      </c>
      <c r="D7" s="7" t="s">
        <v>11</v>
      </c>
      <c r="E7" s="5" t="s">
        <v>12</v>
      </c>
      <c r="F7" s="8"/>
      <c r="G7" s="9">
        <f>H7*(1-15%)*(1-F7)</f>
        <v>212.41499999999999</v>
      </c>
      <c r="H7" s="9">
        <v>249.90000000000001</v>
      </c>
      <c r="I7" s="9">
        <f>H7-G7</f>
        <v>37.485000000000014</v>
      </c>
    </row>
    <row r="8" ht="14.25">
      <c r="A8" s="5">
        <v>73743</v>
      </c>
      <c r="B8" s="6" t="s">
        <v>23</v>
      </c>
      <c r="C8" s="7" t="s">
        <v>10</v>
      </c>
      <c r="D8" s="7" t="s">
        <v>11</v>
      </c>
      <c r="E8" s="5" t="s">
        <v>12</v>
      </c>
      <c r="F8" s="8"/>
      <c r="G8" s="9">
        <f>H8*(1-15%)*(1-F8)</f>
        <v>203.91499999999999</v>
      </c>
      <c r="H8" s="9">
        <v>239.90000000000001</v>
      </c>
      <c r="I8" s="9">
        <f>H8-G8</f>
        <v>35.985000000000014</v>
      </c>
    </row>
    <row r="9" ht="14.25">
      <c r="A9" s="5">
        <v>10996</v>
      </c>
      <c r="B9" s="6" t="s">
        <v>24</v>
      </c>
      <c r="C9" s="7" t="s">
        <v>25</v>
      </c>
      <c r="D9" s="7" t="s">
        <v>11</v>
      </c>
      <c r="E9" s="5" t="s">
        <v>26</v>
      </c>
      <c r="F9" s="8"/>
      <c r="G9" s="9">
        <f>H9*(1-15%)*(1-F9)</f>
        <v>169.91499999999999</v>
      </c>
      <c r="H9" s="9">
        <v>199.90000000000001</v>
      </c>
      <c r="I9" s="9">
        <f>H9-G9</f>
        <v>29.985000000000014</v>
      </c>
    </row>
    <row r="10" ht="14.25">
      <c r="A10" s="5">
        <v>73849</v>
      </c>
      <c r="B10" s="6" t="s">
        <v>27</v>
      </c>
      <c r="C10" s="7" t="s">
        <v>10</v>
      </c>
      <c r="D10" s="7" t="s">
        <v>11</v>
      </c>
      <c r="E10" s="5" t="s">
        <v>12</v>
      </c>
      <c r="F10" s="8"/>
      <c r="G10" s="9">
        <f>H10*(1-15%)*(1-F10)</f>
        <v>203.91499999999999</v>
      </c>
      <c r="H10" s="9">
        <v>239.90000000000001</v>
      </c>
      <c r="I10" s="9">
        <f>H10-G10</f>
        <v>35.985000000000014</v>
      </c>
    </row>
    <row r="11" ht="14.25">
      <c r="A11" s="5">
        <v>75792</v>
      </c>
      <c r="B11" s="6" t="s">
        <v>28</v>
      </c>
      <c r="C11" s="7" t="s">
        <v>17</v>
      </c>
      <c r="D11" s="7" t="s">
        <v>11</v>
      </c>
      <c r="E11" s="5" t="s">
        <v>12</v>
      </c>
      <c r="F11" s="8"/>
      <c r="G11" s="9">
        <f>H11*(1-15%)*(1-F11)</f>
        <v>140.16499999999999</v>
      </c>
      <c r="H11" s="9">
        <v>164.90000000000001</v>
      </c>
      <c r="I11" s="9">
        <f>H11-G11</f>
        <v>24.735000000000014</v>
      </c>
    </row>
    <row r="12" ht="14.25">
      <c r="A12" s="5">
        <v>28813</v>
      </c>
      <c r="B12" s="6" t="s">
        <v>29</v>
      </c>
      <c r="C12" s="7" t="s">
        <v>30</v>
      </c>
      <c r="D12" s="7" t="s">
        <v>11</v>
      </c>
      <c r="E12" s="5" t="s">
        <v>26</v>
      </c>
      <c r="F12" s="8"/>
      <c r="G12" s="9">
        <f>H12*(1-15%)*(1-F12)</f>
        <v>208.16499999999999</v>
      </c>
      <c r="H12" s="9">
        <v>244.90000000000001</v>
      </c>
      <c r="I12" s="9">
        <f>H12-G12</f>
        <v>36.735000000000014</v>
      </c>
    </row>
    <row r="13" ht="14.25">
      <c r="A13" s="5">
        <v>79416</v>
      </c>
      <c r="B13" s="6" t="s">
        <v>31</v>
      </c>
      <c r="C13" s="7" t="s">
        <v>17</v>
      </c>
      <c r="D13" s="7" t="s">
        <v>11</v>
      </c>
      <c r="E13" s="5" t="s">
        <v>26</v>
      </c>
      <c r="F13" s="8"/>
      <c r="G13" s="9">
        <f>H13*(1-15%)*(1-F13)</f>
        <v>140.16499999999999</v>
      </c>
      <c r="H13" s="9">
        <v>164.90000000000001</v>
      </c>
      <c r="I13" s="9">
        <f>H13-G13</f>
        <v>24.735000000000014</v>
      </c>
    </row>
    <row r="14" ht="14.25">
      <c r="A14" s="5">
        <v>19685</v>
      </c>
      <c r="B14" s="6" t="s">
        <v>32</v>
      </c>
      <c r="C14" s="7" t="s">
        <v>33</v>
      </c>
      <c r="D14" s="7" t="s">
        <v>11</v>
      </c>
      <c r="E14" s="5" t="s">
        <v>12</v>
      </c>
      <c r="F14" s="8"/>
      <c r="G14" s="9">
        <f>H14*(1-15%)*(1-F14)</f>
        <v>271.91499999999996</v>
      </c>
      <c r="H14" s="9">
        <v>319.89999999999998</v>
      </c>
      <c r="I14" s="9">
        <f>H14-G14</f>
        <v>47.985000000000014</v>
      </c>
    </row>
    <row r="15" ht="14.25">
      <c r="A15" s="5">
        <v>26195</v>
      </c>
      <c r="B15" s="6" t="s">
        <v>34</v>
      </c>
      <c r="C15" s="7" t="s">
        <v>25</v>
      </c>
      <c r="D15" s="7" t="s">
        <v>11</v>
      </c>
      <c r="E15" s="5" t="s">
        <v>26</v>
      </c>
      <c r="F15" s="8"/>
      <c r="G15" s="9">
        <f>H15*(1-15%)*(1-F15)</f>
        <v>169.91499999999999</v>
      </c>
      <c r="H15" s="9">
        <v>199.90000000000001</v>
      </c>
      <c r="I15" s="9">
        <f>H15-G15</f>
        <v>29.985000000000014</v>
      </c>
    </row>
    <row r="16" ht="14.25">
      <c r="A16" s="5">
        <v>76729</v>
      </c>
      <c r="B16" s="6" t="s">
        <v>35</v>
      </c>
      <c r="C16" s="7" t="s">
        <v>36</v>
      </c>
      <c r="D16" s="7" t="s">
        <v>11</v>
      </c>
      <c r="E16" s="5" t="s">
        <v>15</v>
      </c>
      <c r="F16" s="8"/>
      <c r="G16" s="9">
        <f>H16*(1-15%)*(1-F16)</f>
        <v>157.16499999999999</v>
      </c>
      <c r="H16" s="9">
        <v>184.90000000000001</v>
      </c>
      <c r="I16" s="9">
        <f>H16-G16</f>
        <v>27.735000000000014</v>
      </c>
    </row>
    <row r="17" ht="14.25">
      <c r="A17" s="5">
        <v>71877</v>
      </c>
      <c r="B17" s="6" t="s">
        <v>37</v>
      </c>
      <c r="C17" s="7" t="s">
        <v>38</v>
      </c>
      <c r="D17" s="7" t="s">
        <v>11</v>
      </c>
      <c r="E17" s="5" t="s">
        <v>39</v>
      </c>
      <c r="F17" s="8"/>
      <c r="G17" s="9">
        <f>H17*(1-15%)*(1-F17)</f>
        <v>148.66499999999999</v>
      </c>
      <c r="H17" s="9">
        <v>174.90000000000001</v>
      </c>
      <c r="I17" s="9">
        <f>H17-G17</f>
        <v>26.235000000000014</v>
      </c>
    </row>
    <row r="18" ht="14.25">
      <c r="A18" s="5">
        <v>73613</v>
      </c>
      <c r="B18" s="6" t="s">
        <v>40</v>
      </c>
      <c r="C18" s="7" t="s">
        <v>21</v>
      </c>
      <c r="D18" s="7" t="s">
        <v>11</v>
      </c>
      <c r="E18" s="5" t="s">
        <v>12</v>
      </c>
      <c r="F18" s="8"/>
      <c r="G18" s="9">
        <f>H18*(1-15%)*(1-F18)</f>
        <v>178.41499999999999</v>
      </c>
      <c r="H18" s="9">
        <v>209.90000000000001</v>
      </c>
      <c r="I18" s="9">
        <f>H18-G18</f>
        <v>31.485000000000014</v>
      </c>
    </row>
    <row r="19" ht="14.25">
      <c r="A19" s="5">
        <v>22249</v>
      </c>
      <c r="B19" s="6" t="s">
        <v>41</v>
      </c>
      <c r="C19" s="7" t="s">
        <v>38</v>
      </c>
      <c r="D19" s="7" t="s">
        <v>11</v>
      </c>
      <c r="E19" s="5" t="s">
        <v>26</v>
      </c>
      <c r="F19" s="8"/>
      <c r="G19" s="9">
        <f>H19*(1-15%)*(1-F19)</f>
        <v>148.66499999999999</v>
      </c>
      <c r="H19" s="9">
        <v>174.90000000000001</v>
      </c>
      <c r="I19" s="9">
        <f>H19-G19</f>
        <v>26.235000000000014</v>
      </c>
    </row>
    <row r="20" ht="14.25">
      <c r="A20" s="5">
        <v>73608</v>
      </c>
      <c r="B20" s="6" t="s">
        <v>42</v>
      </c>
      <c r="C20" s="7" t="s">
        <v>10</v>
      </c>
      <c r="D20" s="7" t="s">
        <v>11</v>
      </c>
      <c r="E20" s="5" t="s">
        <v>43</v>
      </c>
      <c r="F20" s="8"/>
      <c r="G20" s="9">
        <f>H20*(1-15%)*(1-F20)</f>
        <v>212.41499999999999</v>
      </c>
      <c r="H20" s="9">
        <v>249.90000000000001</v>
      </c>
      <c r="I20" s="9">
        <f>H20-G20</f>
        <v>37.485000000000014</v>
      </c>
    </row>
    <row r="21" ht="14.25">
      <c r="A21" s="5">
        <v>29226</v>
      </c>
      <c r="B21" s="6" t="s">
        <v>44</v>
      </c>
      <c r="C21" s="7" t="s">
        <v>33</v>
      </c>
      <c r="D21" s="7" t="s">
        <v>45</v>
      </c>
      <c r="E21" s="5" t="s">
        <v>39</v>
      </c>
      <c r="F21" s="8"/>
      <c r="G21" s="9">
        <f>H21*(1-15%)*(1-F21)</f>
        <v>123.16500000000001</v>
      </c>
      <c r="H21" s="9">
        <v>144.90000000000001</v>
      </c>
      <c r="I21" s="9">
        <f>H21-G21</f>
        <v>21.734999999999999</v>
      </c>
    </row>
    <row r="22" ht="14.25">
      <c r="A22" s="5">
        <v>73285</v>
      </c>
      <c r="B22" s="6" t="s">
        <v>46</v>
      </c>
      <c r="C22" s="7" t="s">
        <v>36</v>
      </c>
      <c r="D22" s="7" t="s">
        <v>11</v>
      </c>
      <c r="E22" s="5" t="s">
        <v>39</v>
      </c>
      <c r="F22" s="8"/>
      <c r="G22" s="9">
        <f>H22*(1-15%)*(1-F22)</f>
        <v>148.66499999999999</v>
      </c>
      <c r="H22" s="9">
        <v>174.90000000000001</v>
      </c>
      <c r="I22" s="9">
        <f>H22-G22</f>
        <v>26.235000000000014</v>
      </c>
    </row>
    <row r="23" ht="14.25">
      <c r="A23" s="5">
        <v>22248</v>
      </c>
      <c r="B23" s="6" t="s">
        <v>47</v>
      </c>
      <c r="C23" s="7" t="s">
        <v>38</v>
      </c>
      <c r="D23" s="7" t="s">
        <v>11</v>
      </c>
      <c r="E23" s="5" t="s">
        <v>26</v>
      </c>
      <c r="F23" s="8"/>
      <c r="G23" s="9">
        <f>H23*(1-15%)*(1-F23)</f>
        <v>148.66499999999999</v>
      </c>
      <c r="H23" s="9">
        <v>174.90000000000001</v>
      </c>
      <c r="I23" s="9">
        <f>H23-G23</f>
        <v>26.235000000000014</v>
      </c>
    </row>
    <row r="24" ht="14.25">
      <c r="A24" s="5">
        <v>73287</v>
      </c>
      <c r="B24" s="6" t="s">
        <v>48</v>
      </c>
      <c r="C24" s="7" t="s">
        <v>36</v>
      </c>
      <c r="D24" s="7" t="s">
        <v>11</v>
      </c>
      <c r="E24" s="5" t="s">
        <v>39</v>
      </c>
      <c r="F24" s="8"/>
      <c r="G24" s="9">
        <f>H24*(1-15%)*(1-F24)</f>
        <v>148.66499999999999</v>
      </c>
      <c r="H24" s="9">
        <v>174.90000000000001</v>
      </c>
      <c r="I24" s="9">
        <f>H24-G24</f>
        <v>26.235000000000014</v>
      </c>
    </row>
    <row r="25" ht="14.25">
      <c r="A25" s="5">
        <v>19734</v>
      </c>
      <c r="B25" s="6" t="s">
        <v>49</v>
      </c>
      <c r="C25" s="7" t="s">
        <v>38</v>
      </c>
      <c r="D25" s="7" t="s">
        <v>11</v>
      </c>
      <c r="E25" s="5" t="s">
        <v>39</v>
      </c>
      <c r="F25" s="8"/>
      <c r="G25" s="9">
        <f>H25*(1-15%)*(1-F25)</f>
        <v>148.66499999999999</v>
      </c>
      <c r="H25" s="9">
        <v>174.90000000000001</v>
      </c>
      <c r="I25" s="9">
        <f>H25-G25</f>
        <v>26.235000000000014</v>
      </c>
    </row>
    <row r="26" ht="14.25">
      <c r="A26" s="5">
        <v>72027</v>
      </c>
      <c r="B26" s="6" t="s">
        <v>50</v>
      </c>
      <c r="C26" s="7" t="s">
        <v>51</v>
      </c>
      <c r="D26" s="7" t="s">
        <v>52</v>
      </c>
      <c r="E26" s="5" t="s">
        <v>15</v>
      </c>
      <c r="F26" s="8"/>
      <c r="G26" s="9">
        <f>H26*(1-15%)*(1-F26)</f>
        <v>118.91500000000001</v>
      </c>
      <c r="H26" s="9">
        <v>139.90000000000001</v>
      </c>
      <c r="I26" s="9">
        <f>H26-G26</f>
        <v>20.984999999999999</v>
      </c>
    </row>
    <row r="27" ht="14.25">
      <c r="A27" s="5">
        <v>10184</v>
      </c>
      <c r="B27" s="6" t="s">
        <v>53</v>
      </c>
      <c r="C27" s="7" t="s">
        <v>54</v>
      </c>
      <c r="D27" s="7" t="s">
        <v>11</v>
      </c>
      <c r="E27" s="5" t="s">
        <v>39</v>
      </c>
      <c r="F27" s="8"/>
      <c r="G27" s="9">
        <f>H27*(1-15%)*(1-F27)</f>
        <v>148.66499999999999</v>
      </c>
      <c r="H27" s="9">
        <v>174.90000000000001</v>
      </c>
      <c r="I27" s="9">
        <f>H27-G27</f>
        <v>26.235000000000014</v>
      </c>
    </row>
    <row r="28" ht="14.25">
      <c r="A28" s="5">
        <v>77316</v>
      </c>
      <c r="B28" s="6" t="s">
        <v>55</v>
      </c>
      <c r="C28" s="7" t="s">
        <v>21</v>
      </c>
      <c r="D28" s="7" t="s">
        <v>11</v>
      </c>
      <c r="E28" s="5" t="s">
        <v>15</v>
      </c>
      <c r="F28" s="8"/>
      <c r="G28" s="9">
        <f>H28*(1-15%)*(1-F28)</f>
        <v>178.41499999999999</v>
      </c>
      <c r="H28" s="9">
        <v>209.90000000000001</v>
      </c>
      <c r="I28" s="9">
        <f>H28-G28</f>
        <v>31.485000000000014</v>
      </c>
    </row>
    <row r="29" ht="14.25">
      <c r="A29" s="5">
        <v>74029</v>
      </c>
      <c r="B29" s="6" t="s">
        <v>56</v>
      </c>
      <c r="C29" s="7" t="s">
        <v>21</v>
      </c>
      <c r="D29" s="7" t="s">
        <v>11</v>
      </c>
      <c r="E29" s="5" t="s">
        <v>26</v>
      </c>
      <c r="F29" s="8"/>
      <c r="G29" s="9">
        <f>H29*(1-15%)*(1-F29)</f>
        <v>178.41499999999999</v>
      </c>
      <c r="H29" s="9">
        <v>209.90000000000001</v>
      </c>
      <c r="I29" s="9">
        <f>H29-G29</f>
        <v>31.485000000000014</v>
      </c>
    </row>
    <row r="30" ht="14.25">
      <c r="A30" s="5">
        <v>77485</v>
      </c>
      <c r="B30" s="6" t="s">
        <v>57</v>
      </c>
      <c r="C30" s="7" t="s">
        <v>25</v>
      </c>
      <c r="D30" s="7" t="s">
        <v>11</v>
      </c>
      <c r="E30" s="5" t="s">
        <v>15</v>
      </c>
      <c r="F30" s="8"/>
      <c r="G30" s="9">
        <f>H30*(1-15%)*(1-F30)</f>
        <v>169.91499999999999</v>
      </c>
      <c r="H30" s="9">
        <v>199.90000000000001</v>
      </c>
      <c r="I30" s="9">
        <f>H30-G30</f>
        <v>29.985000000000014</v>
      </c>
    </row>
    <row r="31" ht="14.25">
      <c r="A31" s="5">
        <v>74047</v>
      </c>
      <c r="B31" s="6" t="s">
        <v>58</v>
      </c>
      <c r="C31" s="7" t="s">
        <v>19</v>
      </c>
      <c r="D31" s="7" t="s">
        <v>11</v>
      </c>
      <c r="E31" s="5" t="s">
        <v>26</v>
      </c>
      <c r="F31" s="8"/>
      <c r="G31" s="9">
        <f>H31*(1-15%)*(1-F31)</f>
        <v>178.41499999999999</v>
      </c>
      <c r="H31" s="9">
        <v>209.90000000000001</v>
      </c>
      <c r="I31" s="9">
        <f>H31-G31</f>
        <v>31.485000000000014</v>
      </c>
    </row>
    <row r="32" ht="14.25">
      <c r="A32" s="5">
        <v>80504</v>
      </c>
      <c r="B32" s="6" t="s">
        <v>59</v>
      </c>
      <c r="C32" s="7" t="s">
        <v>36</v>
      </c>
      <c r="D32" s="7" t="s">
        <v>11</v>
      </c>
      <c r="E32" s="5" t="s">
        <v>15</v>
      </c>
      <c r="F32" s="8"/>
      <c r="G32" s="9">
        <f>H32*(1-15%)*(1-F32)</f>
        <v>148.66499999999999</v>
      </c>
      <c r="H32" s="9">
        <v>174.90000000000001</v>
      </c>
      <c r="I32" s="9">
        <f>H32-G32</f>
        <v>26.235000000000014</v>
      </c>
    </row>
    <row r="33" ht="14.25">
      <c r="A33" s="5">
        <v>76848</v>
      </c>
      <c r="B33" s="6" t="s">
        <v>60</v>
      </c>
      <c r="C33" s="7" t="s">
        <v>36</v>
      </c>
      <c r="D33" s="7" t="s">
        <v>61</v>
      </c>
      <c r="E33" s="5" t="s">
        <v>15</v>
      </c>
      <c r="F33" s="8"/>
      <c r="G33" s="9">
        <f>H33*(1-15%)*(1-F33)</f>
        <v>124.015</v>
      </c>
      <c r="H33" s="9">
        <v>145.90000000000001</v>
      </c>
      <c r="I33" s="9">
        <f>H33-G33</f>
        <v>21.885000000000005</v>
      </c>
    </row>
    <row r="34" ht="14.25">
      <c r="A34" s="5">
        <v>14840</v>
      </c>
      <c r="B34" s="6" t="s">
        <v>62</v>
      </c>
      <c r="C34" s="7" t="s">
        <v>21</v>
      </c>
      <c r="D34" s="7" t="s">
        <v>11</v>
      </c>
      <c r="E34" s="5" t="s">
        <v>26</v>
      </c>
      <c r="F34" s="8"/>
      <c r="G34" s="9">
        <f>H34*(1-15%)*(1-F34)</f>
        <v>178.41499999999999</v>
      </c>
      <c r="H34" s="9">
        <v>209.90000000000001</v>
      </c>
      <c r="I34" s="9">
        <f>H34-G34</f>
        <v>31.485000000000014</v>
      </c>
    </row>
    <row r="35" ht="14.25">
      <c r="A35" s="5">
        <v>73614</v>
      </c>
      <c r="B35" s="6" t="s">
        <v>63</v>
      </c>
      <c r="C35" s="7" t="s">
        <v>21</v>
      </c>
      <c r="D35" s="7" t="s">
        <v>11</v>
      </c>
      <c r="E35" s="5" t="s">
        <v>26</v>
      </c>
      <c r="F35" s="8"/>
      <c r="G35" s="9">
        <f>H35*(1-15%)*(1-F35)</f>
        <v>178.41499999999999</v>
      </c>
      <c r="H35" s="9">
        <v>209.90000000000001</v>
      </c>
      <c r="I35" s="9">
        <f>H35-G35</f>
        <v>31.485000000000014</v>
      </c>
    </row>
    <row r="36" ht="14.25">
      <c r="A36" s="5">
        <v>76665</v>
      </c>
      <c r="B36" s="6" t="s">
        <v>64</v>
      </c>
      <c r="C36" s="7" t="s">
        <v>65</v>
      </c>
      <c r="D36" s="7" t="s">
        <v>11</v>
      </c>
      <c r="E36" s="5" t="s">
        <v>39</v>
      </c>
      <c r="F36" s="8"/>
      <c r="G36" s="9">
        <f>H36*(1-15%)*(1-F36)</f>
        <v>140.16499999999999</v>
      </c>
      <c r="H36" s="9">
        <v>164.90000000000001</v>
      </c>
      <c r="I36" s="9">
        <f>H36-G36</f>
        <v>24.735000000000014</v>
      </c>
    </row>
    <row r="37" ht="14.25">
      <c r="A37" s="5">
        <v>77489</v>
      </c>
      <c r="B37" s="6" t="s">
        <v>66</v>
      </c>
      <c r="C37" s="7" t="s">
        <v>67</v>
      </c>
      <c r="D37" s="7" t="s">
        <v>11</v>
      </c>
      <c r="E37" s="5" t="s">
        <v>68</v>
      </c>
      <c r="F37" s="8"/>
      <c r="G37" s="9">
        <f>H37*(1-15%)*(1-F37)</f>
        <v>305.91499999999996</v>
      </c>
      <c r="H37" s="9">
        <v>359.89999999999998</v>
      </c>
      <c r="I37" s="9">
        <f>H37-G37</f>
        <v>53.985000000000014</v>
      </c>
    </row>
    <row r="38" ht="14.25">
      <c r="A38" s="5">
        <v>14271</v>
      </c>
      <c r="B38" s="6" t="s">
        <v>69</v>
      </c>
      <c r="C38" s="7" t="s">
        <v>70</v>
      </c>
      <c r="D38" s="7" t="s">
        <v>71</v>
      </c>
      <c r="E38" s="5" t="s">
        <v>39</v>
      </c>
      <c r="F38" s="8"/>
      <c r="G38" s="9">
        <f>H38*(1-15%)*(1-F38)</f>
        <v>33.914999999999999</v>
      </c>
      <c r="H38" s="9">
        <v>39.899999999999999</v>
      </c>
      <c r="I38" s="9">
        <f>H38-G38</f>
        <v>5.9849999999999994</v>
      </c>
    </row>
    <row r="39" ht="14.25">
      <c r="A39" s="5">
        <v>81110</v>
      </c>
      <c r="B39" s="6" t="s">
        <v>72</v>
      </c>
      <c r="C39" s="7" t="s">
        <v>38</v>
      </c>
      <c r="D39" s="7" t="s">
        <v>11</v>
      </c>
      <c r="E39" s="5" t="s">
        <v>39</v>
      </c>
      <c r="F39" s="8"/>
      <c r="G39" s="9">
        <f>H39*(1-15%)*(1-F39)</f>
        <v>148.66499999999999</v>
      </c>
      <c r="H39" s="9">
        <v>174.90000000000001</v>
      </c>
      <c r="I39" s="9">
        <f>H39-G39</f>
        <v>26.235000000000014</v>
      </c>
    </row>
    <row r="40" ht="14.25">
      <c r="A40" s="5">
        <v>74031</v>
      </c>
      <c r="B40" s="6" t="s">
        <v>73</v>
      </c>
      <c r="C40" s="7" t="s">
        <v>21</v>
      </c>
      <c r="D40" s="7" t="s">
        <v>11</v>
      </c>
      <c r="E40" s="5" t="s">
        <v>26</v>
      </c>
      <c r="F40" s="8"/>
      <c r="G40" s="9">
        <f>H40*(1-15%)*(1-F40)</f>
        <v>178.41499999999999</v>
      </c>
      <c r="H40" s="9">
        <v>209.90000000000001</v>
      </c>
      <c r="I40" s="9">
        <f>H40-G40</f>
        <v>31.485000000000014</v>
      </c>
    </row>
    <row r="41" ht="14.25">
      <c r="A41" s="5">
        <v>75971</v>
      </c>
      <c r="B41" s="6" t="s">
        <v>74</v>
      </c>
      <c r="C41" s="7" t="s">
        <v>75</v>
      </c>
      <c r="D41" s="7" t="s">
        <v>45</v>
      </c>
      <c r="E41" s="5" t="s">
        <v>15</v>
      </c>
      <c r="F41" s="8"/>
      <c r="G41" s="9">
        <f>H41*(1-15%)*(1-F41)</f>
        <v>73.865000000000009</v>
      </c>
      <c r="H41" s="9">
        <v>86.900000000000006</v>
      </c>
      <c r="I41" s="9">
        <f>H41-G41</f>
        <v>13.034999999999997</v>
      </c>
    </row>
    <row r="42" ht="14.25">
      <c r="A42" s="5">
        <v>22725</v>
      </c>
      <c r="B42" s="6" t="s">
        <v>76</v>
      </c>
      <c r="C42" s="7" t="s">
        <v>10</v>
      </c>
      <c r="D42" s="7" t="s">
        <v>71</v>
      </c>
      <c r="E42" s="5" t="s">
        <v>43</v>
      </c>
      <c r="F42" s="8"/>
      <c r="G42" s="9">
        <f>H42*(1-15%)*(1-F42)</f>
        <v>33.914999999999999</v>
      </c>
      <c r="H42" s="9">
        <v>39.899999999999999</v>
      </c>
      <c r="I42" s="9">
        <f>H42-G42</f>
        <v>5.9849999999999994</v>
      </c>
    </row>
    <row r="43" ht="14.25">
      <c r="A43" s="5">
        <v>72050</v>
      </c>
      <c r="B43" s="6" t="s">
        <v>77</v>
      </c>
      <c r="C43" s="7" t="s">
        <v>51</v>
      </c>
      <c r="D43" s="7" t="s">
        <v>11</v>
      </c>
      <c r="E43" s="5" t="s">
        <v>15</v>
      </c>
      <c r="F43" s="8"/>
      <c r="G43" s="9">
        <f>H43*(1-15%)*(1-F43)</f>
        <v>84.915000000000006</v>
      </c>
      <c r="H43" s="9">
        <v>99.900000000000006</v>
      </c>
      <c r="I43" s="9">
        <f>H43-G43</f>
        <v>14.984999999999999</v>
      </c>
    </row>
    <row r="44" ht="14.25">
      <c r="A44" s="5">
        <v>70668</v>
      </c>
      <c r="B44" s="6" t="s">
        <v>78</v>
      </c>
      <c r="C44" s="7" t="s">
        <v>79</v>
      </c>
      <c r="D44" s="7" t="s">
        <v>52</v>
      </c>
      <c r="E44" s="5" t="s">
        <v>39</v>
      </c>
      <c r="F44" s="8"/>
      <c r="G44" s="9">
        <f>H44*(1-15%)*(1-F44)</f>
        <v>101.91500000000001</v>
      </c>
      <c r="H44" s="9">
        <v>119.90000000000001</v>
      </c>
      <c r="I44" s="9">
        <f>H44-G44</f>
        <v>17.984999999999999</v>
      </c>
    </row>
    <row r="45" ht="14.25">
      <c r="A45" s="5">
        <v>77506</v>
      </c>
      <c r="B45" s="6" t="s">
        <v>80</v>
      </c>
      <c r="C45" s="7" t="s">
        <v>36</v>
      </c>
      <c r="D45" s="7" t="s">
        <v>11</v>
      </c>
      <c r="E45" s="5" t="s">
        <v>15</v>
      </c>
      <c r="F45" s="8"/>
      <c r="G45" s="9">
        <f>H45*(1-15%)*(1-F45)</f>
        <v>148.66499999999999</v>
      </c>
      <c r="H45" s="9">
        <v>174.90000000000001</v>
      </c>
      <c r="I45" s="9">
        <f>H45-G45</f>
        <v>26.235000000000014</v>
      </c>
    </row>
    <row r="46" ht="14.25">
      <c r="A46" s="5">
        <v>75151</v>
      </c>
      <c r="B46" s="6" t="s">
        <v>81</v>
      </c>
      <c r="C46" s="7" t="s">
        <v>82</v>
      </c>
      <c r="D46" s="7" t="s">
        <v>45</v>
      </c>
      <c r="E46" s="5" t="s">
        <v>43</v>
      </c>
      <c r="F46" s="8"/>
      <c r="G46" s="9">
        <f>H46*(1-15%)*(1-F46)</f>
        <v>63.665000000000006</v>
      </c>
      <c r="H46" s="9">
        <v>74.900000000000006</v>
      </c>
      <c r="I46" s="9">
        <f>H46-G46</f>
        <v>11.234999999999999</v>
      </c>
    </row>
    <row r="47" ht="14.25">
      <c r="A47" s="5">
        <v>77773</v>
      </c>
      <c r="B47" s="6" t="s">
        <v>83</v>
      </c>
      <c r="C47" s="7" t="s">
        <v>84</v>
      </c>
      <c r="D47" s="7" t="s">
        <v>52</v>
      </c>
      <c r="E47" s="5" t="s">
        <v>15</v>
      </c>
      <c r="F47" s="8"/>
      <c r="G47" s="9">
        <f>H47*(1-15%)*(1-F47)</f>
        <v>84.915000000000006</v>
      </c>
      <c r="H47" s="9">
        <v>99.900000000000006</v>
      </c>
      <c r="I47" s="9">
        <f>H47-G47</f>
        <v>14.984999999999999</v>
      </c>
    </row>
    <row r="48" ht="14.25">
      <c r="A48" s="5">
        <v>77781</v>
      </c>
      <c r="B48" s="6" t="s">
        <v>85</v>
      </c>
      <c r="C48" s="7" t="s">
        <v>36</v>
      </c>
      <c r="D48" s="7" t="s">
        <v>11</v>
      </c>
      <c r="E48" s="5" t="s">
        <v>15</v>
      </c>
      <c r="F48" s="8"/>
      <c r="G48" s="9">
        <f>H48*(1-15%)*(1-F48)</f>
        <v>148.66499999999999</v>
      </c>
      <c r="H48" s="9">
        <v>174.90000000000001</v>
      </c>
      <c r="I48" s="9">
        <f>H48-G48</f>
        <v>26.235000000000014</v>
      </c>
    </row>
    <row r="49" ht="14.25">
      <c r="A49" s="5">
        <v>70672</v>
      </c>
      <c r="B49" s="6" t="s">
        <v>86</v>
      </c>
      <c r="C49" s="7" t="s">
        <v>87</v>
      </c>
      <c r="D49" s="7" t="s">
        <v>52</v>
      </c>
      <c r="E49" s="5" t="s">
        <v>39</v>
      </c>
      <c r="F49" s="8"/>
      <c r="G49" s="9">
        <f>H49*(1-15%)*(1-F49)</f>
        <v>82.365000000000009</v>
      </c>
      <c r="H49" s="9">
        <v>96.900000000000006</v>
      </c>
      <c r="I49" s="9">
        <f>H49-G49</f>
        <v>14.534999999999997</v>
      </c>
    </row>
    <row r="50" ht="14.25">
      <c r="A50" s="5">
        <v>70669</v>
      </c>
      <c r="B50" s="6" t="s">
        <v>88</v>
      </c>
      <c r="C50" s="7" t="s">
        <v>79</v>
      </c>
      <c r="D50" s="7" t="s">
        <v>52</v>
      </c>
      <c r="E50" s="5" t="s">
        <v>68</v>
      </c>
      <c r="F50" s="8"/>
      <c r="G50" s="9">
        <f>H50*(1-15%)*(1-F50)</f>
        <v>101.91500000000001</v>
      </c>
      <c r="H50" s="9">
        <v>119.90000000000001</v>
      </c>
      <c r="I50" s="9">
        <f>H50-G50</f>
        <v>17.984999999999999</v>
      </c>
    </row>
    <row r="51" ht="14.25">
      <c r="A51" s="5">
        <v>77690</v>
      </c>
      <c r="B51" s="6" t="s">
        <v>89</v>
      </c>
      <c r="C51" s="7" t="s">
        <v>82</v>
      </c>
      <c r="D51" s="7" t="s">
        <v>45</v>
      </c>
      <c r="E51" s="5" t="s">
        <v>15</v>
      </c>
      <c r="F51" s="8"/>
      <c r="G51" s="9">
        <f>H51*(1-15%)*(1-F51)</f>
        <v>63.665000000000006</v>
      </c>
      <c r="H51" s="9">
        <v>74.900000000000006</v>
      </c>
      <c r="I51" s="9">
        <f>H51-G51</f>
        <v>11.234999999999999</v>
      </c>
    </row>
    <row r="52" ht="14.25">
      <c r="A52" s="5">
        <v>76621</v>
      </c>
      <c r="B52" s="6" t="s">
        <v>90</v>
      </c>
      <c r="C52" s="7" t="s">
        <v>91</v>
      </c>
      <c r="D52" s="7" t="s">
        <v>11</v>
      </c>
      <c r="E52" s="5" t="s">
        <v>68</v>
      </c>
      <c r="F52" s="8"/>
      <c r="G52" s="9">
        <f>H52*(1-15%)*(1-F52)</f>
        <v>93.415000000000006</v>
      </c>
      <c r="H52" s="9">
        <v>109.90000000000001</v>
      </c>
      <c r="I52" s="9">
        <f>H52-G52</f>
        <v>16.484999999999999</v>
      </c>
    </row>
    <row r="53" ht="14.25">
      <c r="A53" s="5">
        <v>74327</v>
      </c>
      <c r="B53" s="6" t="s">
        <v>92</v>
      </c>
      <c r="C53" s="7" t="s">
        <v>75</v>
      </c>
      <c r="D53" s="7" t="s">
        <v>45</v>
      </c>
      <c r="E53" s="5" t="s">
        <v>15</v>
      </c>
      <c r="F53" s="8"/>
      <c r="G53" s="9">
        <f>H53*(1-15%)*(1-F53)</f>
        <v>73.865000000000009</v>
      </c>
      <c r="H53" s="9">
        <v>86.900000000000006</v>
      </c>
      <c r="I53" s="9">
        <f>H53-G53</f>
        <v>13.034999999999997</v>
      </c>
    </row>
    <row r="54" ht="14.25">
      <c r="A54" s="5">
        <v>76542</v>
      </c>
      <c r="B54" s="6" t="s">
        <v>93</v>
      </c>
      <c r="C54" s="7" t="s">
        <v>94</v>
      </c>
      <c r="D54" s="7" t="s">
        <v>95</v>
      </c>
      <c r="E54" s="5" t="s">
        <v>26</v>
      </c>
      <c r="F54" s="8"/>
      <c r="G54" s="9">
        <f>H54*(1-15%)*(1-F54)</f>
        <v>40.714999999999996</v>
      </c>
      <c r="H54" s="9">
        <v>47.899999999999999</v>
      </c>
      <c r="I54" s="9">
        <f>H54-G54</f>
        <v>7.1850000000000023</v>
      </c>
    </row>
    <row r="55" ht="14.25">
      <c r="A55" s="5">
        <v>73795</v>
      </c>
      <c r="B55" s="6" t="s">
        <v>96</v>
      </c>
      <c r="C55" s="7" t="s">
        <v>10</v>
      </c>
      <c r="D55" s="7" t="s">
        <v>45</v>
      </c>
      <c r="E55" s="5" t="s">
        <v>15</v>
      </c>
      <c r="F55" s="8"/>
      <c r="G55" s="9">
        <f>H55*(1-15%)*(1-F55)</f>
        <v>57.715000000000003</v>
      </c>
      <c r="H55" s="9">
        <v>67.900000000000006</v>
      </c>
      <c r="I55" s="9">
        <f>H55-G55</f>
        <v>10.185000000000002</v>
      </c>
    </row>
    <row r="56" ht="14.25">
      <c r="A56" s="5">
        <v>76539</v>
      </c>
      <c r="B56" s="6" t="s">
        <v>97</v>
      </c>
      <c r="C56" s="7" t="s">
        <v>94</v>
      </c>
      <c r="D56" s="7" t="s">
        <v>95</v>
      </c>
      <c r="E56" s="5" t="s">
        <v>26</v>
      </c>
      <c r="F56" s="8"/>
      <c r="G56" s="9">
        <f>H56*(1-15%)*(1-F56)</f>
        <v>39.015000000000001</v>
      </c>
      <c r="H56" s="9">
        <v>45.899999999999999</v>
      </c>
      <c r="I56" s="9">
        <f>H56-G56</f>
        <v>6.884999999999998</v>
      </c>
    </row>
    <row r="57" ht="14.25">
      <c r="A57" s="5">
        <v>75033</v>
      </c>
      <c r="B57" s="6" t="s">
        <v>98</v>
      </c>
      <c r="C57" s="7" t="s">
        <v>51</v>
      </c>
      <c r="D57" s="7" t="s">
        <v>11</v>
      </c>
      <c r="E57" s="5" t="s">
        <v>15</v>
      </c>
      <c r="F57" s="8"/>
      <c r="G57" s="9">
        <f>H57*(1-15%)*(1-F57)</f>
        <v>84.915000000000006</v>
      </c>
      <c r="H57" s="9">
        <v>99.900000000000006</v>
      </c>
      <c r="I57" s="9">
        <f>H57-G57</f>
        <v>14.984999999999999</v>
      </c>
    </row>
    <row r="58" ht="14.25">
      <c r="A58" s="5">
        <v>72052</v>
      </c>
      <c r="B58" s="6" t="s">
        <v>99</v>
      </c>
      <c r="C58" s="7" t="s">
        <v>14</v>
      </c>
      <c r="D58" s="7" t="s">
        <v>45</v>
      </c>
      <c r="E58" s="5" t="s">
        <v>26</v>
      </c>
      <c r="F58" s="8"/>
      <c r="G58" s="9">
        <f>H58*(1-15%)*(1-F58)</f>
        <v>63.665000000000006</v>
      </c>
      <c r="H58" s="9">
        <v>74.900000000000006</v>
      </c>
      <c r="I58" s="9">
        <f>H58-G58</f>
        <v>11.234999999999999</v>
      </c>
    </row>
    <row r="59" ht="14.25">
      <c r="A59" s="5">
        <v>11316</v>
      </c>
      <c r="B59" s="6" t="s">
        <v>100</v>
      </c>
      <c r="C59" s="7" t="s">
        <v>14</v>
      </c>
      <c r="D59" s="7" t="s">
        <v>45</v>
      </c>
      <c r="E59" s="5" t="s">
        <v>26</v>
      </c>
      <c r="F59" s="8"/>
      <c r="G59" s="9">
        <f>H59*(1-15%)*(1-F59)</f>
        <v>63.665000000000006</v>
      </c>
      <c r="H59" s="9">
        <v>74.900000000000006</v>
      </c>
      <c r="I59" s="9">
        <f>H59-G59</f>
        <v>11.234999999999999</v>
      </c>
    </row>
    <row r="60" ht="14.25">
      <c r="A60" s="5">
        <v>19502</v>
      </c>
      <c r="B60" s="6" t="s">
        <v>100</v>
      </c>
      <c r="C60" s="7" t="s">
        <v>14</v>
      </c>
      <c r="D60" s="7" t="s">
        <v>45</v>
      </c>
      <c r="E60" s="5" t="s">
        <v>26</v>
      </c>
      <c r="F60" s="8"/>
      <c r="G60" s="9">
        <f>H60*(1-15%)*(1-F60)</f>
        <v>63.665000000000006</v>
      </c>
      <c r="H60" s="9">
        <v>74.900000000000006</v>
      </c>
      <c r="I60" s="9">
        <f>H60-G60</f>
        <v>11.234999999999999</v>
      </c>
    </row>
    <row r="61" ht="14.25">
      <c r="A61" s="5">
        <v>74933</v>
      </c>
      <c r="B61" s="6" t="s">
        <v>101</v>
      </c>
      <c r="C61" s="7" t="s">
        <v>82</v>
      </c>
      <c r="D61" s="7" t="s">
        <v>45</v>
      </c>
      <c r="E61" s="5" t="s">
        <v>15</v>
      </c>
      <c r="F61" s="8"/>
      <c r="G61" s="9">
        <f>H61*(1-15%)*(1-F61)</f>
        <v>63.665000000000006</v>
      </c>
      <c r="H61" s="9">
        <v>74.900000000000006</v>
      </c>
      <c r="I61" s="9">
        <f>H61-G61</f>
        <v>11.234999999999999</v>
      </c>
    </row>
    <row r="62" ht="14.25">
      <c r="A62" s="5">
        <v>80422</v>
      </c>
      <c r="B62" s="6" t="s">
        <v>102</v>
      </c>
      <c r="C62" s="7" t="s">
        <v>82</v>
      </c>
      <c r="D62" s="7" t="s">
        <v>103</v>
      </c>
      <c r="E62" s="5" t="s">
        <v>15</v>
      </c>
      <c r="F62" s="8"/>
      <c r="G62" s="9">
        <f>H62*(1-15%)*(1-F62)</f>
        <v>33.064999999999998</v>
      </c>
      <c r="H62" s="9">
        <v>38.899999999999999</v>
      </c>
      <c r="I62" s="9">
        <f>H62-G62</f>
        <v>5.8350000000000009</v>
      </c>
    </row>
    <row r="63" ht="14.25">
      <c r="A63" s="5">
        <v>70046</v>
      </c>
      <c r="B63" s="6" t="s">
        <v>104</v>
      </c>
      <c r="C63" s="7" t="s">
        <v>94</v>
      </c>
      <c r="D63" s="7" t="s">
        <v>95</v>
      </c>
      <c r="E63" s="5" t="s">
        <v>15</v>
      </c>
      <c r="F63" s="8"/>
      <c r="G63" s="9">
        <f>H63*(1-15%)*(1-F63)</f>
        <v>40.714999999999996</v>
      </c>
      <c r="H63" s="9">
        <v>47.899999999999999</v>
      </c>
      <c r="I63" s="9">
        <f>H63-G63</f>
        <v>7.1850000000000023</v>
      </c>
    </row>
    <row r="64" ht="14.25">
      <c r="A64" s="5">
        <v>72315</v>
      </c>
      <c r="B64" s="6" t="s">
        <v>105</v>
      </c>
      <c r="C64" s="7" t="s">
        <v>38</v>
      </c>
      <c r="D64" s="7" t="s">
        <v>11</v>
      </c>
      <c r="E64" s="5" t="s">
        <v>39</v>
      </c>
      <c r="F64" s="8"/>
      <c r="G64" s="9">
        <f>H64*(1-15%)*(1-F64)</f>
        <v>148.66499999999999</v>
      </c>
      <c r="H64" s="9">
        <v>174.90000000000001</v>
      </c>
      <c r="I64" s="9">
        <f>H64-G64</f>
        <v>26.235000000000014</v>
      </c>
    </row>
    <row r="65" ht="14.25">
      <c r="A65" s="5">
        <v>70055</v>
      </c>
      <c r="B65" s="6" t="s">
        <v>106</v>
      </c>
      <c r="C65" s="7" t="s">
        <v>94</v>
      </c>
      <c r="D65" s="7" t="s">
        <v>95</v>
      </c>
      <c r="E65" s="5" t="s">
        <v>26</v>
      </c>
      <c r="F65" s="8"/>
      <c r="G65" s="9">
        <f>H65*(1-15%)*(1-F65)</f>
        <v>89.165000000000006</v>
      </c>
      <c r="H65" s="9">
        <v>104.90000000000001</v>
      </c>
      <c r="I65" s="9">
        <f>H65-G65</f>
        <v>15.734999999999999</v>
      </c>
    </row>
    <row r="66" ht="14.25">
      <c r="A66" s="5">
        <v>76545</v>
      </c>
      <c r="B66" s="6" t="s">
        <v>107</v>
      </c>
      <c r="C66" s="7" t="s">
        <v>94</v>
      </c>
      <c r="D66" s="7" t="s">
        <v>95</v>
      </c>
      <c r="E66" s="5" t="s">
        <v>26</v>
      </c>
      <c r="F66" s="8"/>
      <c r="G66" s="9">
        <f>H66*(1-15%)*(1-F66)</f>
        <v>57.715000000000003</v>
      </c>
      <c r="H66" s="9">
        <v>67.900000000000006</v>
      </c>
      <c r="I66" s="9">
        <f>H66-G66</f>
        <v>10.185000000000002</v>
      </c>
    </row>
    <row r="67" ht="14.25">
      <c r="A67" s="5">
        <v>75749</v>
      </c>
      <c r="B67" s="6" t="s">
        <v>108</v>
      </c>
      <c r="C67" s="7" t="s">
        <v>109</v>
      </c>
      <c r="D67" s="7" t="s">
        <v>110</v>
      </c>
      <c r="E67" s="5" t="s">
        <v>39</v>
      </c>
      <c r="F67" s="8"/>
      <c r="G67" s="9">
        <f>H67*(1-15%)*(1-F67)</f>
        <v>106.16500000000001</v>
      </c>
      <c r="H67" s="9">
        <v>124.90000000000001</v>
      </c>
      <c r="I67" s="9">
        <f>H67-G67</f>
        <v>18.734999999999999</v>
      </c>
    </row>
    <row r="68" ht="14.25">
      <c r="A68" s="5">
        <v>77314</v>
      </c>
      <c r="B68" s="6" t="s">
        <v>111</v>
      </c>
      <c r="C68" s="7" t="s">
        <v>91</v>
      </c>
      <c r="D68" s="7" t="s">
        <v>11</v>
      </c>
      <c r="E68" s="5" t="s">
        <v>15</v>
      </c>
      <c r="F68" s="8"/>
      <c r="G68" s="9">
        <f>H68*(1-15%)*(1-F68)</f>
        <v>93.415000000000006</v>
      </c>
      <c r="H68" s="9">
        <v>109.90000000000001</v>
      </c>
      <c r="I68" s="9">
        <f>H68-G68</f>
        <v>16.484999999999999</v>
      </c>
    </row>
    <row r="69" ht="14.25">
      <c r="A69" s="5">
        <v>78000</v>
      </c>
      <c r="B69" s="6" t="s">
        <v>112</v>
      </c>
      <c r="C69" s="7" t="s">
        <v>10</v>
      </c>
      <c r="D69" s="7" t="s">
        <v>71</v>
      </c>
      <c r="E69" s="5" t="s">
        <v>43</v>
      </c>
      <c r="F69" s="8"/>
      <c r="G69" s="9">
        <f>H69*(1-15%)*(1-F69)</f>
        <v>42.414999999999999</v>
      </c>
      <c r="H69" s="9">
        <v>49.899999999999999</v>
      </c>
      <c r="I69" s="9">
        <f>H69-G69</f>
        <v>7.4849999999999994</v>
      </c>
    </row>
    <row r="70" ht="14.25">
      <c r="A70" s="5">
        <v>75736</v>
      </c>
      <c r="B70" s="6" t="s">
        <v>113</v>
      </c>
      <c r="C70" s="7" t="s">
        <v>82</v>
      </c>
      <c r="D70" s="7" t="s">
        <v>45</v>
      </c>
      <c r="E70" s="5" t="s">
        <v>26</v>
      </c>
      <c r="F70" s="8"/>
      <c r="G70" s="9">
        <f>H70*(1-15%)*(1-F70)</f>
        <v>50.914999999999999</v>
      </c>
      <c r="H70" s="9">
        <v>59.899999999999999</v>
      </c>
      <c r="I70" s="9">
        <f>H70-G70</f>
        <v>8.9849999999999994</v>
      </c>
    </row>
    <row r="71" ht="14.25">
      <c r="A71" s="5">
        <v>80423</v>
      </c>
      <c r="B71" s="6" t="s">
        <v>114</v>
      </c>
      <c r="C71" s="7" t="s">
        <v>82</v>
      </c>
      <c r="D71" s="7" t="s">
        <v>103</v>
      </c>
      <c r="E71" s="5" t="s">
        <v>15</v>
      </c>
      <c r="F71" s="8"/>
      <c r="G71" s="9">
        <f>H71*(1-15%)*(1-F71)</f>
        <v>33.064999999999998</v>
      </c>
      <c r="H71" s="9">
        <v>38.899999999999999</v>
      </c>
      <c r="I71" s="9">
        <f>H71-G71</f>
        <v>5.8350000000000009</v>
      </c>
    </row>
    <row r="72" ht="14.25">
      <c r="A72" s="5">
        <v>82239</v>
      </c>
      <c r="B72" s="6" t="s">
        <v>115</v>
      </c>
      <c r="C72" s="7" t="s">
        <v>109</v>
      </c>
      <c r="D72" s="7" t="s">
        <v>110</v>
      </c>
      <c r="E72" s="5" t="s">
        <v>39</v>
      </c>
      <c r="F72" s="8"/>
      <c r="G72" s="9">
        <f>H72*(1-15%)*(1-F72)</f>
        <v>106.16500000000001</v>
      </c>
      <c r="H72" s="9">
        <v>124.90000000000001</v>
      </c>
      <c r="I72" s="9">
        <f>H72-G72</f>
        <v>18.734999999999999</v>
      </c>
    </row>
    <row r="73" ht="14.25">
      <c r="A73" s="5">
        <v>70670</v>
      </c>
      <c r="B73" s="6" t="s">
        <v>116</v>
      </c>
      <c r="C73" s="7" t="s">
        <v>79</v>
      </c>
      <c r="D73" s="7" t="s">
        <v>52</v>
      </c>
      <c r="E73" s="5" t="s">
        <v>15</v>
      </c>
      <c r="F73" s="8"/>
      <c r="G73" s="9">
        <f>H73*(1-15%)*(1-F73)</f>
        <v>93.415000000000006</v>
      </c>
      <c r="H73" s="9">
        <v>109.90000000000001</v>
      </c>
      <c r="I73" s="9">
        <f>H73-G73</f>
        <v>16.484999999999999</v>
      </c>
    </row>
    <row r="74" ht="14.25">
      <c r="A74" s="5">
        <v>70674</v>
      </c>
      <c r="B74" s="6" t="s">
        <v>117</v>
      </c>
      <c r="C74" s="7" t="s">
        <v>87</v>
      </c>
      <c r="D74" s="7" t="s">
        <v>52</v>
      </c>
      <c r="E74" s="5" t="s">
        <v>15</v>
      </c>
      <c r="F74" s="8"/>
      <c r="G74" s="9">
        <f>H74*(1-15%)*(1-F74)</f>
        <v>82.365000000000009</v>
      </c>
      <c r="H74" s="9">
        <v>96.900000000000006</v>
      </c>
      <c r="I74" s="9">
        <f>H74-G74</f>
        <v>14.534999999999997</v>
      </c>
    </row>
    <row r="75" ht="14.25">
      <c r="A75" s="5">
        <v>75829</v>
      </c>
      <c r="B75" s="6" t="s">
        <v>118</v>
      </c>
      <c r="C75" s="7" t="s">
        <v>10</v>
      </c>
      <c r="D75" s="7" t="s">
        <v>71</v>
      </c>
      <c r="E75" s="5" t="s">
        <v>43</v>
      </c>
      <c r="F75" s="8"/>
      <c r="G75" s="9">
        <f>H75*(1-15%)*(1-F75)</f>
        <v>33.914999999999999</v>
      </c>
      <c r="H75" s="9">
        <v>39.899999999999999</v>
      </c>
      <c r="I75" s="9">
        <f>H75-G75</f>
        <v>5.9849999999999994</v>
      </c>
    </row>
    <row r="76" ht="14.25">
      <c r="A76" s="5">
        <v>20029</v>
      </c>
      <c r="B76" s="6" t="s">
        <v>119</v>
      </c>
      <c r="C76" s="7" t="s">
        <v>14</v>
      </c>
      <c r="D76" s="7" t="s">
        <v>71</v>
      </c>
      <c r="E76" s="5" t="s">
        <v>39</v>
      </c>
      <c r="F76" s="8"/>
      <c r="G76" s="9">
        <f>H76*(1-15%)*(1-F76)</f>
        <v>33.914999999999999</v>
      </c>
      <c r="H76" s="9">
        <v>39.899999999999999</v>
      </c>
      <c r="I76" s="9">
        <f>H76-G76</f>
        <v>5.9849999999999994</v>
      </c>
    </row>
    <row r="77" ht="14.25">
      <c r="A77" s="5">
        <v>12866</v>
      </c>
      <c r="B77" s="6" t="s">
        <v>120</v>
      </c>
      <c r="C77" s="7" t="s">
        <v>121</v>
      </c>
      <c r="D77" s="7" t="s">
        <v>71</v>
      </c>
      <c r="E77" s="5" t="s">
        <v>39</v>
      </c>
      <c r="F77" s="8"/>
      <c r="G77" s="9">
        <f>H77*(1-15%)*(1-F77)</f>
        <v>33.914999999999999</v>
      </c>
      <c r="H77" s="9">
        <v>39.899999999999999</v>
      </c>
      <c r="I77" s="9">
        <f>H77-G77</f>
        <v>5.9849999999999994</v>
      </c>
    </row>
    <row r="78" ht="14.25">
      <c r="A78" s="5">
        <v>75750</v>
      </c>
      <c r="B78" s="6" t="s">
        <v>122</v>
      </c>
      <c r="C78" s="7" t="s">
        <v>109</v>
      </c>
      <c r="D78" s="7" t="s">
        <v>110</v>
      </c>
      <c r="E78" s="5" t="s">
        <v>39</v>
      </c>
      <c r="F78" s="8"/>
      <c r="G78" s="9">
        <f>H78*(1-15%)*(1-F78)</f>
        <v>106.16500000000001</v>
      </c>
      <c r="H78" s="9">
        <v>124.90000000000001</v>
      </c>
      <c r="I78" s="9">
        <f>H78-G78</f>
        <v>18.734999999999999</v>
      </c>
    </row>
    <row r="79" ht="14.25">
      <c r="A79" s="5">
        <v>72520</v>
      </c>
      <c r="B79" s="6" t="s">
        <v>123</v>
      </c>
      <c r="C79" s="7" t="s">
        <v>94</v>
      </c>
      <c r="D79" s="7" t="s">
        <v>95</v>
      </c>
      <c r="E79" s="5" t="s">
        <v>26</v>
      </c>
      <c r="F79" s="8"/>
      <c r="G79" s="9">
        <f>H79*(1-15%)*(1-F79)</f>
        <v>39.015000000000001</v>
      </c>
      <c r="H79" s="9">
        <v>45.899999999999999</v>
      </c>
      <c r="I79" s="9">
        <f>H79-G79</f>
        <v>6.884999999999998</v>
      </c>
    </row>
    <row r="80" ht="14.25">
      <c r="A80" s="5">
        <v>73271</v>
      </c>
      <c r="B80" s="6" t="s">
        <v>124</v>
      </c>
      <c r="C80" s="7" t="s">
        <v>36</v>
      </c>
      <c r="D80" s="7" t="s">
        <v>71</v>
      </c>
      <c r="E80" s="5" t="s">
        <v>43</v>
      </c>
      <c r="F80" s="8"/>
      <c r="G80" s="9">
        <f>H80*(1-15%)*(1-F80)</f>
        <v>25.414999999999999</v>
      </c>
      <c r="H80" s="9">
        <v>29.899999999999999</v>
      </c>
      <c r="I80" s="9">
        <f>H80-G80</f>
        <v>4.4849999999999994</v>
      </c>
    </row>
    <row r="81" ht="14.25">
      <c r="A81" s="5">
        <v>72521</v>
      </c>
      <c r="B81" s="6" t="s">
        <v>125</v>
      </c>
      <c r="C81" s="7" t="s">
        <v>94</v>
      </c>
      <c r="D81" s="7" t="s">
        <v>95</v>
      </c>
      <c r="E81" s="5" t="s">
        <v>68</v>
      </c>
      <c r="F81" s="8"/>
      <c r="G81" s="9">
        <f>H81*(1-15%)*(1-F81)</f>
        <v>40.714999999999996</v>
      </c>
      <c r="H81" s="9">
        <v>47.899999999999999</v>
      </c>
      <c r="I81" s="9">
        <f>H81-G81</f>
        <v>7.1850000000000023</v>
      </c>
    </row>
    <row r="82" ht="14.25">
      <c r="A82" s="5">
        <v>75748</v>
      </c>
      <c r="B82" s="6" t="s">
        <v>126</v>
      </c>
      <c r="C82" s="7" t="s">
        <v>109</v>
      </c>
      <c r="D82" s="7" t="s">
        <v>110</v>
      </c>
      <c r="E82" s="5" t="s">
        <v>39</v>
      </c>
      <c r="F82" s="8"/>
      <c r="G82" s="9">
        <f>H82*(1-15%)*(1-F82)</f>
        <v>106.16500000000001</v>
      </c>
      <c r="H82" s="9">
        <v>124.90000000000001</v>
      </c>
      <c r="I82" s="9">
        <f>H82-G82</f>
        <v>18.734999999999999</v>
      </c>
    </row>
    <row r="83" ht="14.25">
      <c r="A83" s="5">
        <v>75751</v>
      </c>
      <c r="B83" s="6" t="s">
        <v>127</v>
      </c>
      <c r="C83" s="7" t="s">
        <v>109</v>
      </c>
      <c r="D83" s="7" t="s">
        <v>110</v>
      </c>
      <c r="E83" s="5" t="s">
        <v>39</v>
      </c>
      <c r="F83" s="8"/>
      <c r="G83" s="9">
        <f>H83*(1-15%)*(1-F83)</f>
        <v>106.16500000000001</v>
      </c>
      <c r="H83" s="9">
        <v>124.90000000000001</v>
      </c>
      <c r="I83" s="9">
        <f>H83-G83</f>
        <v>18.734999999999999</v>
      </c>
    </row>
    <row r="84" ht="14.25">
      <c r="A84" s="5">
        <v>77696</v>
      </c>
      <c r="B84" s="6" t="s">
        <v>128</v>
      </c>
      <c r="C84" s="7" t="s">
        <v>82</v>
      </c>
      <c r="D84" s="7" t="s">
        <v>11</v>
      </c>
      <c r="E84" s="5" t="s">
        <v>43</v>
      </c>
      <c r="F84" s="8"/>
      <c r="G84" s="9">
        <f>H84*(1-15%)*(1-F84)</f>
        <v>78.965000000000003</v>
      </c>
      <c r="H84" s="9">
        <v>92.900000000000006</v>
      </c>
      <c r="I84" s="9">
        <f>H84-G84</f>
        <v>13.935000000000002</v>
      </c>
    </row>
    <row r="85" ht="14.25">
      <c r="A85" s="5">
        <v>24985</v>
      </c>
      <c r="B85" s="6" t="s">
        <v>129</v>
      </c>
      <c r="C85" s="7" t="s">
        <v>17</v>
      </c>
      <c r="D85" s="7" t="s">
        <v>71</v>
      </c>
      <c r="E85" s="5" t="s">
        <v>15</v>
      </c>
      <c r="F85" s="8"/>
      <c r="G85" s="9">
        <f>H85*(1-15%)*(1-F85)</f>
        <v>33.914999999999999</v>
      </c>
      <c r="H85" s="9">
        <v>39.899999999999999</v>
      </c>
      <c r="I85" s="9">
        <f>H85-G85</f>
        <v>5.9849999999999994</v>
      </c>
    </row>
    <row r="86" ht="14.25">
      <c r="A86" s="5">
        <v>74893</v>
      </c>
      <c r="B86" s="6" t="s">
        <v>130</v>
      </c>
      <c r="C86" s="7" t="s">
        <v>14</v>
      </c>
      <c r="D86" s="7" t="s">
        <v>71</v>
      </c>
      <c r="E86" s="5" t="s">
        <v>43</v>
      </c>
      <c r="F86" s="8"/>
      <c r="G86" s="9">
        <f>H86*(1-15%)*(1-F86)</f>
        <v>42.414999999999999</v>
      </c>
      <c r="H86" s="9">
        <v>49.899999999999999</v>
      </c>
      <c r="I86" s="9">
        <f>H86-G86</f>
        <v>7.4849999999999994</v>
      </c>
    </row>
    <row r="87" ht="14.25">
      <c r="A87" s="5">
        <v>70047</v>
      </c>
      <c r="B87" s="6" t="s">
        <v>131</v>
      </c>
      <c r="C87" s="7" t="s">
        <v>94</v>
      </c>
      <c r="D87" s="7" t="s">
        <v>95</v>
      </c>
      <c r="E87" s="5" t="s">
        <v>26</v>
      </c>
      <c r="F87" s="8"/>
      <c r="G87" s="9">
        <f>H87*(1-15%)*(1-F87)</f>
        <v>40.714999999999996</v>
      </c>
      <c r="H87" s="9">
        <v>47.899999999999999</v>
      </c>
      <c r="I87" s="9">
        <f>H87-G87</f>
        <v>7.1850000000000023</v>
      </c>
    </row>
    <row r="88" ht="14.25">
      <c r="A88" s="5">
        <v>79631</v>
      </c>
      <c r="B88" s="6" t="s">
        <v>132</v>
      </c>
      <c r="C88" s="7" t="s">
        <v>109</v>
      </c>
      <c r="D88" s="7" t="s">
        <v>110</v>
      </c>
      <c r="E88" s="5" t="s">
        <v>133</v>
      </c>
      <c r="F88" s="8"/>
      <c r="G88" s="9">
        <f>H88*(1-15%)*(1-F88)</f>
        <v>106.16500000000001</v>
      </c>
      <c r="H88" s="9">
        <v>124.90000000000001</v>
      </c>
      <c r="I88" s="9">
        <f>H88-G88</f>
        <v>18.734999999999999</v>
      </c>
    </row>
    <row r="89" ht="14.25">
      <c r="A89" s="5">
        <v>70043</v>
      </c>
      <c r="B89" s="6" t="s">
        <v>134</v>
      </c>
      <c r="C89" s="7" t="s">
        <v>94</v>
      </c>
      <c r="D89" s="7" t="s">
        <v>95</v>
      </c>
      <c r="E89" s="5" t="s">
        <v>26</v>
      </c>
      <c r="F89" s="8"/>
      <c r="G89" s="9">
        <f>H89*(1-15%)*(1-F89)</f>
        <v>39.015000000000001</v>
      </c>
      <c r="H89" s="9">
        <v>45.899999999999999</v>
      </c>
      <c r="I89" s="9">
        <f>H89-G89</f>
        <v>6.884999999999998</v>
      </c>
    </row>
    <row r="90" ht="14.25">
      <c r="A90" s="5">
        <v>76547</v>
      </c>
      <c r="B90" s="6" t="s">
        <v>135</v>
      </c>
      <c r="C90" s="7" t="s">
        <v>94</v>
      </c>
      <c r="D90" s="7" t="s">
        <v>95</v>
      </c>
      <c r="E90" s="5" t="s">
        <v>26</v>
      </c>
      <c r="F90" s="8"/>
      <c r="G90" s="9">
        <f>H90*(1-15%)*(1-F90)</f>
        <v>49.214999999999996</v>
      </c>
      <c r="H90" s="9">
        <v>57.899999999999999</v>
      </c>
      <c r="I90" s="9">
        <f>H90-G90</f>
        <v>8.6850000000000023</v>
      </c>
    </row>
    <row r="91" ht="14.25">
      <c r="A91" s="5">
        <v>81417</v>
      </c>
      <c r="B91" s="6" t="s">
        <v>136</v>
      </c>
      <c r="C91" s="7" t="s">
        <v>75</v>
      </c>
      <c r="D91" s="7" t="s">
        <v>45</v>
      </c>
      <c r="E91" s="5" t="s">
        <v>68</v>
      </c>
      <c r="F91" s="8"/>
      <c r="G91" s="9">
        <f>H91*(1-15%)*(1-F91)</f>
        <v>57.715000000000003</v>
      </c>
      <c r="H91" s="9">
        <v>67.900000000000006</v>
      </c>
      <c r="I91" s="9">
        <f>H91-G91</f>
        <v>10.185000000000002</v>
      </c>
    </row>
    <row r="92" ht="14.25">
      <c r="A92" s="5">
        <v>81179</v>
      </c>
      <c r="B92" s="6" t="s">
        <v>137</v>
      </c>
      <c r="C92" s="7" t="s">
        <v>94</v>
      </c>
      <c r="D92" s="7" t="s">
        <v>95</v>
      </c>
      <c r="E92" s="5" t="s">
        <v>26</v>
      </c>
      <c r="F92" s="8"/>
      <c r="G92" s="9">
        <f>H92*(1-15%)*(1-F92)</f>
        <v>40.714999999999996</v>
      </c>
      <c r="H92" s="9">
        <v>47.899999999999999</v>
      </c>
      <c r="I92" s="9">
        <f>H92-G92</f>
        <v>7.1850000000000023</v>
      </c>
    </row>
    <row r="93" ht="14.25">
      <c r="A93" s="5">
        <v>27858</v>
      </c>
      <c r="B93" s="6" t="s">
        <v>138</v>
      </c>
      <c r="C93" s="7" t="s">
        <v>109</v>
      </c>
      <c r="D93" s="7" t="s">
        <v>110</v>
      </c>
      <c r="E93" s="5" t="s">
        <v>39</v>
      </c>
      <c r="F93" s="8"/>
      <c r="G93" s="9">
        <f>H93*(1-15%)*(1-F93)</f>
        <v>57.715000000000003</v>
      </c>
      <c r="H93" s="9">
        <v>67.900000000000006</v>
      </c>
      <c r="I93" s="9">
        <f>H93-G93</f>
        <v>10.185000000000002</v>
      </c>
    </row>
    <row r="94" ht="14.25">
      <c r="A94" s="5">
        <v>75827</v>
      </c>
      <c r="B94" s="6" t="s">
        <v>139</v>
      </c>
      <c r="C94" s="7" t="s">
        <v>10</v>
      </c>
      <c r="D94" s="7" t="s">
        <v>71</v>
      </c>
      <c r="E94" s="5" t="s">
        <v>43</v>
      </c>
      <c r="F94" s="8"/>
      <c r="G94" s="9">
        <f>H94*(1-15%)*(1-F94)</f>
        <v>33.914999999999999</v>
      </c>
      <c r="H94" s="9">
        <v>39.899999999999999</v>
      </c>
      <c r="I94" s="9">
        <f>H94-G94</f>
        <v>5.9849999999999994</v>
      </c>
    </row>
    <row r="95" ht="14.25">
      <c r="A95" s="5">
        <v>76538</v>
      </c>
      <c r="B95" s="6" t="s">
        <v>140</v>
      </c>
      <c r="C95" s="7" t="s">
        <v>10</v>
      </c>
      <c r="D95" s="7" t="s">
        <v>71</v>
      </c>
      <c r="E95" s="5" t="s">
        <v>15</v>
      </c>
      <c r="F95" s="8"/>
      <c r="G95" s="9">
        <f>H95*(1-15%)*(1-F95)</f>
        <v>33.914999999999999</v>
      </c>
      <c r="H95" s="9">
        <v>39.899999999999999</v>
      </c>
      <c r="I95" s="9">
        <f>H95-G95</f>
        <v>5.9849999999999994</v>
      </c>
    </row>
    <row r="96" ht="14.25">
      <c r="A96" s="5">
        <v>72483</v>
      </c>
      <c r="B96" s="6" t="s">
        <v>141</v>
      </c>
      <c r="C96" s="7" t="s">
        <v>17</v>
      </c>
      <c r="D96" s="7" t="s">
        <v>71</v>
      </c>
      <c r="E96" s="5" t="s">
        <v>43</v>
      </c>
      <c r="F96" s="8"/>
      <c r="G96" s="9">
        <f>H96*(1-15%)*(1-F96)</f>
        <v>25.414999999999999</v>
      </c>
      <c r="H96" s="9">
        <v>29.899999999999999</v>
      </c>
      <c r="I96" s="9">
        <f>H96-G96</f>
        <v>4.4849999999999994</v>
      </c>
    </row>
    <row r="97" ht="14.25">
      <c r="A97" s="5">
        <v>81180</v>
      </c>
      <c r="B97" s="6" t="s">
        <v>142</v>
      </c>
      <c r="C97" s="7" t="s">
        <v>94</v>
      </c>
      <c r="D97" s="7" t="s">
        <v>95</v>
      </c>
      <c r="E97" s="5" t="s">
        <v>68</v>
      </c>
      <c r="F97" s="8"/>
      <c r="G97" s="9">
        <f>H97*(1-15%)*(1-F97)</f>
        <v>39.015000000000001</v>
      </c>
      <c r="H97" s="9">
        <v>45.899999999999999</v>
      </c>
      <c r="I97" s="9">
        <f>H97-G97</f>
        <v>6.884999999999998</v>
      </c>
    </row>
    <row r="98" ht="14.25">
      <c r="A98" s="5">
        <v>23494</v>
      </c>
      <c r="B98" s="6" t="s">
        <v>143</v>
      </c>
      <c r="C98" s="7" t="s">
        <v>25</v>
      </c>
      <c r="D98" s="7" t="s">
        <v>71</v>
      </c>
      <c r="E98" s="5" t="s">
        <v>68</v>
      </c>
      <c r="F98" s="8"/>
      <c r="G98" s="9">
        <f>H98*(1-15%)*(1-F98)</f>
        <v>42.414999999999999</v>
      </c>
      <c r="H98" s="9">
        <v>49.899999999999999</v>
      </c>
      <c r="I98" s="9">
        <f>H98-G98</f>
        <v>7.4849999999999994</v>
      </c>
    </row>
    <row r="99" ht="14.25">
      <c r="A99" s="5">
        <v>77362</v>
      </c>
      <c r="B99" s="6" t="s">
        <v>144</v>
      </c>
      <c r="C99" s="7" t="s">
        <v>75</v>
      </c>
      <c r="D99" s="7" t="s">
        <v>45</v>
      </c>
      <c r="E99" s="5" t="s">
        <v>15</v>
      </c>
      <c r="F99" s="8"/>
      <c r="G99" s="9">
        <f>H99*(1-15%)*(1-F99)</f>
        <v>57.715000000000003</v>
      </c>
      <c r="H99" s="9">
        <v>67.900000000000006</v>
      </c>
      <c r="I99" s="9">
        <f>H99-G99</f>
        <v>10.185000000000002</v>
      </c>
    </row>
    <row r="100" ht="14.25">
      <c r="A100" s="5">
        <v>75732</v>
      </c>
      <c r="B100" s="6" t="s">
        <v>145</v>
      </c>
      <c r="C100" s="7" t="s">
        <v>75</v>
      </c>
      <c r="D100" s="7" t="s">
        <v>45</v>
      </c>
      <c r="E100" s="5" t="s">
        <v>15</v>
      </c>
      <c r="F100" s="8"/>
      <c r="G100" s="9">
        <f>H100*(1-15%)*(1-F100)</f>
        <v>80.665000000000006</v>
      </c>
      <c r="H100" s="9">
        <v>94.900000000000006</v>
      </c>
      <c r="I100" s="9">
        <f>H100-G100</f>
        <v>14.234999999999999</v>
      </c>
    </row>
    <row r="101" ht="14.25">
      <c r="A101" s="5">
        <v>75812</v>
      </c>
      <c r="B101" s="6" t="s">
        <v>146</v>
      </c>
      <c r="C101" s="7" t="s">
        <v>14</v>
      </c>
      <c r="D101" s="7" t="s">
        <v>71</v>
      </c>
      <c r="E101" s="5" t="s">
        <v>43</v>
      </c>
      <c r="F101" s="8"/>
      <c r="G101" s="9">
        <f>H101*(1-15%)*(1-F101)</f>
        <v>33.914999999999999</v>
      </c>
      <c r="H101" s="9">
        <v>39.899999999999999</v>
      </c>
      <c r="I101" s="9">
        <f>H101-G101</f>
        <v>5.9849999999999994</v>
      </c>
    </row>
    <row r="102" ht="14.25">
      <c r="A102" s="5">
        <v>74452</v>
      </c>
      <c r="B102" s="6" t="s">
        <v>147</v>
      </c>
      <c r="C102" s="7" t="s">
        <v>94</v>
      </c>
      <c r="D102" s="7" t="s">
        <v>95</v>
      </c>
      <c r="E102" s="5" t="s">
        <v>68</v>
      </c>
      <c r="F102" s="8"/>
      <c r="G102" s="9">
        <f>H102*(1-15%)*(1-F102)</f>
        <v>59.415000000000006</v>
      </c>
      <c r="H102" s="9">
        <v>69.900000000000006</v>
      </c>
      <c r="I102" s="9">
        <f>H102-G102</f>
        <v>10.484999999999999</v>
      </c>
    </row>
    <row r="103" ht="14.25">
      <c r="A103" s="5">
        <v>75152</v>
      </c>
      <c r="B103" s="6" t="s">
        <v>148</v>
      </c>
      <c r="C103" s="7" t="s">
        <v>82</v>
      </c>
      <c r="D103" s="7" t="s">
        <v>45</v>
      </c>
      <c r="E103" s="5" t="s">
        <v>26</v>
      </c>
      <c r="F103" s="8"/>
      <c r="G103" s="9">
        <f>H103*(1-15%)*(1-F103)</f>
        <v>46.664999999999999</v>
      </c>
      <c r="H103" s="9">
        <v>54.899999999999999</v>
      </c>
      <c r="I103" s="9">
        <f>H103-G103</f>
        <v>8.2349999999999994</v>
      </c>
    </row>
    <row r="104" ht="14.25">
      <c r="A104" s="5">
        <v>77695</v>
      </c>
      <c r="B104" s="6" t="s">
        <v>149</v>
      </c>
      <c r="C104" s="7" t="s">
        <v>82</v>
      </c>
      <c r="D104" s="7" t="s">
        <v>103</v>
      </c>
      <c r="E104" s="5" t="s">
        <v>15</v>
      </c>
      <c r="F104" s="8"/>
      <c r="G104" s="9">
        <f>H104*(1-15%)*(1-F104)</f>
        <v>33.064999999999998</v>
      </c>
      <c r="H104" s="9">
        <v>38.899999999999999</v>
      </c>
      <c r="I104" s="9">
        <f>H104-G104</f>
        <v>5.8350000000000009</v>
      </c>
    </row>
    <row r="105" ht="14.25">
      <c r="A105" s="5">
        <v>73367</v>
      </c>
      <c r="B105" s="6" t="s">
        <v>150</v>
      </c>
      <c r="C105" s="7" t="s">
        <v>14</v>
      </c>
      <c r="D105" s="7" t="s">
        <v>71</v>
      </c>
      <c r="E105" s="5" t="s">
        <v>133</v>
      </c>
      <c r="F105" s="8"/>
      <c r="G105" s="9">
        <f>H105*(1-15%)*(1-F105)</f>
        <v>42.414999999999999</v>
      </c>
      <c r="H105" s="9">
        <v>49.899999999999999</v>
      </c>
      <c r="I105" s="9">
        <f>H105-G105</f>
        <v>7.4849999999999994</v>
      </c>
    </row>
    <row r="106" ht="14.25">
      <c r="A106" s="5">
        <v>25418</v>
      </c>
      <c r="B106" s="6" t="s">
        <v>151</v>
      </c>
      <c r="C106" s="7" t="s">
        <v>17</v>
      </c>
      <c r="D106" s="7" t="s">
        <v>71</v>
      </c>
      <c r="E106" s="5" t="s">
        <v>39</v>
      </c>
      <c r="F106" s="8"/>
      <c r="G106" s="9">
        <f>H106*(1-15%)*(1-F106)</f>
        <v>42.414999999999999</v>
      </c>
      <c r="H106" s="9">
        <v>49.899999999999999</v>
      </c>
      <c r="I106" s="9">
        <f>H106-G106</f>
        <v>7.4849999999999994</v>
      </c>
    </row>
    <row r="107" ht="14.25">
      <c r="A107" s="5">
        <v>76840</v>
      </c>
      <c r="B107" s="6" t="s">
        <v>152</v>
      </c>
      <c r="C107" s="7" t="s">
        <v>109</v>
      </c>
      <c r="D107" s="7" t="s">
        <v>110</v>
      </c>
      <c r="E107" s="5" t="s">
        <v>39</v>
      </c>
      <c r="F107" s="8"/>
      <c r="G107" s="9">
        <f>H107*(1-15%)*(1-F107)</f>
        <v>80.665000000000006</v>
      </c>
      <c r="H107" s="9">
        <v>94.900000000000006</v>
      </c>
      <c r="I107" s="9">
        <f>H107-G107</f>
        <v>14.234999999999999</v>
      </c>
    </row>
    <row r="108" ht="14.25">
      <c r="A108" s="5">
        <v>75985</v>
      </c>
      <c r="B108" s="6" t="s">
        <v>153</v>
      </c>
      <c r="C108" s="7" t="s">
        <v>75</v>
      </c>
      <c r="D108" s="7" t="s">
        <v>11</v>
      </c>
      <c r="E108" s="5" t="s">
        <v>15</v>
      </c>
      <c r="F108" s="8"/>
      <c r="G108" s="9">
        <f>H108*(1-15%)*(1-F108)</f>
        <v>84.915000000000006</v>
      </c>
      <c r="H108" s="9">
        <v>99.900000000000006</v>
      </c>
      <c r="I108" s="9">
        <f>H108-G108</f>
        <v>14.984999999999999</v>
      </c>
    </row>
    <row r="109" ht="14.25">
      <c r="A109" s="5">
        <v>81181</v>
      </c>
      <c r="B109" s="6" t="s">
        <v>154</v>
      </c>
      <c r="C109" s="7" t="s">
        <v>94</v>
      </c>
      <c r="D109" s="7" t="s">
        <v>95</v>
      </c>
      <c r="E109" s="5" t="s">
        <v>68</v>
      </c>
      <c r="F109" s="8"/>
      <c r="G109" s="9">
        <f>H109*(1-15%)*(1-F109)</f>
        <v>57.715000000000003</v>
      </c>
      <c r="H109" s="9">
        <v>67.900000000000006</v>
      </c>
      <c r="I109" s="9">
        <f>H109-G109</f>
        <v>10.185000000000002</v>
      </c>
    </row>
    <row r="110" ht="14.25">
      <c r="A110" s="5">
        <v>28377</v>
      </c>
      <c r="B110" s="6" t="s">
        <v>155</v>
      </c>
      <c r="C110" s="7" t="s">
        <v>82</v>
      </c>
      <c r="D110" s="7" t="s">
        <v>71</v>
      </c>
      <c r="E110" s="5" t="s">
        <v>39</v>
      </c>
      <c r="F110" s="8"/>
      <c r="G110" s="9">
        <f>H110*(1-15%)*(1-F110)</f>
        <v>29.664999999999999</v>
      </c>
      <c r="H110" s="9">
        <v>34.899999999999999</v>
      </c>
      <c r="I110" s="9">
        <f>H110-G110</f>
        <v>5.2349999999999994</v>
      </c>
    </row>
    <row r="111" ht="14.25">
      <c r="A111" s="5">
        <v>76549</v>
      </c>
      <c r="B111" s="6" t="s">
        <v>156</v>
      </c>
      <c r="C111" s="7" t="s">
        <v>94</v>
      </c>
      <c r="D111" s="7" t="s">
        <v>95</v>
      </c>
      <c r="E111" s="5" t="s">
        <v>68</v>
      </c>
      <c r="F111" s="8"/>
      <c r="G111" s="9">
        <f>H111*(1-15%)*(1-F111)</f>
        <v>70.465000000000003</v>
      </c>
      <c r="H111" s="9">
        <v>82.900000000000006</v>
      </c>
      <c r="I111" s="9">
        <f>H111-G111</f>
        <v>12.435000000000002</v>
      </c>
    </row>
    <row r="112" ht="14.25">
      <c r="A112" s="5">
        <v>75497</v>
      </c>
      <c r="B112" s="6" t="s">
        <v>157</v>
      </c>
      <c r="C112" s="7" t="s">
        <v>109</v>
      </c>
      <c r="D112" s="7" t="s">
        <v>110</v>
      </c>
      <c r="E112" s="5" t="s">
        <v>39</v>
      </c>
      <c r="F112" s="8"/>
      <c r="G112" s="9">
        <f>H112*(1-15%)*(1-F112)</f>
        <v>101.91500000000001</v>
      </c>
      <c r="H112" s="9">
        <v>119.90000000000001</v>
      </c>
      <c r="I112" s="9">
        <f>H112-G112</f>
        <v>17.984999999999999</v>
      </c>
    </row>
    <row r="113" ht="14.25">
      <c r="A113" s="5">
        <v>75808</v>
      </c>
      <c r="B113" s="6" t="s">
        <v>158</v>
      </c>
      <c r="C113" s="7" t="s">
        <v>21</v>
      </c>
      <c r="D113" s="7" t="s">
        <v>71</v>
      </c>
      <c r="E113" s="5" t="s">
        <v>68</v>
      </c>
      <c r="F113" s="8"/>
      <c r="G113" s="9">
        <f>H113*(1-15%)*(1-F113)</f>
        <v>33.914999999999999</v>
      </c>
      <c r="H113" s="9">
        <v>39.899999999999999</v>
      </c>
      <c r="I113" s="9">
        <f>H113-G113</f>
        <v>5.9849999999999994</v>
      </c>
    </row>
    <row r="114" ht="14.25">
      <c r="A114" s="5">
        <v>74937</v>
      </c>
      <c r="B114" s="6" t="s">
        <v>159</v>
      </c>
      <c r="C114" s="7" t="s">
        <v>82</v>
      </c>
      <c r="D114" s="7" t="s">
        <v>71</v>
      </c>
      <c r="E114" s="5" t="s">
        <v>15</v>
      </c>
      <c r="F114" s="8"/>
      <c r="G114" s="9">
        <f>H114*(1-15%)*(1-F114)</f>
        <v>29.664999999999999</v>
      </c>
      <c r="H114" s="9">
        <v>34.899999999999999</v>
      </c>
      <c r="I114" s="9">
        <f>H114-G114</f>
        <v>5.2349999999999994</v>
      </c>
    </row>
    <row r="115" ht="14.25">
      <c r="A115" s="5">
        <v>71815</v>
      </c>
      <c r="B115" s="6" t="s">
        <v>160</v>
      </c>
      <c r="C115" s="7" t="s">
        <v>14</v>
      </c>
      <c r="D115" s="7" t="s">
        <v>45</v>
      </c>
      <c r="E115" s="5" t="s">
        <v>68</v>
      </c>
      <c r="F115" s="8"/>
      <c r="G115" s="9">
        <f>H115*(1-15%)*(1-F115)</f>
        <v>63.665000000000006</v>
      </c>
      <c r="H115" s="9">
        <v>74.900000000000006</v>
      </c>
      <c r="I115" s="9">
        <f>H115-G115</f>
        <v>11.234999999999999</v>
      </c>
    </row>
    <row r="116" ht="14.25">
      <c r="A116" s="5">
        <v>72017</v>
      </c>
      <c r="B116" s="6" t="s">
        <v>161</v>
      </c>
      <c r="C116" s="7" t="s">
        <v>17</v>
      </c>
      <c r="D116" s="7" t="s">
        <v>45</v>
      </c>
      <c r="E116" s="5" t="s">
        <v>68</v>
      </c>
      <c r="F116" s="8"/>
      <c r="G116" s="9">
        <f>H116*(1-15%)*(1-F116)</f>
        <v>56.865000000000002</v>
      </c>
      <c r="H116" s="9">
        <v>66.900000000000006</v>
      </c>
      <c r="I116" s="9">
        <f>H116-G116</f>
        <v>10.035000000000004</v>
      </c>
    </row>
    <row r="117" ht="14.25">
      <c r="A117" s="5">
        <v>27861</v>
      </c>
      <c r="B117" s="6" t="s">
        <v>162</v>
      </c>
      <c r="C117" s="7" t="s">
        <v>109</v>
      </c>
      <c r="D117" s="7" t="s">
        <v>110</v>
      </c>
      <c r="E117" s="5" t="s">
        <v>39</v>
      </c>
      <c r="F117" s="8"/>
      <c r="G117" s="9">
        <f>H117*(1-15%)*(1-F117)</f>
        <v>57.715000000000003</v>
      </c>
      <c r="H117" s="9">
        <v>67.900000000000006</v>
      </c>
      <c r="I117" s="9">
        <f>H117-G117</f>
        <v>10.185000000000002</v>
      </c>
    </row>
    <row r="118" ht="14.25">
      <c r="A118" s="5">
        <v>79632</v>
      </c>
      <c r="B118" s="6" t="s">
        <v>163</v>
      </c>
      <c r="C118" s="7" t="s">
        <v>109</v>
      </c>
      <c r="D118" s="7" t="s">
        <v>110</v>
      </c>
      <c r="E118" s="5" t="s">
        <v>39</v>
      </c>
      <c r="F118" s="8"/>
      <c r="G118" s="9">
        <f>H118*(1-15%)*(1-F118)</f>
        <v>106.16500000000001</v>
      </c>
      <c r="H118" s="9">
        <v>124.90000000000001</v>
      </c>
      <c r="I118" s="9">
        <f>H118-G118</f>
        <v>18.734999999999999</v>
      </c>
    </row>
    <row r="119" ht="14.25">
      <c r="A119" s="5">
        <v>80432</v>
      </c>
      <c r="B119" s="6" t="s">
        <v>164</v>
      </c>
      <c r="C119" s="7" t="s">
        <v>82</v>
      </c>
      <c r="D119" s="7" t="s">
        <v>103</v>
      </c>
      <c r="E119" s="5" t="s">
        <v>39</v>
      </c>
      <c r="F119" s="8"/>
      <c r="G119" s="9">
        <f>H119*(1-15%)*(1-F119)</f>
        <v>20.314999999999998</v>
      </c>
      <c r="H119" s="9">
        <v>23.899999999999999</v>
      </c>
      <c r="I119" s="9">
        <f>H119-G119</f>
        <v>3.5850000000000009</v>
      </c>
    </row>
    <row r="120" ht="14.25">
      <c r="A120" s="5">
        <v>71092</v>
      </c>
      <c r="B120" s="6" t="s">
        <v>165</v>
      </c>
      <c r="C120" s="7" t="s">
        <v>94</v>
      </c>
      <c r="D120" s="7" t="s">
        <v>95</v>
      </c>
      <c r="E120" s="5" t="s">
        <v>26</v>
      </c>
      <c r="F120" s="8"/>
      <c r="G120" s="9">
        <f>H120*(1-15%)*(1-F120)</f>
        <v>57.715000000000003</v>
      </c>
      <c r="H120" s="9">
        <v>67.900000000000006</v>
      </c>
      <c r="I120" s="9">
        <f>H120-G120</f>
        <v>10.185000000000002</v>
      </c>
    </row>
    <row r="121" ht="14.25">
      <c r="A121" s="5">
        <v>71807</v>
      </c>
      <c r="B121" s="6" t="s">
        <v>166</v>
      </c>
      <c r="C121" s="7" t="s">
        <v>17</v>
      </c>
      <c r="D121" s="7" t="s">
        <v>45</v>
      </c>
      <c r="E121" s="5" t="s">
        <v>26</v>
      </c>
      <c r="F121" s="8"/>
      <c r="G121" s="9">
        <f>H121*(1-15%)*(1-F121)</f>
        <v>56.865000000000002</v>
      </c>
      <c r="H121" s="9">
        <v>66.900000000000006</v>
      </c>
      <c r="I121" s="9">
        <f>H121-G121</f>
        <v>10.035000000000004</v>
      </c>
    </row>
    <row r="122" ht="14.25">
      <c r="A122" s="5">
        <v>75757</v>
      </c>
      <c r="B122" s="6" t="s">
        <v>167</v>
      </c>
      <c r="C122" s="7" t="s">
        <v>109</v>
      </c>
      <c r="D122" s="7" t="s">
        <v>110</v>
      </c>
      <c r="E122" s="5" t="s">
        <v>39</v>
      </c>
      <c r="F122" s="8"/>
      <c r="G122" s="9">
        <f>H122*(1-15%)*(1-F122)</f>
        <v>66.215000000000003</v>
      </c>
      <c r="H122" s="9">
        <v>77.900000000000006</v>
      </c>
      <c r="I122" s="9">
        <f>H122-G122</f>
        <v>11.685000000000002</v>
      </c>
    </row>
    <row r="123" ht="14.25">
      <c r="A123" s="5">
        <v>73580</v>
      </c>
      <c r="B123" s="6" t="s">
        <v>168</v>
      </c>
      <c r="C123" s="7" t="s">
        <v>17</v>
      </c>
      <c r="D123" s="7" t="s">
        <v>45</v>
      </c>
      <c r="E123" s="5" t="s">
        <v>68</v>
      </c>
      <c r="F123" s="8"/>
      <c r="G123" s="9">
        <f>H123*(1-15%)*(1-F123)</f>
        <v>56.865000000000002</v>
      </c>
      <c r="H123" s="9">
        <v>66.900000000000006</v>
      </c>
      <c r="I123" s="9">
        <f>H123-G123</f>
        <v>10.035000000000004</v>
      </c>
    </row>
    <row r="124" ht="14.25">
      <c r="A124" s="5">
        <v>75972</v>
      </c>
      <c r="B124" s="6" t="s">
        <v>169</v>
      </c>
      <c r="C124" s="7" t="s">
        <v>75</v>
      </c>
      <c r="D124" s="7" t="s">
        <v>45</v>
      </c>
      <c r="E124" s="5" t="s">
        <v>15</v>
      </c>
      <c r="F124" s="8"/>
      <c r="G124" s="9">
        <f>H124*(1-15%)*(1-F124)</f>
        <v>55.165000000000006</v>
      </c>
      <c r="H124" s="9">
        <v>64.900000000000006</v>
      </c>
      <c r="I124" s="9">
        <f>H124-G124</f>
        <v>9.7349999999999994</v>
      </c>
    </row>
    <row r="125" ht="14.25">
      <c r="A125" s="5">
        <v>47916</v>
      </c>
      <c r="B125" s="6" t="s">
        <v>170</v>
      </c>
      <c r="C125" s="7" t="s">
        <v>94</v>
      </c>
      <c r="D125" s="7" t="s">
        <v>95</v>
      </c>
      <c r="E125" s="5" t="s">
        <v>26</v>
      </c>
      <c r="F125" s="8"/>
      <c r="G125" s="9">
        <f>H125*(1-15%)*(1-F125)</f>
        <v>53.464999999999996</v>
      </c>
      <c r="H125" s="9">
        <v>62.899999999999999</v>
      </c>
      <c r="I125" s="9">
        <f>H125-G125</f>
        <v>9.4350000000000023</v>
      </c>
    </row>
    <row r="126" ht="14.25">
      <c r="A126" s="5">
        <v>76689</v>
      </c>
      <c r="B126" s="6" t="s">
        <v>171</v>
      </c>
      <c r="C126" s="7" t="s">
        <v>109</v>
      </c>
      <c r="D126" s="7" t="s">
        <v>110</v>
      </c>
      <c r="E126" s="5" t="s">
        <v>39</v>
      </c>
      <c r="F126" s="8"/>
      <c r="G126" s="9">
        <f>H126*(1-15%)*(1-F126)</f>
        <v>67.915000000000006</v>
      </c>
      <c r="H126" s="9">
        <v>79.900000000000006</v>
      </c>
      <c r="I126" s="9">
        <f>H126-G126</f>
        <v>11.984999999999999</v>
      </c>
    </row>
    <row r="127" ht="14.25">
      <c r="A127" s="5">
        <v>77691</v>
      </c>
      <c r="B127" s="6" t="s">
        <v>172</v>
      </c>
      <c r="C127" s="7" t="s">
        <v>82</v>
      </c>
      <c r="D127" s="7" t="s">
        <v>45</v>
      </c>
      <c r="E127" s="5" t="s">
        <v>15</v>
      </c>
      <c r="F127" s="8"/>
      <c r="G127" s="9">
        <f>H127*(1-15%)*(1-F127)</f>
        <v>46.664999999999999</v>
      </c>
      <c r="H127" s="9">
        <v>54.899999999999999</v>
      </c>
      <c r="I127" s="9">
        <f>H127-G127</f>
        <v>8.2349999999999994</v>
      </c>
    </row>
    <row r="128" ht="14.25">
      <c r="A128" s="5">
        <v>73794</v>
      </c>
      <c r="B128" s="6" t="s">
        <v>173</v>
      </c>
      <c r="C128" s="7" t="s">
        <v>10</v>
      </c>
      <c r="D128" s="7" t="s">
        <v>174</v>
      </c>
      <c r="E128" s="5" t="s">
        <v>26</v>
      </c>
      <c r="F128" s="8"/>
      <c r="G128" s="9">
        <f>H128*(1-15%)*(1-F128)</f>
        <v>70.465000000000003</v>
      </c>
      <c r="H128" s="9">
        <v>82.900000000000006</v>
      </c>
      <c r="I128" s="9">
        <f>H128-G128</f>
        <v>12.435000000000002</v>
      </c>
    </row>
    <row r="129" ht="14.25">
      <c r="A129" s="5">
        <v>70050</v>
      </c>
      <c r="B129" s="6" t="s">
        <v>175</v>
      </c>
      <c r="C129" s="7" t="s">
        <v>94</v>
      </c>
      <c r="D129" s="7" t="s">
        <v>95</v>
      </c>
      <c r="E129" s="5" t="s">
        <v>26</v>
      </c>
      <c r="F129" s="8"/>
      <c r="G129" s="9">
        <f>H129*(1-15%)*(1-F129)</f>
        <v>57.715000000000003</v>
      </c>
      <c r="H129" s="9">
        <v>67.900000000000006</v>
      </c>
      <c r="I129" s="9">
        <f>H129-G129</f>
        <v>10.185000000000002</v>
      </c>
    </row>
    <row r="130" ht="14.25">
      <c r="A130" s="5">
        <v>77044</v>
      </c>
      <c r="B130" s="6" t="s">
        <v>176</v>
      </c>
      <c r="C130" s="7" t="s">
        <v>75</v>
      </c>
      <c r="D130" s="7" t="s">
        <v>95</v>
      </c>
      <c r="E130" s="5" t="s">
        <v>26</v>
      </c>
      <c r="F130" s="8"/>
      <c r="G130" s="9">
        <f>H130*(1-15%)*(1-F130)</f>
        <v>46.664999999999999</v>
      </c>
      <c r="H130" s="9">
        <v>54.899999999999999</v>
      </c>
      <c r="I130" s="9">
        <f>H130-G130</f>
        <v>8.2349999999999994</v>
      </c>
    </row>
    <row r="131" ht="14.25">
      <c r="A131" s="5">
        <v>70683</v>
      </c>
      <c r="B131" s="6" t="s">
        <v>177</v>
      </c>
      <c r="C131" s="7" t="s">
        <v>87</v>
      </c>
      <c r="D131" s="7" t="s">
        <v>52</v>
      </c>
      <c r="E131" s="5" t="s">
        <v>39</v>
      </c>
      <c r="F131" s="8"/>
      <c r="G131" s="9">
        <f>H131*(1-15%)*(1-F131)</f>
        <v>38.164999999999999</v>
      </c>
      <c r="H131" s="9">
        <v>44.899999999999999</v>
      </c>
      <c r="I131" s="9">
        <f>H131-G131</f>
        <v>6.7349999999999994</v>
      </c>
    </row>
    <row r="132" ht="14.25">
      <c r="A132" s="5">
        <v>80416</v>
      </c>
      <c r="B132" s="6" t="s">
        <v>178</v>
      </c>
      <c r="C132" s="7" t="s">
        <v>82</v>
      </c>
      <c r="D132" s="7" t="s">
        <v>103</v>
      </c>
      <c r="E132" s="5" t="s">
        <v>26</v>
      </c>
      <c r="F132" s="8"/>
      <c r="G132" s="9">
        <f>H132*(1-15%)*(1-F132)</f>
        <v>20.314999999999998</v>
      </c>
      <c r="H132" s="9">
        <v>23.899999999999999</v>
      </c>
      <c r="I132" s="9">
        <f>H132-G132</f>
        <v>3.5850000000000009</v>
      </c>
    </row>
    <row r="133" ht="14.25">
      <c r="A133" s="5">
        <v>20043</v>
      </c>
      <c r="B133" s="6" t="s">
        <v>179</v>
      </c>
      <c r="C133" s="7" t="s">
        <v>65</v>
      </c>
      <c r="D133" s="7" t="s">
        <v>71</v>
      </c>
      <c r="E133" s="5" t="s">
        <v>68</v>
      </c>
      <c r="F133" s="8"/>
      <c r="G133" s="9">
        <f>H133*(1-15%)*(1-F133)</f>
        <v>25.414999999999999</v>
      </c>
      <c r="H133" s="9">
        <v>29.899999999999999</v>
      </c>
      <c r="I133" s="9">
        <f>H133-G133</f>
        <v>4.4849999999999994</v>
      </c>
    </row>
    <row r="134" ht="14.25">
      <c r="A134" s="5">
        <v>75495</v>
      </c>
      <c r="B134" s="6" t="s">
        <v>180</v>
      </c>
      <c r="C134" s="7" t="s">
        <v>109</v>
      </c>
      <c r="D134" s="7" t="s">
        <v>110</v>
      </c>
      <c r="E134" s="5" t="s">
        <v>39</v>
      </c>
      <c r="F134" s="8"/>
      <c r="G134" s="9">
        <f>H134*(1-15%)*(1-F134)</f>
        <v>101.91500000000001</v>
      </c>
      <c r="H134" s="9">
        <v>119.90000000000001</v>
      </c>
      <c r="I134" s="9">
        <f>H134-G134</f>
        <v>17.984999999999999</v>
      </c>
    </row>
    <row r="135" ht="14.25">
      <c r="A135" s="5">
        <v>29528</v>
      </c>
      <c r="B135" s="6" t="s">
        <v>181</v>
      </c>
      <c r="C135" s="7" t="s">
        <v>109</v>
      </c>
      <c r="D135" s="7" t="s">
        <v>110</v>
      </c>
      <c r="E135" s="5" t="s">
        <v>15</v>
      </c>
      <c r="F135" s="8"/>
      <c r="G135" s="9">
        <f>H135*(1-15%)*(1-F135)</f>
        <v>80.665000000000006</v>
      </c>
      <c r="H135" s="9">
        <v>94.900000000000006</v>
      </c>
      <c r="I135" s="9">
        <f>H135-G135</f>
        <v>14.234999999999999</v>
      </c>
    </row>
    <row r="136" ht="14.25">
      <c r="A136" s="5">
        <v>43568</v>
      </c>
      <c r="B136" s="6" t="s">
        <v>182</v>
      </c>
      <c r="C136" s="7" t="s">
        <v>109</v>
      </c>
      <c r="D136" s="7" t="s">
        <v>183</v>
      </c>
      <c r="E136" s="5" t="s">
        <v>15</v>
      </c>
      <c r="F136" s="8"/>
      <c r="G136" s="9">
        <f>H136*(1-15%)*(1-F136)</f>
        <v>161.41499999999999</v>
      </c>
      <c r="H136" s="9">
        <v>189.90000000000001</v>
      </c>
      <c r="I136" s="9">
        <f>H136-G136</f>
        <v>28.485000000000014</v>
      </c>
    </row>
    <row r="137" ht="14.25">
      <c r="A137" s="5">
        <v>77114</v>
      </c>
      <c r="B137" s="6" t="s">
        <v>184</v>
      </c>
      <c r="C137" s="7" t="s">
        <v>36</v>
      </c>
      <c r="D137" s="7" t="s">
        <v>71</v>
      </c>
      <c r="E137" s="5" t="s">
        <v>15</v>
      </c>
      <c r="F137" s="8"/>
      <c r="G137" s="9">
        <f>H137*(1-15%)*(1-F137)</f>
        <v>33.914999999999999</v>
      </c>
      <c r="H137" s="9">
        <v>39.899999999999999</v>
      </c>
      <c r="I137" s="9">
        <f>H137-G137</f>
        <v>5.9849999999999994</v>
      </c>
    </row>
    <row r="138" ht="14.25">
      <c r="A138" s="5">
        <v>74906</v>
      </c>
      <c r="B138" s="6" t="s">
        <v>185</v>
      </c>
      <c r="C138" s="7" t="s">
        <v>10</v>
      </c>
      <c r="D138" s="7" t="s">
        <v>103</v>
      </c>
      <c r="E138" s="5" t="s">
        <v>15</v>
      </c>
      <c r="F138" s="8"/>
      <c r="G138" s="9">
        <f>H138*(1-15%)*(1-F138)</f>
        <v>53.464999999999996</v>
      </c>
      <c r="H138" s="9">
        <v>62.899999999999999</v>
      </c>
      <c r="I138" s="9">
        <f>H138-G138</f>
        <v>9.4350000000000023</v>
      </c>
    </row>
    <row r="139" ht="14.25">
      <c r="A139" s="5">
        <v>12923</v>
      </c>
      <c r="B139" s="6" t="s">
        <v>186</v>
      </c>
      <c r="C139" s="7" t="s">
        <v>25</v>
      </c>
      <c r="D139" s="7" t="s">
        <v>71</v>
      </c>
      <c r="E139" s="5" t="s">
        <v>15</v>
      </c>
      <c r="F139" s="8"/>
      <c r="G139" s="9">
        <f>H139*(1-15%)*(1-F139)</f>
        <v>32.214999999999996</v>
      </c>
      <c r="H139" s="9">
        <v>37.899999999999999</v>
      </c>
      <c r="I139" s="9">
        <f>H139-G139</f>
        <v>5.6850000000000023</v>
      </c>
    </row>
    <row r="140" ht="14.25">
      <c r="A140" s="5">
        <v>73803</v>
      </c>
      <c r="B140" s="6" t="s">
        <v>187</v>
      </c>
      <c r="C140" s="7" t="s">
        <v>10</v>
      </c>
      <c r="D140" s="7" t="s">
        <v>103</v>
      </c>
      <c r="E140" s="5" t="s">
        <v>15</v>
      </c>
      <c r="F140" s="8"/>
      <c r="G140" s="9">
        <f>H140*(1-15%)*(1-F140)</f>
        <v>50.064999999999998</v>
      </c>
      <c r="H140" s="9">
        <v>58.899999999999999</v>
      </c>
      <c r="I140" s="9">
        <f>H140-G140</f>
        <v>8.8350000000000009</v>
      </c>
    </row>
    <row r="141" ht="14.25">
      <c r="A141" s="5">
        <v>43939</v>
      </c>
      <c r="B141" s="6" t="s">
        <v>188</v>
      </c>
      <c r="C141" s="7" t="s">
        <v>94</v>
      </c>
      <c r="D141" s="7" t="s">
        <v>183</v>
      </c>
      <c r="E141" s="5" t="s">
        <v>15</v>
      </c>
      <c r="F141" s="8"/>
      <c r="G141" s="9">
        <f>H141*(1-15%)*(1-F141)</f>
        <v>50.914999999999999</v>
      </c>
      <c r="H141" s="9">
        <v>59.899999999999999</v>
      </c>
      <c r="I141" s="9">
        <f>H141-G141</f>
        <v>8.9849999999999994</v>
      </c>
    </row>
    <row r="142" ht="14.25">
      <c r="A142" s="5">
        <v>77744</v>
      </c>
      <c r="B142" s="6" t="s">
        <v>189</v>
      </c>
      <c r="C142" s="7" t="s">
        <v>82</v>
      </c>
      <c r="D142" s="7" t="s">
        <v>45</v>
      </c>
      <c r="E142" s="5" t="s">
        <v>15</v>
      </c>
      <c r="F142" s="8"/>
      <c r="G142" s="9">
        <f>H142*(1-15%)*(1-F142)</f>
        <v>46.664999999999999</v>
      </c>
      <c r="H142" s="9">
        <v>54.899999999999999</v>
      </c>
      <c r="I142" s="9">
        <f>H142-G142</f>
        <v>8.2349999999999994</v>
      </c>
    </row>
    <row r="143" ht="14.25">
      <c r="A143" s="5">
        <v>75037</v>
      </c>
      <c r="B143" s="6" t="s">
        <v>190</v>
      </c>
      <c r="C143" s="7" t="s">
        <v>75</v>
      </c>
      <c r="D143" s="7" t="s">
        <v>95</v>
      </c>
      <c r="E143" s="5" t="s">
        <v>26</v>
      </c>
      <c r="F143" s="8"/>
      <c r="G143" s="9">
        <f>H143*(1-15%)*(1-F143)</f>
        <v>46.664999999999999</v>
      </c>
      <c r="H143" s="9">
        <v>54.899999999999999</v>
      </c>
      <c r="I143" s="9">
        <f>H143-G143</f>
        <v>8.2349999999999994</v>
      </c>
    </row>
    <row r="144" ht="14.25">
      <c r="A144" s="5">
        <v>44580</v>
      </c>
      <c r="B144" s="6" t="s">
        <v>191</v>
      </c>
      <c r="C144" s="7" t="s">
        <v>109</v>
      </c>
      <c r="D144" s="7" t="s">
        <v>183</v>
      </c>
      <c r="E144" s="5" t="s">
        <v>15</v>
      </c>
      <c r="F144" s="8"/>
      <c r="G144" s="9">
        <f>H144*(1-15%)*(1-F144)</f>
        <v>49.214999999999996</v>
      </c>
      <c r="H144" s="9">
        <v>57.899999999999999</v>
      </c>
      <c r="I144" s="9">
        <f>H144-G144</f>
        <v>8.6850000000000023</v>
      </c>
    </row>
    <row r="145" ht="14.25">
      <c r="A145" s="5">
        <v>70693</v>
      </c>
      <c r="B145" s="6" t="s">
        <v>192</v>
      </c>
      <c r="C145" s="7" t="s">
        <v>79</v>
      </c>
      <c r="D145" s="7" t="s">
        <v>52</v>
      </c>
      <c r="E145" s="5" t="s">
        <v>39</v>
      </c>
      <c r="F145" s="8"/>
      <c r="G145" s="9">
        <f>H145*(1-15%)*(1-F145)</f>
        <v>44.964999999999996</v>
      </c>
      <c r="H145" s="9">
        <v>52.899999999999999</v>
      </c>
      <c r="I145" s="9">
        <f>H145-G145</f>
        <v>7.9350000000000023</v>
      </c>
    </row>
    <row r="146" ht="14.25">
      <c r="A146" s="5">
        <v>74325</v>
      </c>
      <c r="B146" s="6" t="s">
        <v>193</v>
      </c>
      <c r="C146" s="7" t="s">
        <v>75</v>
      </c>
      <c r="D146" s="7" t="s">
        <v>45</v>
      </c>
      <c r="E146" s="5" t="s">
        <v>15</v>
      </c>
      <c r="F146" s="8"/>
      <c r="G146" s="9">
        <f>H146*(1-15%)*(1-F146)</f>
        <v>49.214999999999996</v>
      </c>
      <c r="H146" s="9">
        <v>57.899999999999999</v>
      </c>
      <c r="I146" s="9">
        <f>H146-G146</f>
        <v>8.6850000000000023</v>
      </c>
    </row>
    <row r="147" ht="14.25">
      <c r="A147" s="5">
        <v>77777</v>
      </c>
      <c r="B147" s="6" t="s">
        <v>194</v>
      </c>
      <c r="C147" s="7" t="s">
        <v>84</v>
      </c>
      <c r="D147" s="7" t="s">
        <v>52</v>
      </c>
      <c r="E147" s="5" t="s">
        <v>15</v>
      </c>
      <c r="F147" s="8"/>
      <c r="G147" s="9">
        <f>H147*(1-15%)*(1-F147)</f>
        <v>27.964999999999996</v>
      </c>
      <c r="H147" s="9">
        <v>32.899999999999999</v>
      </c>
      <c r="I147" s="9">
        <f>H147-G147</f>
        <v>4.9350000000000023</v>
      </c>
    </row>
    <row r="148" ht="14.25">
      <c r="A148" s="5">
        <v>73638</v>
      </c>
      <c r="B148" s="6" t="s">
        <v>195</v>
      </c>
      <c r="C148" s="7" t="s">
        <v>82</v>
      </c>
      <c r="D148" s="7" t="s">
        <v>45</v>
      </c>
      <c r="E148" s="5" t="s">
        <v>15</v>
      </c>
      <c r="F148" s="8"/>
      <c r="G148" s="9">
        <f>H148*(1-15%)*(1-F148)</f>
        <v>80.665000000000006</v>
      </c>
      <c r="H148" s="9">
        <v>94.900000000000006</v>
      </c>
      <c r="I148" s="9">
        <f>H148-G148</f>
        <v>14.234999999999999</v>
      </c>
    </row>
    <row r="149" ht="14.25">
      <c r="A149" s="5">
        <v>70090</v>
      </c>
      <c r="B149" s="6" t="s">
        <v>196</v>
      </c>
      <c r="C149" s="7" t="s">
        <v>82</v>
      </c>
      <c r="D149" s="7" t="s">
        <v>45</v>
      </c>
      <c r="E149" s="5" t="s">
        <v>15</v>
      </c>
      <c r="F149" s="8"/>
      <c r="G149" s="9">
        <f>H149*(1-15%)*(1-F149)</f>
        <v>38.164999999999999</v>
      </c>
      <c r="H149" s="9">
        <v>44.899999999999999</v>
      </c>
      <c r="I149" s="9">
        <f>H149-G149</f>
        <v>6.7349999999999994</v>
      </c>
    </row>
    <row r="150" ht="14.25">
      <c r="A150" s="5">
        <v>79633</v>
      </c>
      <c r="B150" s="6" t="s">
        <v>197</v>
      </c>
      <c r="C150" s="7" t="s">
        <v>109</v>
      </c>
      <c r="D150" s="7" t="s">
        <v>110</v>
      </c>
      <c r="E150" s="5" t="s">
        <v>39</v>
      </c>
      <c r="F150" s="8"/>
      <c r="G150" s="9">
        <f>H150*(1-15%)*(1-F150)</f>
        <v>106.16500000000001</v>
      </c>
      <c r="H150" s="9">
        <v>124.90000000000001</v>
      </c>
      <c r="I150" s="9">
        <f>H150-G150</f>
        <v>18.734999999999999</v>
      </c>
    </row>
    <row r="151" ht="14.25">
      <c r="A151" s="5">
        <v>13070</v>
      </c>
      <c r="B151" s="6" t="s">
        <v>198</v>
      </c>
      <c r="C151" s="7" t="s">
        <v>65</v>
      </c>
      <c r="D151" s="7" t="s">
        <v>199</v>
      </c>
      <c r="E151" s="5" t="s">
        <v>15</v>
      </c>
      <c r="F151" s="8"/>
      <c r="G151" s="9">
        <f>H151*(1-15%)*(1-F151)</f>
        <v>70.465000000000003</v>
      </c>
      <c r="H151" s="9">
        <v>82.900000000000006</v>
      </c>
      <c r="I151" s="9">
        <f>H151-G151</f>
        <v>12.435000000000002</v>
      </c>
    </row>
    <row r="152" ht="14.25">
      <c r="A152" s="5">
        <v>44865</v>
      </c>
      <c r="B152" s="6" t="s">
        <v>200</v>
      </c>
      <c r="C152" s="7" t="s">
        <v>201</v>
      </c>
      <c r="D152" s="7" t="s">
        <v>183</v>
      </c>
      <c r="E152" s="5" t="s">
        <v>68</v>
      </c>
      <c r="F152" s="8"/>
      <c r="G152" s="9">
        <f>H152*(1-15%)*(1-F152)</f>
        <v>33.914999999999999</v>
      </c>
      <c r="H152" s="9">
        <v>39.899999999999999</v>
      </c>
      <c r="I152" s="9">
        <f>H152-G152</f>
        <v>5.9849999999999994</v>
      </c>
    </row>
    <row r="153" ht="14.25">
      <c r="A153" s="5">
        <v>12912</v>
      </c>
      <c r="B153" s="6" t="s">
        <v>202</v>
      </c>
      <c r="C153" s="7" t="s">
        <v>17</v>
      </c>
      <c r="D153" s="7" t="s">
        <v>71</v>
      </c>
      <c r="E153" s="5" t="s">
        <v>15</v>
      </c>
      <c r="F153" s="8"/>
      <c r="G153" s="9">
        <f>H153*(1-15%)*(1-F153)</f>
        <v>32.214999999999996</v>
      </c>
      <c r="H153" s="9">
        <v>37.899999999999999</v>
      </c>
      <c r="I153" s="9">
        <f>H153-G153</f>
        <v>5.6850000000000023</v>
      </c>
    </row>
    <row r="154" ht="14.25">
      <c r="A154" s="5">
        <v>25061</v>
      </c>
      <c r="B154" s="6" t="s">
        <v>202</v>
      </c>
      <c r="C154" s="7" t="s">
        <v>17</v>
      </c>
      <c r="D154" s="7" t="s">
        <v>71</v>
      </c>
      <c r="E154" s="5" t="s">
        <v>15</v>
      </c>
      <c r="F154" s="8"/>
      <c r="G154" s="9">
        <f>H154*(1-15%)*(1-F154)</f>
        <v>32.214999999999996</v>
      </c>
      <c r="H154" s="9">
        <v>37.899999999999999</v>
      </c>
      <c r="I154" s="9">
        <f>H154-G154</f>
        <v>5.6850000000000023</v>
      </c>
    </row>
    <row r="155" ht="14.25">
      <c r="A155" s="5">
        <v>77694</v>
      </c>
      <c r="B155" s="6" t="s">
        <v>203</v>
      </c>
      <c r="C155" s="7" t="s">
        <v>82</v>
      </c>
      <c r="D155" s="7" t="s">
        <v>103</v>
      </c>
      <c r="E155" s="5" t="s">
        <v>15</v>
      </c>
      <c r="F155" s="8"/>
      <c r="G155" s="9">
        <f>H155*(1-15%)*(1-F155)</f>
        <v>20.314999999999998</v>
      </c>
      <c r="H155" s="9">
        <v>23.899999999999999</v>
      </c>
      <c r="I155" s="9">
        <f>H155-G155</f>
        <v>3.5850000000000009</v>
      </c>
    </row>
    <row r="156" ht="14.25">
      <c r="A156" s="5">
        <v>80698</v>
      </c>
      <c r="B156" s="6" t="s">
        <v>204</v>
      </c>
      <c r="C156" s="7" t="s">
        <v>10</v>
      </c>
      <c r="D156" s="7" t="s">
        <v>95</v>
      </c>
      <c r="E156" s="5" t="s">
        <v>26</v>
      </c>
      <c r="F156" s="8"/>
      <c r="G156" s="9">
        <f>H156*(1-15%)*(1-F156)</f>
        <v>47.515000000000001</v>
      </c>
      <c r="H156" s="9">
        <v>55.899999999999999</v>
      </c>
      <c r="I156" s="9">
        <f>H156-G156</f>
        <v>8.384999999999998</v>
      </c>
    </row>
    <row r="157" ht="14.25">
      <c r="A157" s="5">
        <v>75776</v>
      </c>
      <c r="B157" s="6" t="s">
        <v>205</v>
      </c>
      <c r="C157" s="7" t="s">
        <v>109</v>
      </c>
      <c r="D157" s="7" t="s">
        <v>110</v>
      </c>
      <c r="E157" s="5" t="s">
        <v>15</v>
      </c>
      <c r="F157" s="8"/>
      <c r="G157" s="9">
        <f>H157*(1-15%)*(1-F157)</f>
        <v>67.915000000000006</v>
      </c>
      <c r="H157" s="9">
        <v>79.900000000000006</v>
      </c>
      <c r="I157" s="9">
        <f>H157-G157</f>
        <v>11.984999999999999</v>
      </c>
    </row>
    <row r="158" ht="14.25">
      <c r="A158" s="5">
        <v>75038</v>
      </c>
      <c r="B158" s="6" t="s">
        <v>206</v>
      </c>
      <c r="C158" s="7" t="s">
        <v>75</v>
      </c>
      <c r="D158" s="7" t="s">
        <v>95</v>
      </c>
      <c r="E158" s="5" t="s">
        <v>26</v>
      </c>
      <c r="F158" s="8"/>
      <c r="G158" s="9">
        <f>H158*(1-15%)*(1-F158)</f>
        <v>57.715000000000003</v>
      </c>
      <c r="H158" s="9">
        <v>67.900000000000006</v>
      </c>
      <c r="I158" s="9">
        <f>H158-G158</f>
        <v>10.185000000000002</v>
      </c>
    </row>
    <row r="159" ht="14.25">
      <c r="A159" s="5">
        <v>75756</v>
      </c>
      <c r="B159" s="6" t="s">
        <v>207</v>
      </c>
      <c r="C159" s="7" t="s">
        <v>109</v>
      </c>
      <c r="D159" s="7" t="s">
        <v>110</v>
      </c>
      <c r="E159" s="5" t="s">
        <v>39</v>
      </c>
      <c r="F159" s="8"/>
      <c r="G159" s="9">
        <f>H159*(1-15%)*(1-F159)</f>
        <v>66.215000000000003</v>
      </c>
      <c r="H159" s="9">
        <v>77.900000000000006</v>
      </c>
      <c r="I159" s="9">
        <f>H159-G159</f>
        <v>11.685000000000002</v>
      </c>
    </row>
    <row r="160" ht="14.25">
      <c r="A160" s="5">
        <v>77045</v>
      </c>
      <c r="B160" s="6" t="s">
        <v>208</v>
      </c>
      <c r="C160" s="7" t="s">
        <v>75</v>
      </c>
      <c r="D160" s="7" t="s">
        <v>95</v>
      </c>
      <c r="E160" s="5" t="s">
        <v>26</v>
      </c>
      <c r="F160" s="8"/>
      <c r="G160" s="9">
        <f>H160*(1-15%)*(1-F160)</f>
        <v>57.715000000000003</v>
      </c>
      <c r="H160" s="9">
        <v>67.900000000000006</v>
      </c>
      <c r="I160" s="9">
        <f>H160-G160</f>
        <v>10.185000000000002</v>
      </c>
    </row>
    <row r="161" ht="14.25">
      <c r="A161" s="5">
        <v>43785</v>
      </c>
      <c r="B161" s="6" t="s">
        <v>209</v>
      </c>
      <c r="C161" s="7" t="s">
        <v>82</v>
      </c>
      <c r="D161" s="7" t="s">
        <v>183</v>
      </c>
      <c r="E161" s="5" t="s">
        <v>68</v>
      </c>
      <c r="F161" s="8"/>
      <c r="G161" s="9">
        <f>H161*(1-15%)*(1-F161)</f>
        <v>17.764999999999997</v>
      </c>
      <c r="H161" s="9">
        <v>20.899999999999999</v>
      </c>
      <c r="I161" s="9">
        <f>H161-G161</f>
        <v>3.1350000000000016</v>
      </c>
    </row>
    <row r="162" ht="14.25">
      <c r="A162" s="5">
        <v>44803</v>
      </c>
      <c r="B162" s="6" t="s">
        <v>210</v>
      </c>
      <c r="C162" s="7" t="s">
        <v>82</v>
      </c>
      <c r="D162" s="7" t="s">
        <v>183</v>
      </c>
      <c r="E162" s="5" t="s">
        <v>68</v>
      </c>
      <c r="F162" s="8"/>
      <c r="G162" s="9">
        <f>H162*(1-15%)*(1-F162)</f>
        <v>53.464999999999996</v>
      </c>
      <c r="H162" s="9">
        <v>62.899999999999999</v>
      </c>
      <c r="I162" s="9">
        <f>H162-G162</f>
        <v>9.4350000000000023</v>
      </c>
    </row>
    <row r="163" ht="14.25">
      <c r="A163" s="5">
        <v>29046</v>
      </c>
      <c r="B163" s="6" t="s">
        <v>211</v>
      </c>
      <c r="C163" s="7" t="s">
        <v>38</v>
      </c>
      <c r="D163" s="7" t="s">
        <v>71</v>
      </c>
      <c r="E163" s="5" t="s">
        <v>15</v>
      </c>
      <c r="F163" s="8"/>
      <c r="G163" s="9">
        <f>H163*(1-15%)*(1-F163)</f>
        <v>42.414999999999999</v>
      </c>
      <c r="H163" s="9">
        <v>49.899999999999999</v>
      </c>
      <c r="I163" s="9">
        <f>H163-G163</f>
        <v>7.4849999999999994</v>
      </c>
    </row>
    <row r="164" ht="14.25">
      <c r="A164" s="5">
        <v>43951</v>
      </c>
      <c r="B164" s="6" t="s">
        <v>212</v>
      </c>
      <c r="C164" s="7" t="s">
        <v>79</v>
      </c>
      <c r="D164" s="7" t="s">
        <v>183</v>
      </c>
      <c r="E164" s="5" t="s">
        <v>68</v>
      </c>
      <c r="F164" s="8"/>
      <c r="G164" s="9">
        <f>H164*(1-15%)*(1-F164)</f>
        <v>40.714999999999996</v>
      </c>
      <c r="H164" s="9">
        <v>47.899999999999999</v>
      </c>
      <c r="I164" s="9">
        <f>H164-G164</f>
        <v>7.1850000000000023</v>
      </c>
    </row>
    <row r="165" ht="14.25">
      <c r="A165" s="5">
        <v>75746</v>
      </c>
      <c r="B165" s="6" t="s">
        <v>213</v>
      </c>
      <c r="C165" s="7" t="s">
        <v>109</v>
      </c>
      <c r="D165" s="7" t="s">
        <v>110</v>
      </c>
      <c r="E165" s="5" t="s">
        <v>39</v>
      </c>
      <c r="F165" s="8"/>
      <c r="G165" s="9">
        <f>H165*(1-15%)*(1-F165)</f>
        <v>70.465000000000003</v>
      </c>
      <c r="H165" s="9">
        <v>82.900000000000006</v>
      </c>
      <c r="I165" s="9">
        <f>H165-G165</f>
        <v>12.435000000000002</v>
      </c>
    </row>
    <row r="166" ht="14.25">
      <c r="A166" s="5">
        <v>41623</v>
      </c>
      <c r="B166" s="6" t="s">
        <v>214</v>
      </c>
      <c r="C166" s="7" t="s">
        <v>109</v>
      </c>
      <c r="D166" s="7" t="s">
        <v>183</v>
      </c>
      <c r="E166" s="5" t="s">
        <v>68</v>
      </c>
      <c r="F166" s="8"/>
      <c r="G166" s="9">
        <f>H166*(1-15%)*(1-F166)</f>
        <v>57.715000000000003</v>
      </c>
      <c r="H166" s="9">
        <v>67.900000000000006</v>
      </c>
      <c r="I166" s="9">
        <f>H166-G166</f>
        <v>10.185000000000002</v>
      </c>
    </row>
    <row r="167" ht="14.25">
      <c r="A167" s="5">
        <v>75921</v>
      </c>
      <c r="B167" s="6" t="s">
        <v>215</v>
      </c>
      <c r="C167" s="7" t="s">
        <v>79</v>
      </c>
      <c r="D167" s="7" t="s">
        <v>52</v>
      </c>
      <c r="E167" s="5" t="s">
        <v>68</v>
      </c>
      <c r="F167" s="8"/>
      <c r="G167" s="9">
        <f>H167*(1-15%)*(1-F167)</f>
        <v>22.014999999999997</v>
      </c>
      <c r="H167" s="9">
        <v>25.899999999999999</v>
      </c>
      <c r="I167" s="9">
        <f>H167-G167</f>
        <v>3.8850000000000016</v>
      </c>
    </row>
    <row r="168" ht="14.25">
      <c r="A168" s="5">
        <v>74414</v>
      </c>
      <c r="B168" s="6" t="s">
        <v>216</v>
      </c>
      <c r="C168" s="7" t="s">
        <v>14</v>
      </c>
      <c r="D168" s="7" t="s">
        <v>71</v>
      </c>
      <c r="E168" s="5" t="s">
        <v>15</v>
      </c>
      <c r="F168" s="8"/>
      <c r="G168" s="9">
        <f>H168*(1-15%)*(1-F168)</f>
        <v>32.214999999999996</v>
      </c>
      <c r="H168" s="9">
        <v>37.899999999999999</v>
      </c>
      <c r="I168" s="9">
        <f>H168-G168</f>
        <v>5.6850000000000023</v>
      </c>
    </row>
    <row r="169" ht="14.25">
      <c r="A169" s="5">
        <v>42113</v>
      </c>
      <c r="B169" s="6" t="s">
        <v>217</v>
      </c>
      <c r="C169" s="7" t="s">
        <v>82</v>
      </c>
      <c r="D169" s="7" t="s">
        <v>183</v>
      </c>
      <c r="E169" s="5" t="s">
        <v>15</v>
      </c>
      <c r="F169" s="8"/>
      <c r="G169" s="9">
        <f>H169*(1-15%)*(1-F169)</f>
        <v>17.764999999999997</v>
      </c>
      <c r="H169" s="9">
        <v>20.899999999999999</v>
      </c>
      <c r="I169" s="9">
        <f>H169-G169</f>
        <v>3.1350000000000016</v>
      </c>
    </row>
    <row r="170" ht="14.25">
      <c r="A170" s="5">
        <v>72352</v>
      </c>
      <c r="B170" s="6" t="s">
        <v>218</v>
      </c>
      <c r="C170" s="7" t="s">
        <v>82</v>
      </c>
      <c r="D170" s="7" t="s">
        <v>219</v>
      </c>
      <c r="E170" s="5" t="s">
        <v>26</v>
      </c>
      <c r="F170" s="8"/>
      <c r="G170" s="9">
        <f>H170*(1-15%)*(1-F170)</f>
        <v>33.914999999999999</v>
      </c>
      <c r="H170" s="9">
        <v>39.899999999999999</v>
      </c>
      <c r="I170" s="9">
        <f>H170-G170</f>
        <v>5.9849999999999994</v>
      </c>
    </row>
    <row r="171" ht="14.25">
      <c r="A171" s="5">
        <v>43566</v>
      </c>
      <c r="B171" s="6" t="s">
        <v>220</v>
      </c>
      <c r="C171" s="7" t="s">
        <v>109</v>
      </c>
      <c r="D171" s="7" t="s">
        <v>183</v>
      </c>
      <c r="E171" s="5" t="s">
        <v>15</v>
      </c>
      <c r="F171" s="8"/>
      <c r="G171" s="9">
        <f>H171*(1-15%)*(1-F171)</f>
        <v>55.165000000000006</v>
      </c>
      <c r="H171" s="9">
        <v>64.900000000000006</v>
      </c>
      <c r="I171" s="9">
        <f>H171-G171</f>
        <v>9.7349999999999994</v>
      </c>
    </row>
    <row r="172" ht="14.25">
      <c r="A172" s="5">
        <v>13069</v>
      </c>
      <c r="B172" s="6" t="s">
        <v>221</v>
      </c>
      <c r="C172" s="7" t="s">
        <v>65</v>
      </c>
      <c r="D172" s="7" t="s">
        <v>95</v>
      </c>
      <c r="E172" s="5" t="s">
        <v>26</v>
      </c>
      <c r="F172" s="8"/>
      <c r="G172" s="9">
        <f>H172*(1-15%)*(1-F172)</f>
        <v>33.914999999999999</v>
      </c>
      <c r="H172" s="9">
        <v>39.899999999999999</v>
      </c>
      <c r="I172" s="9">
        <f>H172-G172</f>
        <v>5.9849999999999994</v>
      </c>
    </row>
    <row r="173" ht="14.25">
      <c r="A173" s="5">
        <v>44834</v>
      </c>
      <c r="B173" s="6" t="s">
        <v>222</v>
      </c>
      <c r="C173" s="7" t="s">
        <v>10</v>
      </c>
      <c r="D173" s="7" t="s">
        <v>183</v>
      </c>
      <c r="E173" s="5" t="s">
        <v>15</v>
      </c>
      <c r="F173" s="8"/>
      <c r="G173" s="9">
        <f>H173*(1-15%)*(1-F173)</f>
        <v>38.164999999999999</v>
      </c>
      <c r="H173" s="9">
        <v>44.899999999999999</v>
      </c>
      <c r="I173" s="9">
        <f>H173-G173</f>
        <v>6.7349999999999994</v>
      </c>
    </row>
    <row r="174" ht="14.25">
      <c r="A174" s="5">
        <v>72614</v>
      </c>
      <c r="B174" s="6" t="s">
        <v>223</v>
      </c>
      <c r="C174" s="7" t="s">
        <v>87</v>
      </c>
      <c r="D174" s="7" t="s">
        <v>52</v>
      </c>
      <c r="E174" s="5" t="s">
        <v>39</v>
      </c>
      <c r="F174" s="8"/>
      <c r="G174" s="9">
        <f>H174*(1-15%)*(1-F174)</f>
        <v>38.164999999999999</v>
      </c>
      <c r="H174" s="9">
        <v>44.899999999999999</v>
      </c>
      <c r="I174" s="9">
        <f>H174-G174</f>
        <v>6.7349999999999994</v>
      </c>
    </row>
    <row r="175" ht="14.25">
      <c r="A175" s="5">
        <v>80729</v>
      </c>
      <c r="B175" s="6" t="s">
        <v>224</v>
      </c>
      <c r="C175" s="7" t="s">
        <v>109</v>
      </c>
      <c r="D175" s="7" t="s">
        <v>110</v>
      </c>
      <c r="E175" s="5" t="s">
        <v>39</v>
      </c>
      <c r="F175" s="8"/>
      <c r="G175" s="9">
        <f>H175*(1-15%)*(1-F175)</f>
        <v>89.165000000000006</v>
      </c>
      <c r="H175" s="9">
        <v>104.90000000000001</v>
      </c>
      <c r="I175" s="9">
        <f>H175-G175</f>
        <v>15.734999999999999</v>
      </c>
    </row>
    <row r="176" ht="14.25">
      <c r="A176" s="5">
        <v>70677</v>
      </c>
      <c r="B176" s="6" t="s">
        <v>225</v>
      </c>
      <c r="C176" s="7" t="s">
        <v>226</v>
      </c>
      <c r="D176" s="7" t="s">
        <v>52</v>
      </c>
      <c r="E176" s="5" t="s">
        <v>15</v>
      </c>
      <c r="F176" s="8"/>
      <c r="G176" s="9">
        <f>H176*(1-15%)*(1-F176)</f>
        <v>23.715</v>
      </c>
      <c r="H176" s="9">
        <v>27.899999999999999</v>
      </c>
      <c r="I176" s="9">
        <f>H176-G176</f>
        <v>4.1849999999999987</v>
      </c>
    </row>
    <row r="177" ht="14.25">
      <c r="A177" s="5">
        <v>74422</v>
      </c>
      <c r="B177" s="6" t="s">
        <v>227</v>
      </c>
      <c r="C177" s="7" t="s">
        <v>38</v>
      </c>
      <c r="D177" s="7" t="s">
        <v>71</v>
      </c>
      <c r="E177" s="5" t="s">
        <v>26</v>
      </c>
      <c r="F177" s="8"/>
      <c r="G177" s="9">
        <f>H177*(1-15%)*(1-F177)</f>
        <v>32.214999999999996</v>
      </c>
      <c r="H177" s="9">
        <v>37.899999999999999</v>
      </c>
      <c r="I177" s="9">
        <f>H177-G177</f>
        <v>5.6850000000000023</v>
      </c>
    </row>
    <row r="178" ht="14.25">
      <c r="A178" s="5">
        <v>73804</v>
      </c>
      <c r="B178" s="6" t="s">
        <v>228</v>
      </c>
      <c r="C178" s="7" t="s">
        <v>10</v>
      </c>
      <c r="D178" s="7" t="s">
        <v>219</v>
      </c>
      <c r="E178" s="5" t="s">
        <v>26</v>
      </c>
      <c r="F178" s="8"/>
      <c r="G178" s="9">
        <f>H178*(1-15%)*(1-F178)</f>
        <v>93.415000000000006</v>
      </c>
      <c r="H178" s="9">
        <v>109.90000000000001</v>
      </c>
      <c r="I178" s="9">
        <f>H178-G178</f>
        <v>16.484999999999999</v>
      </c>
    </row>
    <row r="179" ht="14.25">
      <c r="A179" s="5">
        <v>75229</v>
      </c>
      <c r="B179" s="6" t="s">
        <v>229</v>
      </c>
      <c r="C179" s="7" t="s">
        <v>82</v>
      </c>
      <c r="D179" s="7" t="s">
        <v>45</v>
      </c>
      <c r="E179" s="5" t="s">
        <v>15</v>
      </c>
      <c r="F179" s="8"/>
      <c r="G179" s="9">
        <f>H179*(1-15%)*(1-F179)</f>
        <v>22.864999999999998</v>
      </c>
      <c r="H179" s="9">
        <v>26.899999999999999</v>
      </c>
      <c r="I179" s="9">
        <f>H179-G179</f>
        <v>4.0350000000000001</v>
      </c>
    </row>
    <row r="180" ht="14.25">
      <c r="A180" s="5">
        <v>26196</v>
      </c>
      <c r="B180" s="6" t="s">
        <v>230</v>
      </c>
      <c r="C180" s="7" t="s">
        <v>36</v>
      </c>
      <c r="D180" s="7" t="s">
        <v>174</v>
      </c>
      <c r="E180" s="5" t="s">
        <v>26</v>
      </c>
      <c r="F180" s="8"/>
      <c r="G180" s="9">
        <f>H180*(1-15%)*(1-F180)</f>
        <v>57.715000000000003</v>
      </c>
      <c r="H180" s="9">
        <v>67.900000000000006</v>
      </c>
      <c r="I180" s="9">
        <f>H180-G180</f>
        <v>10.185000000000002</v>
      </c>
    </row>
    <row r="181" ht="14.25">
      <c r="A181" s="5">
        <v>75192</v>
      </c>
      <c r="B181" s="6" t="s">
        <v>231</v>
      </c>
      <c r="C181" s="7" t="s">
        <v>82</v>
      </c>
      <c r="D181" s="7" t="s">
        <v>103</v>
      </c>
      <c r="E181" s="5" t="s">
        <v>15</v>
      </c>
      <c r="F181" s="8"/>
      <c r="G181" s="9">
        <f>H181*(1-15%)*(1-F181)</f>
        <v>38.164999999999999</v>
      </c>
      <c r="H181" s="9">
        <v>44.899999999999999</v>
      </c>
      <c r="I181" s="9">
        <f>H181-G181</f>
        <v>6.7349999999999994</v>
      </c>
    </row>
    <row r="182" ht="14.25">
      <c r="A182" s="5">
        <v>75743</v>
      </c>
      <c r="B182" s="6" t="s">
        <v>232</v>
      </c>
      <c r="C182" s="7" t="s">
        <v>109</v>
      </c>
      <c r="D182" s="7" t="s">
        <v>110</v>
      </c>
      <c r="E182" s="5" t="s">
        <v>39</v>
      </c>
      <c r="F182" s="8"/>
      <c r="G182" s="9">
        <f>H182*(1-15%)*(1-F182)</f>
        <v>70.465000000000003</v>
      </c>
      <c r="H182" s="9">
        <v>82.900000000000006</v>
      </c>
      <c r="I182" s="9">
        <f>H182-G182</f>
        <v>12.435000000000002</v>
      </c>
    </row>
    <row r="183" ht="14.25">
      <c r="A183" s="5">
        <v>77336</v>
      </c>
      <c r="B183" s="6" t="s">
        <v>233</v>
      </c>
      <c r="C183" s="7" t="s">
        <v>10</v>
      </c>
      <c r="D183" s="7" t="s">
        <v>174</v>
      </c>
      <c r="E183" s="5" t="s">
        <v>15</v>
      </c>
      <c r="F183" s="8"/>
      <c r="G183" s="9">
        <f>H183*(1-15%)*(1-F183)</f>
        <v>74.715000000000003</v>
      </c>
      <c r="H183" s="9">
        <v>87.900000000000006</v>
      </c>
      <c r="I183" s="9">
        <f>H183-G183</f>
        <v>13.185000000000002</v>
      </c>
    </row>
    <row r="184" ht="14.25">
      <c r="A184" s="5">
        <v>12808</v>
      </c>
      <c r="B184" s="6" t="s">
        <v>234</v>
      </c>
      <c r="C184" s="7" t="s">
        <v>70</v>
      </c>
      <c r="D184" s="7" t="s">
        <v>103</v>
      </c>
      <c r="E184" s="5" t="s">
        <v>15</v>
      </c>
      <c r="F184" s="8"/>
      <c r="G184" s="9">
        <f>H184*(1-15%)*(1-F184)</f>
        <v>44.964999999999996</v>
      </c>
      <c r="H184" s="9">
        <v>52.899999999999999</v>
      </c>
      <c r="I184" s="9">
        <f>H184-G184</f>
        <v>7.9350000000000023</v>
      </c>
    </row>
    <row r="185" ht="14.25">
      <c r="A185" s="5">
        <v>73381</v>
      </c>
      <c r="B185" s="6" t="s">
        <v>235</v>
      </c>
      <c r="C185" s="7" t="s">
        <v>38</v>
      </c>
      <c r="D185" s="7" t="s">
        <v>71</v>
      </c>
      <c r="E185" s="5" t="s">
        <v>39</v>
      </c>
      <c r="F185" s="8"/>
      <c r="G185" s="9">
        <f>H185*(1-15%)*(1-F185)</f>
        <v>42.414999999999999</v>
      </c>
      <c r="H185" s="9">
        <v>49.899999999999999</v>
      </c>
      <c r="I185" s="9">
        <f>H185-G185</f>
        <v>7.4849999999999994</v>
      </c>
    </row>
    <row r="186" ht="14.25">
      <c r="A186" s="5">
        <v>29807</v>
      </c>
      <c r="B186" s="6" t="s">
        <v>236</v>
      </c>
      <c r="C186" s="7" t="s">
        <v>109</v>
      </c>
      <c r="D186" s="7" t="s">
        <v>110</v>
      </c>
      <c r="E186" s="5" t="s">
        <v>15</v>
      </c>
      <c r="F186" s="8"/>
      <c r="G186" s="9">
        <f>H186*(1-15%)*(1-F186)</f>
        <v>66.215000000000003</v>
      </c>
      <c r="H186" s="9">
        <v>77.900000000000006</v>
      </c>
      <c r="I186" s="9">
        <f>H186-G186</f>
        <v>11.685000000000002</v>
      </c>
    </row>
    <row r="187" ht="14.25">
      <c r="A187" s="5">
        <v>42223</v>
      </c>
      <c r="B187" s="6" t="s">
        <v>237</v>
      </c>
      <c r="C187" s="7" t="s">
        <v>82</v>
      </c>
      <c r="D187" s="7" t="s">
        <v>183</v>
      </c>
      <c r="E187" s="5" t="s">
        <v>15</v>
      </c>
      <c r="F187" s="8"/>
      <c r="G187" s="9">
        <f>H187*(1-15%)*(1-F187)</f>
        <v>17.764999999999997</v>
      </c>
      <c r="H187" s="9">
        <v>20.899999999999999</v>
      </c>
      <c r="I187" s="9">
        <f>H187-G187</f>
        <v>3.1350000000000016</v>
      </c>
    </row>
    <row r="188" ht="14.25">
      <c r="A188" s="5">
        <v>77692</v>
      </c>
      <c r="B188" s="6" t="s">
        <v>238</v>
      </c>
      <c r="C188" s="7" t="s">
        <v>82</v>
      </c>
      <c r="D188" s="7" t="s">
        <v>45</v>
      </c>
      <c r="E188" s="5" t="s">
        <v>15</v>
      </c>
      <c r="F188" s="8"/>
      <c r="G188" s="9">
        <f>H188*(1-15%)*(1-F188)</f>
        <v>31.364999999999998</v>
      </c>
      <c r="H188" s="9">
        <v>36.899999999999999</v>
      </c>
      <c r="I188" s="9">
        <f>H188-G188</f>
        <v>5.5350000000000001</v>
      </c>
    </row>
    <row r="189" ht="14.25">
      <c r="A189" s="5">
        <v>42112</v>
      </c>
      <c r="B189" s="6" t="s">
        <v>239</v>
      </c>
      <c r="C189" s="7" t="s">
        <v>82</v>
      </c>
      <c r="D189" s="7" t="s">
        <v>183</v>
      </c>
      <c r="E189" s="5" t="s">
        <v>68</v>
      </c>
      <c r="F189" s="8"/>
      <c r="G189" s="9">
        <f>H189*(1-15%)*(1-F189)</f>
        <v>17.764999999999997</v>
      </c>
      <c r="H189" s="9">
        <v>20.899999999999999</v>
      </c>
      <c r="I189" s="9">
        <f>H189-G189</f>
        <v>3.1350000000000016</v>
      </c>
    </row>
    <row r="190" ht="14.25">
      <c r="A190" s="5">
        <v>80699</v>
      </c>
      <c r="B190" s="6" t="s">
        <v>240</v>
      </c>
      <c r="C190" s="7" t="s">
        <v>10</v>
      </c>
      <c r="D190" s="7" t="s">
        <v>174</v>
      </c>
      <c r="E190" s="5" t="s">
        <v>15</v>
      </c>
      <c r="F190" s="8"/>
      <c r="G190" s="9">
        <f>H190*(1-15%)*(1-F190)</f>
        <v>61.965000000000003</v>
      </c>
      <c r="H190" s="9">
        <v>72.900000000000006</v>
      </c>
      <c r="I190" s="9">
        <f>H190-G190</f>
        <v>10.935000000000002</v>
      </c>
    </row>
    <row r="191" ht="14.25">
      <c r="A191" s="5">
        <v>44740</v>
      </c>
      <c r="B191" s="6" t="s">
        <v>241</v>
      </c>
      <c r="C191" s="7" t="s">
        <v>201</v>
      </c>
      <c r="D191" s="7" t="s">
        <v>183</v>
      </c>
      <c r="E191" s="5" t="s">
        <v>15</v>
      </c>
      <c r="F191" s="8"/>
      <c r="G191" s="9">
        <f>H191*(1-15%)*(1-F191)</f>
        <v>63.665000000000006</v>
      </c>
      <c r="H191" s="9">
        <v>74.900000000000006</v>
      </c>
      <c r="I191" s="9">
        <f>H191-G191</f>
        <v>11.234999999999999</v>
      </c>
    </row>
    <row r="192" ht="14.25">
      <c r="A192" s="5">
        <v>75747</v>
      </c>
      <c r="B192" s="6" t="s">
        <v>242</v>
      </c>
      <c r="C192" s="7" t="s">
        <v>109</v>
      </c>
      <c r="D192" s="7" t="s">
        <v>110</v>
      </c>
      <c r="E192" s="5" t="s">
        <v>15</v>
      </c>
      <c r="F192" s="8"/>
      <c r="G192" s="9">
        <f>H192*(1-15%)*(1-F192)</f>
        <v>70.465000000000003</v>
      </c>
      <c r="H192" s="9">
        <v>82.900000000000006</v>
      </c>
      <c r="I192" s="9">
        <f>H192-G192</f>
        <v>12.435000000000002</v>
      </c>
    </row>
    <row r="193" ht="14.25">
      <c r="A193" s="5">
        <v>74413</v>
      </c>
      <c r="B193" s="6" t="s">
        <v>243</v>
      </c>
      <c r="C193" s="7" t="s">
        <v>38</v>
      </c>
      <c r="D193" s="7" t="s">
        <v>71</v>
      </c>
      <c r="E193" s="5" t="s">
        <v>15</v>
      </c>
      <c r="F193" s="8"/>
      <c r="G193" s="9">
        <f>H193*(1-15%)*(1-F193)</f>
        <v>32.214999999999996</v>
      </c>
      <c r="H193" s="9">
        <v>37.899999999999999</v>
      </c>
      <c r="I193" s="9">
        <f>H193-G193</f>
        <v>5.6850000000000023</v>
      </c>
    </row>
    <row r="194" ht="14.25">
      <c r="A194" s="5">
        <v>75493</v>
      </c>
      <c r="B194" s="6" t="s">
        <v>244</v>
      </c>
      <c r="C194" s="7" t="s">
        <v>109</v>
      </c>
      <c r="D194" s="7" t="s">
        <v>110</v>
      </c>
      <c r="E194" s="5" t="s">
        <v>39</v>
      </c>
      <c r="F194" s="8"/>
      <c r="G194" s="9">
        <f>H194*(1-15%)*(1-F194)</f>
        <v>89.165000000000006</v>
      </c>
      <c r="H194" s="9">
        <v>104.90000000000001</v>
      </c>
      <c r="I194" s="9">
        <f>H194-G194</f>
        <v>15.734999999999999</v>
      </c>
    </row>
    <row r="195" ht="14.25">
      <c r="A195" s="5">
        <v>40084</v>
      </c>
      <c r="B195" s="6" t="s">
        <v>245</v>
      </c>
      <c r="C195" s="7" t="s">
        <v>109</v>
      </c>
      <c r="D195" s="7" t="s">
        <v>183</v>
      </c>
      <c r="E195" s="5" t="s">
        <v>15</v>
      </c>
      <c r="F195" s="8"/>
      <c r="G195" s="9">
        <f>H195*(1-15%)*(1-F195)</f>
        <v>59.415000000000006</v>
      </c>
      <c r="H195" s="9">
        <v>69.900000000000006</v>
      </c>
      <c r="I195" s="9">
        <f>H195-G195</f>
        <v>10.484999999999999</v>
      </c>
    </row>
    <row r="196" ht="14.25">
      <c r="A196" s="5">
        <v>75777</v>
      </c>
      <c r="B196" s="6" t="s">
        <v>246</v>
      </c>
      <c r="C196" s="7" t="s">
        <v>109</v>
      </c>
      <c r="D196" s="7" t="s">
        <v>110</v>
      </c>
      <c r="E196" s="5" t="s">
        <v>15</v>
      </c>
      <c r="F196" s="8"/>
      <c r="G196" s="9">
        <f>H196*(1-15%)*(1-F196)</f>
        <v>67.915000000000006</v>
      </c>
      <c r="H196" s="9">
        <v>79.900000000000006</v>
      </c>
      <c r="I196" s="9">
        <f>H196-G196</f>
        <v>11.984999999999999</v>
      </c>
    </row>
    <row r="197" ht="14.25">
      <c r="A197" s="5">
        <v>43919</v>
      </c>
      <c r="B197" s="6" t="s">
        <v>247</v>
      </c>
      <c r="C197" s="7" t="s">
        <v>75</v>
      </c>
      <c r="D197" s="7" t="s">
        <v>183</v>
      </c>
      <c r="E197" s="5" t="s">
        <v>15</v>
      </c>
      <c r="F197" s="8"/>
      <c r="G197" s="9">
        <f>H197*(1-15%)*(1-F197)</f>
        <v>55.165000000000006</v>
      </c>
      <c r="H197" s="9">
        <v>64.900000000000006</v>
      </c>
      <c r="I197" s="9">
        <f>H197-G197</f>
        <v>9.7349999999999994</v>
      </c>
    </row>
    <row r="198" ht="14.25">
      <c r="A198" s="5">
        <v>41625</v>
      </c>
      <c r="B198" s="6" t="s">
        <v>248</v>
      </c>
      <c r="C198" s="7" t="s">
        <v>109</v>
      </c>
      <c r="D198" s="7" t="s">
        <v>183</v>
      </c>
      <c r="E198" s="5" t="s">
        <v>15</v>
      </c>
      <c r="F198" s="8"/>
      <c r="G198" s="9">
        <f>H198*(1-15%)*(1-F198)</f>
        <v>32.214999999999996</v>
      </c>
      <c r="H198" s="9">
        <v>37.899999999999999</v>
      </c>
      <c r="I198" s="9">
        <f>H198-G198</f>
        <v>5.6850000000000023</v>
      </c>
    </row>
    <row r="199" ht="14.25">
      <c r="A199" s="5">
        <v>44851</v>
      </c>
      <c r="B199" s="6" t="s">
        <v>249</v>
      </c>
      <c r="C199" s="7" t="s">
        <v>109</v>
      </c>
      <c r="D199" s="7" t="s">
        <v>183</v>
      </c>
      <c r="E199" s="5" t="s">
        <v>15</v>
      </c>
      <c r="F199" s="8"/>
      <c r="G199" s="9">
        <f>H199*(1-15%)*(1-F199)</f>
        <v>25.414999999999999</v>
      </c>
      <c r="H199" s="9">
        <v>29.899999999999999</v>
      </c>
      <c r="I199" s="9">
        <f>H199-G199</f>
        <v>4.4849999999999994</v>
      </c>
    </row>
    <row r="200" ht="14.25">
      <c r="A200" s="5">
        <v>73836</v>
      </c>
      <c r="B200" s="6" t="s">
        <v>250</v>
      </c>
      <c r="C200" s="7" t="s">
        <v>251</v>
      </c>
      <c r="D200" s="7" t="s">
        <v>71</v>
      </c>
      <c r="E200" s="5" t="s">
        <v>15</v>
      </c>
      <c r="F200" s="8"/>
      <c r="G200" s="9">
        <f>H200*(1-15%)*(1-F200)</f>
        <v>32.214999999999996</v>
      </c>
      <c r="H200" s="9">
        <v>37.899999999999999</v>
      </c>
      <c r="I200" s="9">
        <f>H200-G200</f>
        <v>5.6850000000000023</v>
      </c>
    </row>
    <row r="201" ht="14.25">
      <c r="A201" s="5">
        <v>42070</v>
      </c>
      <c r="B201" s="6" t="s">
        <v>252</v>
      </c>
      <c r="C201" s="7" t="s">
        <v>201</v>
      </c>
      <c r="D201" s="7" t="s">
        <v>183</v>
      </c>
      <c r="E201" s="5" t="s">
        <v>15</v>
      </c>
      <c r="F201" s="8"/>
      <c r="G201" s="9">
        <f>H201*(1-15%)*(1-F201)</f>
        <v>29.664999999999999</v>
      </c>
      <c r="H201" s="9">
        <v>34.899999999999999</v>
      </c>
      <c r="I201" s="9">
        <f>H201-G201</f>
        <v>5.2349999999999994</v>
      </c>
    </row>
    <row r="202" ht="14.25">
      <c r="A202" s="5">
        <v>40012</v>
      </c>
      <c r="B202" s="6" t="s">
        <v>253</v>
      </c>
      <c r="C202" s="7" t="s">
        <v>201</v>
      </c>
      <c r="D202" s="7" t="s">
        <v>183</v>
      </c>
      <c r="E202" s="5" t="s">
        <v>15</v>
      </c>
      <c r="F202" s="8"/>
      <c r="G202" s="9">
        <f>H202*(1-15%)*(1-F202)</f>
        <v>29.664999999999999</v>
      </c>
      <c r="H202" s="9">
        <v>34.899999999999999</v>
      </c>
      <c r="I202" s="9">
        <f>H202-G202</f>
        <v>5.2349999999999994</v>
      </c>
    </row>
    <row r="203" ht="14.25">
      <c r="A203" s="5">
        <v>45025</v>
      </c>
      <c r="B203" s="6" t="s">
        <v>254</v>
      </c>
      <c r="C203" s="7" t="s">
        <v>226</v>
      </c>
      <c r="D203" s="7" t="s">
        <v>183</v>
      </c>
      <c r="E203" s="5" t="s">
        <v>68</v>
      </c>
      <c r="F203" s="8"/>
      <c r="G203" s="9">
        <f>H203*(1-15%)*(1-F203)</f>
        <v>123.16500000000001</v>
      </c>
      <c r="H203" s="9">
        <v>144.90000000000001</v>
      </c>
      <c r="I203" s="9">
        <f>H203-G203</f>
        <v>21.734999999999999</v>
      </c>
    </row>
    <row r="204" ht="14.25">
      <c r="A204" s="5">
        <v>40086</v>
      </c>
      <c r="B204" s="6" t="s">
        <v>255</v>
      </c>
      <c r="C204" s="7" t="s">
        <v>109</v>
      </c>
      <c r="D204" s="7" t="s">
        <v>183</v>
      </c>
      <c r="E204" s="5" t="s">
        <v>68</v>
      </c>
      <c r="F204" s="8"/>
      <c r="G204" s="9">
        <f>H204*(1-15%)*(1-F204)</f>
        <v>53.464999999999996</v>
      </c>
      <c r="H204" s="9">
        <v>62.899999999999999</v>
      </c>
      <c r="I204" s="9">
        <f>H204-G204</f>
        <v>9.4350000000000023</v>
      </c>
    </row>
    <row r="205" ht="14.25">
      <c r="A205" s="5">
        <v>43965</v>
      </c>
      <c r="B205" s="6" t="s">
        <v>256</v>
      </c>
      <c r="C205" s="7" t="s">
        <v>201</v>
      </c>
      <c r="D205" s="7" t="s">
        <v>183</v>
      </c>
      <c r="E205" s="5" t="s">
        <v>15</v>
      </c>
      <c r="F205" s="8"/>
      <c r="G205" s="9">
        <f>H205*(1-15%)*(1-F205)</f>
        <v>33.914999999999999</v>
      </c>
      <c r="H205" s="9">
        <v>39.899999999999999</v>
      </c>
      <c r="I205" s="9">
        <f>H205-G205</f>
        <v>5.9849999999999994</v>
      </c>
    </row>
    <row r="206" ht="14.25">
      <c r="A206" s="5">
        <v>77334</v>
      </c>
      <c r="B206" s="6" t="s">
        <v>257</v>
      </c>
      <c r="C206" s="7" t="s">
        <v>10</v>
      </c>
      <c r="D206" s="7" t="s">
        <v>174</v>
      </c>
      <c r="E206" s="5" t="s">
        <v>133</v>
      </c>
      <c r="F206" s="8"/>
      <c r="G206" s="9">
        <f>H206*(1-15%)*(1-F206)</f>
        <v>44.114999999999995</v>
      </c>
      <c r="H206" s="9">
        <v>51.899999999999999</v>
      </c>
      <c r="I206" s="9">
        <f>H206-G206</f>
        <v>7.7850000000000037</v>
      </c>
    </row>
    <row r="207" ht="14.25">
      <c r="A207" s="5">
        <v>80757</v>
      </c>
      <c r="B207" s="6" t="s">
        <v>258</v>
      </c>
      <c r="C207" s="7" t="s">
        <v>109</v>
      </c>
      <c r="D207" s="7" t="s">
        <v>110</v>
      </c>
      <c r="E207" s="5" t="s">
        <v>15</v>
      </c>
      <c r="F207" s="8"/>
      <c r="G207" s="9">
        <f>H207*(1-15%)*(1-F207)</f>
        <v>110.41500000000001</v>
      </c>
      <c r="H207" s="9">
        <v>129.90000000000001</v>
      </c>
      <c r="I207" s="9">
        <f>H207-G207</f>
        <v>19.484999999999999</v>
      </c>
    </row>
    <row r="208" ht="14.25">
      <c r="A208" s="5">
        <v>44410</v>
      </c>
      <c r="B208" s="6" t="s">
        <v>259</v>
      </c>
      <c r="C208" s="7" t="s">
        <v>109</v>
      </c>
      <c r="D208" s="7" t="s">
        <v>183</v>
      </c>
      <c r="E208" s="5" t="s">
        <v>15</v>
      </c>
      <c r="F208" s="8"/>
      <c r="G208" s="9">
        <f>H208*(1-15%)*(1-F208)</f>
        <v>36.464999999999996</v>
      </c>
      <c r="H208" s="9">
        <v>42.899999999999999</v>
      </c>
      <c r="I208" s="9">
        <f>H208-G208</f>
        <v>6.4350000000000023</v>
      </c>
    </row>
    <row r="209" ht="14.25">
      <c r="A209" s="5">
        <v>44411</v>
      </c>
      <c r="B209" s="6" t="s">
        <v>260</v>
      </c>
      <c r="C209" s="7" t="s">
        <v>109</v>
      </c>
      <c r="D209" s="7" t="s">
        <v>183</v>
      </c>
      <c r="E209" s="5" t="s">
        <v>15</v>
      </c>
      <c r="F209" s="8"/>
      <c r="G209" s="9">
        <f>H209*(1-15%)*(1-F209)</f>
        <v>59.415000000000006</v>
      </c>
      <c r="H209" s="9">
        <v>69.900000000000006</v>
      </c>
      <c r="I209" s="9">
        <f>H209-G209</f>
        <v>10.484999999999999</v>
      </c>
    </row>
    <row r="210" ht="14.25">
      <c r="A210" s="5">
        <v>41624</v>
      </c>
      <c r="B210" s="6" t="s">
        <v>261</v>
      </c>
      <c r="C210" s="7" t="s">
        <v>109</v>
      </c>
      <c r="D210" s="7" t="s">
        <v>183</v>
      </c>
      <c r="E210" s="5" t="s">
        <v>39</v>
      </c>
      <c r="F210" s="8"/>
      <c r="G210" s="9">
        <f>H210*(1-15%)*(1-F210)</f>
        <v>53.464999999999996</v>
      </c>
      <c r="H210" s="9">
        <v>62.899999999999999</v>
      </c>
      <c r="I210" s="9">
        <f>H210-G210</f>
        <v>9.4350000000000023</v>
      </c>
    </row>
    <row r="211" ht="14.25">
      <c r="A211" s="5">
        <v>77337</v>
      </c>
      <c r="B211" s="6" t="s">
        <v>262</v>
      </c>
      <c r="C211" s="7" t="s">
        <v>10</v>
      </c>
      <c r="D211" s="7" t="s">
        <v>174</v>
      </c>
      <c r="E211" s="5" t="s">
        <v>26</v>
      </c>
      <c r="F211" s="8"/>
      <c r="G211" s="9">
        <f>H211*(1-15%)*(1-F211)</f>
        <v>50.914999999999999</v>
      </c>
      <c r="H211" s="9">
        <v>59.899999999999999</v>
      </c>
      <c r="I211" s="9">
        <f>H211-G211</f>
        <v>8.9849999999999994</v>
      </c>
    </row>
    <row r="212" ht="14.25">
      <c r="A212" s="5">
        <v>44863</v>
      </c>
      <c r="B212" s="6" t="s">
        <v>263</v>
      </c>
      <c r="C212" s="7" t="s">
        <v>87</v>
      </c>
      <c r="D212" s="7" t="s">
        <v>183</v>
      </c>
      <c r="E212" s="5" t="s">
        <v>15</v>
      </c>
      <c r="F212" s="8"/>
      <c r="G212" s="9">
        <f>H212*(1-15%)*(1-F212)</f>
        <v>49.214999999999996</v>
      </c>
      <c r="H212" s="9">
        <v>57.899999999999999</v>
      </c>
      <c r="I212" s="9">
        <f>H212-G212</f>
        <v>8.6850000000000023</v>
      </c>
    </row>
    <row r="213" ht="14.25">
      <c r="A213" s="5">
        <v>43917</v>
      </c>
      <c r="B213" s="6" t="s">
        <v>264</v>
      </c>
      <c r="C213" s="7" t="s">
        <v>82</v>
      </c>
      <c r="D213" s="7" t="s">
        <v>183</v>
      </c>
      <c r="E213" s="5" t="s">
        <v>15</v>
      </c>
      <c r="F213" s="8"/>
      <c r="G213" s="9">
        <f>H213*(1-15%)*(1-F213)</f>
        <v>38.164999999999999</v>
      </c>
      <c r="H213" s="9">
        <v>44.899999999999999</v>
      </c>
      <c r="I213" s="9">
        <f>H213-G213</f>
        <v>6.7349999999999994</v>
      </c>
    </row>
    <row r="214" ht="14.25">
      <c r="A214" s="5">
        <v>43944</v>
      </c>
      <c r="B214" s="6" t="s">
        <v>265</v>
      </c>
      <c r="C214" s="7" t="s">
        <v>75</v>
      </c>
      <c r="D214" s="7" t="s">
        <v>183</v>
      </c>
      <c r="E214" s="5" t="s">
        <v>15</v>
      </c>
      <c r="F214" s="8"/>
      <c r="G214" s="9">
        <f>H214*(1-15%)*(1-F214)</f>
        <v>29.664999999999999</v>
      </c>
      <c r="H214" s="9">
        <v>34.899999999999999</v>
      </c>
      <c r="I214" s="9">
        <f>H214-G214</f>
        <v>5.2349999999999994</v>
      </c>
    </row>
    <row r="215" ht="14.25">
      <c r="A215" s="5">
        <v>75920</v>
      </c>
      <c r="B215" s="6" t="s">
        <v>266</v>
      </c>
      <c r="C215" s="7" t="s">
        <v>79</v>
      </c>
      <c r="D215" s="7" t="s">
        <v>52</v>
      </c>
      <c r="E215" s="5" t="s">
        <v>15</v>
      </c>
      <c r="F215" s="8"/>
      <c r="G215" s="9">
        <f>H215*(1-15%)*(1-F215)</f>
        <v>22.014999999999997</v>
      </c>
      <c r="H215" s="9">
        <v>25.899999999999999</v>
      </c>
      <c r="I215" s="9">
        <f>H215-G215</f>
        <v>3.8850000000000016</v>
      </c>
    </row>
    <row r="216" ht="14.25">
      <c r="A216" s="5">
        <v>43846</v>
      </c>
      <c r="B216" s="6" t="s">
        <v>267</v>
      </c>
      <c r="C216" s="7" t="s">
        <v>82</v>
      </c>
      <c r="D216" s="7" t="s">
        <v>183</v>
      </c>
      <c r="E216" s="5" t="s">
        <v>15</v>
      </c>
      <c r="F216" s="8"/>
      <c r="G216" s="9">
        <f>H216*(1-15%)*(1-F216)</f>
        <v>12.664999999999999</v>
      </c>
      <c r="H216" s="9">
        <v>14.9</v>
      </c>
      <c r="I216" s="9">
        <f>H216-G216</f>
        <v>2.2350000000000012</v>
      </c>
    </row>
    <row r="217" ht="14.25">
      <c r="A217" s="5">
        <v>77312</v>
      </c>
      <c r="B217" s="6" t="s">
        <v>268</v>
      </c>
      <c r="C217" s="7" t="s">
        <v>91</v>
      </c>
      <c r="D217" s="7" t="s">
        <v>45</v>
      </c>
      <c r="E217" s="5" t="s">
        <v>15</v>
      </c>
      <c r="F217" s="8"/>
      <c r="G217" s="9">
        <f>H217*(1-15%)*(1-F217)</f>
        <v>40.714999999999996</v>
      </c>
      <c r="H217" s="9">
        <v>47.899999999999999</v>
      </c>
      <c r="I217" s="9">
        <f>H217-G217</f>
        <v>7.1850000000000023</v>
      </c>
    </row>
    <row r="218" ht="14.25">
      <c r="A218" s="5">
        <v>44764</v>
      </c>
      <c r="B218" s="6" t="s">
        <v>269</v>
      </c>
      <c r="C218" s="7" t="s">
        <v>79</v>
      </c>
      <c r="D218" s="7" t="s">
        <v>183</v>
      </c>
      <c r="E218" s="5" t="s">
        <v>15</v>
      </c>
      <c r="F218" s="8"/>
      <c r="G218" s="9">
        <f>H218*(1-15%)*(1-F218)</f>
        <v>38.164999999999999</v>
      </c>
      <c r="H218" s="9">
        <v>44.899999999999999</v>
      </c>
      <c r="I218" s="9">
        <f>H218-G218</f>
        <v>6.7349999999999994</v>
      </c>
    </row>
    <row r="219" ht="14.25">
      <c r="A219" s="5">
        <v>43352</v>
      </c>
      <c r="B219" s="6" t="s">
        <v>270</v>
      </c>
      <c r="C219" s="7" t="s">
        <v>271</v>
      </c>
      <c r="D219" s="7" t="s">
        <v>183</v>
      </c>
      <c r="E219" s="5" t="s">
        <v>15</v>
      </c>
      <c r="F219" s="8"/>
      <c r="G219" s="9">
        <f>H219*(1-15%)*(1-F219)</f>
        <v>33.914999999999999</v>
      </c>
      <c r="H219" s="9">
        <v>39.899999999999999</v>
      </c>
      <c r="I219" s="9">
        <f>H219-G219</f>
        <v>5.9849999999999994</v>
      </c>
    </row>
    <row r="220" ht="14.25">
      <c r="A220" s="5">
        <v>40085</v>
      </c>
      <c r="B220" s="6" t="s">
        <v>272</v>
      </c>
      <c r="C220" s="7" t="s">
        <v>109</v>
      </c>
      <c r="D220" s="7" t="s">
        <v>183</v>
      </c>
      <c r="E220" s="5" t="s">
        <v>15</v>
      </c>
      <c r="F220" s="8"/>
      <c r="G220" s="9">
        <f>H220*(1-15%)*(1-F220)</f>
        <v>53.464999999999996</v>
      </c>
      <c r="H220" s="9">
        <v>62.899999999999999</v>
      </c>
      <c r="I220" s="9">
        <f>H220-G220</f>
        <v>9.4350000000000023</v>
      </c>
    </row>
    <row r="221" ht="14.25">
      <c r="A221" s="5">
        <v>40090</v>
      </c>
      <c r="B221" s="6" t="s">
        <v>273</v>
      </c>
      <c r="C221" s="7" t="s">
        <v>109</v>
      </c>
      <c r="D221" s="7" t="s">
        <v>183</v>
      </c>
      <c r="E221" s="5" t="s">
        <v>39</v>
      </c>
      <c r="F221" s="8"/>
      <c r="G221" s="9">
        <f>H221*(1-15%)*(1-F221)</f>
        <v>36.464999999999996</v>
      </c>
      <c r="H221" s="9">
        <v>42.899999999999999</v>
      </c>
      <c r="I221" s="9">
        <f>H221-G221</f>
        <v>6.4350000000000023</v>
      </c>
    </row>
    <row r="222" ht="14.25">
      <c r="A222" s="5">
        <v>43786</v>
      </c>
      <c r="B222" s="6" t="s">
        <v>274</v>
      </c>
      <c r="C222" s="7" t="s">
        <v>82</v>
      </c>
      <c r="D222" s="7" t="s">
        <v>183</v>
      </c>
      <c r="E222" s="5" t="s">
        <v>15</v>
      </c>
      <c r="F222" s="8"/>
      <c r="G222" s="9">
        <f>H222*(1-15%)*(1-F222)</f>
        <v>12.664999999999999</v>
      </c>
      <c r="H222" s="9">
        <v>14.9</v>
      </c>
      <c r="I222" s="9">
        <f>H222-G222</f>
        <v>2.2350000000000012</v>
      </c>
    </row>
    <row r="223" ht="14.25">
      <c r="A223" s="5">
        <v>43942</v>
      </c>
      <c r="B223" s="6" t="s">
        <v>275</v>
      </c>
      <c r="C223" s="7" t="s">
        <v>201</v>
      </c>
      <c r="D223" s="7" t="s">
        <v>183</v>
      </c>
      <c r="E223" s="5" t="s">
        <v>15</v>
      </c>
      <c r="F223" s="8"/>
      <c r="G223" s="9">
        <f>H223*(1-15%)*(1-F223)</f>
        <v>25.414999999999999</v>
      </c>
      <c r="H223" s="9">
        <v>29.899999999999999</v>
      </c>
      <c r="I223" s="9">
        <f>H223-G223</f>
        <v>4.4849999999999994</v>
      </c>
    </row>
    <row r="224" ht="14.25">
      <c r="A224" s="5">
        <v>40087</v>
      </c>
      <c r="B224" s="6" t="s">
        <v>276</v>
      </c>
      <c r="C224" s="7" t="s">
        <v>109</v>
      </c>
      <c r="D224" s="7" t="s">
        <v>183</v>
      </c>
      <c r="E224" s="5" t="s">
        <v>68</v>
      </c>
      <c r="F224" s="8"/>
      <c r="G224" s="9">
        <f>H224*(1-15%)*(1-F224)</f>
        <v>36.464999999999996</v>
      </c>
      <c r="H224" s="9">
        <v>42.899999999999999</v>
      </c>
      <c r="I224" s="9">
        <f>H224-G224</f>
        <v>6.4350000000000023</v>
      </c>
    </row>
    <row r="225" ht="14.25">
      <c r="A225" s="5">
        <v>77775</v>
      </c>
      <c r="B225" s="6" t="s">
        <v>277</v>
      </c>
      <c r="C225" s="7" t="s">
        <v>84</v>
      </c>
      <c r="D225" s="7" t="s">
        <v>52</v>
      </c>
      <c r="E225" s="5" t="s">
        <v>15</v>
      </c>
      <c r="F225" s="8"/>
      <c r="G225" s="9">
        <f>H225*(1-15%)*(1-F225)</f>
        <v>42.414999999999999</v>
      </c>
      <c r="H225" s="9">
        <v>49.899999999999999</v>
      </c>
      <c r="I225" s="9">
        <f>H225-G225</f>
        <v>7.4849999999999994</v>
      </c>
    </row>
    <row r="226" ht="14.25">
      <c r="A226" s="5">
        <v>43956</v>
      </c>
      <c r="B226" s="6" t="s">
        <v>278</v>
      </c>
      <c r="C226" s="7" t="s">
        <v>94</v>
      </c>
      <c r="D226" s="7" t="s">
        <v>183</v>
      </c>
      <c r="E226" s="5" t="s">
        <v>15</v>
      </c>
      <c r="F226" s="8"/>
      <c r="G226" s="9">
        <f>H226*(1-15%)*(1-F226)</f>
        <v>22.864999999999998</v>
      </c>
      <c r="H226" s="9">
        <v>26.899999999999999</v>
      </c>
      <c r="I226" s="9">
        <f>H226-G226</f>
        <v>4.0350000000000001</v>
      </c>
    </row>
    <row r="227" ht="14.25">
      <c r="A227" s="5">
        <v>40088</v>
      </c>
      <c r="B227" s="6" t="s">
        <v>279</v>
      </c>
      <c r="C227" s="7" t="s">
        <v>109</v>
      </c>
      <c r="D227" s="7" t="s">
        <v>183</v>
      </c>
      <c r="E227" s="5" t="s">
        <v>39</v>
      </c>
      <c r="F227" s="8"/>
      <c r="G227" s="9">
        <f>H227*(1-15%)*(1-F227)</f>
        <v>32.214999999999996</v>
      </c>
      <c r="H227" s="9">
        <v>37.899999999999999</v>
      </c>
      <c r="I227" s="9">
        <f>H227-G227</f>
        <v>5.6850000000000023</v>
      </c>
    </row>
    <row r="228" ht="14.25">
      <c r="A228" s="5">
        <v>43557</v>
      </c>
      <c r="B228" s="6" t="s">
        <v>280</v>
      </c>
      <c r="C228" s="7" t="s">
        <v>201</v>
      </c>
      <c r="D228" s="7" t="s">
        <v>183</v>
      </c>
      <c r="E228" s="5" t="s">
        <v>15</v>
      </c>
      <c r="F228" s="8"/>
      <c r="G228" s="9">
        <f>H228*(1-15%)*(1-F228)</f>
        <v>33.914999999999999</v>
      </c>
      <c r="H228" s="9">
        <v>39.899999999999999</v>
      </c>
      <c r="I228" s="9">
        <f>H228-G228</f>
        <v>5.9849999999999994</v>
      </c>
    </row>
    <row r="229" ht="14.25">
      <c r="A229" s="5">
        <v>43342</v>
      </c>
      <c r="B229" s="6" t="s">
        <v>281</v>
      </c>
      <c r="C229" s="7" t="s">
        <v>82</v>
      </c>
      <c r="D229" s="7" t="s">
        <v>183</v>
      </c>
      <c r="E229" s="5" t="s">
        <v>15</v>
      </c>
      <c r="F229" s="8"/>
      <c r="G229" s="9">
        <f>H229*(1-15%)*(1-F229)</f>
        <v>33.914999999999999</v>
      </c>
      <c r="H229" s="9">
        <v>39.899999999999999</v>
      </c>
      <c r="I229" s="9">
        <f>H229-G229</f>
        <v>5.9849999999999994</v>
      </c>
    </row>
    <row r="230" ht="14.25">
      <c r="A230" s="5">
        <v>44967</v>
      </c>
      <c r="B230" s="6" t="s">
        <v>282</v>
      </c>
      <c r="C230" s="7" t="s">
        <v>226</v>
      </c>
      <c r="D230" s="7" t="s">
        <v>183</v>
      </c>
      <c r="E230" s="5" t="s">
        <v>15</v>
      </c>
      <c r="F230" s="8"/>
      <c r="G230" s="9">
        <f>H230*(1-15%)*(1-F230)</f>
        <v>21.164999999999999</v>
      </c>
      <c r="H230" s="9">
        <v>24.899999999999999</v>
      </c>
      <c r="I230" s="9">
        <f>H230-G230</f>
        <v>3.7349999999999994</v>
      </c>
    </row>
    <row r="231" ht="14.25">
      <c r="A231" s="5">
        <v>71500</v>
      </c>
      <c r="B231" s="6" t="s">
        <v>283</v>
      </c>
      <c r="C231" s="7" t="s">
        <v>109</v>
      </c>
      <c r="D231" s="7" t="s">
        <v>110</v>
      </c>
      <c r="E231" s="5" t="s">
        <v>39</v>
      </c>
      <c r="F231" s="8"/>
      <c r="G231" s="9">
        <f>H231*(1-15%)*(1-F231)</f>
        <v>57.715000000000003</v>
      </c>
      <c r="H231" s="9">
        <v>67.900000000000006</v>
      </c>
      <c r="I231" s="9">
        <f>H231-G231</f>
        <v>10.185000000000002</v>
      </c>
    </row>
    <row r="232" ht="14.25">
      <c r="A232" s="5">
        <v>43936</v>
      </c>
      <c r="B232" s="6" t="s">
        <v>284</v>
      </c>
      <c r="C232" s="7" t="s">
        <v>82</v>
      </c>
      <c r="D232" s="7" t="s">
        <v>183</v>
      </c>
      <c r="E232" s="5" t="s">
        <v>15</v>
      </c>
      <c r="F232" s="8"/>
      <c r="G232" s="9">
        <f>H232*(1-15%)*(1-F232)</f>
        <v>50.914999999999999</v>
      </c>
      <c r="H232" s="9">
        <v>59.899999999999999</v>
      </c>
      <c r="I232" s="9">
        <f>H232-G232</f>
        <v>8.9849999999999994</v>
      </c>
    </row>
    <row r="233" ht="14.25">
      <c r="A233" s="5">
        <v>77280</v>
      </c>
      <c r="B233" s="6" t="s">
        <v>285</v>
      </c>
      <c r="C233" s="7" t="s">
        <v>109</v>
      </c>
      <c r="D233" s="7" t="s">
        <v>110</v>
      </c>
      <c r="E233" s="5" t="s">
        <v>15</v>
      </c>
      <c r="F233" s="8"/>
      <c r="G233" s="9">
        <f>H233*(1-15%)*(1-F233)</f>
        <v>55.165000000000006</v>
      </c>
      <c r="H233" s="9">
        <v>64.900000000000006</v>
      </c>
      <c r="I233" s="9">
        <f>H233-G233</f>
        <v>9.7349999999999994</v>
      </c>
    </row>
    <row r="234" ht="14.25">
      <c r="A234" s="5">
        <v>44581</v>
      </c>
      <c r="B234" s="6" t="s">
        <v>286</v>
      </c>
      <c r="C234" s="7" t="s">
        <v>109</v>
      </c>
      <c r="D234" s="7" t="s">
        <v>183</v>
      </c>
      <c r="E234" s="5" t="s">
        <v>68</v>
      </c>
      <c r="F234" s="8"/>
      <c r="G234" s="9">
        <f>H234*(1-15%)*(1-F234)</f>
        <v>32.214999999999996</v>
      </c>
      <c r="H234" s="9">
        <v>37.899999999999999</v>
      </c>
      <c r="I234" s="9">
        <f>H234-G234</f>
        <v>5.6850000000000023</v>
      </c>
    </row>
    <row r="235" ht="14.25">
      <c r="A235" s="5">
        <v>43356</v>
      </c>
      <c r="B235" s="6" t="s">
        <v>287</v>
      </c>
      <c r="C235" s="7" t="s">
        <v>201</v>
      </c>
      <c r="D235" s="7" t="s">
        <v>183</v>
      </c>
      <c r="E235" s="5" t="s">
        <v>15</v>
      </c>
      <c r="F235" s="8"/>
      <c r="G235" s="9">
        <f>H235*(1-15%)*(1-F235)</f>
        <v>17.764999999999997</v>
      </c>
      <c r="H235" s="9">
        <v>20.899999999999999</v>
      </c>
      <c r="I235" s="9">
        <f>H235-G235</f>
        <v>3.1350000000000016</v>
      </c>
    </row>
    <row r="236" ht="14.25">
      <c r="A236" s="5">
        <v>43954</v>
      </c>
      <c r="B236" s="6" t="s">
        <v>288</v>
      </c>
      <c r="C236" s="7" t="s">
        <v>75</v>
      </c>
      <c r="D236" s="7" t="s">
        <v>183</v>
      </c>
      <c r="E236" s="5" t="s">
        <v>15</v>
      </c>
      <c r="F236" s="8"/>
      <c r="G236" s="9">
        <f>H236*(1-15%)*(1-F236)</f>
        <v>16.914999999999999</v>
      </c>
      <c r="H236" s="9">
        <v>19.899999999999999</v>
      </c>
      <c r="I236" s="9">
        <f>H236-G236</f>
        <v>2.9849999999999994</v>
      </c>
    </row>
    <row r="237" ht="14.25">
      <c r="A237" s="5">
        <v>43554</v>
      </c>
      <c r="B237" s="6" t="s">
        <v>289</v>
      </c>
      <c r="C237" s="7" t="s">
        <v>94</v>
      </c>
      <c r="D237" s="7" t="s">
        <v>183</v>
      </c>
      <c r="E237" s="5" t="s">
        <v>15</v>
      </c>
      <c r="F237" s="8"/>
      <c r="G237" s="9">
        <f>H237*(1-15%)*(1-F237)</f>
        <v>46.664999999999999</v>
      </c>
      <c r="H237" s="9">
        <v>54.899999999999999</v>
      </c>
      <c r="I237" s="9">
        <f>H237-G237</f>
        <v>8.2349999999999994</v>
      </c>
    </row>
    <row r="238" ht="14.25">
      <c r="A238" s="5">
        <v>44962</v>
      </c>
      <c r="B238" s="6" t="s">
        <v>290</v>
      </c>
      <c r="C238" s="7" t="s">
        <v>226</v>
      </c>
      <c r="D238" s="7" t="s">
        <v>183</v>
      </c>
      <c r="E238" s="5" t="s">
        <v>15</v>
      </c>
      <c r="F238" s="8"/>
      <c r="G238" s="9">
        <f>H238*(1-15%)*(1-F238)</f>
        <v>33.914999999999999</v>
      </c>
      <c r="H238" s="9">
        <v>39.899999999999999</v>
      </c>
      <c r="I238" s="9">
        <f>H238-G238</f>
        <v>5.9849999999999994</v>
      </c>
    </row>
    <row r="239" ht="14.25">
      <c r="A239" s="5">
        <v>43343</v>
      </c>
      <c r="B239" s="6" t="s">
        <v>291</v>
      </c>
      <c r="C239" s="7" t="s">
        <v>201</v>
      </c>
      <c r="D239" s="7" t="s">
        <v>183</v>
      </c>
      <c r="E239" s="5" t="s">
        <v>15</v>
      </c>
      <c r="F239" s="8"/>
      <c r="G239" s="9">
        <f>H239*(1-15%)*(1-F239)</f>
        <v>33.914999999999999</v>
      </c>
      <c r="H239" s="9">
        <v>39.899999999999999</v>
      </c>
      <c r="I239" s="9">
        <f>H239-G239</f>
        <v>5.9849999999999994</v>
      </c>
    </row>
    <row r="240" ht="14.25">
      <c r="A240" s="5">
        <v>42494</v>
      </c>
      <c r="B240" s="6" t="s">
        <v>292</v>
      </c>
      <c r="C240" s="7" t="s">
        <v>109</v>
      </c>
      <c r="D240" s="7" t="s">
        <v>183</v>
      </c>
      <c r="E240" s="5" t="s">
        <v>15</v>
      </c>
      <c r="F240" s="8"/>
      <c r="G240" s="9">
        <f>H240*(1-15%)*(1-F240)</f>
        <v>39.015000000000001</v>
      </c>
      <c r="H240" s="9">
        <v>45.899999999999999</v>
      </c>
      <c r="I240" s="9">
        <f>H240-G240</f>
        <v>6.884999999999998</v>
      </c>
    </row>
    <row r="241" ht="14.25">
      <c r="A241" s="5">
        <v>81143</v>
      </c>
      <c r="B241" s="6" t="s">
        <v>293</v>
      </c>
      <c r="C241" s="7" t="s">
        <v>109</v>
      </c>
      <c r="D241" s="7" t="s">
        <v>110</v>
      </c>
      <c r="E241" s="5" t="s">
        <v>15</v>
      </c>
      <c r="F241" s="8"/>
      <c r="G241" s="9">
        <f>H241*(1-15%)*(1-F241)</f>
        <v>49.214999999999996</v>
      </c>
      <c r="H241" s="9">
        <v>57.899999999999999</v>
      </c>
      <c r="I241" s="9">
        <f>H241-G241</f>
        <v>8.6850000000000023</v>
      </c>
    </row>
    <row r="242" ht="14.25">
      <c r="A242" s="5">
        <v>80813</v>
      </c>
      <c r="B242" s="6" t="s">
        <v>294</v>
      </c>
      <c r="C242" s="7" t="s">
        <v>109</v>
      </c>
      <c r="D242" s="7" t="s">
        <v>110</v>
      </c>
      <c r="E242" s="5" t="s">
        <v>15</v>
      </c>
      <c r="F242" s="8"/>
      <c r="G242" s="9">
        <f>H242*(1-15%)*(1-F242)</f>
        <v>55.165000000000006</v>
      </c>
      <c r="H242" s="9">
        <v>64.900000000000006</v>
      </c>
      <c r="I242" s="9">
        <f>H242-G242</f>
        <v>9.7349999999999994</v>
      </c>
    </row>
    <row r="243" ht="14.25">
      <c r="A243" s="5">
        <v>40091</v>
      </c>
      <c r="B243" s="6" t="s">
        <v>295</v>
      </c>
      <c r="C243" s="7" t="s">
        <v>109</v>
      </c>
      <c r="D243" s="7" t="s">
        <v>183</v>
      </c>
      <c r="E243" s="5" t="s">
        <v>68</v>
      </c>
      <c r="F243" s="8"/>
      <c r="G243" s="9">
        <f>H243*(1-15%)*(1-F243)</f>
        <v>32.214999999999996</v>
      </c>
      <c r="H243" s="9">
        <v>37.899999999999999</v>
      </c>
      <c r="I243" s="9">
        <f>H243-G243</f>
        <v>5.6850000000000023</v>
      </c>
    </row>
    <row r="244" ht="14.25">
      <c r="A244" s="5">
        <v>77318</v>
      </c>
      <c r="B244" s="6" t="s">
        <v>296</v>
      </c>
      <c r="C244" s="7" t="s">
        <v>109</v>
      </c>
      <c r="D244" s="7" t="s">
        <v>110</v>
      </c>
      <c r="E244" s="5" t="s">
        <v>15</v>
      </c>
      <c r="F244" s="8"/>
      <c r="G244" s="9">
        <f>H244*(1-15%)*(1-F244)</f>
        <v>55.165000000000006</v>
      </c>
      <c r="H244" s="9">
        <v>64.900000000000006</v>
      </c>
      <c r="I244" s="9">
        <f>H244-G244</f>
        <v>9.7349999999999994</v>
      </c>
    </row>
    <row r="245" ht="14.25">
      <c r="A245" s="5">
        <v>43565</v>
      </c>
      <c r="B245" s="6" t="s">
        <v>297</v>
      </c>
      <c r="C245" s="7" t="s">
        <v>201</v>
      </c>
      <c r="D245" s="7" t="s">
        <v>183</v>
      </c>
      <c r="E245" s="5" t="s">
        <v>15</v>
      </c>
      <c r="F245" s="8"/>
      <c r="G245" s="9">
        <f>H245*(1-15%)*(1-F245)</f>
        <v>39.015000000000001</v>
      </c>
      <c r="H245" s="9">
        <v>45.899999999999999</v>
      </c>
      <c r="I245" s="9">
        <f>H245-G245</f>
        <v>6.884999999999998</v>
      </c>
    </row>
    <row r="246" ht="14.25">
      <c r="A246" s="5">
        <v>43355</v>
      </c>
      <c r="B246" s="6" t="s">
        <v>298</v>
      </c>
      <c r="C246" s="7" t="s">
        <v>201</v>
      </c>
      <c r="D246" s="7" t="s">
        <v>183</v>
      </c>
      <c r="E246" s="5" t="s">
        <v>15</v>
      </c>
      <c r="F246" s="8"/>
      <c r="G246" s="9">
        <f>H246*(1-15%)*(1-F246)</f>
        <v>16.914999999999999</v>
      </c>
      <c r="H246" s="9">
        <v>19.899999999999999</v>
      </c>
      <c r="I246" s="9">
        <f>H246-G246</f>
        <v>2.9849999999999994</v>
      </c>
    </row>
    <row r="247" ht="14.25">
      <c r="A247" s="5">
        <v>26401</v>
      </c>
      <c r="B247" s="6" t="s">
        <v>299</v>
      </c>
      <c r="C247" s="7" t="s">
        <v>109</v>
      </c>
      <c r="D247" s="7" t="s">
        <v>110</v>
      </c>
      <c r="E247" s="5" t="s">
        <v>15</v>
      </c>
      <c r="F247" s="8"/>
      <c r="G247" s="9">
        <f>H247*(1-15%)*(1-F247)</f>
        <v>42.414999999999999</v>
      </c>
      <c r="H247" s="9">
        <v>49.899999999999999</v>
      </c>
      <c r="I247" s="9">
        <f>H247-G247</f>
        <v>7.4849999999999994</v>
      </c>
    </row>
    <row r="248" ht="14.25">
      <c r="A248" s="5">
        <v>44413</v>
      </c>
      <c r="B248" s="6" t="s">
        <v>300</v>
      </c>
      <c r="C248" s="7" t="s">
        <v>109</v>
      </c>
      <c r="D248" s="7" t="s">
        <v>183</v>
      </c>
      <c r="E248" s="5" t="s">
        <v>15</v>
      </c>
      <c r="F248" s="8"/>
      <c r="G248" s="9">
        <f>H248*(1-15%)*(1-F248)</f>
        <v>67.915000000000006</v>
      </c>
      <c r="H248" s="9">
        <v>79.900000000000006</v>
      </c>
      <c r="I248" s="9">
        <f>H248-G248</f>
        <v>11.984999999999999</v>
      </c>
    </row>
    <row r="249" ht="14.25">
      <c r="A249" s="5">
        <v>43558</v>
      </c>
      <c r="B249" s="6" t="s">
        <v>301</v>
      </c>
      <c r="C249" s="7" t="s">
        <v>201</v>
      </c>
      <c r="D249" s="7" t="s">
        <v>183</v>
      </c>
      <c r="E249" s="5" t="s">
        <v>15</v>
      </c>
      <c r="F249" s="8"/>
      <c r="G249" s="9">
        <f>H249*(1-15%)*(1-F249)</f>
        <v>33.914999999999999</v>
      </c>
      <c r="H249" s="9">
        <v>39.899999999999999</v>
      </c>
      <c r="I249" s="9">
        <f>H249-G249</f>
        <v>5.9849999999999994</v>
      </c>
    </row>
    <row r="250" ht="14.25">
      <c r="A250" s="5">
        <v>43561</v>
      </c>
      <c r="B250" s="6" t="s">
        <v>302</v>
      </c>
      <c r="C250" s="7" t="s">
        <v>271</v>
      </c>
      <c r="D250" s="7" t="s">
        <v>183</v>
      </c>
      <c r="E250" s="5" t="s">
        <v>15</v>
      </c>
      <c r="F250" s="8"/>
      <c r="G250" s="9">
        <f>H250*(1-15%)*(1-F250)</f>
        <v>14.364999999999998</v>
      </c>
      <c r="H250" s="9">
        <v>16.899999999999999</v>
      </c>
      <c r="I250" s="9">
        <f>H250-G250</f>
        <v>2.5350000000000001</v>
      </c>
    </row>
    <row r="251" ht="14.25">
      <c r="A251" s="5">
        <v>82238</v>
      </c>
      <c r="B251" s="6" t="s">
        <v>303</v>
      </c>
      <c r="C251" s="7" t="s">
        <v>38</v>
      </c>
      <c r="D251" s="7" t="s">
        <v>11</v>
      </c>
      <c r="E251" s="5" t="s">
        <v>26</v>
      </c>
      <c r="F251" s="8"/>
      <c r="G251" s="9">
        <f>H251*(1-15%)*(1-F251)</f>
        <v>191.16499999999999</v>
      </c>
      <c r="H251" s="9">
        <v>224.90000000000001</v>
      </c>
      <c r="I251" s="9">
        <f>H251-G251</f>
        <v>33.735000000000014</v>
      </c>
    </row>
    <row r="252" ht="14.25">
      <c r="A252" s="5">
        <v>40092</v>
      </c>
      <c r="B252" s="6" t="s">
        <v>304</v>
      </c>
      <c r="C252" s="7" t="s">
        <v>109</v>
      </c>
      <c r="D252" s="7" t="s">
        <v>183</v>
      </c>
      <c r="E252" s="5" t="s">
        <v>15</v>
      </c>
      <c r="F252" s="8"/>
      <c r="G252" s="9">
        <f>H252*(1-15%)*(1-F252)</f>
        <v>33.914999999999999</v>
      </c>
      <c r="H252" s="9">
        <v>39.899999999999999</v>
      </c>
      <c r="I252" s="9">
        <f>H252-G252</f>
        <v>5.9849999999999994</v>
      </c>
    </row>
    <row r="253" ht="14.25">
      <c r="A253" s="5">
        <v>77294</v>
      </c>
      <c r="B253" s="6" t="s">
        <v>305</v>
      </c>
      <c r="C253" s="7" t="s">
        <v>109</v>
      </c>
      <c r="D253" s="7" t="s">
        <v>110</v>
      </c>
      <c r="E253" s="5" t="s">
        <v>15</v>
      </c>
      <c r="F253" s="8"/>
      <c r="G253" s="9">
        <f>H253*(1-15%)*(1-F253)</f>
        <v>55.165000000000006</v>
      </c>
      <c r="H253" s="9">
        <v>64.900000000000006</v>
      </c>
      <c r="I253" s="9">
        <f>H253-G253</f>
        <v>9.7349999999999994</v>
      </c>
    </row>
    <row r="254" ht="14.25">
      <c r="A254" s="5">
        <v>42224</v>
      </c>
      <c r="B254" s="6" t="s">
        <v>306</v>
      </c>
      <c r="C254" s="7" t="s">
        <v>82</v>
      </c>
      <c r="D254" s="7" t="s">
        <v>183</v>
      </c>
      <c r="E254" s="5" t="s">
        <v>15</v>
      </c>
      <c r="F254" s="8"/>
      <c r="G254" s="9">
        <f>H254*(1-15%)*(1-F254)</f>
        <v>10.965</v>
      </c>
      <c r="H254" s="9">
        <v>12.9</v>
      </c>
      <c r="I254" s="9">
        <f>H254-G254</f>
        <v>1.9350000000000005</v>
      </c>
    </row>
    <row r="255" ht="14.25">
      <c r="A255" s="5">
        <v>44524</v>
      </c>
      <c r="B255" s="6" t="s">
        <v>307</v>
      </c>
      <c r="C255" s="7" t="s">
        <v>201</v>
      </c>
      <c r="D255" s="7" t="s">
        <v>183</v>
      </c>
      <c r="E255" s="5" t="s">
        <v>15</v>
      </c>
      <c r="F255" s="8"/>
      <c r="G255" s="9">
        <f>H255*(1-15%)*(1-F255)</f>
        <v>42.414999999999999</v>
      </c>
      <c r="H255" s="9">
        <v>49.899999999999999</v>
      </c>
      <c r="I255" s="9">
        <f>H255-G255</f>
        <v>7.4849999999999994</v>
      </c>
    </row>
    <row r="256" ht="14.25">
      <c r="A256" s="5">
        <v>43913</v>
      </c>
      <c r="B256" s="6" t="s">
        <v>308</v>
      </c>
      <c r="C256" s="7" t="s">
        <v>201</v>
      </c>
      <c r="D256" s="7" t="s">
        <v>183</v>
      </c>
      <c r="E256" s="5" t="s">
        <v>15</v>
      </c>
      <c r="F256" s="8"/>
      <c r="G256" s="9">
        <f>H256*(1-15%)*(1-F256)</f>
        <v>42.414999999999999</v>
      </c>
      <c r="H256" s="9">
        <v>49.899999999999999</v>
      </c>
      <c r="I256" s="9">
        <f>H256-G256</f>
        <v>7.4849999999999994</v>
      </c>
    </row>
    <row r="257" ht="14.25">
      <c r="A257" s="5">
        <v>77295</v>
      </c>
      <c r="B257" s="6" t="s">
        <v>309</v>
      </c>
      <c r="C257" s="7" t="s">
        <v>109</v>
      </c>
      <c r="D257" s="7" t="s">
        <v>110</v>
      </c>
      <c r="E257" s="5" t="s">
        <v>15</v>
      </c>
      <c r="F257" s="8"/>
      <c r="G257" s="9">
        <f>H257*(1-15%)*(1-F257)</f>
        <v>55.165000000000006</v>
      </c>
      <c r="H257" s="9">
        <v>64.900000000000006</v>
      </c>
      <c r="I257" s="9">
        <f>H257-G257</f>
        <v>9.7349999999999994</v>
      </c>
    </row>
    <row r="258" ht="14.25">
      <c r="A258" s="5">
        <v>77289</v>
      </c>
      <c r="B258" s="6" t="s">
        <v>310</v>
      </c>
      <c r="C258" s="7" t="s">
        <v>109</v>
      </c>
      <c r="D258" s="7" t="s">
        <v>110</v>
      </c>
      <c r="E258" s="5" t="s">
        <v>15</v>
      </c>
      <c r="F258" s="8"/>
      <c r="G258" s="9">
        <f>H258*(1-15%)*(1-F258)</f>
        <v>55.165000000000006</v>
      </c>
      <c r="H258" s="9">
        <v>64.900000000000006</v>
      </c>
      <c r="I258" s="9">
        <f>H258-G258</f>
        <v>9.7349999999999994</v>
      </c>
    </row>
    <row r="259" ht="14.25">
      <c r="A259" s="5">
        <v>77282</v>
      </c>
      <c r="B259" s="6" t="s">
        <v>311</v>
      </c>
      <c r="C259" s="7" t="s">
        <v>109</v>
      </c>
      <c r="D259" s="7" t="s">
        <v>110</v>
      </c>
      <c r="E259" s="5" t="s">
        <v>15</v>
      </c>
      <c r="F259" s="8"/>
      <c r="G259" s="9">
        <f>H259*(1-15%)*(1-F259)</f>
        <v>55.165000000000006</v>
      </c>
      <c r="H259" s="9">
        <v>64.900000000000006</v>
      </c>
      <c r="I259" s="9">
        <f>H259-G259</f>
        <v>9.7349999999999994</v>
      </c>
    </row>
    <row r="260" ht="14.25">
      <c r="A260" s="5">
        <v>43004</v>
      </c>
      <c r="B260" s="6" t="s">
        <v>312</v>
      </c>
      <c r="C260" s="7" t="s">
        <v>313</v>
      </c>
      <c r="D260" s="7" t="s">
        <v>183</v>
      </c>
      <c r="E260" s="5" t="s">
        <v>15</v>
      </c>
      <c r="F260" s="8"/>
      <c r="G260" s="9">
        <f>H260*(1-15%)*(1-F260)</f>
        <v>36.464999999999996</v>
      </c>
      <c r="H260" s="9">
        <v>42.899999999999999</v>
      </c>
      <c r="I260" s="9">
        <f>H260-G260</f>
        <v>6.4350000000000023</v>
      </c>
    </row>
    <row r="261" ht="14.25">
      <c r="A261" s="5">
        <v>77288</v>
      </c>
      <c r="B261" s="6" t="s">
        <v>314</v>
      </c>
      <c r="C261" s="7" t="s">
        <v>109</v>
      </c>
      <c r="D261" s="7" t="s">
        <v>110</v>
      </c>
      <c r="E261" s="5" t="s">
        <v>15</v>
      </c>
      <c r="F261" s="8"/>
      <c r="G261" s="9">
        <f>H261*(1-15%)*(1-F261)</f>
        <v>55.165000000000006</v>
      </c>
      <c r="H261" s="9">
        <v>64.900000000000006</v>
      </c>
      <c r="I261" s="9">
        <f>H261-G261</f>
        <v>9.7349999999999994</v>
      </c>
    </row>
    <row r="262" ht="14.25">
      <c r="A262" s="5">
        <v>40093</v>
      </c>
      <c r="B262" s="6" t="s">
        <v>315</v>
      </c>
      <c r="C262" s="7" t="s">
        <v>109</v>
      </c>
      <c r="D262" s="7" t="s">
        <v>183</v>
      </c>
      <c r="E262" s="5" t="s">
        <v>15</v>
      </c>
      <c r="F262" s="8"/>
      <c r="G262" s="9">
        <f>H262*(1-15%)*(1-F262)</f>
        <v>21.164999999999999</v>
      </c>
      <c r="H262" s="9">
        <v>24.899999999999999</v>
      </c>
      <c r="I262" s="9">
        <f>H262-G262</f>
        <v>3.7349999999999994</v>
      </c>
    </row>
    <row r="263" ht="14.25">
      <c r="A263" s="5">
        <v>77277</v>
      </c>
      <c r="B263" s="6" t="s">
        <v>316</v>
      </c>
      <c r="C263" s="7" t="s">
        <v>109</v>
      </c>
      <c r="D263" s="7" t="s">
        <v>110</v>
      </c>
      <c r="E263" s="5" t="s">
        <v>15</v>
      </c>
      <c r="F263" s="8"/>
      <c r="G263" s="9">
        <f>H263*(1-15%)*(1-F263)</f>
        <v>55.165000000000006</v>
      </c>
      <c r="H263" s="9">
        <v>64.900000000000006</v>
      </c>
      <c r="I263" s="9">
        <f>H263-G263</f>
        <v>9.7349999999999994</v>
      </c>
    </row>
    <row r="264" ht="14.25">
      <c r="A264" s="5">
        <v>44799</v>
      </c>
      <c r="B264" s="6" t="s">
        <v>317</v>
      </c>
      <c r="C264" s="7" t="s">
        <v>201</v>
      </c>
      <c r="D264" s="7" t="s">
        <v>183</v>
      </c>
      <c r="E264" s="5" t="s">
        <v>15</v>
      </c>
      <c r="F264" s="8"/>
      <c r="G264" s="9">
        <f>H264*(1-15%)*(1-F264)</f>
        <v>42.414999999999999</v>
      </c>
      <c r="H264" s="9">
        <v>49.899999999999999</v>
      </c>
      <c r="I264" s="9">
        <f>H264-G264</f>
        <v>7.4849999999999994</v>
      </c>
    </row>
    <row r="265" ht="14.25">
      <c r="A265" s="5">
        <v>77298</v>
      </c>
      <c r="B265" s="6" t="s">
        <v>318</v>
      </c>
      <c r="C265" s="7" t="s">
        <v>109</v>
      </c>
      <c r="D265" s="7" t="s">
        <v>110</v>
      </c>
      <c r="E265" s="5" t="s">
        <v>15</v>
      </c>
      <c r="F265" s="8"/>
      <c r="G265" s="9">
        <f>H265*(1-15%)*(1-F265)</f>
        <v>55.165000000000006</v>
      </c>
      <c r="H265" s="9">
        <v>64.900000000000006</v>
      </c>
      <c r="I265" s="9">
        <f>H265-G265</f>
        <v>9.7349999999999994</v>
      </c>
    </row>
    <row r="266" ht="14.25">
      <c r="A266" s="5">
        <v>77292</v>
      </c>
      <c r="B266" s="6" t="s">
        <v>319</v>
      </c>
      <c r="C266" s="7" t="s">
        <v>109</v>
      </c>
      <c r="D266" s="7" t="s">
        <v>110</v>
      </c>
      <c r="E266" s="5" t="s">
        <v>15</v>
      </c>
      <c r="F266" s="8"/>
      <c r="G266" s="9">
        <f>H266*(1-15%)*(1-F266)</f>
        <v>55.165000000000006</v>
      </c>
      <c r="H266" s="9">
        <v>64.900000000000006</v>
      </c>
      <c r="I266" s="9">
        <f>H266-G266</f>
        <v>9.7349999999999994</v>
      </c>
    </row>
    <row r="267" ht="14.25">
      <c r="A267" s="5">
        <v>77297</v>
      </c>
      <c r="B267" s="6" t="s">
        <v>320</v>
      </c>
      <c r="C267" s="7" t="s">
        <v>109</v>
      </c>
      <c r="D267" s="7" t="s">
        <v>110</v>
      </c>
      <c r="E267" s="5" t="s">
        <v>15</v>
      </c>
      <c r="F267" s="8"/>
      <c r="G267" s="9">
        <f>H267*(1-15%)*(1-F267)</f>
        <v>55.165000000000006</v>
      </c>
      <c r="H267" s="9">
        <v>64.900000000000006</v>
      </c>
      <c r="I267" s="9">
        <f>H267-G267</f>
        <v>9.7349999999999994</v>
      </c>
    </row>
    <row r="268" ht="14.25">
      <c r="A268" s="5">
        <v>76710</v>
      </c>
      <c r="B268" s="6" t="s">
        <v>321</v>
      </c>
      <c r="C268" s="7" t="s">
        <v>33</v>
      </c>
      <c r="D268" s="7" t="s">
        <v>45</v>
      </c>
      <c r="E268" s="5" t="s">
        <v>15</v>
      </c>
      <c r="F268" s="8"/>
      <c r="G268" s="9">
        <f>H268*(1-15%)*(1-F268)</f>
        <v>46.664999999999999</v>
      </c>
      <c r="H268" s="9">
        <v>54.899999999999999</v>
      </c>
      <c r="I268" s="9">
        <f>H268-G268</f>
        <v>8.2349999999999994</v>
      </c>
    </row>
    <row r="269" ht="14.25">
      <c r="A269" s="5">
        <v>41735</v>
      </c>
      <c r="B269" s="6" t="s">
        <v>322</v>
      </c>
      <c r="C269" s="7" t="s">
        <v>271</v>
      </c>
      <c r="D269" s="7" t="s">
        <v>183</v>
      </c>
      <c r="E269" s="5" t="s">
        <v>15</v>
      </c>
      <c r="F269" s="8"/>
      <c r="G269" s="9">
        <f>H269*(1-15%)*(1-F269)</f>
        <v>22.014999999999997</v>
      </c>
      <c r="H269" s="9">
        <v>25.899999999999999</v>
      </c>
      <c r="I269" s="9">
        <f>H269-G269</f>
        <v>3.8850000000000016</v>
      </c>
    </row>
    <row r="270" ht="14.25">
      <c r="A270" s="5">
        <v>77299</v>
      </c>
      <c r="B270" s="6" t="s">
        <v>323</v>
      </c>
      <c r="C270" s="7" t="s">
        <v>109</v>
      </c>
      <c r="D270" s="7" t="s">
        <v>110</v>
      </c>
      <c r="E270" s="5" t="s">
        <v>15</v>
      </c>
      <c r="F270" s="8"/>
      <c r="G270" s="9">
        <f>H270*(1-15%)*(1-F270)</f>
        <v>55.165000000000006</v>
      </c>
      <c r="H270" s="9">
        <v>64.900000000000006</v>
      </c>
      <c r="I270" s="9">
        <f>H270-G270</f>
        <v>9.7349999999999994</v>
      </c>
    </row>
    <row r="271" ht="14.25">
      <c r="A271" s="5">
        <v>43559</v>
      </c>
      <c r="B271" s="6" t="s">
        <v>324</v>
      </c>
      <c r="C271" s="7" t="s">
        <v>75</v>
      </c>
      <c r="D271" s="7" t="s">
        <v>183</v>
      </c>
      <c r="E271" s="5" t="s">
        <v>15</v>
      </c>
      <c r="F271" s="8"/>
      <c r="G271" s="9">
        <f>H271*(1-15%)*(1-F271)</f>
        <v>18.614999999999998</v>
      </c>
      <c r="H271" s="9">
        <v>21.899999999999999</v>
      </c>
      <c r="I271" s="9">
        <f>H271-G271</f>
        <v>3.2850000000000001</v>
      </c>
    </row>
    <row r="272" ht="14.25">
      <c r="A272" s="5">
        <v>77319</v>
      </c>
      <c r="B272" s="6" t="s">
        <v>325</v>
      </c>
      <c r="C272" s="7" t="s">
        <v>109</v>
      </c>
      <c r="D272" s="7" t="s">
        <v>110</v>
      </c>
      <c r="E272" s="5" t="s">
        <v>15</v>
      </c>
      <c r="F272" s="8"/>
      <c r="G272" s="9">
        <f>H272*(1-15%)*(1-F272)</f>
        <v>55.165000000000006</v>
      </c>
      <c r="H272" s="9">
        <v>64.900000000000006</v>
      </c>
      <c r="I272" s="9">
        <f>H272-G272</f>
        <v>9.7349999999999994</v>
      </c>
    </row>
    <row r="273" ht="14.25">
      <c r="A273" s="5">
        <v>43935</v>
      </c>
      <c r="B273" s="6" t="s">
        <v>326</v>
      </c>
      <c r="C273" s="7" t="s">
        <v>82</v>
      </c>
      <c r="D273" s="7" t="s">
        <v>183</v>
      </c>
      <c r="E273" s="5" t="s">
        <v>15</v>
      </c>
      <c r="F273" s="8"/>
      <c r="G273" s="9">
        <f>H273*(1-15%)*(1-F273)</f>
        <v>17.764999999999997</v>
      </c>
      <c r="H273" s="9">
        <v>20.899999999999999</v>
      </c>
      <c r="I273" s="9">
        <f>H273-G273</f>
        <v>3.1350000000000016</v>
      </c>
    </row>
    <row r="274" ht="14.25">
      <c r="A274" s="5">
        <v>42610</v>
      </c>
      <c r="B274" s="6" t="s">
        <v>327</v>
      </c>
      <c r="C274" s="7" t="s">
        <v>201</v>
      </c>
      <c r="D274" s="7" t="s">
        <v>183</v>
      </c>
      <c r="E274" s="5" t="s">
        <v>15</v>
      </c>
      <c r="F274" s="8"/>
      <c r="G274" s="9">
        <f>H274*(1-15%)*(1-F274)</f>
        <v>33.914999999999999</v>
      </c>
      <c r="H274" s="9">
        <v>39.899999999999999</v>
      </c>
      <c r="I274" s="9">
        <f>H274-G274</f>
        <v>5.9849999999999994</v>
      </c>
    </row>
    <row r="275" ht="14.25">
      <c r="A275" s="5">
        <v>77284</v>
      </c>
      <c r="B275" s="6" t="s">
        <v>328</v>
      </c>
      <c r="C275" s="7" t="s">
        <v>109</v>
      </c>
      <c r="D275" s="7" t="s">
        <v>110</v>
      </c>
      <c r="E275" s="5" t="s">
        <v>15</v>
      </c>
      <c r="F275" s="8"/>
      <c r="G275" s="9">
        <f>H275*(1-15%)*(1-F275)</f>
        <v>55.165000000000006</v>
      </c>
      <c r="H275" s="9">
        <v>64.900000000000006</v>
      </c>
      <c r="I275" s="9">
        <f>H275-G275</f>
        <v>9.7349999999999994</v>
      </c>
    </row>
    <row r="276" ht="14.25">
      <c r="A276" s="5">
        <v>77293</v>
      </c>
      <c r="B276" s="6" t="s">
        <v>329</v>
      </c>
      <c r="C276" s="7" t="s">
        <v>109</v>
      </c>
      <c r="D276" s="7" t="s">
        <v>110</v>
      </c>
      <c r="E276" s="5" t="s">
        <v>15</v>
      </c>
      <c r="F276" s="8"/>
      <c r="G276" s="9">
        <f>H276*(1-15%)*(1-F276)</f>
        <v>55.165000000000006</v>
      </c>
      <c r="H276" s="9">
        <v>64.900000000000006</v>
      </c>
      <c r="I276" s="9">
        <f>H276-G276</f>
        <v>9.7349999999999994</v>
      </c>
    </row>
    <row r="277" ht="14.25">
      <c r="A277" s="5">
        <v>77162</v>
      </c>
      <c r="B277" s="6" t="s">
        <v>330</v>
      </c>
      <c r="C277" s="7" t="s">
        <v>38</v>
      </c>
      <c r="D277" s="7" t="s">
        <v>45</v>
      </c>
      <c r="E277" s="5" t="s">
        <v>15</v>
      </c>
      <c r="F277" s="8"/>
      <c r="G277" s="9">
        <f>H277*(1-15%)*(1-F277)</f>
        <v>42.414999999999999</v>
      </c>
      <c r="H277" s="9">
        <v>49.899999999999999</v>
      </c>
      <c r="I277" s="9">
        <f>H277-G277</f>
        <v>7.4849999999999994</v>
      </c>
    </row>
    <row r="278" ht="14.25">
      <c r="A278" s="5">
        <v>77532</v>
      </c>
      <c r="B278" s="6" t="s">
        <v>331</v>
      </c>
      <c r="C278" s="7" t="s">
        <v>94</v>
      </c>
      <c r="D278" s="7" t="s">
        <v>95</v>
      </c>
      <c r="E278" s="5" t="s">
        <v>26</v>
      </c>
      <c r="F278" s="8"/>
      <c r="G278" s="9">
        <f>H278*(1-15%)*(1-F278)</f>
        <v>39.015000000000001</v>
      </c>
      <c r="H278" s="9">
        <v>45.899999999999999</v>
      </c>
      <c r="I278" s="9">
        <f>H278-G278</f>
        <v>6.884999999999998</v>
      </c>
    </row>
    <row r="279" ht="14.25">
      <c r="A279" s="5">
        <v>42607</v>
      </c>
      <c r="B279" s="6" t="s">
        <v>332</v>
      </c>
      <c r="C279" s="7" t="s">
        <v>82</v>
      </c>
      <c r="D279" s="7" t="s">
        <v>183</v>
      </c>
      <c r="E279" s="5" t="s">
        <v>15</v>
      </c>
      <c r="F279" s="8"/>
      <c r="G279" s="9">
        <f>H279*(1-15%)*(1-F279)</f>
        <v>33.914999999999999</v>
      </c>
      <c r="H279" s="9">
        <v>39.899999999999999</v>
      </c>
      <c r="I279" s="9">
        <f>H279-G279</f>
        <v>5.9849999999999994</v>
      </c>
    </row>
    <row r="280" ht="14.25">
      <c r="A280" s="5">
        <v>44796</v>
      </c>
      <c r="B280" s="6" t="s">
        <v>333</v>
      </c>
      <c r="C280" s="7" t="s">
        <v>201</v>
      </c>
      <c r="D280" s="7" t="s">
        <v>183</v>
      </c>
      <c r="E280" s="5" t="s">
        <v>15</v>
      </c>
      <c r="F280" s="8"/>
      <c r="G280" s="9">
        <f>H280*(1-15%)*(1-F280)</f>
        <v>42.414999999999999</v>
      </c>
      <c r="H280" s="9">
        <v>49.899999999999999</v>
      </c>
      <c r="I280" s="9">
        <f>H280-G280</f>
        <v>7.4849999999999994</v>
      </c>
    </row>
    <row r="281" ht="14.25">
      <c r="A281" s="5">
        <v>44794</v>
      </c>
      <c r="B281" s="6" t="s">
        <v>334</v>
      </c>
      <c r="C281" s="7" t="s">
        <v>201</v>
      </c>
      <c r="D281" s="7" t="s">
        <v>183</v>
      </c>
      <c r="E281" s="5" t="s">
        <v>15</v>
      </c>
      <c r="F281" s="8"/>
      <c r="G281" s="9">
        <f>H281*(1-15%)*(1-F281)</f>
        <v>50.914999999999999</v>
      </c>
      <c r="H281" s="9">
        <v>59.899999999999999</v>
      </c>
      <c r="I281" s="9">
        <f>H281-G281</f>
        <v>8.9849999999999994</v>
      </c>
    </row>
    <row r="282" ht="14.25">
      <c r="A282" s="5">
        <v>77531</v>
      </c>
      <c r="B282" s="6" t="s">
        <v>335</v>
      </c>
      <c r="C282" s="7" t="s">
        <v>94</v>
      </c>
      <c r="D282" s="7" t="s">
        <v>95</v>
      </c>
      <c r="E282" s="5" t="s">
        <v>26</v>
      </c>
      <c r="F282" s="8"/>
      <c r="G282" s="9">
        <f>H282*(1-15%)*(1-F282)</f>
        <v>40.714999999999996</v>
      </c>
      <c r="H282" s="9">
        <v>47.899999999999999</v>
      </c>
      <c r="I282" s="9">
        <f>H282-G282</f>
        <v>7.1850000000000023</v>
      </c>
    </row>
    <row r="283" ht="14.25">
      <c r="A283" s="5">
        <v>44795</v>
      </c>
      <c r="B283" s="6" t="s">
        <v>336</v>
      </c>
      <c r="C283" s="7" t="s">
        <v>201</v>
      </c>
      <c r="D283" s="7" t="s">
        <v>183</v>
      </c>
      <c r="E283" s="5" t="s">
        <v>15</v>
      </c>
      <c r="F283" s="8"/>
      <c r="G283" s="9">
        <f>H283*(1-15%)*(1-F283)</f>
        <v>42.414999999999999</v>
      </c>
      <c r="H283" s="9">
        <v>49.899999999999999</v>
      </c>
      <c r="I283" s="9">
        <f>H283-G283</f>
        <v>7.4849999999999994</v>
      </c>
    </row>
    <row r="284" ht="14.25">
      <c r="A284" s="5">
        <v>74966</v>
      </c>
      <c r="B284" s="6" t="s">
        <v>337</v>
      </c>
      <c r="C284" s="7" t="s">
        <v>14</v>
      </c>
      <c r="D284" s="7" t="s">
        <v>174</v>
      </c>
      <c r="E284" s="5" t="s">
        <v>15</v>
      </c>
      <c r="F284" s="8"/>
      <c r="G284" s="9">
        <f>H284*(1-15%)*(1-F284)</f>
        <v>48.364999999999995</v>
      </c>
      <c r="H284" s="9">
        <v>56.899999999999999</v>
      </c>
      <c r="I284" s="9">
        <f>H284-G284</f>
        <v>8.5350000000000037</v>
      </c>
    </row>
    <row r="285" ht="14.25">
      <c r="A285" s="5">
        <v>77530</v>
      </c>
      <c r="B285" s="6" t="s">
        <v>338</v>
      </c>
      <c r="C285" s="7" t="s">
        <v>94</v>
      </c>
      <c r="D285" s="7" t="s">
        <v>95</v>
      </c>
      <c r="E285" s="5" t="s">
        <v>26</v>
      </c>
      <c r="F285" s="8"/>
      <c r="G285" s="9">
        <f>H285*(1-15%)*(1-F285)</f>
        <v>57.715000000000003</v>
      </c>
      <c r="H285" s="9">
        <v>67.900000000000006</v>
      </c>
      <c r="I285" s="9">
        <f>H285-G285</f>
        <v>10.185000000000002</v>
      </c>
    </row>
    <row r="286" ht="14.25">
      <c r="A286" s="5">
        <v>44342</v>
      </c>
      <c r="B286" s="6" t="s">
        <v>339</v>
      </c>
      <c r="C286" s="7" t="s">
        <v>201</v>
      </c>
      <c r="D286" s="7" t="s">
        <v>183</v>
      </c>
      <c r="E286" s="5" t="s">
        <v>15</v>
      </c>
      <c r="F286" s="8"/>
      <c r="G286" s="9">
        <f>H286*(1-15%)*(1-F286)</f>
        <v>37.314999999999998</v>
      </c>
      <c r="H286" s="9">
        <v>43.899999999999999</v>
      </c>
      <c r="I286" s="9">
        <f>H286-G286</f>
        <v>6.5850000000000009</v>
      </c>
    </row>
    <row r="287" ht="14.25">
      <c r="A287" s="5">
        <v>18665</v>
      </c>
      <c r="B287" s="6" t="s">
        <v>340</v>
      </c>
      <c r="C287" s="7" t="s">
        <v>51</v>
      </c>
      <c r="D287" s="7" t="s">
        <v>52</v>
      </c>
      <c r="E287" s="5" t="s">
        <v>15</v>
      </c>
      <c r="F287" s="8"/>
      <c r="G287" s="9">
        <f>H287*(1-15%)*(1-F287)</f>
        <v>84.915000000000006</v>
      </c>
      <c r="H287" s="9">
        <v>99.900000000000006</v>
      </c>
      <c r="I287" s="9">
        <f>H287-G287</f>
        <v>14.984999999999999</v>
      </c>
    </row>
    <row r="288" ht="14.25">
      <c r="A288" s="5">
        <v>44800</v>
      </c>
      <c r="B288" s="6" t="s">
        <v>341</v>
      </c>
      <c r="C288" s="7" t="s">
        <v>201</v>
      </c>
      <c r="D288" s="7" t="s">
        <v>183</v>
      </c>
      <c r="E288" s="5" t="s">
        <v>15</v>
      </c>
      <c r="F288" s="8"/>
      <c r="G288" s="9">
        <f>H288*(1-15%)*(1-F288)</f>
        <v>48.364999999999995</v>
      </c>
      <c r="H288" s="9">
        <v>56.899999999999999</v>
      </c>
      <c r="I288" s="9">
        <f>H288-G288</f>
        <v>8.5350000000000037</v>
      </c>
    </row>
    <row r="289" ht="14.25">
      <c r="A289" s="5">
        <v>77533</v>
      </c>
      <c r="B289" s="6" t="s">
        <v>342</v>
      </c>
      <c r="C289" s="7" t="s">
        <v>94</v>
      </c>
      <c r="D289" s="7" t="s">
        <v>95</v>
      </c>
      <c r="E289" s="5" t="s">
        <v>68</v>
      </c>
      <c r="F289" s="8"/>
      <c r="G289" s="9">
        <f>H289*(1-15%)*(1-F289)</f>
        <v>49.214999999999996</v>
      </c>
      <c r="H289" s="9">
        <v>57.899999999999999</v>
      </c>
      <c r="I289" s="9">
        <f>H289-G289</f>
        <v>8.6850000000000023</v>
      </c>
    </row>
    <row r="290" ht="14.25">
      <c r="A290" s="5">
        <v>25930</v>
      </c>
      <c r="B290" s="6" t="s">
        <v>343</v>
      </c>
      <c r="C290" s="7" t="s">
        <v>109</v>
      </c>
      <c r="D290" s="7" t="s">
        <v>110</v>
      </c>
      <c r="E290" s="5" t="s">
        <v>15</v>
      </c>
      <c r="F290" s="8"/>
      <c r="G290" s="9">
        <f>H290*(1-15%)*(1-F290)</f>
        <v>63.665000000000006</v>
      </c>
      <c r="H290" s="9">
        <v>74.900000000000006</v>
      </c>
      <c r="I290" s="9">
        <f>H290-G290</f>
        <v>11.234999999999999</v>
      </c>
    </row>
    <row r="291" ht="14.25">
      <c r="A291" s="5">
        <v>43462</v>
      </c>
      <c r="B291" s="6" t="s">
        <v>344</v>
      </c>
      <c r="C291" s="7" t="s">
        <v>201</v>
      </c>
      <c r="D291" s="7" t="s">
        <v>183</v>
      </c>
      <c r="E291" s="5" t="s">
        <v>15</v>
      </c>
      <c r="F291" s="8"/>
      <c r="G291" s="9">
        <f>H291*(1-15%)*(1-F291)</f>
        <v>42.414999999999999</v>
      </c>
      <c r="H291" s="9">
        <v>49.899999999999999</v>
      </c>
      <c r="I291" s="9">
        <f>H291-G291</f>
        <v>7.4849999999999994</v>
      </c>
    </row>
    <row r="292" ht="14.25">
      <c r="A292" s="5">
        <v>77534</v>
      </c>
      <c r="B292" s="6" t="s">
        <v>345</v>
      </c>
      <c r="C292" s="7" t="s">
        <v>94</v>
      </c>
      <c r="D292" s="7" t="s">
        <v>95</v>
      </c>
      <c r="E292" s="5" t="s">
        <v>68</v>
      </c>
      <c r="F292" s="8"/>
      <c r="G292" s="9">
        <f>H292*(1-15%)*(1-F292)</f>
        <v>50.914999999999999</v>
      </c>
      <c r="H292" s="9">
        <v>59.899999999999999</v>
      </c>
      <c r="I292" s="9">
        <f>H292-G292</f>
        <v>8.9849999999999994</v>
      </c>
    </row>
    <row r="293" ht="14.25">
      <c r="A293" s="5">
        <v>38739</v>
      </c>
      <c r="B293" s="6" t="s">
        <v>346</v>
      </c>
      <c r="C293" s="7" t="s">
        <v>75</v>
      </c>
      <c r="D293" s="7" t="s">
        <v>347</v>
      </c>
      <c r="E293" s="5" t="s">
        <v>15</v>
      </c>
      <c r="F293" s="8"/>
      <c r="G293" s="9">
        <f>H293*(1-15%)*(1-F293)</f>
        <v>35.614999999999995</v>
      </c>
      <c r="H293" s="9">
        <v>41.899999999999999</v>
      </c>
      <c r="I293" s="9">
        <f>H293-G293</f>
        <v>6.2850000000000037</v>
      </c>
    </row>
    <row r="294" ht="14.25">
      <c r="A294" s="5">
        <v>40018</v>
      </c>
      <c r="B294" s="6" t="s">
        <v>348</v>
      </c>
      <c r="C294" s="7" t="s">
        <v>33</v>
      </c>
      <c r="D294" s="7" t="s">
        <v>183</v>
      </c>
      <c r="E294" s="5" t="s">
        <v>15</v>
      </c>
      <c r="F294" s="8"/>
      <c r="G294" s="9">
        <f>H294*(1-15%)*(1-F294)</f>
        <v>73.865000000000009</v>
      </c>
      <c r="H294" s="9">
        <v>86.900000000000006</v>
      </c>
      <c r="I294" s="9">
        <f>H294-G294</f>
        <v>13.034999999999997</v>
      </c>
    </row>
    <row r="295" ht="14.25">
      <c r="A295" s="5">
        <v>77967</v>
      </c>
      <c r="B295" s="6" t="s">
        <v>349</v>
      </c>
      <c r="C295" s="7" t="s">
        <v>17</v>
      </c>
      <c r="D295" s="7" t="s">
        <v>45</v>
      </c>
      <c r="E295" s="5" t="s">
        <v>15</v>
      </c>
      <c r="F295" s="8"/>
      <c r="G295" s="9">
        <f>H295*(1-15%)*(1-F295)</f>
        <v>37.314999999999998</v>
      </c>
      <c r="H295" s="9">
        <v>43.899999999999999</v>
      </c>
      <c r="I295" s="9">
        <f>H295-G295</f>
        <v>6.5850000000000009</v>
      </c>
    </row>
    <row r="296" ht="14.25">
      <c r="A296" s="5">
        <v>24772</v>
      </c>
      <c r="B296" s="6" t="s">
        <v>350</v>
      </c>
      <c r="C296" s="7" t="s">
        <v>271</v>
      </c>
      <c r="D296" s="7" t="s">
        <v>110</v>
      </c>
      <c r="E296" s="5" t="s">
        <v>15</v>
      </c>
      <c r="F296" s="8"/>
      <c r="G296" s="9">
        <f>H296*(1-15%)*(1-F296)</f>
        <v>22.864999999999998</v>
      </c>
      <c r="H296" s="9">
        <v>26.899999999999999</v>
      </c>
      <c r="I296" s="9">
        <f>H296-G296</f>
        <v>4.0350000000000001</v>
      </c>
    </row>
    <row r="297" ht="14.25">
      <c r="A297" s="5">
        <v>76931</v>
      </c>
      <c r="B297" s="6" t="s">
        <v>351</v>
      </c>
      <c r="C297" s="7" t="s">
        <v>38</v>
      </c>
      <c r="D297" s="7" t="s">
        <v>103</v>
      </c>
      <c r="E297" s="5" t="s">
        <v>15</v>
      </c>
      <c r="F297" s="8"/>
      <c r="G297" s="9">
        <f>H297*(1-15%)*(1-F297)</f>
        <v>29.664999999999999</v>
      </c>
      <c r="H297" s="9">
        <v>34.899999999999999</v>
      </c>
      <c r="I297" s="9">
        <f>H297-G297</f>
        <v>5.2349999999999994</v>
      </c>
    </row>
    <row r="298" ht="14.25">
      <c r="A298" s="5">
        <v>38481</v>
      </c>
      <c r="B298" s="6" t="s">
        <v>352</v>
      </c>
      <c r="C298" s="7" t="s">
        <v>109</v>
      </c>
      <c r="D298" s="7" t="s">
        <v>183</v>
      </c>
      <c r="E298" s="5" t="s">
        <v>15</v>
      </c>
      <c r="F298" s="8"/>
      <c r="G298" s="9">
        <f>H298*(1-15%)*(1-F298)</f>
        <v>19.465</v>
      </c>
      <c r="H298" s="9">
        <v>22.899999999999999</v>
      </c>
      <c r="I298" s="9">
        <f>H298-G298</f>
        <v>3.4349999999999987</v>
      </c>
    </row>
    <row r="299" ht="14.25">
      <c r="A299" s="5">
        <v>40669</v>
      </c>
      <c r="B299" s="6" t="s">
        <v>353</v>
      </c>
      <c r="C299" s="7" t="s">
        <v>201</v>
      </c>
      <c r="D299" s="7" t="s">
        <v>183</v>
      </c>
      <c r="E299" s="5" t="s">
        <v>15</v>
      </c>
      <c r="F299" s="8"/>
      <c r="G299" s="9">
        <f>H299*(1-15%)*(1-F299)</f>
        <v>67.915000000000006</v>
      </c>
      <c r="H299" s="9">
        <v>79.900000000000006</v>
      </c>
      <c r="I299" s="9">
        <f>H299-G299</f>
        <v>11.984999999999999</v>
      </c>
    </row>
    <row r="300" ht="14.25">
      <c r="A300" s="5">
        <v>39666</v>
      </c>
      <c r="B300" s="6" t="s">
        <v>354</v>
      </c>
      <c r="C300" s="7" t="s">
        <v>75</v>
      </c>
      <c r="D300" s="7" t="s">
        <v>183</v>
      </c>
      <c r="E300" s="5" t="s">
        <v>15</v>
      </c>
      <c r="F300" s="8"/>
      <c r="G300" s="9">
        <f>H300*(1-15%)*(1-F300)</f>
        <v>57.791499999999992</v>
      </c>
      <c r="H300" s="9">
        <v>67.989999999999995</v>
      </c>
      <c r="I300" s="9">
        <f>H300-G300</f>
        <v>10.198500000000003</v>
      </c>
    </row>
    <row r="301" ht="14.25">
      <c r="A301" s="5">
        <v>40024</v>
      </c>
      <c r="B301" s="6" t="s">
        <v>355</v>
      </c>
      <c r="C301" s="7" t="s">
        <v>109</v>
      </c>
      <c r="D301" s="7" t="s">
        <v>183</v>
      </c>
      <c r="E301" s="5" t="s">
        <v>15</v>
      </c>
      <c r="F301" s="8"/>
      <c r="G301" s="9">
        <f>H301*(1-15%)*(1-F301)</f>
        <v>33.914999999999999</v>
      </c>
      <c r="H301" s="9">
        <v>39.899999999999999</v>
      </c>
      <c r="I301" s="9">
        <f>H301-G301</f>
        <v>5.9849999999999994</v>
      </c>
    </row>
    <row r="302" ht="14.25">
      <c r="A302" s="5">
        <v>81236</v>
      </c>
      <c r="B302" s="6" t="s">
        <v>356</v>
      </c>
      <c r="C302" s="7" t="s">
        <v>70</v>
      </c>
      <c r="D302" s="7" t="s">
        <v>45</v>
      </c>
      <c r="E302" s="5" t="s">
        <v>26</v>
      </c>
      <c r="F302" s="8"/>
      <c r="G302" s="9">
        <f>H302*(1-15%)*(1-F302)</f>
        <v>89.165000000000006</v>
      </c>
      <c r="H302" s="9">
        <v>104.90000000000001</v>
      </c>
      <c r="I302" s="9">
        <f>H302-G302</f>
        <v>15.734999999999999</v>
      </c>
    </row>
    <row r="303" ht="14.25">
      <c r="A303" s="5">
        <v>41078</v>
      </c>
      <c r="B303" s="6" t="s">
        <v>357</v>
      </c>
      <c r="C303" s="7" t="s">
        <v>75</v>
      </c>
      <c r="D303" s="7" t="s">
        <v>183</v>
      </c>
      <c r="E303" s="5" t="s">
        <v>15</v>
      </c>
      <c r="F303" s="8"/>
      <c r="G303" s="9">
        <f>H303*(1-15%)*(1-F303)</f>
        <v>42.414999999999999</v>
      </c>
      <c r="H303" s="9">
        <v>49.899999999999999</v>
      </c>
      <c r="I303" s="9">
        <f>H303-G303</f>
        <v>7.4849999999999994</v>
      </c>
    </row>
    <row r="304" ht="14.25">
      <c r="A304" s="5">
        <v>11828</v>
      </c>
      <c r="B304" s="6" t="s">
        <v>358</v>
      </c>
      <c r="C304" s="7" t="s">
        <v>359</v>
      </c>
      <c r="D304" s="7" t="s">
        <v>52</v>
      </c>
      <c r="E304" s="5" t="s">
        <v>15</v>
      </c>
      <c r="F304" s="8"/>
      <c r="G304" s="9">
        <f>H304*(1-15%)*(1-F304)</f>
        <v>24.564999999999998</v>
      </c>
      <c r="H304" s="9">
        <v>28.899999999999999</v>
      </c>
      <c r="I304" s="9">
        <f>H304-G304</f>
        <v>4.3350000000000009</v>
      </c>
    </row>
    <row r="305" ht="14.25">
      <c r="A305" s="5">
        <v>41449</v>
      </c>
      <c r="B305" s="6" t="s">
        <v>360</v>
      </c>
      <c r="C305" s="7" t="s">
        <v>271</v>
      </c>
      <c r="D305" s="7" t="s">
        <v>183</v>
      </c>
      <c r="E305" s="5" t="s">
        <v>15</v>
      </c>
      <c r="F305" s="8"/>
      <c r="G305" s="9">
        <f>H305*(1-15%)*(1-F305)</f>
        <v>30.514999999999997</v>
      </c>
      <c r="H305" s="9">
        <v>35.899999999999999</v>
      </c>
      <c r="I305" s="9">
        <f>H305-G305</f>
        <v>5.3850000000000016</v>
      </c>
    </row>
    <row r="306" ht="14.25">
      <c r="A306" s="5">
        <v>14312</v>
      </c>
      <c r="B306" s="6" t="s">
        <v>361</v>
      </c>
      <c r="C306" s="7" t="s">
        <v>75</v>
      </c>
      <c r="D306" s="7" t="s">
        <v>95</v>
      </c>
      <c r="E306" s="5" t="s">
        <v>26</v>
      </c>
      <c r="F306" s="8"/>
      <c r="G306" s="9">
        <f>H306*(1-15%)*(1-F306)</f>
        <v>31.364999999999998</v>
      </c>
      <c r="H306" s="9">
        <v>36.899999999999999</v>
      </c>
      <c r="I306" s="9">
        <f>H306-G306</f>
        <v>5.5350000000000001</v>
      </c>
    </row>
    <row r="307" ht="14.25">
      <c r="A307" s="5">
        <v>80971</v>
      </c>
      <c r="B307" s="6" t="s">
        <v>362</v>
      </c>
      <c r="C307" s="7" t="s">
        <v>21</v>
      </c>
      <c r="D307" s="7" t="s">
        <v>11</v>
      </c>
      <c r="E307" s="5" t="s">
        <v>26</v>
      </c>
      <c r="F307" s="8"/>
      <c r="G307" s="9">
        <f>H307*(1-15%)*(1-F307)</f>
        <v>178.41499999999999</v>
      </c>
      <c r="H307" s="9">
        <v>209.90000000000001</v>
      </c>
      <c r="I307" s="9">
        <f>H307-G307</f>
        <v>31.485000000000014</v>
      </c>
    </row>
    <row r="308" ht="14.25">
      <c r="A308" s="5">
        <v>41452</v>
      </c>
      <c r="B308" s="6" t="s">
        <v>363</v>
      </c>
      <c r="C308" s="7" t="s">
        <v>109</v>
      </c>
      <c r="D308" s="7" t="s">
        <v>183</v>
      </c>
      <c r="E308" s="5" t="s">
        <v>15</v>
      </c>
      <c r="F308" s="8"/>
      <c r="G308" s="9">
        <f>H308*(1-15%)*(1-F308)</f>
        <v>31.441500000000001</v>
      </c>
      <c r="H308" s="9">
        <v>36.990000000000002</v>
      </c>
      <c r="I308" s="9">
        <f>H308-G308</f>
        <v>5.5485000000000007</v>
      </c>
    </row>
    <row r="309" ht="14.25">
      <c r="A309" s="5">
        <v>80972</v>
      </c>
      <c r="B309" s="6" t="s">
        <v>364</v>
      </c>
      <c r="C309" s="7" t="s">
        <v>21</v>
      </c>
      <c r="D309" s="7" t="s">
        <v>11</v>
      </c>
      <c r="E309" s="5" t="s">
        <v>15</v>
      </c>
      <c r="F309" s="8"/>
      <c r="G309" s="9">
        <f>H309*(1-15%)*(1-F309)</f>
        <v>178.41499999999999</v>
      </c>
      <c r="H309" s="9">
        <v>209.90000000000001</v>
      </c>
      <c r="I309" s="9">
        <f>H309-G309</f>
        <v>31.485000000000014</v>
      </c>
    </row>
    <row r="310" ht="14.25">
      <c r="A310" s="5">
        <v>40029</v>
      </c>
      <c r="B310" s="6" t="s">
        <v>365</v>
      </c>
      <c r="C310" s="7" t="s">
        <v>271</v>
      </c>
      <c r="D310" s="7" t="s">
        <v>183</v>
      </c>
      <c r="E310" s="5" t="s">
        <v>15</v>
      </c>
      <c r="F310" s="8"/>
      <c r="G310" s="9">
        <f>H310*(1-15%)*(1-F310)</f>
        <v>48.364999999999995</v>
      </c>
      <c r="H310" s="9">
        <v>56.899999999999999</v>
      </c>
      <c r="I310" s="9">
        <f>H310-G310</f>
        <v>8.5350000000000037</v>
      </c>
    </row>
    <row r="311" ht="14.25">
      <c r="A311" s="5">
        <v>40133</v>
      </c>
      <c r="B311" s="6" t="s">
        <v>366</v>
      </c>
      <c r="C311" s="7" t="s">
        <v>201</v>
      </c>
      <c r="D311" s="7" t="s">
        <v>183</v>
      </c>
      <c r="E311" s="5" t="s">
        <v>15</v>
      </c>
      <c r="F311" s="8"/>
      <c r="G311" s="9">
        <f>H311*(1-15%)*(1-F311)</f>
        <v>33.991500000000002</v>
      </c>
      <c r="H311" s="9">
        <v>39.990000000000002</v>
      </c>
      <c r="I311" s="9">
        <f>H311-G311</f>
        <v>5.9984999999999999</v>
      </c>
    </row>
    <row r="312" ht="14.25">
      <c r="A312" s="5">
        <v>40410</v>
      </c>
      <c r="B312" s="6" t="s">
        <v>367</v>
      </c>
      <c r="C312" s="7" t="s">
        <v>82</v>
      </c>
      <c r="D312" s="7" t="s">
        <v>183</v>
      </c>
      <c r="E312" s="5" t="s">
        <v>15</v>
      </c>
      <c r="F312" s="8"/>
      <c r="G312" s="9">
        <f>H312*(1-15%)*(1-F312)</f>
        <v>42.414999999999999</v>
      </c>
      <c r="H312" s="9">
        <v>49.899999999999999</v>
      </c>
      <c r="I312" s="9">
        <f>H312-G312</f>
        <v>7.4849999999999994</v>
      </c>
    </row>
    <row r="313" ht="14.25">
      <c r="A313" s="5">
        <v>39903</v>
      </c>
      <c r="B313" s="6" t="s">
        <v>368</v>
      </c>
      <c r="C313" s="7" t="s">
        <v>75</v>
      </c>
      <c r="D313" s="7" t="s">
        <v>183</v>
      </c>
      <c r="E313" s="5" t="s">
        <v>15</v>
      </c>
      <c r="F313" s="8"/>
      <c r="G313" s="9">
        <f>H313*(1-15%)*(1-F313)</f>
        <v>27.191499999999998</v>
      </c>
      <c r="H313" s="9">
        <v>31.989999999999998</v>
      </c>
      <c r="I313" s="9">
        <f>H313-G313</f>
        <v>4.7985000000000007</v>
      </c>
    </row>
    <row r="314" ht="14.25">
      <c r="A314" s="5">
        <v>40672</v>
      </c>
      <c r="B314" s="6" t="s">
        <v>369</v>
      </c>
      <c r="C314" s="7" t="s">
        <v>201</v>
      </c>
      <c r="D314" s="7" t="s">
        <v>183</v>
      </c>
      <c r="E314" s="5" t="s">
        <v>15</v>
      </c>
      <c r="F314" s="8"/>
      <c r="G314" s="9">
        <f>H314*(1-15%)*(1-F314)</f>
        <v>25.491499999999998</v>
      </c>
      <c r="H314" s="9">
        <v>29.989999999999998</v>
      </c>
      <c r="I314" s="9">
        <f>H314-G314</f>
        <v>4.4984999999999999</v>
      </c>
    </row>
    <row r="315" ht="14.25">
      <c r="A315" s="5">
        <v>33861</v>
      </c>
      <c r="B315" s="6" t="s">
        <v>370</v>
      </c>
      <c r="C315" s="7" t="s">
        <v>201</v>
      </c>
      <c r="D315" s="7" t="s">
        <v>183</v>
      </c>
      <c r="E315" s="5" t="s">
        <v>15</v>
      </c>
      <c r="F315" s="8"/>
      <c r="G315" s="9">
        <f>H315*(1-15%)*(1-F315)</f>
        <v>22.941499999999998</v>
      </c>
      <c r="H315" s="9">
        <v>26.989999999999998</v>
      </c>
      <c r="I315" s="9">
        <f>H315-G315</f>
        <v>4.0485000000000007</v>
      </c>
    </row>
    <row r="316" ht="14.25">
      <c r="A316" s="5">
        <v>38671</v>
      </c>
      <c r="B316" s="6" t="s">
        <v>371</v>
      </c>
      <c r="C316" s="7" t="s">
        <v>201</v>
      </c>
      <c r="D316" s="7" t="s">
        <v>183</v>
      </c>
      <c r="E316" s="5" t="s">
        <v>15</v>
      </c>
      <c r="F316" s="8"/>
      <c r="G316" s="9">
        <f>H316*(1-15%)*(1-F316)</f>
        <v>40.799999999999997</v>
      </c>
      <c r="H316" s="9">
        <v>48</v>
      </c>
      <c r="I316" s="9">
        <f>H316-G316</f>
        <v>7.2000000000000028</v>
      </c>
    </row>
    <row r="317" ht="14.25">
      <c r="A317" s="5">
        <v>81226</v>
      </c>
      <c r="B317" s="6" t="s">
        <v>372</v>
      </c>
      <c r="C317" s="7" t="s">
        <v>17</v>
      </c>
      <c r="D317" s="7" t="s">
        <v>45</v>
      </c>
      <c r="E317" s="5" t="s">
        <v>15</v>
      </c>
      <c r="F317" s="8"/>
      <c r="G317" s="9">
        <f>H317*(1-15%)*(1-F317)</f>
        <v>40.714999999999996</v>
      </c>
      <c r="H317" s="9">
        <v>47.899999999999999</v>
      </c>
      <c r="I317" s="9">
        <f>H317-G317</f>
        <v>7.1850000000000023</v>
      </c>
    </row>
    <row r="318" ht="14.25">
      <c r="A318" s="5">
        <v>40045</v>
      </c>
      <c r="B318" s="6" t="s">
        <v>373</v>
      </c>
      <c r="C318" s="7" t="s">
        <v>313</v>
      </c>
      <c r="D318" s="7" t="s">
        <v>183</v>
      </c>
      <c r="E318" s="5" t="s">
        <v>15</v>
      </c>
      <c r="F318" s="8"/>
      <c r="G318" s="9">
        <f>H318*(1-15%)*(1-F318)</f>
        <v>15.291499999999997</v>
      </c>
      <c r="H318" s="9">
        <v>17.989999999999998</v>
      </c>
      <c r="I318" s="9">
        <f>H318-G318</f>
        <v>2.698500000000001</v>
      </c>
    </row>
    <row r="319" ht="14.25">
      <c r="A319" s="5">
        <v>40049</v>
      </c>
      <c r="B319" s="6" t="s">
        <v>374</v>
      </c>
      <c r="C319" s="7" t="s">
        <v>201</v>
      </c>
      <c r="D319" s="7" t="s">
        <v>183</v>
      </c>
      <c r="E319" s="5" t="s">
        <v>15</v>
      </c>
      <c r="F319" s="8"/>
      <c r="G319" s="9">
        <f>H319*(1-15%)*(1-F319)</f>
        <v>38.241500000000002</v>
      </c>
      <c r="H319" s="9">
        <v>44.990000000000002</v>
      </c>
      <c r="I319" s="9">
        <f>H319-G319</f>
        <v>6.7484999999999999</v>
      </c>
    </row>
    <row r="320" ht="14.25">
      <c r="A320" s="5">
        <v>45511</v>
      </c>
      <c r="B320" s="6" t="s">
        <v>375</v>
      </c>
      <c r="C320" s="7" t="s">
        <v>251</v>
      </c>
      <c r="D320" s="7" t="s">
        <v>183</v>
      </c>
      <c r="E320" s="5" t="s">
        <v>15</v>
      </c>
      <c r="F320" s="8"/>
      <c r="G320" s="9">
        <f>H320*(1-15%)*(1-F320)</f>
        <v>36.464999999999996</v>
      </c>
      <c r="H320" s="9">
        <v>42.899999999999999</v>
      </c>
      <c r="I320" s="9">
        <f>H320-G320</f>
        <v>6.4350000000000023</v>
      </c>
    </row>
    <row r="321" ht="14.25">
      <c r="A321" s="5">
        <v>14307</v>
      </c>
      <c r="B321" s="6" t="s">
        <v>376</v>
      </c>
      <c r="C321" s="7" t="s">
        <v>75</v>
      </c>
      <c r="D321" s="7" t="s">
        <v>95</v>
      </c>
      <c r="E321" s="5" t="s">
        <v>26</v>
      </c>
      <c r="F321" s="8"/>
      <c r="G321" s="9">
        <f>H321*(1-15%)*(1-F321)</f>
        <v>31.364999999999998</v>
      </c>
      <c r="H321" s="9">
        <v>36.899999999999999</v>
      </c>
      <c r="I321" s="9">
        <f>H321-G321</f>
        <v>5.5350000000000001</v>
      </c>
    </row>
    <row r="322" ht="14.25">
      <c r="A322" s="5">
        <v>39894</v>
      </c>
      <c r="B322" s="6" t="s">
        <v>377</v>
      </c>
      <c r="C322" s="7" t="s">
        <v>109</v>
      </c>
      <c r="D322" s="7" t="s">
        <v>183</v>
      </c>
      <c r="E322" s="5" t="s">
        <v>15</v>
      </c>
      <c r="F322" s="8"/>
      <c r="G322" s="9">
        <f>H322*(1-15%)*(1-F322)</f>
        <v>13.5915</v>
      </c>
      <c r="H322" s="9">
        <v>15.99</v>
      </c>
      <c r="I322" s="9">
        <f>H322-G322</f>
        <v>2.3985000000000003</v>
      </c>
    </row>
    <row r="323" ht="14.25">
      <c r="A323" s="5">
        <v>13066</v>
      </c>
      <c r="B323" s="6" t="s">
        <v>378</v>
      </c>
      <c r="C323" s="7" t="s">
        <v>65</v>
      </c>
      <c r="D323" s="7" t="s">
        <v>95</v>
      </c>
      <c r="E323" s="5" t="s">
        <v>26</v>
      </c>
      <c r="F323" s="8"/>
      <c r="G323" s="9">
        <f>H323*(1-15%)*(1-F323)</f>
        <v>17.8415</v>
      </c>
      <c r="H323" s="9">
        <v>20.989999999999998</v>
      </c>
      <c r="I323" s="9">
        <f>H323-G323</f>
        <v>3.1484999999999985</v>
      </c>
    </row>
    <row r="324" ht="14.25">
      <c r="A324" s="5">
        <v>81231</v>
      </c>
      <c r="B324" s="6" t="s">
        <v>379</v>
      </c>
      <c r="C324" s="7" t="s">
        <v>21</v>
      </c>
      <c r="D324" s="7" t="s">
        <v>45</v>
      </c>
      <c r="E324" s="5" t="s">
        <v>15</v>
      </c>
      <c r="F324" s="8"/>
      <c r="G324" s="9">
        <f>H324*(1-15%)*(1-F324)</f>
        <v>48.364999999999995</v>
      </c>
      <c r="H324" s="9">
        <v>56.899999999999999</v>
      </c>
      <c r="I324" s="9">
        <f>H324-G324</f>
        <v>8.5350000000000037</v>
      </c>
    </row>
    <row r="325" ht="14.25">
      <c r="A325" s="5">
        <v>10976</v>
      </c>
      <c r="B325" s="6" t="s">
        <v>380</v>
      </c>
      <c r="C325" s="7" t="s">
        <v>14</v>
      </c>
      <c r="D325" s="7" t="s">
        <v>11</v>
      </c>
      <c r="E325" s="5" t="s">
        <v>15</v>
      </c>
      <c r="F325" s="8"/>
      <c r="G325" s="9">
        <f>H325*(1-15%)*(1-F325)</f>
        <v>110.41500000000001</v>
      </c>
      <c r="H325" s="9">
        <v>129.90000000000001</v>
      </c>
      <c r="I325" s="9">
        <f>H325-G325</f>
        <v>19.484999999999999</v>
      </c>
    </row>
    <row r="326" ht="14.25">
      <c r="A326" s="5">
        <v>39282</v>
      </c>
      <c r="B326" s="6" t="s">
        <v>381</v>
      </c>
      <c r="C326" s="7" t="s">
        <v>201</v>
      </c>
      <c r="D326" s="7" t="s">
        <v>183</v>
      </c>
      <c r="E326" s="5" t="s">
        <v>15</v>
      </c>
      <c r="F326" s="8"/>
      <c r="G326" s="9">
        <f>H326*(1-15%)*(1-F326)</f>
        <v>55.241499999999995</v>
      </c>
      <c r="H326" s="9">
        <v>64.989999999999995</v>
      </c>
      <c r="I326" s="9">
        <f>H326-G326</f>
        <v>9.7484999999999999</v>
      </c>
    </row>
    <row r="327" ht="14.25">
      <c r="A327" s="5">
        <v>39163</v>
      </c>
      <c r="B327" s="6" t="s">
        <v>382</v>
      </c>
      <c r="C327" s="7" t="s">
        <v>109</v>
      </c>
      <c r="D327" s="7" t="s">
        <v>183</v>
      </c>
      <c r="E327" s="5" t="s">
        <v>15</v>
      </c>
      <c r="F327" s="8"/>
      <c r="G327" s="9">
        <f>H327*(1-15%)*(1-F327)</f>
        <v>41.641500000000001</v>
      </c>
      <c r="H327" s="9">
        <v>48.990000000000002</v>
      </c>
      <c r="I327" s="9">
        <f>H327-G327</f>
        <v>7.3485000000000014</v>
      </c>
    </row>
    <row r="328" ht="14.25">
      <c r="A328" s="5">
        <v>81084</v>
      </c>
      <c r="B328" s="6" t="s">
        <v>383</v>
      </c>
      <c r="C328" s="7" t="s">
        <v>21</v>
      </c>
      <c r="D328" s="7" t="s">
        <v>45</v>
      </c>
      <c r="E328" s="5" t="s">
        <v>15</v>
      </c>
      <c r="F328" s="8"/>
      <c r="G328" s="9">
        <f>H328*(1-15%)*(1-F328)</f>
        <v>46.664999999999999</v>
      </c>
      <c r="H328" s="9">
        <v>54.899999999999999</v>
      </c>
      <c r="I328" s="9">
        <f>H328-G328</f>
        <v>8.2349999999999994</v>
      </c>
    </row>
    <row r="329" ht="14.25">
      <c r="A329" s="5">
        <v>81088</v>
      </c>
      <c r="B329" s="6" t="s">
        <v>384</v>
      </c>
      <c r="C329" s="7" t="s">
        <v>17</v>
      </c>
      <c r="D329" s="7" t="s">
        <v>45</v>
      </c>
      <c r="E329" s="5" t="s">
        <v>15</v>
      </c>
      <c r="F329" s="8"/>
      <c r="G329" s="9">
        <f>H329*(1-15%)*(1-F329)</f>
        <v>50.914999999999999</v>
      </c>
      <c r="H329" s="9">
        <v>59.899999999999999</v>
      </c>
      <c r="I329" s="9">
        <f>H329-G329</f>
        <v>8.9849999999999994</v>
      </c>
    </row>
    <row r="330" ht="14.25">
      <c r="A330" s="5">
        <v>13189</v>
      </c>
      <c r="B330" s="6" t="s">
        <v>385</v>
      </c>
      <c r="C330" s="7" t="s">
        <v>51</v>
      </c>
      <c r="D330" s="7" t="s">
        <v>52</v>
      </c>
      <c r="E330" s="5" t="s">
        <v>15</v>
      </c>
      <c r="F330" s="8"/>
      <c r="G330" s="9">
        <f>H330*(1-15%)*(1-F330)</f>
        <v>22.014999999999997</v>
      </c>
      <c r="H330" s="9">
        <v>25.899999999999999</v>
      </c>
      <c r="I330" s="9">
        <f>H330-G330</f>
        <v>3.8850000000000016</v>
      </c>
    </row>
    <row r="331" ht="14.25">
      <c r="A331" s="5">
        <v>81091</v>
      </c>
      <c r="B331" s="6" t="s">
        <v>386</v>
      </c>
      <c r="C331" s="7" t="s">
        <v>387</v>
      </c>
      <c r="D331" s="7" t="s">
        <v>45</v>
      </c>
      <c r="E331" s="5" t="s">
        <v>15</v>
      </c>
      <c r="F331" s="8"/>
      <c r="G331" s="9">
        <f>H331*(1-15%)*(1-F331)</f>
        <v>32.214999999999996</v>
      </c>
      <c r="H331" s="9">
        <v>37.899999999999999</v>
      </c>
      <c r="I331" s="9">
        <f>H331-G331</f>
        <v>5.6850000000000023</v>
      </c>
    </row>
    <row r="332" ht="14.25">
      <c r="A332" s="5">
        <v>16796</v>
      </c>
      <c r="B332" s="6" t="s">
        <v>388</v>
      </c>
      <c r="C332" s="7" t="s">
        <v>54</v>
      </c>
      <c r="D332" s="7" t="s">
        <v>61</v>
      </c>
      <c r="E332" s="5" t="s">
        <v>15</v>
      </c>
      <c r="F332" s="8"/>
      <c r="G332" s="9">
        <f>H332*(1-15%)*(1-F332)</f>
        <v>39.015000000000001</v>
      </c>
      <c r="H332" s="9">
        <v>45.899999999999999</v>
      </c>
      <c r="I332" s="9">
        <f>H332-G332</f>
        <v>6.884999999999998</v>
      </c>
    </row>
    <row r="333" ht="14.25">
      <c r="A333" s="5">
        <v>81081</v>
      </c>
      <c r="B333" s="6" t="s">
        <v>389</v>
      </c>
      <c r="C333" s="7" t="s">
        <v>70</v>
      </c>
      <c r="D333" s="7" t="s">
        <v>45</v>
      </c>
      <c r="E333" s="5" t="s">
        <v>26</v>
      </c>
      <c r="F333" s="8"/>
      <c r="G333" s="9">
        <f>H333*(1-15%)*(1-F333)</f>
        <v>59.415000000000006</v>
      </c>
      <c r="H333" s="9">
        <v>69.900000000000006</v>
      </c>
      <c r="I333" s="9">
        <f>H333-G333</f>
        <v>10.484999999999999</v>
      </c>
    </row>
    <row r="334" ht="14.25">
      <c r="A334" s="5">
        <v>13187</v>
      </c>
      <c r="B334" s="6" t="s">
        <v>390</v>
      </c>
      <c r="C334" s="7" t="s">
        <v>51</v>
      </c>
      <c r="D334" s="7" t="s">
        <v>52</v>
      </c>
      <c r="E334" s="5" t="s">
        <v>15</v>
      </c>
      <c r="F334" s="8"/>
      <c r="G334" s="9">
        <f>H334*(1-15%)*(1-F334)</f>
        <v>22.014999999999997</v>
      </c>
      <c r="H334" s="9">
        <v>25.899999999999999</v>
      </c>
      <c r="I334" s="9">
        <f>H334-G334</f>
        <v>3.8850000000000016</v>
      </c>
    </row>
    <row r="335" ht="14.25">
      <c r="A335" s="5">
        <v>26920</v>
      </c>
      <c r="B335" s="6" t="s">
        <v>391</v>
      </c>
      <c r="C335" s="7" t="s">
        <v>82</v>
      </c>
      <c r="D335" s="7" t="s">
        <v>45</v>
      </c>
      <c r="E335" s="5" t="s">
        <v>15</v>
      </c>
      <c r="F335" s="8"/>
      <c r="G335" s="9">
        <f>H335*(1-15%)*(1-F335)</f>
        <v>25.414999999999999</v>
      </c>
      <c r="H335" s="9">
        <v>29.899999999999999</v>
      </c>
      <c r="I335" s="9">
        <f>H335-G335</f>
        <v>4.4849999999999994</v>
      </c>
    </row>
    <row r="336" ht="14.25">
      <c r="A336" s="5">
        <v>13328</v>
      </c>
      <c r="B336" s="6" t="s">
        <v>392</v>
      </c>
      <c r="C336" s="7" t="s">
        <v>393</v>
      </c>
      <c r="D336" s="7" t="s">
        <v>45</v>
      </c>
      <c r="E336" s="5" t="s">
        <v>15</v>
      </c>
      <c r="F336" s="8"/>
      <c r="G336" s="9">
        <f>H336*(1-15%)*(1-F336)</f>
        <v>42.491500000000002</v>
      </c>
      <c r="H336" s="9">
        <v>49.990000000000002</v>
      </c>
      <c r="I336" s="9">
        <f>H336-G336</f>
        <v>7.4984999999999999</v>
      </c>
    </row>
    <row r="337" ht="14.25">
      <c r="A337" s="5">
        <v>20070</v>
      </c>
      <c r="B337" s="6" t="s">
        <v>394</v>
      </c>
      <c r="C337" s="7" t="s">
        <v>82</v>
      </c>
      <c r="D337" s="7" t="s">
        <v>71</v>
      </c>
      <c r="E337" s="5" t="s">
        <v>15</v>
      </c>
      <c r="F337" s="8"/>
      <c r="G337" s="9">
        <f>H337*(1-15%)*(1-F337)</f>
        <v>33.914999999999999</v>
      </c>
      <c r="H337" s="9">
        <v>39.899999999999999</v>
      </c>
      <c r="I337" s="9">
        <f>H337-G337</f>
        <v>5.9849999999999994</v>
      </c>
    </row>
    <row r="338" ht="14.25">
      <c r="A338" s="5">
        <v>16857</v>
      </c>
      <c r="B338" s="6" t="s">
        <v>395</v>
      </c>
      <c r="C338" s="7" t="s">
        <v>82</v>
      </c>
      <c r="D338" s="7" t="s">
        <v>103</v>
      </c>
      <c r="E338" s="5" t="s">
        <v>15</v>
      </c>
      <c r="F338" s="8"/>
      <c r="G338" s="9">
        <f>H338*(1-15%)*(1-F338)</f>
        <v>10.965</v>
      </c>
      <c r="H338" s="9">
        <v>12.9</v>
      </c>
      <c r="I338" s="9">
        <f>H338-G338</f>
        <v>1.9350000000000005</v>
      </c>
    </row>
    <row r="339" ht="14.25">
      <c r="A339" s="5">
        <v>45590</v>
      </c>
      <c r="B339" s="6" t="s">
        <v>396</v>
      </c>
      <c r="C339" s="7" t="s">
        <v>397</v>
      </c>
      <c r="D339" s="7" t="s">
        <v>183</v>
      </c>
      <c r="E339" s="5" t="s">
        <v>15</v>
      </c>
      <c r="F339" s="8"/>
      <c r="G339" s="9">
        <f>H339*(1-15%)*(1-F339)</f>
        <v>46.664999999999999</v>
      </c>
      <c r="H339" s="9">
        <v>54.899999999999999</v>
      </c>
      <c r="I339" s="9">
        <f>H339-G339</f>
        <v>8.2349999999999994</v>
      </c>
    </row>
    <row r="340" ht="14.25">
      <c r="A340" s="5">
        <v>76700</v>
      </c>
      <c r="B340" s="6" t="s">
        <v>398</v>
      </c>
      <c r="C340" s="7" t="s">
        <v>399</v>
      </c>
      <c r="D340" s="7" t="s">
        <v>11</v>
      </c>
      <c r="E340" s="5" t="s">
        <v>12</v>
      </c>
      <c r="F340" s="8"/>
      <c r="G340" s="9">
        <f>H340*(1-15%)*(1-F340)</f>
        <v>148.66499999999999</v>
      </c>
      <c r="H340" s="9">
        <v>174.90000000000001</v>
      </c>
      <c r="I340" s="9">
        <f>H340-G340</f>
        <v>26.235000000000014</v>
      </c>
    </row>
    <row r="341" ht="14.25">
      <c r="A341" s="5">
        <v>77183</v>
      </c>
      <c r="B341" s="6" t="s">
        <v>400</v>
      </c>
      <c r="C341" s="7" t="s">
        <v>399</v>
      </c>
      <c r="D341" s="7" t="s">
        <v>45</v>
      </c>
      <c r="E341" s="5" t="s">
        <v>68</v>
      </c>
      <c r="F341" s="8"/>
      <c r="G341" s="9">
        <f>H341*(1-15%)*(1-F341)</f>
        <v>63.665000000000006</v>
      </c>
      <c r="H341" s="9">
        <v>74.900000000000006</v>
      </c>
      <c r="I341" s="9">
        <f>H341-G341</f>
        <v>11.234999999999999</v>
      </c>
    </row>
    <row r="342" ht="14.25">
      <c r="A342" s="5">
        <v>80852</v>
      </c>
      <c r="B342" s="6" t="s">
        <v>401</v>
      </c>
      <c r="C342" s="7" t="s">
        <v>82</v>
      </c>
      <c r="D342" s="7" t="s">
        <v>45</v>
      </c>
      <c r="E342" s="5" t="s">
        <v>15</v>
      </c>
      <c r="F342" s="8"/>
      <c r="G342" s="9">
        <f>H342*(1-15%)*(1-F342)</f>
        <v>38.164999999999999</v>
      </c>
      <c r="H342" s="9">
        <v>44.899999999999999</v>
      </c>
      <c r="I342" s="9">
        <f>H342-G342</f>
        <v>6.7349999999999994</v>
      </c>
    </row>
    <row r="343" ht="14.25">
      <c r="A343" s="5">
        <v>80854</v>
      </c>
      <c r="B343" s="6" t="s">
        <v>402</v>
      </c>
      <c r="C343" s="7" t="s">
        <v>82</v>
      </c>
      <c r="D343" s="7" t="s">
        <v>103</v>
      </c>
      <c r="E343" s="5" t="s">
        <v>15</v>
      </c>
      <c r="F343" s="8"/>
      <c r="G343" s="9">
        <f>H343*(1-15%)*(1-F343)</f>
        <v>38.164999999999999</v>
      </c>
      <c r="H343" s="9">
        <v>44.899999999999999</v>
      </c>
      <c r="I343" s="9">
        <f>H343-G343</f>
        <v>6.7349999999999994</v>
      </c>
    </row>
    <row r="344" ht="14.25">
      <c r="A344" s="5">
        <v>81080</v>
      </c>
      <c r="B344" s="6" t="s">
        <v>403</v>
      </c>
      <c r="C344" s="7" t="s">
        <v>399</v>
      </c>
      <c r="D344" s="7" t="s">
        <v>103</v>
      </c>
      <c r="E344" s="5" t="s">
        <v>15</v>
      </c>
      <c r="F344" s="8"/>
      <c r="G344" s="9">
        <f>H344*(1-15%)*(1-F344)</f>
        <v>38.164999999999999</v>
      </c>
      <c r="H344" s="9">
        <v>44.899999999999999</v>
      </c>
      <c r="I344" s="9">
        <f>H344-G344</f>
        <v>6.7349999999999994</v>
      </c>
    </row>
    <row r="345" ht="14.25">
      <c r="A345" s="5">
        <v>82528</v>
      </c>
      <c r="B345" s="6" t="s">
        <v>404</v>
      </c>
      <c r="C345" s="7" t="s">
        <v>109</v>
      </c>
      <c r="D345" s="7" t="s">
        <v>110</v>
      </c>
      <c r="E345" s="5" t="s">
        <v>43</v>
      </c>
      <c r="F345" s="8"/>
      <c r="G345" s="9">
        <f>H345*(1-15%)*(1-F345)</f>
        <v>59.415000000000006</v>
      </c>
      <c r="H345" s="9">
        <v>69.900000000000006</v>
      </c>
      <c r="I345" s="9">
        <f>H345-G345</f>
        <v>10.484999999999999</v>
      </c>
    </row>
    <row r="346" ht="14.25">
      <c r="A346" s="5">
        <v>82529</v>
      </c>
      <c r="B346" s="6" t="s">
        <v>405</v>
      </c>
      <c r="C346" s="7" t="s">
        <v>109</v>
      </c>
      <c r="D346" s="7" t="s">
        <v>110</v>
      </c>
      <c r="E346" s="5" t="s">
        <v>43</v>
      </c>
      <c r="F346" s="8"/>
      <c r="G346" s="9">
        <f>H346*(1-15%)*(1-F346)</f>
        <v>59.415000000000006</v>
      </c>
      <c r="H346" s="9">
        <v>69.900000000000006</v>
      </c>
      <c r="I346" s="9">
        <f>H346-G346</f>
        <v>10.484999999999999</v>
      </c>
    </row>
    <row r="347" ht="14.25">
      <c r="A347" s="5">
        <v>82530</v>
      </c>
      <c r="B347" s="6" t="s">
        <v>406</v>
      </c>
      <c r="C347" s="7" t="s">
        <v>109</v>
      </c>
      <c r="D347" s="7" t="s">
        <v>110</v>
      </c>
      <c r="E347" s="5" t="s">
        <v>43</v>
      </c>
      <c r="F347" s="8"/>
      <c r="G347" s="9">
        <f>H347*(1-15%)*(1-F347)</f>
        <v>59.415000000000006</v>
      </c>
      <c r="H347" s="9">
        <v>69.900000000000006</v>
      </c>
      <c r="I347" s="9">
        <f>H347-G347</f>
        <v>10.484999999999999</v>
      </c>
    </row>
    <row r="348" ht="14.25">
      <c r="A348" s="5">
        <v>82531</v>
      </c>
      <c r="B348" s="6" t="s">
        <v>407</v>
      </c>
      <c r="C348" s="7" t="s">
        <v>109</v>
      </c>
      <c r="D348" s="7" t="s">
        <v>110</v>
      </c>
      <c r="E348" s="5" t="s">
        <v>43</v>
      </c>
      <c r="F348" s="8"/>
      <c r="G348" s="9">
        <f>H348*(1-15%)*(1-F348)</f>
        <v>59.415000000000006</v>
      </c>
      <c r="H348" s="9">
        <v>69.900000000000006</v>
      </c>
      <c r="I348" s="9">
        <f>H348-G348</f>
        <v>10.484999999999999</v>
      </c>
    </row>
    <row r="349" ht="14.25">
      <c r="A349" s="5">
        <v>82532</v>
      </c>
      <c r="B349" s="6" t="s">
        <v>408</v>
      </c>
      <c r="C349" s="7" t="s">
        <v>109</v>
      </c>
      <c r="D349" s="7" t="s">
        <v>110</v>
      </c>
      <c r="E349" s="5" t="s">
        <v>43</v>
      </c>
      <c r="F349" s="8"/>
      <c r="G349" s="9">
        <f>H349*(1-15%)*(1-F349)</f>
        <v>59.415000000000006</v>
      </c>
      <c r="H349" s="9">
        <v>69.900000000000006</v>
      </c>
      <c r="I349" s="9">
        <f>H349-G349</f>
        <v>10.484999999999999</v>
      </c>
    </row>
    <row r="350" ht="14.25">
      <c r="A350" s="5">
        <v>82533</v>
      </c>
      <c r="B350" s="6" t="s">
        <v>409</v>
      </c>
      <c r="C350" s="7" t="s">
        <v>109</v>
      </c>
      <c r="D350" s="7" t="s">
        <v>110</v>
      </c>
      <c r="E350" s="5" t="s">
        <v>43</v>
      </c>
      <c r="F350" s="8"/>
      <c r="G350" s="9">
        <f>H350*(1-15%)*(1-F350)</f>
        <v>59.415000000000006</v>
      </c>
      <c r="H350" s="9">
        <v>69.900000000000006</v>
      </c>
      <c r="I350" s="9">
        <f>H350-G350</f>
        <v>10.484999999999999</v>
      </c>
    </row>
    <row r="351" ht="14.25">
      <c r="A351" s="5">
        <v>82534</v>
      </c>
      <c r="B351" s="6" t="s">
        <v>410</v>
      </c>
      <c r="C351" s="7" t="s">
        <v>109</v>
      </c>
      <c r="D351" s="7" t="s">
        <v>110</v>
      </c>
      <c r="E351" s="5" t="s">
        <v>43</v>
      </c>
      <c r="F351" s="8"/>
      <c r="G351" s="9">
        <f>H351*(1-15%)*(1-F351)</f>
        <v>59.415000000000006</v>
      </c>
      <c r="H351" s="9">
        <v>69.900000000000006</v>
      </c>
      <c r="I351" s="9">
        <f>H351-G351</f>
        <v>10.484999999999999</v>
      </c>
    </row>
    <row r="352" ht="14.25">
      <c r="A352" s="5">
        <v>82535</v>
      </c>
      <c r="B352" s="6" t="s">
        <v>411</v>
      </c>
      <c r="C352" s="7" t="s">
        <v>109</v>
      </c>
      <c r="D352" s="7" t="s">
        <v>110</v>
      </c>
      <c r="E352" s="5" t="s">
        <v>43</v>
      </c>
      <c r="F352" s="8"/>
      <c r="G352" s="9">
        <f>H352*(1-15%)*(1-F352)</f>
        <v>59.415000000000006</v>
      </c>
      <c r="H352" s="9">
        <v>69.900000000000006</v>
      </c>
      <c r="I352" s="9">
        <f>H352-G352</f>
        <v>10.484999999999999</v>
      </c>
    </row>
    <row r="353" ht="14.25">
      <c r="A353" s="5">
        <v>82536</v>
      </c>
      <c r="B353" s="6" t="s">
        <v>412</v>
      </c>
      <c r="C353" s="7" t="s">
        <v>109</v>
      </c>
      <c r="D353" s="7" t="s">
        <v>110</v>
      </c>
      <c r="E353" s="5" t="s">
        <v>43</v>
      </c>
      <c r="F353" s="8"/>
      <c r="G353" s="9">
        <f>H353*(1-15%)*(1-F353)</f>
        <v>59.415000000000006</v>
      </c>
      <c r="H353" s="9">
        <v>69.900000000000006</v>
      </c>
      <c r="I353" s="9">
        <f>H353-G353</f>
        <v>10.484999999999999</v>
      </c>
    </row>
    <row r="354" ht="14.25">
      <c r="A354" s="5">
        <v>82537</v>
      </c>
      <c r="B354" s="6" t="s">
        <v>413</v>
      </c>
      <c r="C354" s="7" t="s">
        <v>109</v>
      </c>
      <c r="D354" s="7" t="s">
        <v>110</v>
      </c>
      <c r="E354" s="5" t="s">
        <v>43</v>
      </c>
      <c r="F354" s="8"/>
      <c r="G354" s="9">
        <f>H354*(1-15%)*(1-F354)</f>
        <v>59.415000000000006</v>
      </c>
      <c r="H354" s="9">
        <v>69.900000000000006</v>
      </c>
      <c r="I354" s="9">
        <f>H354-G354</f>
        <v>10.484999999999999</v>
      </c>
    </row>
    <row r="355" ht="14.25">
      <c r="A355" s="5">
        <v>80761</v>
      </c>
      <c r="B355" s="6" t="s">
        <v>414</v>
      </c>
      <c r="C355" s="7" t="s">
        <v>10</v>
      </c>
      <c r="D355" s="7" t="s">
        <v>11</v>
      </c>
      <c r="E355" s="5" t="s">
        <v>26</v>
      </c>
      <c r="F355" s="8"/>
      <c r="G355" s="9">
        <f>H355*(1-15%)*(1-F355)</f>
        <v>203.91499999999999</v>
      </c>
      <c r="H355" s="9">
        <v>239.90000000000001</v>
      </c>
      <c r="I355" s="9">
        <f>H355-G355</f>
        <v>35.985000000000014</v>
      </c>
    </row>
    <row r="356" ht="14.25">
      <c r="A356" s="5">
        <v>79649</v>
      </c>
      <c r="B356" s="6" t="s">
        <v>415</v>
      </c>
      <c r="C356" s="7" t="s">
        <v>94</v>
      </c>
      <c r="D356" s="7" t="s">
        <v>95</v>
      </c>
      <c r="E356" s="5" t="s">
        <v>26</v>
      </c>
      <c r="F356" s="8"/>
      <c r="G356" s="9">
        <f>H356*(1-15%)*(1-F356)</f>
        <v>57.715000000000003</v>
      </c>
      <c r="H356" s="9">
        <v>67.900000000000006</v>
      </c>
      <c r="I356" s="9">
        <f>H356-G356</f>
        <v>10.185000000000002</v>
      </c>
    </row>
    <row r="357" ht="14.25">
      <c r="A357" s="5">
        <v>80826</v>
      </c>
      <c r="B357" s="6" t="s">
        <v>416</v>
      </c>
      <c r="C357" s="7" t="s">
        <v>94</v>
      </c>
      <c r="D357" s="7" t="s">
        <v>95</v>
      </c>
      <c r="E357" s="5" t="s">
        <v>26</v>
      </c>
      <c r="F357" s="8"/>
      <c r="G357" s="9">
        <f>H357*(1-15%)*(1-F357)</f>
        <v>40.714999999999996</v>
      </c>
      <c r="H357" s="9">
        <v>47.899999999999999</v>
      </c>
      <c r="I357" s="9">
        <f>H357-G357</f>
        <v>7.1850000000000023</v>
      </c>
    </row>
    <row r="358" ht="14.25">
      <c r="A358" s="5">
        <v>79646</v>
      </c>
      <c r="B358" s="6" t="s">
        <v>417</v>
      </c>
      <c r="C358" s="7" t="s">
        <v>94</v>
      </c>
      <c r="D358" s="7" t="s">
        <v>95</v>
      </c>
      <c r="E358" s="5" t="s">
        <v>26</v>
      </c>
      <c r="F358" s="8"/>
      <c r="G358" s="9">
        <f>H358*(1-15%)*(1-F358)</f>
        <v>39.015000000000001</v>
      </c>
      <c r="H358" s="9">
        <v>45.899999999999999</v>
      </c>
      <c r="I358" s="9">
        <f>H358-G358</f>
        <v>6.884999999999998</v>
      </c>
    </row>
    <row r="359" ht="14.25">
      <c r="A359" s="5">
        <v>79648</v>
      </c>
      <c r="B359" s="6" t="s">
        <v>418</v>
      </c>
      <c r="C359" s="7" t="s">
        <v>94</v>
      </c>
      <c r="D359" s="7" t="s">
        <v>95</v>
      </c>
      <c r="E359" s="5" t="s">
        <v>26</v>
      </c>
      <c r="F359" s="8"/>
      <c r="G359" s="9">
        <f>H359*(1-15%)*(1-F359)</f>
        <v>40.714999999999996</v>
      </c>
      <c r="H359" s="9">
        <v>47.899999999999999</v>
      </c>
      <c r="I359" s="9">
        <f>H359-G359</f>
        <v>7.1850000000000023</v>
      </c>
    </row>
    <row r="360" ht="14.25">
      <c r="A360" s="5">
        <v>79645</v>
      </c>
      <c r="B360" s="6" t="s">
        <v>419</v>
      </c>
      <c r="C360" s="7" t="s">
        <v>94</v>
      </c>
      <c r="D360" s="7" t="s">
        <v>95</v>
      </c>
      <c r="E360" s="5" t="s">
        <v>26</v>
      </c>
      <c r="F360" s="8"/>
      <c r="G360" s="9">
        <f>H360*(1-15%)*(1-F360)</f>
        <v>39.015000000000001</v>
      </c>
      <c r="H360" s="9">
        <v>45.899999999999999</v>
      </c>
      <c r="I360" s="9">
        <f>H360-G360</f>
        <v>6.884999999999998</v>
      </c>
    </row>
    <row r="361" ht="14.25">
      <c r="A361" s="5">
        <v>79647</v>
      </c>
      <c r="B361" s="6" t="s">
        <v>420</v>
      </c>
      <c r="C361" s="7" t="s">
        <v>94</v>
      </c>
      <c r="D361" s="7" t="s">
        <v>95</v>
      </c>
      <c r="E361" s="5" t="s">
        <v>26</v>
      </c>
      <c r="F361" s="8"/>
      <c r="G361" s="9">
        <f>H361*(1-15%)*(1-F361)</f>
        <v>40.714999999999996</v>
      </c>
      <c r="H361" s="9">
        <v>47.899999999999999</v>
      </c>
      <c r="I361" s="9">
        <f>H361-G361</f>
        <v>7.1850000000000023</v>
      </c>
    </row>
    <row r="362" ht="14.25">
      <c r="A362" s="5">
        <v>75916</v>
      </c>
      <c r="B362" s="6" t="s">
        <v>421</v>
      </c>
      <c r="C362" s="7" t="s">
        <v>79</v>
      </c>
      <c r="D362" s="7" t="s">
        <v>52</v>
      </c>
      <c r="E362" s="5" t="s">
        <v>68</v>
      </c>
      <c r="F362" s="8"/>
      <c r="G362" s="9">
        <f>H362*(1-15%)*(1-F362)</f>
        <v>25.414999999999999</v>
      </c>
      <c r="H362" s="9">
        <v>29.899999999999999</v>
      </c>
      <c r="I362" s="9">
        <f>H362-G362</f>
        <v>4.4849999999999994</v>
      </c>
    </row>
    <row r="363" ht="14.25">
      <c r="A363" s="5">
        <v>45579</v>
      </c>
      <c r="B363" s="6" t="s">
        <v>422</v>
      </c>
      <c r="C363" s="7" t="s">
        <v>201</v>
      </c>
      <c r="D363" s="7" t="s">
        <v>183</v>
      </c>
      <c r="E363" s="5" t="s">
        <v>15</v>
      </c>
      <c r="F363" s="8"/>
      <c r="G363" s="9">
        <f>H363*(1-15%)*(1-F363)</f>
        <v>12.664999999999999</v>
      </c>
      <c r="H363" s="9">
        <v>14.9</v>
      </c>
      <c r="I363" s="9">
        <f>H363-G363</f>
        <v>2.2350000000000012</v>
      </c>
    </row>
    <row r="364" ht="14.25">
      <c r="A364" s="5">
        <v>45957</v>
      </c>
      <c r="B364" s="6" t="s">
        <v>423</v>
      </c>
      <c r="C364" s="7" t="s">
        <v>226</v>
      </c>
      <c r="D364" s="7" t="s">
        <v>183</v>
      </c>
      <c r="E364" s="5" t="s">
        <v>15</v>
      </c>
      <c r="F364" s="8"/>
      <c r="G364" s="9">
        <f>H364*(1-15%)*(1-F364)</f>
        <v>53.464999999999996</v>
      </c>
      <c r="H364" s="9">
        <v>62.899999999999999</v>
      </c>
      <c r="I364" s="9">
        <f>H364-G364</f>
        <v>9.4350000000000023</v>
      </c>
    </row>
    <row r="365" ht="14.25">
      <c r="A365" s="5">
        <v>27707</v>
      </c>
      <c r="B365" s="6" t="s">
        <v>424</v>
      </c>
      <c r="C365" s="7" t="s">
        <v>38</v>
      </c>
      <c r="D365" s="7" t="s">
        <v>11</v>
      </c>
      <c r="E365" s="5" t="s">
        <v>68</v>
      </c>
      <c r="F365" s="8"/>
      <c r="G365" s="9">
        <f>H365*(1-15%)*(1-F365)</f>
        <v>148.66499999999999</v>
      </c>
      <c r="H365" s="9">
        <v>174.90000000000001</v>
      </c>
      <c r="I365" s="9">
        <f>H365-G365</f>
        <v>26.235000000000014</v>
      </c>
    </row>
    <row r="366" ht="14.25">
      <c r="A366" s="5">
        <v>45595</v>
      </c>
      <c r="B366" s="6" t="s">
        <v>425</v>
      </c>
      <c r="C366" s="7" t="s">
        <v>426</v>
      </c>
      <c r="D366" s="7" t="s">
        <v>183</v>
      </c>
      <c r="E366" s="5" t="s">
        <v>15</v>
      </c>
      <c r="F366" s="8"/>
      <c r="G366" s="9">
        <f>H366*(1-15%)*(1-F366)</f>
        <v>84.915000000000006</v>
      </c>
      <c r="H366" s="9">
        <v>99.900000000000006</v>
      </c>
      <c r="I366" s="9">
        <f>H366-G366</f>
        <v>14.984999999999999</v>
      </c>
    </row>
    <row r="367" ht="14.25">
      <c r="A367" s="5">
        <v>45969</v>
      </c>
      <c r="B367" s="6" t="s">
        <v>427</v>
      </c>
      <c r="C367" s="7" t="s">
        <v>201</v>
      </c>
      <c r="D367" s="7" t="s">
        <v>183</v>
      </c>
      <c r="E367" s="5" t="s">
        <v>15</v>
      </c>
      <c r="F367" s="8"/>
      <c r="G367" s="9">
        <f>H367*(1-15%)*(1-F367)</f>
        <v>21.164999999999999</v>
      </c>
      <c r="H367" s="9">
        <v>24.899999999999999</v>
      </c>
      <c r="I367" s="9">
        <f>H367-G367</f>
        <v>3.7349999999999994</v>
      </c>
    </row>
    <row r="368" ht="14.25">
      <c r="A368" s="5">
        <v>70654</v>
      </c>
      <c r="B368" s="6" t="s">
        <v>428</v>
      </c>
      <c r="C368" s="7" t="s">
        <v>271</v>
      </c>
      <c r="D368" s="7" t="s">
        <v>110</v>
      </c>
      <c r="E368" s="5" t="s">
        <v>68</v>
      </c>
      <c r="F368" s="8"/>
      <c r="G368" s="9">
        <f>H368*(1-15%)*(1-F368)</f>
        <v>53.464999999999996</v>
      </c>
      <c r="H368" s="9">
        <v>62.899999999999999</v>
      </c>
      <c r="I368" s="9">
        <f>H368-G368</f>
        <v>9.4350000000000023</v>
      </c>
    </row>
    <row r="369" ht="14.25">
      <c r="A369" s="5">
        <v>75552</v>
      </c>
      <c r="B369" s="6" t="s">
        <v>429</v>
      </c>
      <c r="C369" s="7" t="s">
        <v>271</v>
      </c>
      <c r="D369" s="7" t="s">
        <v>110</v>
      </c>
      <c r="E369" s="5" t="s">
        <v>43</v>
      </c>
      <c r="F369" s="8"/>
      <c r="G369" s="9">
        <f>H369*(1-15%)*(1-F369)</f>
        <v>32.214999999999996</v>
      </c>
      <c r="H369" s="9">
        <v>37.899999999999999</v>
      </c>
      <c r="I369" s="9">
        <f>H369-G369</f>
        <v>5.6850000000000023</v>
      </c>
    </row>
    <row r="370" ht="14.25">
      <c r="A370" s="5">
        <v>75555</v>
      </c>
      <c r="B370" s="6" t="s">
        <v>430</v>
      </c>
      <c r="C370" s="7" t="s">
        <v>271</v>
      </c>
      <c r="D370" s="7" t="s">
        <v>110</v>
      </c>
      <c r="E370" s="5" t="s">
        <v>43</v>
      </c>
      <c r="F370" s="8"/>
      <c r="G370" s="9">
        <f>H370*(1-15%)*(1-F370)</f>
        <v>32.214999999999996</v>
      </c>
      <c r="H370" s="9">
        <v>37.899999999999999</v>
      </c>
      <c r="I370" s="9">
        <f>H370-G370</f>
        <v>5.6850000000000023</v>
      </c>
    </row>
    <row r="371" ht="14.25">
      <c r="A371" s="5">
        <v>75556</v>
      </c>
      <c r="B371" s="6" t="s">
        <v>431</v>
      </c>
      <c r="C371" s="7" t="s">
        <v>271</v>
      </c>
      <c r="D371" s="7" t="s">
        <v>110</v>
      </c>
      <c r="E371" s="5" t="s">
        <v>43</v>
      </c>
      <c r="F371" s="8"/>
      <c r="G371" s="9">
        <f>H371*(1-15%)*(1-F371)</f>
        <v>32.214999999999996</v>
      </c>
      <c r="H371" s="9">
        <v>37.899999999999999</v>
      </c>
      <c r="I371" s="9">
        <f>H371-G371</f>
        <v>5.6850000000000023</v>
      </c>
    </row>
    <row r="372" ht="14.25">
      <c r="A372" s="5">
        <v>75568</v>
      </c>
      <c r="B372" s="6" t="s">
        <v>432</v>
      </c>
      <c r="C372" s="7" t="s">
        <v>271</v>
      </c>
      <c r="D372" s="7" t="s">
        <v>110</v>
      </c>
      <c r="E372" s="5" t="s">
        <v>39</v>
      </c>
      <c r="F372" s="8"/>
      <c r="G372" s="9">
        <f>H372*(1-15%)*(1-F372)</f>
        <v>44.964999999999996</v>
      </c>
      <c r="H372" s="9">
        <v>52.899999999999999</v>
      </c>
      <c r="I372" s="9">
        <f>H372-G372</f>
        <v>7.9350000000000023</v>
      </c>
    </row>
    <row r="373" ht="14.25">
      <c r="A373" s="5">
        <v>75592</v>
      </c>
      <c r="B373" s="6" t="s">
        <v>433</v>
      </c>
      <c r="C373" s="7" t="s">
        <v>271</v>
      </c>
      <c r="D373" s="7" t="s">
        <v>110</v>
      </c>
      <c r="E373" s="5" t="s">
        <v>133</v>
      </c>
      <c r="F373" s="8"/>
      <c r="G373" s="9">
        <f>H373*(1-15%)*(1-F373)</f>
        <v>40.714999999999996</v>
      </c>
      <c r="H373" s="9">
        <v>47.899999999999999</v>
      </c>
      <c r="I373" s="9">
        <f>H373-G373</f>
        <v>7.1850000000000023</v>
      </c>
    </row>
    <row r="374" ht="14.25">
      <c r="A374" s="5">
        <v>75595</v>
      </c>
      <c r="B374" s="6" t="s">
        <v>434</v>
      </c>
      <c r="C374" s="7" t="s">
        <v>271</v>
      </c>
      <c r="D374" s="7" t="s">
        <v>110</v>
      </c>
      <c r="E374" s="5" t="s">
        <v>39</v>
      </c>
      <c r="F374" s="8"/>
      <c r="G374" s="9">
        <f>H374*(1-15%)*(1-F374)</f>
        <v>40.714999999999996</v>
      </c>
      <c r="H374" s="9">
        <v>47.899999999999999</v>
      </c>
      <c r="I374" s="9">
        <f>H374-G374</f>
        <v>7.1850000000000023</v>
      </c>
    </row>
    <row r="375" ht="14.25">
      <c r="A375" s="5">
        <v>75611</v>
      </c>
      <c r="B375" s="6" t="s">
        <v>435</v>
      </c>
      <c r="C375" s="7" t="s">
        <v>271</v>
      </c>
      <c r="D375" s="7" t="s">
        <v>110</v>
      </c>
      <c r="E375" s="5" t="s">
        <v>68</v>
      </c>
      <c r="F375" s="8"/>
      <c r="G375" s="9">
        <f>H375*(1-15%)*(1-F375)</f>
        <v>32.214999999999996</v>
      </c>
      <c r="H375" s="9">
        <v>37.899999999999999</v>
      </c>
      <c r="I375" s="9">
        <f>H375-G375</f>
        <v>5.6850000000000023</v>
      </c>
    </row>
    <row r="376" ht="14.25">
      <c r="A376" s="5">
        <v>75613</v>
      </c>
      <c r="B376" s="6" t="s">
        <v>436</v>
      </c>
      <c r="C376" s="7" t="s">
        <v>271</v>
      </c>
      <c r="D376" s="7" t="s">
        <v>110</v>
      </c>
      <c r="E376" s="5" t="s">
        <v>39</v>
      </c>
      <c r="F376" s="8"/>
      <c r="G376" s="9">
        <f>H376*(1-15%)*(1-F376)</f>
        <v>32.214999999999996</v>
      </c>
      <c r="H376" s="9">
        <v>37.899999999999999</v>
      </c>
      <c r="I376" s="9">
        <f>H376-G376</f>
        <v>5.6850000000000023</v>
      </c>
    </row>
    <row r="377" ht="14.25">
      <c r="A377" s="5">
        <v>75614</v>
      </c>
      <c r="B377" s="6" t="s">
        <v>437</v>
      </c>
      <c r="C377" s="7" t="s">
        <v>271</v>
      </c>
      <c r="D377" s="7" t="s">
        <v>110</v>
      </c>
      <c r="E377" s="5" t="s">
        <v>15</v>
      </c>
      <c r="F377" s="8"/>
      <c r="G377" s="9">
        <f>H377*(1-15%)*(1-F377)</f>
        <v>29.664999999999999</v>
      </c>
      <c r="H377" s="9">
        <v>34.899999999999999</v>
      </c>
      <c r="I377" s="9">
        <f>H377-G377</f>
        <v>5.2349999999999994</v>
      </c>
    </row>
    <row r="378" ht="14.25">
      <c r="A378" s="5">
        <v>75615</v>
      </c>
      <c r="B378" s="6" t="s">
        <v>438</v>
      </c>
      <c r="C378" s="7" t="s">
        <v>271</v>
      </c>
      <c r="D378" s="7" t="s">
        <v>110</v>
      </c>
      <c r="E378" s="5" t="s">
        <v>68</v>
      </c>
      <c r="F378" s="8"/>
      <c r="G378" s="9">
        <f>H378*(1-15%)*(1-F378)</f>
        <v>29.664999999999999</v>
      </c>
      <c r="H378" s="9">
        <v>34.899999999999999</v>
      </c>
      <c r="I378" s="9">
        <f>H378-G378</f>
        <v>5.2349999999999994</v>
      </c>
    </row>
    <row r="379" ht="14.25">
      <c r="A379" s="5">
        <v>75616</v>
      </c>
      <c r="B379" s="6" t="s">
        <v>439</v>
      </c>
      <c r="C379" s="7" t="s">
        <v>271</v>
      </c>
      <c r="D379" s="7" t="s">
        <v>110</v>
      </c>
      <c r="E379" s="5" t="s">
        <v>68</v>
      </c>
      <c r="F379" s="8"/>
      <c r="G379" s="9">
        <f>H379*(1-15%)*(1-F379)</f>
        <v>29.664999999999999</v>
      </c>
      <c r="H379" s="9">
        <v>34.899999999999999</v>
      </c>
      <c r="I379" s="9">
        <f>H379-G379</f>
        <v>5.2349999999999994</v>
      </c>
    </row>
    <row r="380" ht="14.25">
      <c r="A380" s="5">
        <v>75626</v>
      </c>
      <c r="B380" s="6" t="s">
        <v>440</v>
      </c>
      <c r="C380" s="7" t="s">
        <v>271</v>
      </c>
      <c r="D380" s="7" t="s">
        <v>110</v>
      </c>
      <c r="E380" s="5" t="s">
        <v>68</v>
      </c>
      <c r="F380" s="8"/>
      <c r="G380" s="9">
        <f>H380*(1-15%)*(1-F380)</f>
        <v>59.415000000000006</v>
      </c>
      <c r="H380" s="9">
        <v>69.900000000000006</v>
      </c>
      <c r="I380" s="9">
        <f>H380-G380</f>
        <v>10.484999999999999</v>
      </c>
    </row>
    <row r="381" ht="14.25">
      <c r="A381" s="5">
        <v>75627</v>
      </c>
      <c r="B381" s="6" t="s">
        <v>441</v>
      </c>
      <c r="C381" s="7" t="s">
        <v>271</v>
      </c>
      <c r="D381" s="7" t="s">
        <v>110</v>
      </c>
      <c r="E381" s="5" t="s">
        <v>68</v>
      </c>
      <c r="F381" s="8"/>
      <c r="G381" s="9">
        <f>H381*(1-15%)*(1-F381)</f>
        <v>59.415000000000006</v>
      </c>
      <c r="H381" s="9">
        <v>69.900000000000006</v>
      </c>
      <c r="I381" s="9">
        <f>H381-G381</f>
        <v>10.484999999999999</v>
      </c>
    </row>
    <row r="382" ht="14.25">
      <c r="A382" s="5">
        <v>75628</v>
      </c>
      <c r="B382" s="6" t="s">
        <v>442</v>
      </c>
      <c r="C382" s="7" t="s">
        <v>271</v>
      </c>
      <c r="D382" s="7" t="s">
        <v>110</v>
      </c>
      <c r="E382" s="5" t="s">
        <v>68</v>
      </c>
      <c r="F382" s="8"/>
      <c r="G382" s="9">
        <f>H382*(1-15%)*(1-F382)</f>
        <v>59.415000000000006</v>
      </c>
      <c r="H382" s="9">
        <v>69.900000000000006</v>
      </c>
      <c r="I382" s="9">
        <f>H382-G382</f>
        <v>10.484999999999999</v>
      </c>
    </row>
    <row r="383" ht="14.25">
      <c r="A383" s="5">
        <v>75629</v>
      </c>
      <c r="B383" s="6" t="s">
        <v>443</v>
      </c>
      <c r="C383" s="7" t="s">
        <v>271</v>
      </c>
      <c r="D383" s="7" t="s">
        <v>110</v>
      </c>
      <c r="E383" s="5" t="s">
        <v>68</v>
      </c>
      <c r="F383" s="8"/>
      <c r="G383" s="9">
        <f>H383*(1-15%)*(1-F383)</f>
        <v>59.415000000000006</v>
      </c>
      <c r="H383" s="9">
        <v>69.900000000000006</v>
      </c>
      <c r="I383" s="9">
        <f>H383-G383</f>
        <v>10.484999999999999</v>
      </c>
    </row>
    <row r="384" ht="14.25">
      <c r="A384" s="5">
        <v>75630</v>
      </c>
      <c r="B384" s="6" t="s">
        <v>444</v>
      </c>
      <c r="C384" s="7" t="s">
        <v>271</v>
      </c>
      <c r="D384" s="7" t="s">
        <v>110</v>
      </c>
      <c r="E384" s="5" t="s">
        <v>68</v>
      </c>
      <c r="F384" s="8"/>
      <c r="G384" s="9">
        <f>H384*(1-15%)*(1-F384)</f>
        <v>59.415000000000006</v>
      </c>
      <c r="H384" s="9">
        <v>69.900000000000006</v>
      </c>
      <c r="I384" s="9">
        <f>H384-G384</f>
        <v>10.484999999999999</v>
      </c>
    </row>
    <row r="385" ht="14.25">
      <c r="A385" s="5">
        <v>75631</v>
      </c>
      <c r="B385" s="6" t="s">
        <v>445</v>
      </c>
      <c r="C385" s="7" t="s">
        <v>271</v>
      </c>
      <c r="D385" s="7" t="s">
        <v>110</v>
      </c>
      <c r="E385" s="5" t="s">
        <v>68</v>
      </c>
      <c r="F385" s="8"/>
      <c r="G385" s="9">
        <f>H385*(1-15%)*(1-F385)</f>
        <v>59.415000000000006</v>
      </c>
      <c r="H385" s="9">
        <v>69.900000000000006</v>
      </c>
      <c r="I385" s="9">
        <f>H385-G385</f>
        <v>10.484999999999999</v>
      </c>
    </row>
    <row r="386" ht="14.25">
      <c r="A386" s="5">
        <v>76583</v>
      </c>
      <c r="B386" s="6" t="s">
        <v>446</v>
      </c>
      <c r="C386" s="7" t="s">
        <v>271</v>
      </c>
      <c r="D386" s="7" t="s">
        <v>110</v>
      </c>
      <c r="E386" s="5" t="s">
        <v>43</v>
      </c>
      <c r="F386" s="8"/>
      <c r="G386" s="9">
        <f>H386*(1-15%)*(1-F386)</f>
        <v>29.664999999999999</v>
      </c>
      <c r="H386" s="9">
        <v>34.899999999999999</v>
      </c>
      <c r="I386" s="9">
        <f>H386-G386</f>
        <v>5.2349999999999994</v>
      </c>
    </row>
    <row r="387" ht="14.25">
      <c r="A387" s="5">
        <v>76585</v>
      </c>
      <c r="B387" s="6" t="s">
        <v>447</v>
      </c>
      <c r="C387" s="7" t="s">
        <v>271</v>
      </c>
      <c r="D387" s="7" t="s">
        <v>110</v>
      </c>
      <c r="E387" s="5" t="s">
        <v>39</v>
      </c>
      <c r="F387" s="8"/>
      <c r="G387" s="9">
        <f>H387*(1-15%)*(1-F387)</f>
        <v>29.664999999999999</v>
      </c>
      <c r="H387" s="9">
        <v>34.899999999999999</v>
      </c>
      <c r="I387" s="9">
        <f>H387-G387</f>
        <v>5.2349999999999994</v>
      </c>
    </row>
    <row r="388" ht="14.25">
      <c r="A388" s="5">
        <v>76587</v>
      </c>
      <c r="B388" s="6" t="s">
        <v>448</v>
      </c>
      <c r="C388" s="7" t="s">
        <v>271</v>
      </c>
      <c r="D388" s="7" t="s">
        <v>110</v>
      </c>
      <c r="E388" s="5" t="s">
        <v>15</v>
      </c>
      <c r="F388" s="8"/>
      <c r="G388" s="9">
        <f>H388*(1-15%)*(1-F388)</f>
        <v>29.664999999999999</v>
      </c>
      <c r="H388" s="9">
        <v>34.899999999999999</v>
      </c>
      <c r="I388" s="9">
        <f>H388-G388</f>
        <v>5.2349999999999994</v>
      </c>
    </row>
    <row r="389" ht="14.25">
      <c r="A389" s="5">
        <v>76588</v>
      </c>
      <c r="B389" s="6" t="s">
        <v>449</v>
      </c>
      <c r="C389" s="7" t="s">
        <v>271</v>
      </c>
      <c r="D389" s="7" t="s">
        <v>110</v>
      </c>
      <c r="E389" s="5" t="s">
        <v>68</v>
      </c>
      <c r="F389" s="8"/>
      <c r="G389" s="9">
        <f>H389*(1-15%)*(1-F389)</f>
        <v>29.664999999999999</v>
      </c>
      <c r="H389" s="9">
        <v>34.899999999999999</v>
      </c>
      <c r="I389" s="9">
        <f>H389-G389</f>
        <v>5.2349999999999994</v>
      </c>
    </row>
    <row r="390" ht="14.25">
      <c r="A390" s="5">
        <v>76589</v>
      </c>
      <c r="B390" s="6" t="s">
        <v>450</v>
      </c>
      <c r="C390" s="7" t="s">
        <v>271</v>
      </c>
      <c r="D390" s="7" t="s">
        <v>110</v>
      </c>
      <c r="E390" s="5" t="s">
        <v>68</v>
      </c>
      <c r="F390" s="8"/>
      <c r="G390" s="9">
        <f>H390*(1-15%)*(1-F390)</f>
        <v>29.664999999999999</v>
      </c>
      <c r="H390" s="9">
        <v>34.899999999999999</v>
      </c>
      <c r="I390" s="9">
        <f>H390-G390</f>
        <v>5.2349999999999994</v>
      </c>
    </row>
    <row r="391" ht="14.25">
      <c r="A391" s="5">
        <v>76593</v>
      </c>
      <c r="B391" s="6" t="s">
        <v>451</v>
      </c>
      <c r="C391" s="7" t="s">
        <v>271</v>
      </c>
      <c r="D391" s="7" t="s">
        <v>110</v>
      </c>
      <c r="E391" s="5" t="s">
        <v>15</v>
      </c>
      <c r="F391" s="8"/>
      <c r="G391" s="9">
        <f>H391*(1-15%)*(1-F391)</f>
        <v>29.664999999999999</v>
      </c>
      <c r="H391" s="9">
        <v>34.899999999999999</v>
      </c>
      <c r="I391" s="9">
        <f>H391-G391</f>
        <v>5.2349999999999994</v>
      </c>
    </row>
    <row r="392" ht="14.25">
      <c r="A392" s="5">
        <v>76594</v>
      </c>
      <c r="B392" s="6" t="s">
        <v>452</v>
      </c>
      <c r="C392" s="7" t="s">
        <v>271</v>
      </c>
      <c r="D392" s="7" t="s">
        <v>110</v>
      </c>
      <c r="E392" s="5" t="s">
        <v>15</v>
      </c>
      <c r="F392" s="8"/>
      <c r="G392" s="9">
        <f>H392*(1-15%)*(1-F392)</f>
        <v>29.664999999999999</v>
      </c>
      <c r="H392" s="9">
        <v>34.899999999999999</v>
      </c>
      <c r="I392" s="9">
        <f>H392-G392</f>
        <v>5.2349999999999994</v>
      </c>
    </row>
    <row r="393" ht="14.25">
      <c r="A393" s="5">
        <v>76595</v>
      </c>
      <c r="B393" s="6" t="s">
        <v>453</v>
      </c>
      <c r="C393" s="7" t="s">
        <v>271</v>
      </c>
      <c r="D393" s="7" t="s">
        <v>110</v>
      </c>
      <c r="E393" s="5" t="s">
        <v>15</v>
      </c>
      <c r="F393" s="8"/>
      <c r="G393" s="9">
        <f>H393*(1-15%)*(1-F393)</f>
        <v>29.664999999999999</v>
      </c>
      <c r="H393" s="9">
        <v>34.899999999999999</v>
      </c>
      <c r="I393" s="9">
        <f>H393-G393</f>
        <v>5.2349999999999994</v>
      </c>
    </row>
    <row r="394" ht="14.25">
      <c r="A394" s="5">
        <v>76597</v>
      </c>
      <c r="B394" s="6" t="s">
        <v>454</v>
      </c>
      <c r="C394" s="7" t="s">
        <v>271</v>
      </c>
      <c r="D394" s="7" t="s">
        <v>110</v>
      </c>
      <c r="E394" s="5" t="s">
        <v>68</v>
      </c>
      <c r="F394" s="8"/>
      <c r="G394" s="9">
        <f>H394*(1-15%)*(1-F394)</f>
        <v>25.414999999999999</v>
      </c>
      <c r="H394" s="9">
        <v>29.899999999999999</v>
      </c>
      <c r="I394" s="9">
        <f>H394-G394</f>
        <v>4.4849999999999994</v>
      </c>
    </row>
    <row r="395" ht="14.25">
      <c r="A395" s="5">
        <v>76598</v>
      </c>
      <c r="B395" s="6" t="s">
        <v>455</v>
      </c>
      <c r="C395" s="7" t="s">
        <v>271</v>
      </c>
      <c r="D395" s="7" t="s">
        <v>110</v>
      </c>
      <c r="E395" s="5" t="s">
        <v>68</v>
      </c>
      <c r="F395" s="8"/>
      <c r="G395" s="9">
        <f>H395*(1-15%)*(1-F395)</f>
        <v>25.414999999999999</v>
      </c>
      <c r="H395" s="9">
        <v>29.899999999999999</v>
      </c>
      <c r="I395" s="9">
        <f>H395-G395</f>
        <v>4.4849999999999994</v>
      </c>
    </row>
    <row r="396" ht="14.25">
      <c r="A396" s="5">
        <v>76599</v>
      </c>
      <c r="B396" s="6" t="s">
        <v>456</v>
      </c>
      <c r="C396" s="7" t="s">
        <v>271</v>
      </c>
      <c r="D396" s="7" t="s">
        <v>110</v>
      </c>
      <c r="E396" s="5" t="s">
        <v>68</v>
      </c>
      <c r="F396" s="8"/>
      <c r="G396" s="9">
        <f>H396*(1-15%)*(1-F396)</f>
        <v>25.414999999999999</v>
      </c>
      <c r="H396" s="9">
        <v>29.899999999999999</v>
      </c>
      <c r="I396" s="9">
        <f>H396-G396</f>
        <v>4.4849999999999994</v>
      </c>
    </row>
    <row r="397" ht="14.25">
      <c r="A397" s="5">
        <v>76600</v>
      </c>
      <c r="B397" s="6" t="s">
        <v>457</v>
      </c>
      <c r="C397" s="7" t="s">
        <v>271</v>
      </c>
      <c r="D397" s="7" t="s">
        <v>110</v>
      </c>
      <c r="E397" s="5" t="s">
        <v>68</v>
      </c>
      <c r="F397" s="8"/>
      <c r="G397" s="9">
        <f>H397*(1-15%)*(1-F397)</f>
        <v>25.414999999999999</v>
      </c>
      <c r="H397" s="9">
        <v>29.899999999999999</v>
      </c>
      <c r="I397" s="9">
        <f>H397-G397</f>
        <v>4.4849999999999994</v>
      </c>
    </row>
    <row r="398" ht="14.25">
      <c r="A398" s="5">
        <v>76601</v>
      </c>
      <c r="B398" s="6" t="s">
        <v>458</v>
      </c>
      <c r="C398" s="7" t="s">
        <v>271</v>
      </c>
      <c r="D398" s="7" t="s">
        <v>110</v>
      </c>
      <c r="E398" s="5" t="s">
        <v>68</v>
      </c>
      <c r="F398" s="8"/>
      <c r="G398" s="9">
        <f>H398*(1-15%)*(1-F398)</f>
        <v>25.414999999999999</v>
      </c>
      <c r="H398" s="9">
        <v>29.899999999999999</v>
      </c>
      <c r="I398" s="9">
        <f>H398-G398</f>
        <v>4.4849999999999994</v>
      </c>
    </row>
    <row r="399" ht="14.25">
      <c r="A399" s="5">
        <v>76678</v>
      </c>
      <c r="B399" s="6" t="s">
        <v>459</v>
      </c>
      <c r="C399" s="7" t="s">
        <v>38</v>
      </c>
      <c r="D399" s="7" t="s">
        <v>11</v>
      </c>
      <c r="E399" s="5" t="s">
        <v>39</v>
      </c>
      <c r="F399" s="8"/>
      <c r="G399" s="9">
        <f>H399*(1-15%)*(1-F399)</f>
        <v>148.66499999999999</v>
      </c>
      <c r="H399" s="9">
        <v>174.90000000000001</v>
      </c>
      <c r="I399" s="9">
        <f>H399-G399</f>
        <v>26.235000000000014</v>
      </c>
    </row>
    <row r="400" ht="14.25">
      <c r="A400" s="5">
        <v>76681</v>
      </c>
      <c r="B400" s="6" t="s">
        <v>460</v>
      </c>
      <c r="C400" s="7" t="s">
        <v>38</v>
      </c>
      <c r="D400" s="7" t="s">
        <v>11</v>
      </c>
      <c r="E400" s="5" t="s">
        <v>39</v>
      </c>
      <c r="F400" s="8"/>
      <c r="G400" s="9">
        <f>H400*(1-15%)*(1-F400)</f>
        <v>148.66499999999999</v>
      </c>
      <c r="H400" s="9">
        <v>174.90000000000001</v>
      </c>
      <c r="I400" s="9">
        <f>H400-G400</f>
        <v>26.235000000000014</v>
      </c>
    </row>
    <row r="401" ht="14.25">
      <c r="A401" s="5">
        <v>76936</v>
      </c>
      <c r="B401" s="6" t="s">
        <v>461</v>
      </c>
      <c r="C401" s="7" t="s">
        <v>271</v>
      </c>
      <c r="D401" s="7" t="s">
        <v>110</v>
      </c>
      <c r="E401" s="5" t="s">
        <v>68</v>
      </c>
      <c r="F401" s="8"/>
      <c r="G401" s="9">
        <f>H401*(1-15%)*(1-F401)</f>
        <v>53.464999999999996</v>
      </c>
      <c r="H401" s="9">
        <v>62.899999999999999</v>
      </c>
      <c r="I401" s="9">
        <f>H401-G401</f>
        <v>9.4350000000000023</v>
      </c>
    </row>
    <row r="402" ht="14.25">
      <c r="A402" s="5">
        <v>77129</v>
      </c>
      <c r="B402" s="6" t="s">
        <v>462</v>
      </c>
      <c r="C402" s="7" t="s">
        <v>426</v>
      </c>
      <c r="D402" s="7" t="s">
        <v>219</v>
      </c>
      <c r="E402" s="5" t="s">
        <v>39</v>
      </c>
      <c r="F402" s="8"/>
      <c r="G402" s="9">
        <f>H402*(1-15%)*(1-F402)</f>
        <v>169.91499999999999</v>
      </c>
      <c r="H402" s="9">
        <v>199.90000000000001</v>
      </c>
      <c r="I402" s="9">
        <f>H402-G402</f>
        <v>29.985000000000014</v>
      </c>
    </row>
    <row r="403" ht="14.25">
      <c r="A403" s="5">
        <v>77131</v>
      </c>
      <c r="B403" s="6" t="s">
        <v>463</v>
      </c>
      <c r="C403" s="7" t="s">
        <v>426</v>
      </c>
      <c r="D403" s="7" t="s">
        <v>219</v>
      </c>
      <c r="E403" s="5" t="s">
        <v>43</v>
      </c>
      <c r="F403" s="8"/>
      <c r="G403" s="9">
        <f>H403*(1-15%)*(1-F403)</f>
        <v>169.91499999999999</v>
      </c>
      <c r="H403" s="9">
        <v>199.90000000000001</v>
      </c>
      <c r="I403" s="9">
        <f>H403-G403</f>
        <v>29.985000000000014</v>
      </c>
    </row>
    <row r="404" ht="14.25">
      <c r="A404" s="5">
        <v>77133</v>
      </c>
      <c r="B404" s="6" t="s">
        <v>464</v>
      </c>
      <c r="C404" s="7" t="s">
        <v>426</v>
      </c>
      <c r="D404" s="7" t="s">
        <v>219</v>
      </c>
      <c r="E404" s="5" t="s">
        <v>15</v>
      </c>
      <c r="F404" s="8"/>
      <c r="G404" s="9">
        <f>H404*(1-15%)*(1-F404)</f>
        <v>169.91499999999999</v>
      </c>
      <c r="H404" s="9">
        <v>199.90000000000001</v>
      </c>
      <c r="I404" s="9">
        <f>H404-G404</f>
        <v>29.985000000000014</v>
      </c>
    </row>
    <row r="405" ht="14.25">
      <c r="A405" s="5">
        <v>77138</v>
      </c>
      <c r="B405" s="6" t="s">
        <v>465</v>
      </c>
      <c r="C405" s="7" t="s">
        <v>426</v>
      </c>
      <c r="D405" s="7" t="s">
        <v>219</v>
      </c>
      <c r="E405" s="5" t="s">
        <v>68</v>
      </c>
      <c r="F405" s="8"/>
      <c r="G405" s="9">
        <f>H405*(1-15%)*(1-F405)</f>
        <v>127.41500000000001</v>
      </c>
      <c r="H405" s="9">
        <v>149.90000000000001</v>
      </c>
      <c r="I405" s="9">
        <f>H405-G405</f>
        <v>22.484999999999999</v>
      </c>
    </row>
    <row r="406" ht="14.25">
      <c r="A406" s="5">
        <v>77143</v>
      </c>
      <c r="B406" s="6" t="s">
        <v>466</v>
      </c>
      <c r="C406" s="7" t="s">
        <v>426</v>
      </c>
      <c r="D406" s="7" t="s">
        <v>219</v>
      </c>
      <c r="E406" s="5" t="s">
        <v>26</v>
      </c>
      <c r="F406" s="8"/>
      <c r="G406" s="9">
        <f>H406*(1-15%)*(1-F406)</f>
        <v>123.16500000000001</v>
      </c>
      <c r="H406" s="9">
        <v>144.90000000000001</v>
      </c>
      <c r="I406" s="9">
        <f>H406-G406</f>
        <v>21.734999999999999</v>
      </c>
    </row>
    <row r="407" ht="14.25">
      <c r="A407" s="5">
        <v>77147</v>
      </c>
      <c r="B407" s="6" t="s">
        <v>467</v>
      </c>
      <c r="C407" s="7" t="s">
        <v>426</v>
      </c>
      <c r="D407" s="7" t="s">
        <v>219</v>
      </c>
      <c r="E407" s="5" t="s">
        <v>68</v>
      </c>
      <c r="F407" s="8"/>
      <c r="G407" s="9">
        <f>H407*(1-15%)*(1-F407)</f>
        <v>97.665000000000006</v>
      </c>
      <c r="H407" s="9">
        <v>114.90000000000001</v>
      </c>
      <c r="I407" s="9">
        <f>H407-G407</f>
        <v>17.234999999999999</v>
      </c>
    </row>
    <row r="408" ht="14.25">
      <c r="A408" s="5">
        <v>77149</v>
      </c>
      <c r="B408" s="6" t="s">
        <v>468</v>
      </c>
      <c r="C408" s="7" t="s">
        <v>426</v>
      </c>
      <c r="D408" s="7" t="s">
        <v>219</v>
      </c>
      <c r="E408" s="5" t="s">
        <v>26</v>
      </c>
      <c r="F408" s="8"/>
      <c r="G408" s="9">
        <f>H408*(1-15%)*(1-F408)</f>
        <v>61.965000000000003</v>
      </c>
      <c r="H408" s="9">
        <v>72.900000000000006</v>
      </c>
      <c r="I408" s="9">
        <f>H408-G408</f>
        <v>10.935000000000002</v>
      </c>
    </row>
    <row r="409" ht="14.25">
      <c r="A409" s="5">
        <v>77248</v>
      </c>
      <c r="B409" s="6" t="s">
        <v>469</v>
      </c>
      <c r="C409" s="7" t="s">
        <v>271</v>
      </c>
      <c r="D409" s="7" t="s">
        <v>470</v>
      </c>
      <c r="E409" s="5" t="s">
        <v>15</v>
      </c>
      <c r="F409" s="8"/>
      <c r="G409" s="9">
        <f>H409*(1-15%)*(1-F409)</f>
        <v>15.214999999999998</v>
      </c>
      <c r="H409" s="9">
        <v>17.899999999999999</v>
      </c>
      <c r="I409" s="9">
        <f>H409-G409</f>
        <v>2.6850000000000005</v>
      </c>
    </row>
    <row r="410" ht="14.25">
      <c r="A410" s="5">
        <v>79565</v>
      </c>
      <c r="B410" s="6" t="s">
        <v>471</v>
      </c>
      <c r="C410" s="7" t="s">
        <v>38</v>
      </c>
      <c r="D410" s="7" t="s">
        <v>71</v>
      </c>
      <c r="E410" s="5" t="s">
        <v>15</v>
      </c>
      <c r="F410" s="8"/>
      <c r="G410" s="9">
        <f>H410*(1-15%)*(1-F410)</f>
        <v>33.914999999999999</v>
      </c>
      <c r="H410" s="9">
        <v>39.899999999999999</v>
      </c>
      <c r="I410" s="9">
        <f>H410-G410</f>
        <v>5.9849999999999994</v>
      </c>
    </row>
    <row r="411" ht="14.25">
      <c r="A411" s="5">
        <v>79977</v>
      </c>
      <c r="B411" s="6" t="s">
        <v>472</v>
      </c>
      <c r="C411" s="7" t="s">
        <v>271</v>
      </c>
      <c r="D411" s="7" t="s">
        <v>110</v>
      </c>
      <c r="E411" s="5" t="s">
        <v>15</v>
      </c>
      <c r="F411" s="8"/>
      <c r="G411" s="9">
        <f>H411*(1-15%)*(1-F411)</f>
        <v>55.165000000000006</v>
      </c>
      <c r="H411" s="9">
        <v>64.900000000000006</v>
      </c>
      <c r="I411" s="9">
        <f>H411-G411</f>
        <v>9.7349999999999994</v>
      </c>
    </row>
    <row r="412" ht="14.25">
      <c r="A412" s="5">
        <v>80693</v>
      </c>
      <c r="B412" s="6" t="s">
        <v>473</v>
      </c>
      <c r="C412" s="7" t="s">
        <v>271</v>
      </c>
      <c r="D412" s="7" t="s">
        <v>110</v>
      </c>
      <c r="E412" s="5" t="s">
        <v>15</v>
      </c>
      <c r="F412" s="8"/>
      <c r="G412" s="9">
        <f>H412*(1-15%)*(1-F412)</f>
        <v>25.414999999999999</v>
      </c>
      <c r="H412" s="9">
        <v>29.899999999999999</v>
      </c>
      <c r="I412" s="9">
        <f>H412-G412</f>
        <v>4.4849999999999994</v>
      </c>
    </row>
    <row r="413" ht="14.25">
      <c r="A413" s="5">
        <v>81478</v>
      </c>
      <c r="B413" s="6" t="s">
        <v>474</v>
      </c>
      <c r="C413" s="7" t="s">
        <v>271</v>
      </c>
      <c r="D413" s="7" t="s">
        <v>110</v>
      </c>
      <c r="E413" s="5" t="s">
        <v>68</v>
      </c>
      <c r="F413" s="8"/>
      <c r="G413" s="9">
        <f>H413*(1-15%)*(1-F413)</f>
        <v>32.214999999999996</v>
      </c>
      <c r="H413" s="9">
        <v>37.899999999999999</v>
      </c>
      <c r="I413" s="9">
        <f>H413-G413</f>
        <v>5.6850000000000023</v>
      </c>
    </row>
    <row r="414" ht="14.25">
      <c r="A414" s="5">
        <v>81480</v>
      </c>
      <c r="B414" s="6" t="s">
        <v>475</v>
      </c>
      <c r="C414" s="7" t="s">
        <v>271</v>
      </c>
      <c r="D414" s="7" t="s">
        <v>110</v>
      </c>
      <c r="E414" s="5" t="s">
        <v>26</v>
      </c>
      <c r="F414" s="8"/>
      <c r="G414" s="9">
        <f>H414*(1-15%)*(1-F414)</f>
        <v>36.464999999999996</v>
      </c>
      <c r="H414" s="9">
        <v>42.899999999999999</v>
      </c>
      <c r="I414" s="9">
        <f>H414-G414</f>
        <v>6.4350000000000023</v>
      </c>
    </row>
    <row r="415" ht="14.25">
      <c r="A415" s="5">
        <v>81481</v>
      </c>
      <c r="B415" s="6" t="s">
        <v>476</v>
      </c>
      <c r="C415" s="7" t="s">
        <v>271</v>
      </c>
      <c r="D415" s="7" t="s">
        <v>110</v>
      </c>
      <c r="E415" s="5" t="s">
        <v>26</v>
      </c>
      <c r="F415" s="8"/>
      <c r="G415" s="9">
        <f>H415*(1-15%)*(1-F415)</f>
        <v>36.464999999999996</v>
      </c>
      <c r="H415" s="9">
        <v>42.899999999999999</v>
      </c>
      <c r="I415" s="9">
        <f>H415-G415</f>
        <v>6.4350000000000023</v>
      </c>
    </row>
    <row r="416" ht="14.25">
      <c r="A416" s="5">
        <v>81508</v>
      </c>
      <c r="B416" s="6" t="s">
        <v>477</v>
      </c>
      <c r="C416" s="7" t="s">
        <v>426</v>
      </c>
      <c r="D416" s="7" t="s">
        <v>61</v>
      </c>
      <c r="E416" s="5" t="s">
        <v>68</v>
      </c>
      <c r="F416" s="8"/>
      <c r="G416" s="9">
        <f>H416*(1-15%)*(1-F416)</f>
        <v>203.91499999999999</v>
      </c>
      <c r="H416" s="9">
        <v>239.90000000000001</v>
      </c>
      <c r="I416" s="9">
        <f>H416-G416</f>
        <v>35.985000000000014</v>
      </c>
    </row>
    <row r="417" ht="14.25">
      <c r="A417" s="5">
        <v>82354</v>
      </c>
      <c r="B417" s="6" t="s">
        <v>478</v>
      </c>
      <c r="C417" s="7" t="s">
        <v>426</v>
      </c>
      <c r="D417" s="7" t="s">
        <v>61</v>
      </c>
      <c r="E417" s="5" t="s">
        <v>15</v>
      </c>
      <c r="F417" s="8"/>
      <c r="G417" s="9">
        <f>H417*(1-15%)*(1-F417)</f>
        <v>140.16499999999999</v>
      </c>
      <c r="H417" s="9">
        <v>164.90000000000001</v>
      </c>
      <c r="I417" s="9">
        <f>H417-G417</f>
        <v>24.735000000000014</v>
      </c>
    </row>
    <row r="418" ht="14.25">
      <c r="A418" s="5">
        <v>82476</v>
      </c>
      <c r="B418" s="6" t="s">
        <v>479</v>
      </c>
      <c r="C418" s="7" t="s">
        <v>38</v>
      </c>
      <c r="D418" s="7" t="s">
        <v>71</v>
      </c>
      <c r="E418" s="5" t="s">
        <v>39</v>
      </c>
      <c r="F418" s="8"/>
      <c r="G418" s="9">
        <f>H418*(1-15%)*(1-F418)</f>
        <v>33.914999999999999</v>
      </c>
      <c r="H418" s="9">
        <v>39.899999999999999</v>
      </c>
      <c r="I418" s="9">
        <f>H418-G418</f>
        <v>5.9849999999999994</v>
      </c>
    </row>
    <row r="419" ht="14.25">
      <c r="A419" s="5">
        <v>45593</v>
      </c>
      <c r="B419" s="6" t="s">
        <v>480</v>
      </c>
      <c r="C419" s="7" t="s">
        <v>201</v>
      </c>
      <c r="D419" s="7" t="s">
        <v>183</v>
      </c>
      <c r="E419" s="5" t="s">
        <v>68</v>
      </c>
      <c r="F419" s="8"/>
      <c r="G419" s="9">
        <f>H419*(1-15%)*(1-F419)</f>
        <v>76.415000000000006</v>
      </c>
      <c r="H419" s="9">
        <v>89.900000000000006</v>
      </c>
      <c r="I419" s="9">
        <f>H419-G419</f>
        <v>13.484999999999999</v>
      </c>
    </row>
    <row r="420" ht="14.25">
      <c r="A420" s="5">
        <v>75877</v>
      </c>
      <c r="B420" s="6" t="s">
        <v>481</v>
      </c>
      <c r="C420" s="7" t="s">
        <v>17</v>
      </c>
      <c r="D420" s="7" t="s">
        <v>11</v>
      </c>
      <c r="E420" s="5" t="s">
        <v>15</v>
      </c>
      <c r="F420" s="8"/>
      <c r="G420" s="9">
        <f>H420*(1-15%)*(1-F420)</f>
        <v>186.91499999999999</v>
      </c>
      <c r="H420" s="9">
        <v>219.90000000000001</v>
      </c>
      <c r="I420" s="9">
        <f>H420-G420</f>
        <v>32.985000000000014</v>
      </c>
    </row>
    <row r="421" ht="14.25">
      <c r="A421" s="5">
        <v>75878</v>
      </c>
      <c r="B421" s="6" t="s">
        <v>482</v>
      </c>
      <c r="C421" s="7" t="s">
        <v>17</v>
      </c>
      <c r="D421" s="7" t="s">
        <v>45</v>
      </c>
      <c r="E421" s="5" t="s">
        <v>15</v>
      </c>
      <c r="F421" s="8"/>
      <c r="G421" s="9">
        <f>H421*(1-15%)*(1-F421)</f>
        <v>101.91500000000001</v>
      </c>
      <c r="H421" s="9">
        <v>119.90000000000001</v>
      </c>
      <c r="I421" s="9">
        <f>H421-G421</f>
        <v>17.984999999999999</v>
      </c>
    </row>
    <row r="422" ht="14.25">
      <c r="A422" s="5">
        <v>83257</v>
      </c>
      <c r="B422" s="6" t="s">
        <v>483</v>
      </c>
      <c r="C422" s="7" t="s">
        <v>109</v>
      </c>
      <c r="D422" s="7" t="s">
        <v>110</v>
      </c>
      <c r="E422" s="5" t="s">
        <v>39</v>
      </c>
      <c r="F422" s="8"/>
      <c r="G422" s="9">
        <f>H422*(1-15%)*(1-F422)</f>
        <v>70.465000000000003</v>
      </c>
      <c r="H422" s="9">
        <v>82.900000000000006</v>
      </c>
      <c r="I422" s="9">
        <f>H422-G422</f>
        <v>12.435000000000002</v>
      </c>
    </row>
    <row r="423" ht="14.25">
      <c r="A423" s="5">
        <v>83258</v>
      </c>
      <c r="B423" s="6" t="s">
        <v>484</v>
      </c>
      <c r="C423" s="7" t="s">
        <v>109</v>
      </c>
      <c r="D423" s="7" t="s">
        <v>110</v>
      </c>
      <c r="E423" s="5" t="s">
        <v>15</v>
      </c>
      <c r="F423" s="8"/>
      <c r="G423" s="9">
        <f>H423*(1-15%)*(1-F423)</f>
        <v>70.465000000000003</v>
      </c>
      <c r="H423" s="9">
        <v>82.900000000000006</v>
      </c>
      <c r="I423" s="9">
        <f>H423-G423</f>
        <v>12.435000000000002</v>
      </c>
    </row>
    <row r="424" ht="14.25">
      <c r="A424" s="5">
        <v>83606</v>
      </c>
      <c r="B424" s="6" t="s">
        <v>485</v>
      </c>
      <c r="C424" s="7" t="s">
        <v>109</v>
      </c>
      <c r="D424" s="7" t="s">
        <v>110</v>
      </c>
      <c r="E424" s="5" t="s">
        <v>39</v>
      </c>
      <c r="F424" s="8"/>
      <c r="G424" s="9">
        <f>H424*(1-15%)*(1-F424)</f>
        <v>106.16500000000001</v>
      </c>
      <c r="H424" s="9">
        <v>124.90000000000001</v>
      </c>
      <c r="I424" s="9">
        <f>H424-G424</f>
        <v>18.734999999999999</v>
      </c>
    </row>
    <row r="425" ht="14.25">
      <c r="A425" s="5">
        <v>83607</v>
      </c>
      <c r="B425" s="6" t="s">
        <v>486</v>
      </c>
      <c r="C425" s="7" t="s">
        <v>109</v>
      </c>
      <c r="D425" s="7" t="s">
        <v>110</v>
      </c>
      <c r="E425" s="5" t="s">
        <v>133</v>
      </c>
      <c r="F425" s="8"/>
      <c r="G425" s="9">
        <f>H425*(1-15%)*(1-F425)</f>
        <v>106.16500000000001</v>
      </c>
      <c r="H425" s="9">
        <v>124.90000000000001</v>
      </c>
      <c r="I425" s="9">
        <f>H425-G425</f>
        <v>18.734999999999999</v>
      </c>
    </row>
    <row r="426" ht="14.25">
      <c r="A426" s="5">
        <v>83692</v>
      </c>
      <c r="B426" s="6" t="s">
        <v>487</v>
      </c>
      <c r="C426" s="7" t="s">
        <v>38</v>
      </c>
      <c r="D426" s="7" t="s">
        <v>11</v>
      </c>
      <c r="E426" s="5" t="s">
        <v>15</v>
      </c>
      <c r="F426" s="8"/>
      <c r="G426" s="9">
        <f>H426*(1-15%)*(1-F426)</f>
        <v>148.66499999999999</v>
      </c>
      <c r="H426" s="9">
        <v>174.90000000000001</v>
      </c>
      <c r="I426" s="9">
        <f>H426-G426</f>
        <v>26.235000000000014</v>
      </c>
    </row>
    <row r="427" ht="14.25">
      <c r="A427" s="5">
        <v>46014</v>
      </c>
      <c r="B427" s="6" t="s">
        <v>488</v>
      </c>
      <c r="C427" s="7" t="s">
        <v>489</v>
      </c>
      <c r="D427" s="7" t="s">
        <v>183</v>
      </c>
      <c r="E427" s="5" t="s">
        <v>15</v>
      </c>
      <c r="F427" s="8"/>
      <c r="G427" s="9">
        <f>H427*(1-15%)*(1-F427)</f>
        <v>16.914999999999999</v>
      </c>
      <c r="H427" s="9">
        <v>19.899999999999999</v>
      </c>
      <c r="I427" s="9">
        <f>H427-G427</f>
        <v>2.9849999999999994</v>
      </c>
    </row>
    <row r="428" ht="14.25">
      <c r="A428" s="5">
        <v>46018</v>
      </c>
      <c r="B428" s="6" t="s">
        <v>490</v>
      </c>
      <c r="C428" s="7" t="s">
        <v>14</v>
      </c>
      <c r="D428" s="7" t="s">
        <v>183</v>
      </c>
      <c r="E428" s="5" t="s">
        <v>15</v>
      </c>
      <c r="F428" s="8"/>
      <c r="G428" s="9">
        <f>H428*(1-15%)*(1-F428)</f>
        <v>42.414999999999999</v>
      </c>
      <c r="H428" s="9">
        <v>49.899999999999999</v>
      </c>
      <c r="I428" s="9">
        <f>H428-G428</f>
        <v>7.4849999999999994</v>
      </c>
    </row>
    <row r="429" ht="14.25">
      <c r="A429" s="5">
        <v>46019</v>
      </c>
      <c r="B429" s="6" t="s">
        <v>341</v>
      </c>
      <c r="C429" s="7" t="s">
        <v>251</v>
      </c>
      <c r="D429" s="7" t="s">
        <v>183</v>
      </c>
      <c r="E429" s="5" t="s">
        <v>15</v>
      </c>
      <c r="F429" s="8"/>
      <c r="G429" s="9">
        <f>H429*(1-15%)*(1-F429)</f>
        <v>36.464999999999996</v>
      </c>
      <c r="H429" s="9">
        <v>42.899999999999999</v>
      </c>
      <c r="I429" s="9">
        <f>H429-G429</f>
        <v>6.4350000000000023</v>
      </c>
    </row>
    <row r="430" ht="14.25">
      <c r="A430" s="5">
        <v>46021</v>
      </c>
      <c r="B430" s="6" t="s">
        <v>491</v>
      </c>
      <c r="C430" s="7" t="s">
        <v>33</v>
      </c>
      <c r="D430" s="7" t="s">
        <v>183</v>
      </c>
      <c r="E430" s="5" t="s">
        <v>15</v>
      </c>
      <c r="F430" s="8"/>
      <c r="G430" s="9">
        <f>H430*(1-15%)*(1-F430)</f>
        <v>64.515000000000001</v>
      </c>
      <c r="H430" s="9">
        <v>75.900000000000006</v>
      </c>
      <c r="I430" s="9">
        <f>H430-G430</f>
        <v>11.385000000000005</v>
      </c>
    </row>
    <row r="431" ht="14.25">
      <c r="A431" s="5">
        <v>71886</v>
      </c>
      <c r="B431" s="6" t="s">
        <v>492</v>
      </c>
      <c r="C431" s="7" t="s">
        <v>19</v>
      </c>
      <c r="D431" s="7" t="s">
        <v>45</v>
      </c>
      <c r="E431" s="5" t="s">
        <v>15</v>
      </c>
      <c r="F431" s="8"/>
      <c r="G431" s="9">
        <f>H431*(1-15%)*(1-F431)</f>
        <v>32.214999999999996</v>
      </c>
      <c r="H431" s="9">
        <v>37.899999999999999</v>
      </c>
      <c r="I431" s="9">
        <f>H431-G431</f>
        <v>5.6850000000000023</v>
      </c>
    </row>
    <row r="432" ht="14.25">
      <c r="A432" s="5">
        <v>82106</v>
      </c>
      <c r="B432" s="6" t="s">
        <v>493</v>
      </c>
      <c r="C432" s="7" t="s">
        <v>14</v>
      </c>
      <c r="D432" s="7" t="s">
        <v>71</v>
      </c>
      <c r="E432" s="5" t="s">
        <v>26</v>
      </c>
      <c r="F432" s="8"/>
      <c r="G432" s="9">
        <f>H432*(1-15%)*(1-F432)</f>
        <v>42.414999999999999</v>
      </c>
      <c r="H432" s="9">
        <v>49.899999999999999</v>
      </c>
      <c r="I432" s="9">
        <f>H432-G432</f>
        <v>7.4849999999999994</v>
      </c>
    </row>
    <row r="433" ht="14.25">
      <c r="A433" s="5">
        <v>82124</v>
      </c>
      <c r="B433" s="6" t="s">
        <v>494</v>
      </c>
      <c r="C433" s="7" t="s">
        <v>14</v>
      </c>
      <c r="D433" s="7" t="s">
        <v>103</v>
      </c>
      <c r="E433" s="5" t="s">
        <v>68</v>
      </c>
      <c r="F433" s="8"/>
      <c r="G433" s="9">
        <f>H433*(1-15%)*(1-F433)</f>
        <v>29.664999999999999</v>
      </c>
      <c r="H433" s="9">
        <v>34.899999999999999</v>
      </c>
      <c r="I433" s="9">
        <f>H433-G433</f>
        <v>5.2349999999999994</v>
      </c>
    </row>
    <row r="434" ht="14.25">
      <c r="A434" s="5">
        <v>81539</v>
      </c>
      <c r="B434" s="6" t="s">
        <v>495</v>
      </c>
      <c r="C434" s="7" t="s">
        <v>251</v>
      </c>
      <c r="D434" s="7" t="s">
        <v>61</v>
      </c>
      <c r="E434" s="5" t="s">
        <v>15</v>
      </c>
      <c r="F434" s="8"/>
      <c r="G434" s="9">
        <f>H434*(1-15%)*(1-F434)</f>
        <v>169.91499999999999</v>
      </c>
      <c r="H434" s="9">
        <v>199.90000000000001</v>
      </c>
      <c r="I434" s="9">
        <f>H434-G434</f>
        <v>29.985000000000014</v>
      </c>
    </row>
    <row r="435" ht="14.25">
      <c r="A435" s="5">
        <v>83484</v>
      </c>
      <c r="B435" s="6" t="s">
        <v>496</v>
      </c>
      <c r="C435" s="7" t="s">
        <v>17</v>
      </c>
      <c r="D435" s="7" t="s">
        <v>61</v>
      </c>
      <c r="E435" s="5" t="s">
        <v>15</v>
      </c>
      <c r="F435" s="8"/>
      <c r="G435" s="9">
        <f>H435*(1-15%)*(1-F435)</f>
        <v>123.16500000000001</v>
      </c>
      <c r="H435" s="9">
        <v>144.90000000000001</v>
      </c>
      <c r="I435" s="9">
        <f>H435-G435</f>
        <v>21.734999999999999</v>
      </c>
    </row>
    <row r="436" ht="14.25">
      <c r="A436" s="5">
        <v>81512</v>
      </c>
      <c r="B436" s="6" t="s">
        <v>497</v>
      </c>
      <c r="C436" s="7" t="s">
        <v>271</v>
      </c>
      <c r="D436" s="7" t="s">
        <v>110</v>
      </c>
      <c r="E436" s="5" t="s">
        <v>68</v>
      </c>
      <c r="F436" s="8"/>
      <c r="G436" s="9">
        <f>H436*(1-15%)*(1-F436)</f>
        <v>36.464999999999996</v>
      </c>
      <c r="H436" s="9">
        <v>42.899999999999999</v>
      </c>
      <c r="I436" s="9">
        <f>H436-G436</f>
        <v>6.4350000000000023</v>
      </c>
    </row>
    <row r="437" ht="14.25">
      <c r="A437" s="5">
        <v>81513</v>
      </c>
      <c r="B437" s="6" t="s">
        <v>498</v>
      </c>
      <c r="C437" s="7" t="s">
        <v>271</v>
      </c>
      <c r="D437" s="7" t="s">
        <v>110</v>
      </c>
      <c r="E437" s="5" t="s">
        <v>68</v>
      </c>
      <c r="F437" s="8"/>
      <c r="G437" s="9">
        <f>H437*(1-15%)*(1-F437)</f>
        <v>36.464999999999996</v>
      </c>
      <c r="H437" s="9">
        <v>42.899999999999999</v>
      </c>
      <c r="I437" s="9">
        <f>H437-G437</f>
        <v>6.4350000000000023</v>
      </c>
    </row>
    <row r="438" ht="14.25">
      <c r="A438" s="5">
        <v>81514</v>
      </c>
      <c r="B438" s="6" t="s">
        <v>499</v>
      </c>
      <c r="C438" s="7" t="s">
        <v>271</v>
      </c>
      <c r="D438" s="7" t="s">
        <v>110</v>
      </c>
      <c r="E438" s="5" t="s">
        <v>68</v>
      </c>
      <c r="F438" s="8"/>
      <c r="G438" s="9">
        <f>H438*(1-15%)*(1-F438)</f>
        <v>36.464999999999996</v>
      </c>
      <c r="H438" s="9">
        <v>42.899999999999999</v>
      </c>
      <c r="I438" s="9">
        <f>H438-G438</f>
        <v>6.4350000000000023</v>
      </c>
    </row>
    <row r="439" ht="14.25">
      <c r="A439" s="5">
        <v>82917</v>
      </c>
      <c r="B439" s="6" t="s">
        <v>500</v>
      </c>
      <c r="C439" s="7" t="s">
        <v>14</v>
      </c>
      <c r="D439" s="7" t="s">
        <v>45</v>
      </c>
      <c r="E439" s="5" t="s">
        <v>15</v>
      </c>
      <c r="F439" s="8"/>
      <c r="G439" s="9">
        <f>H439*(1-15%)*(1-F439)</f>
        <v>63.665000000000006</v>
      </c>
      <c r="H439" s="9">
        <v>74.900000000000006</v>
      </c>
      <c r="I439" s="9">
        <f>H439-G439</f>
        <v>11.234999999999999</v>
      </c>
    </row>
    <row r="440" ht="14.25">
      <c r="A440" s="5">
        <v>82246</v>
      </c>
      <c r="B440" s="6" t="s">
        <v>501</v>
      </c>
      <c r="C440" s="7" t="s">
        <v>82</v>
      </c>
      <c r="D440" s="7" t="s">
        <v>45</v>
      </c>
      <c r="E440" s="5" t="s">
        <v>15</v>
      </c>
      <c r="F440" s="8"/>
      <c r="G440" s="9">
        <f>H440*(1-15%)*(1-F440)</f>
        <v>50.914999999999999</v>
      </c>
      <c r="H440" s="9">
        <v>59.899999999999999</v>
      </c>
      <c r="I440" s="9">
        <f>H440-G440</f>
        <v>8.9849999999999994</v>
      </c>
    </row>
    <row r="441" ht="14.25">
      <c r="A441" s="5">
        <v>82042</v>
      </c>
      <c r="B441" s="6" t="s">
        <v>502</v>
      </c>
      <c r="C441" s="7" t="s">
        <v>82</v>
      </c>
      <c r="D441" s="7" t="s">
        <v>103</v>
      </c>
      <c r="E441" s="5" t="s">
        <v>26</v>
      </c>
      <c r="F441" s="8"/>
      <c r="G441" s="9">
        <f>H441*(1-15%)*(1-F441)</f>
        <v>31.364999999999998</v>
      </c>
      <c r="H441" s="9">
        <v>36.899999999999999</v>
      </c>
      <c r="I441" s="9">
        <f>H441-G441</f>
        <v>5.5350000000000001</v>
      </c>
    </row>
    <row r="442" ht="14.25">
      <c r="A442" s="5">
        <v>82041</v>
      </c>
      <c r="B442" s="6" t="s">
        <v>503</v>
      </c>
      <c r="C442" s="7" t="s">
        <v>82</v>
      </c>
      <c r="D442" s="7" t="s">
        <v>103</v>
      </c>
      <c r="E442" s="5" t="s">
        <v>68</v>
      </c>
      <c r="F442" s="8"/>
      <c r="G442" s="9">
        <f>H442*(1-15%)*(1-F442)</f>
        <v>20.314999999999998</v>
      </c>
      <c r="H442" s="9">
        <v>23.899999999999999</v>
      </c>
      <c r="I442" s="9">
        <f>H442-G442</f>
        <v>3.5850000000000009</v>
      </c>
    </row>
    <row r="443" ht="14.25">
      <c r="A443" s="5">
        <v>82037</v>
      </c>
      <c r="B443" s="6" t="s">
        <v>504</v>
      </c>
      <c r="C443" s="7" t="s">
        <v>82</v>
      </c>
      <c r="D443" s="7" t="s">
        <v>11</v>
      </c>
      <c r="E443" s="5" t="s">
        <v>39</v>
      </c>
      <c r="F443" s="8"/>
      <c r="G443" s="9">
        <f>H443*(1-15%)*(1-F443)</f>
        <v>78.965000000000003</v>
      </c>
      <c r="H443" s="9">
        <v>92.900000000000006</v>
      </c>
      <c r="I443" s="9">
        <f>H443-G443</f>
        <v>13.935000000000002</v>
      </c>
    </row>
    <row r="444" ht="14.25">
      <c r="A444" s="5">
        <v>82036</v>
      </c>
      <c r="B444" s="6" t="s">
        <v>505</v>
      </c>
      <c r="C444" s="7" t="s">
        <v>82</v>
      </c>
      <c r="D444" s="7" t="s">
        <v>103</v>
      </c>
      <c r="E444" s="5" t="s">
        <v>68</v>
      </c>
      <c r="F444" s="8"/>
      <c r="G444" s="9">
        <f>H444*(1-15%)*(1-F444)</f>
        <v>42.414999999999999</v>
      </c>
      <c r="H444" s="9">
        <v>49.899999999999999</v>
      </c>
      <c r="I444" s="9">
        <f>H444-G444</f>
        <v>7.4849999999999994</v>
      </c>
    </row>
    <row r="445" ht="14.25">
      <c r="A445" s="5">
        <v>82034</v>
      </c>
      <c r="B445" s="6" t="s">
        <v>506</v>
      </c>
      <c r="C445" s="7" t="s">
        <v>82</v>
      </c>
      <c r="D445" s="7" t="s">
        <v>45</v>
      </c>
      <c r="E445" s="5" t="s">
        <v>39</v>
      </c>
      <c r="F445" s="8"/>
      <c r="G445" s="9">
        <f>H445*(1-15%)*(1-F445)</f>
        <v>46.664999999999999</v>
      </c>
      <c r="H445" s="9">
        <v>54.899999999999999</v>
      </c>
      <c r="I445" s="9">
        <f>H445-G445</f>
        <v>8.2349999999999994</v>
      </c>
    </row>
    <row r="446" ht="14.25">
      <c r="A446" s="5">
        <v>82033</v>
      </c>
      <c r="B446" s="6" t="s">
        <v>507</v>
      </c>
      <c r="C446" s="7" t="s">
        <v>82</v>
      </c>
      <c r="D446" s="7" t="s">
        <v>45</v>
      </c>
      <c r="E446" s="5" t="s">
        <v>26</v>
      </c>
      <c r="F446" s="8"/>
      <c r="G446" s="9">
        <f>H446*(1-15%)*(1-F446)</f>
        <v>63.665000000000006</v>
      </c>
      <c r="H446" s="9">
        <v>74.900000000000006</v>
      </c>
      <c r="I446" s="9">
        <f>H446-G446</f>
        <v>11.234999999999999</v>
      </c>
    </row>
    <row r="447" ht="14.25">
      <c r="A447" s="5">
        <v>82025</v>
      </c>
      <c r="B447" s="6" t="s">
        <v>508</v>
      </c>
      <c r="C447" s="7" t="s">
        <v>65</v>
      </c>
      <c r="D447" s="7" t="s">
        <v>95</v>
      </c>
      <c r="E447" s="5" t="s">
        <v>26</v>
      </c>
      <c r="F447" s="8"/>
      <c r="G447" s="9">
        <f>H447*(1-15%)*(1-F447)</f>
        <v>44.964999999999996</v>
      </c>
      <c r="H447" s="9">
        <v>52.899999999999999</v>
      </c>
      <c r="I447" s="9">
        <f>H447-G447</f>
        <v>7.9350000000000023</v>
      </c>
    </row>
    <row r="448" ht="14.25">
      <c r="A448" s="5">
        <v>81568</v>
      </c>
      <c r="B448" s="6" t="s">
        <v>509</v>
      </c>
      <c r="C448" s="7" t="s">
        <v>65</v>
      </c>
      <c r="D448" s="7" t="s">
        <v>103</v>
      </c>
      <c r="E448" s="5" t="s">
        <v>26</v>
      </c>
      <c r="F448" s="8"/>
      <c r="G448" s="9">
        <f>H448*(1-15%)*(1-F448)</f>
        <v>32.214999999999996</v>
      </c>
      <c r="H448" s="9">
        <v>37.899999999999999</v>
      </c>
      <c r="I448" s="9">
        <f>H448-G448</f>
        <v>5.6850000000000023</v>
      </c>
    </row>
    <row r="449" ht="14.25">
      <c r="A449" s="5">
        <v>79570</v>
      </c>
      <c r="B449" s="6" t="s">
        <v>510</v>
      </c>
      <c r="C449" s="7" t="s">
        <v>65</v>
      </c>
      <c r="D449" s="7" t="s">
        <v>95</v>
      </c>
      <c r="E449" s="5" t="s">
        <v>26</v>
      </c>
      <c r="F449" s="8"/>
      <c r="G449" s="9">
        <f>H449*(1-15%)*(1-F449)</f>
        <v>33.914999999999999</v>
      </c>
      <c r="H449" s="9">
        <v>39.899999999999999</v>
      </c>
      <c r="I449" s="9">
        <f>H449-G449</f>
        <v>5.9849999999999994</v>
      </c>
    </row>
    <row r="450" ht="14.25">
      <c r="A450" s="5">
        <v>79569</v>
      </c>
      <c r="B450" s="6" t="s">
        <v>511</v>
      </c>
      <c r="C450" s="7" t="s">
        <v>65</v>
      </c>
      <c r="D450" s="7" t="s">
        <v>174</v>
      </c>
      <c r="E450" s="5" t="s">
        <v>15</v>
      </c>
      <c r="F450" s="8"/>
      <c r="G450" s="9">
        <f>H450*(1-15%)*(1-F450)</f>
        <v>40.714999999999996</v>
      </c>
      <c r="H450" s="9">
        <v>47.899999999999999</v>
      </c>
      <c r="I450" s="9">
        <f>H450-G450</f>
        <v>7.1850000000000023</v>
      </c>
    </row>
    <row r="451" ht="14.25">
      <c r="A451" s="5">
        <v>77272</v>
      </c>
      <c r="B451" s="6" t="s">
        <v>512</v>
      </c>
      <c r="C451" s="7" t="s">
        <v>65</v>
      </c>
      <c r="D451" s="7" t="s">
        <v>95</v>
      </c>
      <c r="E451" s="5" t="s">
        <v>26</v>
      </c>
      <c r="F451" s="8"/>
      <c r="G451" s="9">
        <f>H451*(1-15%)*(1-F451)</f>
        <v>33.914999999999999</v>
      </c>
      <c r="H451" s="9">
        <v>39.899999999999999</v>
      </c>
      <c r="I451" s="9">
        <f>H451-G451</f>
        <v>5.9849999999999994</v>
      </c>
    </row>
    <row r="452" ht="14.25">
      <c r="A452" s="5">
        <v>77271</v>
      </c>
      <c r="B452" s="6" t="s">
        <v>513</v>
      </c>
      <c r="C452" s="7" t="s">
        <v>65</v>
      </c>
      <c r="D452" s="7" t="s">
        <v>95</v>
      </c>
      <c r="E452" s="5" t="s">
        <v>26</v>
      </c>
      <c r="F452" s="8"/>
      <c r="G452" s="9">
        <f>H452*(1-15%)*(1-F452)</f>
        <v>38.164999999999999</v>
      </c>
      <c r="H452" s="9">
        <v>44.899999999999999</v>
      </c>
      <c r="I452" s="9">
        <f>H452-G452</f>
        <v>6.7349999999999994</v>
      </c>
    </row>
    <row r="453" ht="14.25">
      <c r="A453" s="5">
        <v>77270</v>
      </c>
      <c r="B453" s="6" t="s">
        <v>514</v>
      </c>
      <c r="C453" s="7" t="s">
        <v>65</v>
      </c>
      <c r="D453" s="7" t="s">
        <v>95</v>
      </c>
      <c r="E453" s="5" t="s">
        <v>26</v>
      </c>
      <c r="F453" s="8"/>
      <c r="G453" s="9">
        <f>H453*(1-15%)*(1-F453)</f>
        <v>36.464999999999996</v>
      </c>
      <c r="H453" s="9">
        <v>42.899999999999999</v>
      </c>
      <c r="I453" s="9">
        <f>H453-G453</f>
        <v>6.4350000000000023</v>
      </c>
    </row>
    <row r="454" ht="14.25">
      <c r="A454" s="5">
        <v>76664</v>
      </c>
      <c r="B454" s="6" t="s">
        <v>515</v>
      </c>
      <c r="C454" s="7" t="s">
        <v>65</v>
      </c>
      <c r="D454" s="7" t="s">
        <v>11</v>
      </c>
      <c r="E454" s="5" t="s">
        <v>39</v>
      </c>
      <c r="F454" s="8"/>
      <c r="G454" s="9">
        <f>H454*(1-15%)*(1-F454)</f>
        <v>140.16499999999999</v>
      </c>
      <c r="H454" s="9">
        <v>164.90000000000001</v>
      </c>
      <c r="I454" s="9">
        <f>H454-G454</f>
        <v>24.735000000000014</v>
      </c>
    </row>
    <row r="455" ht="14.25">
      <c r="A455" s="5">
        <v>74223</v>
      </c>
      <c r="B455" s="6" t="s">
        <v>516</v>
      </c>
      <c r="C455" s="7" t="s">
        <v>65</v>
      </c>
      <c r="D455" s="7" t="s">
        <v>71</v>
      </c>
      <c r="E455" s="5" t="s">
        <v>15</v>
      </c>
      <c r="F455" s="8"/>
      <c r="G455" s="9">
        <f>H455*(1-15%)*(1-F455)</f>
        <v>33.914999999999999</v>
      </c>
      <c r="H455" s="9">
        <v>39.899999999999999</v>
      </c>
      <c r="I455" s="9">
        <f>H455-G455</f>
        <v>5.9849999999999994</v>
      </c>
    </row>
    <row r="456" ht="14.25">
      <c r="A456" s="5">
        <v>74222</v>
      </c>
      <c r="B456" s="6" t="s">
        <v>517</v>
      </c>
      <c r="C456" s="7" t="s">
        <v>65</v>
      </c>
      <c r="D456" s="7" t="s">
        <v>71</v>
      </c>
      <c r="E456" s="5" t="s">
        <v>39</v>
      </c>
      <c r="F456" s="8"/>
      <c r="G456" s="9">
        <f>H456*(1-15%)*(1-F456)</f>
        <v>33.914999999999999</v>
      </c>
      <c r="H456" s="9">
        <v>39.899999999999999</v>
      </c>
      <c r="I456" s="9">
        <f>H456-G456</f>
        <v>5.9849999999999994</v>
      </c>
    </row>
    <row r="457" ht="14.25">
      <c r="A457" s="5">
        <v>74221</v>
      </c>
      <c r="B457" s="6" t="s">
        <v>518</v>
      </c>
      <c r="C457" s="7" t="s">
        <v>65</v>
      </c>
      <c r="D457" s="7" t="s">
        <v>71</v>
      </c>
      <c r="E457" s="5" t="s">
        <v>68</v>
      </c>
      <c r="F457" s="8"/>
      <c r="G457" s="9">
        <f>H457*(1-15%)*(1-F457)</f>
        <v>25.414999999999999</v>
      </c>
      <c r="H457" s="9">
        <v>29.899999999999999</v>
      </c>
      <c r="I457" s="9">
        <f>H457-G457</f>
        <v>4.4849999999999994</v>
      </c>
    </row>
    <row r="458" ht="14.25">
      <c r="A458" s="5">
        <v>73811</v>
      </c>
      <c r="B458" s="6" t="s">
        <v>519</v>
      </c>
      <c r="C458" s="7" t="s">
        <v>65</v>
      </c>
      <c r="D458" s="7" t="s">
        <v>103</v>
      </c>
      <c r="E458" s="5" t="s">
        <v>68</v>
      </c>
      <c r="F458" s="8"/>
      <c r="G458" s="9">
        <f>H458*(1-15%)*(1-F458)</f>
        <v>23.715</v>
      </c>
      <c r="H458" s="9">
        <v>27.899999999999999</v>
      </c>
      <c r="I458" s="9">
        <f>H458-G458</f>
        <v>4.1849999999999987</v>
      </c>
    </row>
    <row r="459" ht="14.25">
      <c r="A459" s="5">
        <v>73745</v>
      </c>
      <c r="B459" s="6" t="s">
        <v>520</v>
      </c>
      <c r="C459" s="7" t="s">
        <v>65</v>
      </c>
      <c r="D459" s="7" t="s">
        <v>95</v>
      </c>
      <c r="E459" s="5" t="s">
        <v>68</v>
      </c>
      <c r="F459" s="8"/>
      <c r="G459" s="9">
        <f>H459*(1-15%)*(1-F459)</f>
        <v>49.214999999999996</v>
      </c>
      <c r="H459" s="9">
        <v>57.899999999999999</v>
      </c>
      <c r="I459" s="9">
        <f>H459-G459</f>
        <v>8.6850000000000023</v>
      </c>
    </row>
    <row r="460" ht="14.25">
      <c r="A460" s="5">
        <v>46467</v>
      </c>
      <c r="B460" s="6" t="s">
        <v>521</v>
      </c>
      <c r="C460" s="7" t="s">
        <v>82</v>
      </c>
      <c r="D460" s="7" t="s">
        <v>183</v>
      </c>
      <c r="E460" s="5" t="s">
        <v>15</v>
      </c>
      <c r="F460" s="8"/>
      <c r="G460" s="9">
        <f>H460*(1-15%)*(1-F460)</f>
        <v>44.964999999999996</v>
      </c>
      <c r="H460" s="9">
        <v>52.899999999999999</v>
      </c>
      <c r="I460" s="9">
        <f>H460-G460</f>
        <v>7.9350000000000023</v>
      </c>
    </row>
    <row r="461" ht="14.25">
      <c r="A461" s="5">
        <v>45972</v>
      </c>
      <c r="B461" s="6" t="s">
        <v>522</v>
      </c>
      <c r="C461" s="7" t="s">
        <v>82</v>
      </c>
      <c r="D461" s="7" t="s">
        <v>183</v>
      </c>
      <c r="E461" s="5" t="s">
        <v>15</v>
      </c>
      <c r="F461" s="8"/>
      <c r="G461" s="9">
        <f>H461*(1-15%)*(1-F461)</f>
        <v>36.464999999999996</v>
      </c>
      <c r="H461" s="9">
        <v>42.899999999999999</v>
      </c>
      <c r="I461" s="9">
        <f>H461-G461</f>
        <v>6.4350000000000023</v>
      </c>
    </row>
    <row r="462" ht="14.25">
      <c r="A462" s="5">
        <v>80361</v>
      </c>
      <c r="B462" s="6" t="s">
        <v>523</v>
      </c>
      <c r="C462" s="7" t="s">
        <v>87</v>
      </c>
      <c r="D462" s="7" t="s">
        <v>52</v>
      </c>
      <c r="E462" s="5" t="s">
        <v>15</v>
      </c>
      <c r="F462" s="8"/>
      <c r="G462" s="9">
        <f>H462*(1-15%)*(1-F462)</f>
        <v>36.464999999999996</v>
      </c>
      <c r="H462" s="9">
        <v>42.899999999999999</v>
      </c>
      <c r="I462" s="9">
        <f>H462-G462</f>
        <v>6.4350000000000023</v>
      </c>
    </row>
    <row r="463" ht="14.25">
      <c r="A463" s="5">
        <v>22023</v>
      </c>
      <c r="B463" s="6" t="s">
        <v>524</v>
      </c>
      <c r="C463" s="7" t="s">
        <v>271</v>
      </c>
      <c r="D463" s="7" t="s">
        <v>11</v>
      </c>
      <c r="E463" s="5" t="s">
        <v>15</v>
      </c>
      <c r="F463" s="8"/>
      <c r="G463" s="9">
        <f>H463*(1-15%)*(1-F463)</f>
        <v>101.91500000000001</v>
      </c>
      <c r="H463" s="9">
        <v>119.90000000000001</v>
      </c>
      <c r="I463" s="9">
        <f>H463-G463</f>
        <v>17.984999999999999</v>
      </c>
    </row>
    <row r="464" ht="14.25">
      <c r="A464" s="5">
        <v>45553</v>
      </c>
      <c r="B464" s="6" t="s">
        <v>525</v>
      </c>
      <c r="C464" s="7" t="s">
        <v>271</v>
      </c>
      <c r="D464" s="7" t="s">
        <v>183</v>
      </c>
      <c r="E464" s="5" t="s">
        <v>15</v>
      </c>
      <c r="F464" s="8"/>
      <c r="G464" s="9">
        <f>H464*(1-15%)*(1-F464)</f>
        <v>40.714999999999996</v>
      </c>
      <c r="H464" s="9">
        <v>47.899999999999999</v>
      </c>
      <c r="I464" s="9">
        <f>H464-G464</f>
        <v>7.1850000000000023</v>
      </c>
    </row>
    <row r="465" ht="14.25">
      <c r="A465" s="5">
        <v>45629</v>
      </c>
      <c r="B465" s="6" t="s">
        <v>526</v>
      </c>
      <c r="C465" s="7" t="s">
        <v>271</v>
      </c>
      <c r="D465" s="7" t="s">
        <v>183</v>
      </c>
      <c r="E465" s="5" t="s">
        <v>68</v>
      </c>
      <c r="F465" s="8"/>
      <c r="G465" s="9">
        <f>H465*(1-15%)*(1-F465)</f>
        <v>36.464999999999996</v>
      </c>
      <c r="H465" s="9">
        <v>42.899999999999999</v>
      </c>
      <c r="I465" s="9">
        <f>H465-G465</f>
        <v>6.4350000000000023</v>
      </c>
    </row>
    <row r="466" ht="14.25">
      <c r="A466" s="5">
        <v>75049</v>
      </c>
      <c r="B466" s="6" t="s">
        <v>527</v>
      </c>
      <c r="C466" s="7" t="s">
        <v>271</v>
      </c>
      <c r="D466" s="7" t="s">
        <v>110</v>
      </c>
      <c r="E466" s="5" t="s">
        <v>68</v>
      </c>
      <c r="F466" s="8"/>
      <c r="G466" s="9">
        <f>H466*(1-15%)*(1-F466)</f>
        <v>93.415000000000006</v>
      </c>
      <c r="H466" s="9">
        <v>109.90000000000001</v>
      </c>
      <c r="I466" s="9">
        <f>H466-G466</f>
        <v>16.484999999999999</v>
      </c>
    </row>
    <row r="467" ht="14.25">
      <c r="A467" s="5">
        <v>75551</v>
      </c>
      <c r="B467" s="6" t="s">
        <v>528</v>
      </c>
      <c r="C467" s="7" t="s">
        <v>271</v>
      </c>
      <c r="D467" s="7" t="s">
        <v>110</v>
      </c>
      <c r="E467" s="5" t="s">
        <v>15</v>
      </c>
      <c r="F467" s="8"/>
      <c r="G467" s="9">
        <f>H467*(1-15%)*(1-F467)</f>
        <v>25.414999999999999</v>
      </c>
      <c r="H467" s="9">
        <v>29.899999999999999</v>
      </c>
      <c r="I467" s="9">
        <f>H467-G467</f>
        <v>4.4849999999999994</v>
      </c>
    </row>
    <row r="468" ht="14.25">
      <c r="A468" s="5">
        <v>75590</v>
      </c>
      <c r="B468" s="6" t="s">
        <v>529</v>
      </c>
      <c r="C468" s="7" t="s">
        <v>271</v>
      </c>
      <c r="D468" s="7" t="s">
        <v>110</v>
      </c>
      <c r="E468" s="5" t="s">
        <v>68</v>
      </c>
      <c r="F468" s="8"/>
      <c r="G468" s="9">
        <f>H468*(1-15%)*(1-F468)</f>
        <v>46.664999999999999</v>
      </c>
      <c r="H468" s="9">
        <v>54.899999999999999</v>
      </c>
      <c r="I468" s="9">
        <f>H468-G468</f>
        <v>8.2349999999999994</v>
      </c>
    </row>
    <row r="469" ht="14.25">
      <c r="A469" s="5">
        <v>75609</v>
      </c>
      <c r="B469" s="6" t="s">
        <v>530</v>
      </c>
      <c r="C469" s="7" t="s">
        <v>271</v>
      </c>
      <c r="D469" s="7" t="s">
        <v>11</v>
      </c>
      <c r="E469" s="5" t="s">
        <v>15</v>
      </c>
      <c r="F469" s="8"/>
      <c r="G469" s="9">
        <f>H469*(1-15%)*(1-F469)</f>
        <v>101.91500000000001</v>
      </c>
      <c r="H469" s="9">
        <v>119.90000000000001</v>
      </c>
      <c r="I469" s="9">
        <f>H469-G469</f>
        <v>17.984999999999999</v>
      </c>
    </row>
    <row r="470" ht="14.25">
      <c r="A470" s="5">
        <v>75646</v>
      </c>
      <c r="B470" s="6" t="s">
        <v>531</v>
      </c>
      <c r="C470" s="7" t="s">
        <v>271</v>
      </c>
      <c r="D470" s="7" t="s">
        <v>110</v>
      </c>
      <c r="E470" s="5" t="s">
        <v>68</v>
      </c>
      <c r="F470" s="8"/>
      <c r="G470" s="9">
        <f>H470*(1-15%)*(1-F470)</f>
        <v>49.214999999999996</v>
      </c>
      <c r="H470" s="9">
        <v>57.899999999999999</v>
      </c>
      <c r="I470" s="9">
        <f>H470-G470</f>
        <v>8.6850000000000023</v>
      </c>
    </row>
    <row r="471" ht="14.25">
      <c r="A471" s="5">
        <v>75647</v>
      </c>
      <c r="B471" s="6" t="s">
        <v>532</v>
      </c>
      <c r="C471" s="7" t="s">
        <v>271</v>
      </c>
      <c r="D471" s="7" t="s">
        <v>110</v>
      </c>
      <c r="E471" s="5" t="s">
        <v>39</v>
      </c>
      <c r="F471" s="8"/>
      <c r="G471" s="9">
        <f>H471*(1-15%)*(1-F471)</f>
        <v>49.214999999999996</v>
      </c>
      <c r="H471" s="9">
        <v>57.899999999999999</v>
      </c>
      <c r="I471" s="9">
        <f>H471-G471</f>
        <v>8.6850000000000023</v>
      </c>
    </row>
    <row r="472" ht="14.25">
      <c r="A472" s="5">
        <v>75648</v>
      </c>
      <c r="B472" s="6" t="s">
        <v>533</v>
      </c>
      <c r="C472" s="7" t="s">
        <v>271</v>
      </c>
      <c r="D472" s="7" t="s">
        <v>110</v>
      </c>
      <c r="E472" s="5" t="s">
        <v>15</v>
      </c>
      <c r="F472" s="8"/>
      <c r="G472" s="9">
        <f>H472*(1-15%)*(1-F472)</f>
        <v>49.214999999999996</v>
      </c>
      <c r="H472" s="9">
        <v>57.899999999999999</v>
      </c>
      <c r="I472" s="9">
        <f>H472-G472</f>
        <v>8.6850000000000023</v>
      </c>
    </row>
    <row r="473" ht="14.25">
      <c r="A473" s="5">
        <v>75650</v>
      </c>
      <c r="B473" s="6" t="s">
        <v>534</v>
      </c>
      <c r="C473" s="7" t="s">
        <v>271</v>
      </c>
      <c r="D473" s="7" t="s">
        <v>110</v>
      </c>
      <c r="E473" s="5" t="s">
        <v>43</v>
      </c>
      <c r="F473" s="8"/>
      <c r="G473" s="9">
        <f>H473*(1-15%)*(1-F473)</f>
        <v>39.015000000000001</v>
      </c>
      <c r="H473" s="9">
        <v>45.899999999999999</v>
      </c>
      <c r="I473" s="9">
        <f>H473-G473</f>
        <v>6.884999999999998</v>
      </c>
    </row>
    <row r="474" ht="14.25">
      <c r="A474" s="5">
        <v>75653</v>
      </c>
      <c r="B474" s="6" t="s">
        <v>535</v>
      </c>
      <c r="C474" s="7" t="s">
        <v>271</v>
      </c>
      <c r="D474" s="7" t="s">
        <v>110</v>
      </c>
      <c r="E474" s="5" t="s">
        <v>15</v>
      </c>
      <c r="F474" s="8"/>
      <c r="G474" s="9">
        <f>H474*(1-15%)*(1-F474)</f>
        <v>49.214999999999996</v>
      </c>
      <c r="H474" s="9">
        <v>57.899999999999999</v>
      </c>
      <c r="I474" s="9">
        <f>H474-G474</f>
        <v>8.6850000000000023</v>
      </c>
    </row>
    <row r="475" ht="14.25">
      <c r="A475" s="5">
        <v>75654</v>
      </c>
      <c r="B475" s="6" t="s">
        <v>536</v>
      </c>
      <c r="C475" s="7" t="s">
        <v>271</v>
      </c>
      <c r="D475" s="7" t="s">
        <v>110</v>
      </c>
      <c r="E475" s="5" t="s">
        <v>15</v>
      </c>
      <c r="F475" s="8"/>
      <c r="G475" s="9">
        <f>H475*(1-15%)*(1-F475)</f>
        <v>49.214999999999996</v>
      </c>
      <c r="H475" s="9">
        <v>57.899999999999999</v>
      </c>
      <c r="I475" s="9">
        <f>H475-G475</f>
        <v>8.6850000000000023</v>
      </c>
    </row>
    <row r="476" ht="14.25">
      <c r="A476" s="5">
        <v>75655</v>
      </c>
      <c r="B476" s="6" t="s">
        <v>537</v>
      </c>
      <c r="C476" s="7" t="s">
        <v>271</v>
      </c>
      <c r="D476" s="7" t="s">
        <v>110</v>
      </c>
      <c r="E476" s="5" t="s">
        <v>68</v>
      </c>
      <c r="F476" s="8"/>
      <c r="G476" s="9">
        <f>H476*(1-15%)*(1-F476)</f>
        <v>46.664999999999999</v>
      </c>
      <c r="H476" s="9">
        <v>54.899999999999999</v>
      </c>
      <c r="I476" s="9">
        <f>H476-G476</f>
        <v>8.2349999999999994</v>
      </c>
    </row>
    <row r="477" ht="14.25">
      <c r="A477" s="5">
        <v>76579</v>
      </c>
      <c r="B477" s="6" t="s">
        <v>538</v>
      </c>
      <c r="C477" s="7" t="s">
        <v>271</v>
      </c>
      <c r="D477" s="7" t="s">
        <v>110</v>
      </c>
      <c r="E477" s="5" t="s">
        <v>68</v>
      </c>
      <c r="F477" s="8"/>
      <c r="G477" s="9">
        <f>H477*(1-15%)*(1-F477)</f>
        <v>29.664999999999999</v>
      </c>
      <c r="H477" s="9">
        <v>34.899999999999999</v>
      </c>
      <c r="I477" s="9">
        <f>H477-G477</f>
        <v>5.2349999999999994</v>
      </c>
    </row>
    <row r="478" ht="14.25">
      <c r="A478" s="5">
        <v>76582</v>
      </c>
      <c r="B478" s="6" t="s">
        <v>539</v>
      </c>
      <c r="C478" s="7" t="s">
        <v>271</v>
      </c>
      <c r="D478" s="7" t="s">
        <v>110</v>
      </c>
      <c r="E478" s="5" t="s">
        <v>43</v>
      </c>
      <c r="F478" s="8"/>
      <c r="G478" s="9">
        <f>H478*(1-15%)*(1-F478)</f>
        <v>29.664999999999999</v>
      </c>
      <c r="H478" s="9">
        <v>34.899999999999999</v>
      </c>
      <c r="I478" s="9">
        <f>H478-G478</f>
        <v>5.2349999999999994</v>
      </c>
    </row>
    <row r="479" ht="14.25">
      <c r="A479" s="5">
        <v>76584</v>
      </c>
      <c r="B479" s="6" t="s">
        <v>540</v>
      </c>
      <c r="C479" s="7" t="s">
        <v>271</v>
      </c>
      <c r="D479" s="7" t="s">
        <v>110</v>
      </c>
      <c r="E479" s="5" t="s">
        <v>43</v>
      </c>
      <c r="F479" s="8"/>
      <c r="G479" s="9">
        <f>H479*(1-15%)*(1-F479)</f>
        <v>29.664999999999999</v>
      </c>
      <c r="H479" s="9">
        <v>34.899999999999999</v>
      </c>
      <c r="I479" s="9">
        <f>H479-G479</f>
        <v>5.2349999999999994</v>
      </c>
    </row>
    <row r="480" ht="14.25">
      <c r="A480" s="5">
        <v>76586</v>
      </c>
      <c r="B480" s="6" t="s">
        <v>541</v>
      </c>
      <c r="C480" s="7" t="s">
        <v>271</v>
      </c>
      <c r="D480" s="7" t="s">
        <v>110</v>
      </c>
      <c r="E480" s="5" t="s">
        <v>39</v>
      </c>
      <c r="F480" s="8"/>
      <c r="G480" s="9">
        <f>H480*(1-15%)*(1-F480)</f>
        <v>29.664999999999999</v>
      </c>
      <c r="H480" s="9">
        <v>34.899999999999999</v>
      </c>
      <c r="I480" s="9">
        <f>H480-G480</f>
        <v>5.2349999999999994</v>
      </c>
    </row>
    <row r="481" ht="14.25">
      <c r="A481" s="5">
        <v>76947</v>
      </c>
      <c r="B481" s="6" t="s">
        <v>542</v>
      </c>
      <c r="C481" s="7" t="s">
        <v>271</v>
      </c>
      <c r="D481" s="7" t="s">
        <v>110</v>
      </c>
      <c r="E481" s="5" t="s">
        <v>68</v>
      </c>
      <c r="F481" s="8"/>
      <c r="G481" s="9">
        <f>H481*(1-15%)*(1-F481)</f>
        <v>49.214999999999996</v>
      </c>
      <c r="H481" s="9">
        <v>57.899999999999999</v>
      </c>
      <c r="I481" s="9">
        <f>H481-G481</f>
        <v>8.6850000000000023</v>
      </c>
    </row>
    <row r="482" ht="14.25">
      <c r="A482" s="5">
        <v>80694</v>
      </c>
      <c r="B482" s="6" t="s">
        <v>543</v>
      </c>
      <c r="C482" s="7" t="s">
        <v>271</v>
      </c>
      <c r="D482" s="7" t="s">
        <v>110</v>
      </c>
      <c r="E482" s="5" t="s">
        <v>15</v>
      </c>
      <c r="F482" s="8"/>
      <c r="G482" s="9">
        <f>H482*(1-15%)*(1-F482)</f>
        <v>25.414999999999999</v>
      </c>
      <c r="H482" s="9">
        <v>29.899999999999999</v>
      </c>
      <c r="I482" s="9">
        <f>H482-G482</f>
        <v>4.4849999999999994</v>
      </c>
    </row>
    <row r="483" ht="14.25">
      <c r="A483" s="5">
        <v>81334</v>
      </c>
      <c r="B483" s="6" t="s">
        <v>544</v>
      </c>
      <c r="C483" s="7" t="s">
        <v>271</v>
      </c>
      <c r="D483" s="7" t="s">
        <v>110</v>
      </c>
      <c r="E483" s="5" t="s">
        <v>15</v>
      </c>
      <c r="F483" s="8"/>
      <c r="G483" s="9">
        <f>H483*(1-15%)*(1-F483)</f>
        <v>93.415000000000006</v>
      </c>
      <c r="H483" s="9">
        <v>109.90000000000001</v>
      </c>
      <c r="I483" s="9">
        <f>H483-G483</f>
        <v>16.484999999999999</v>
      </c>
    </row>
    <row r="484" ht="14.25">
      <c r="A484" s="5">
        <v>81511</v>
      </c>
      <c r="B484" s="6" t="s">
        <v>545</v>
      </c>
      <c r="C484" s="7" t="s">
        <v>271</v>
      </c>
      <c r="D484" s="7" t="s">
        <v>110</v>
      </c>
      <c r="E484" s="5" t="s">
        <v>15</v>
      </c>
      <c r="F484" s="8"/>
      <c r="G484" s="9">
        <f>H484*(1-15%)*(1-F484)</f>
        <v>35.614999999999995</v>
      </c>
      <c r="H484" s="9">
        <v>41.899999999999999</v>
      </c>
      <c r="I484" s="9">
        <f>H484-G484</f>
        <v>6.2850000000000037</v>
      </c>
    </row>
    <row r="485" ht="14.25">
      <c r="A485" s="5">
        <v>81883</v>
      </c>
      <c r="B485" s="6" t="s">
        <v>546</v>
      </c>
      <c r="C485" s="7" t="s">
        <v>271</v>
      </c>
      <c r="D485" s="7" t="s">
        <v>45</v>
      </c>
      <c r="E485" s="5" t="s">
        <v>15</v>
      </c>
      <c r="F485" s="8"/>
      <c r="G485" s="9">
        <f>H485*(1-15%)*(1-F485)</f>
        <v>38.164999999999999</v>
      </c>
      <c r="H485" s="9">
        <v>44.899999999999999</v>
      </c>
      <c r="I485" s="9">
        <f>H485-G485</f>
        <v>6.7349999999999994</v>
      </c>
    </row>
    <row r="486" ht="14.25">
      <c r="A486" s="5">
        <v>81884</v>
      </c>
      <c r="B486" s="6" t="s">
        <v>547</v>
      </c>
      <c r="C486" s="7" t="s">
        <v>271</v>
      </c>
      <c r="D486" s="7" t="s">
        <v>45</v>
      </c>
      <c r="E486" s="5" t="s">
        <v>15</v>
      </c>
      <c r="F486" s="8"/>
      <c r="G486" s="9">
        <f>H486*(1-15%)*(1-F486)</f>
        <v>38.164999999999999</v>
      </c>
      <c r="H486" s="9">
        <v>44.899999999999999</v>
      </c>
      <c r="I486" s="9">
        <f>H486-G486</f>
        <v>6.7349999999999994</v>
      </c>
    </row>
    <row r="487" ht="14.25">
      <c r="A487" s="5">
        <v>81935</v>
      </c>
      <c r="B487" s="6" t="s">
        <v>548</v>
      </c>
      <c r="C487" s="7" t="s">
        <v>271</v>
      </c>
      <c r="D487" s="7" t="s">
        <v>110</v>
      </c>
      <c r="E487" s="5" t="s">
        <v>15</v>
      </c>
      <c r="F487" s="8"/>
      <c r="G487" s="9">
        <f>H487*(1-15%)*(1-F487)</f>
        <v>32.214999999999996</v>
      </c>
      <c r="H487" s="9">
        <v>37.899999999999999</v>
      </c>
      <c r="I487" s="9">
        <f>H487-G487</f>
        <v>5.6850000000000023</v>
      </c>
    </row>
    <row r="488" ht="14.25">
      <c r="A488" s="5">
        <v>82065</v>
      </c>
      <c r="B488" s="6" t="s">
        <v>549</v>
      </c>
      <c r="C488" s="7" t="s">
        <v>271</v>
      </c>
      <c r="D488" s="7" t="s">
        <v>110</v>
      </c>
      <c r="E488" s="5" t="s">
        <v>68</v>
      </c>
      <c r="F488" s="8"/>
      <c r="G488" s="9">
        <f>H488*(1-15%)*(1-F488)</f>
        <v>25.414999999999999</v>
      </c>
      <c r="H488" s="9">
        <v>29.899999999999999</v>
      </c>
      <c r="I488" s="9">
        <f>H488-G488</f>
        <v>4.4849999999999994</v>
      </c>
    </row>
    <row r="489" ht="14.25">
      <c r="A489" s="5">
        <v>75742</v>
      </c>
      <c r="B489" s="6" t="s">
        <v>550</v>
      </c>
      <c r="C489" s="7" t="s">
        <v>109</v>
      </c>
      <c r="D489" s="7" t="s">
        <v>110</v>
      </c>
      <c r="E489" s="5" t="s">
        <v>26</v>
      </c>
      <c r="F489" s="8"/>
      <c r="G489" s="9">
        <f>H489*(1-15%)*(1-F489)</f>
        <v>110.41500000000001</v>
      </c>
      <c r="H489" s="9">
        <v>129.90000000000001</v>
      </c>
      <c r="I489" s="9">
        <f>H489-G489</f>
        <v>19.484999999999999</v>
      </c>
    </row>
    <row r="490" ht="14.25">
      <c r="A490" s="5">
        <v>75754</v>
      </c>
      <c r="B490" s="6" t="s">
        <v>551</v>
      </c>
      <c r="C490" s="7" t="s">
        <v>109</v>
      </c>
      <c r="D490" s="7" t="s">
        <v>110</v>
      </c>
      <c r="E490" s="5" t="s">
        <v>26</v>
      </c>
      <c r="F490" s="8"/>
      <c r="G490" s="9">
        <f>H490*(1-15%)*(1-F490)</f>
        <v>110.41500000000001</v>
      </c>
      <c r="H490" s="9">
        <v>129.90000000000001</v>
      </c>
      <c r="I490" s="9">
        <f>H490-G490</f>
        <v>19.484999999999999</v>
      </c>
    </row>
    <row r="491" ht="14.25">
      <c r="A491" s="5">
        <v>75755</v>
      </c>
      <c r="B491" s="6" t="s">
        <v>552</v>
      </c>
      <c r="C491" s="7" t="s">
        <v>109</v>
      </c>
      <c r="D491" s="7" t="s">
        <v>110</v>
      </c>
      <c r="E491" s="5" t="s">
        <v>26</v>
      </c>
      <c r="F491" s="8"/>
      <c r="G491" s="9">
        <f>H491*(1-15%)*(1-F491)</f>
        <v>110.41500000000001</v>
      </c>
      <c r="H491" s="9">
        <v>129.90000000000001</v>
      </c>
      <c r="I491" s="9">
        <f>H491-G491</f>
        <v>19.484999999999999</v>
      </c>
    </row>
    <row r="492" ht="14.25">
      <c r="A492" s="5">
        <v>75765</v>
      </c>
      <c r="B492" s="6" t="s">
        <v>553</v>
      </c>
      <c r="C492" s="7" t="s">
        <v>109</v>
      </c>
      <c r="D492" s="7" t="s">
        <v>110</v>
      </c>
      <c r="E492" s="5" t="s">
        <v>26</v>
      </c>
      <c r="F492" s="8"/>
      <c r="G492" s="9">
        <f>H492*(1-15%)*(1-F492)</f>
        <v>110.41500000000001</v>
      </c>
      <c r="H492" s="9">
        <v>129.90000000000001</v>
      </c>
      <c r="I492" s="9">
        <f>H492-G492</f>
        <v>19.484999999999999</v>
      </c>
    </row>
    <row r="493" ht="14.25">
      <c r="A493" s="5">
        <v>75766</v>
      </c>
      <c r="B493" s="6" t="s">
        <v>554</v>
      </c>
      <c r="C493" s="7" t="s">
        <v>109</v>
      </c>
      <c r="D493" s="7" t="s">
        <v>110</v>
      </c>
      <c r="E493" s="5" t="s">
        <v>26</v>
      </c>
      <c r="F493" s="8"/>
      <c r="G493" s="9">
        <f>H493*(1-15%)*(1-F493)</f>
        <v>110.41500000000001</v>
      </c>
      <c r="H493" s="9">
        <v>129.90000000000001</v>
      </c>
      <c r="I493" s="9">
        <f>H493-G493</f>
        <v>19.484999999999999</v>
      </c>
    </row>
    <row r="494" ht="14.25">
      <c r="A494" s="5">
        <v>75767</v>
      </c>
      <c r="B494" s="6" t="s">
        <v>555</v>
      </c>
      <c r="C494" s="7" t="s">
        <v>109</v>
      </c>
      <c r="D494" s="7" t="s">
        <v>110</v>
      </c>
      <c r="E494" s="5" t="s">
        <v>26</v>
      </c>
      <c r="F494" s="8"/>
      <c r="G494" s="9">
        <f>H494*(1-15%)*(1-F494)</f>
        <v>110.41500000000001</v>
      </c>
      <c r="H494" s="9">
        <v>129.90000000000001</v>
      </c>
      <c r="I494" s="9">
        <f>H494-G494</f>
        <v>19.484999999999999</v>
      </c>
    </row>
    <row r="495" ht="14.25">
      <c r="A495" s="5">
        <v>76824</v>
      </c>
      <c r="B495" s="6" t="s">
        <v>556</v>
      </c>
      <c r="C495" s="7" t="s">
        <v>109</v>
      </c>
      <c r="D495" s="7" t="s">
        <v>110</v>
      </c>
      <c r="E495" s="5" t="s">
        <v>26</v>
      </c>
      <c r="F495" s="8"/>
      <c r="G495" s="9">
        <f>H495*(1-15%)*(1-F495)</f>
        <v>110.41500000000001</v>
      </c>
      <c r="H495" s="9">
        <v>129.90000000000001</v>
      </c>
      <c r="I495" s="9">
        <f>H495-G495</f>
        <v>19.484999999999999</v>
      </c>
    </row>
    <row r="496" ht="14.25">
      <c r="A496" s="5">
        <v>77689</v>
      </c>
      <c r="B496" s="6" t="s">
        <v>557</v>
      </c>
      <c r="C496" s="7" t="s">
        <v>70</v>
      </c>
      <c r="D496" s="7" t="s">
        <v>45</v>
      </c>
      <c r="E496" s="5" t="s">
        <v>26</v>
      </c>
      <c r="F496" s="8"/>
      <c r="G496" s="9">
        <f>H496*(1-15%)*(1-F496)</f>
        <v>84.915000000000006</v>
      </c>
      <c r="H496" s="9">
        <v>99.900000000000006</v>
      </c>
      <c r="I496" s="9">
        <f>H496-G496</f>
        <v>14.984999999999999</v>
      </c>
    </row>
    <row r="497" ht="14.25">
      <c r="A497" s="5">
        <v>81177</v>
      </c>
      <c r="B497" s="6" t="s">
        <v>558</v>
      </c>
      <c r="C497" s="7" t="s">
        <v>109</v>
      </c>
      <c r="D497" s="7" t="s">
        <v>11</v>
      </c>
      <c r="E497" s="5" t="s">
        <v>15</v>
      </c>
      <c r="F497" s="8"/>
      <c r="G497" s="9">
        <f>H497*(1-15%)*(1-F497)</f>
        <v>229.41499999999996</v>
      </c>
      <c r="H497" s="9">
        <v>269.89999999999998</v>
      </c>
      <c r="I497" s="9">
        <f>H497-G497</f>
        <v>40.485000000000014</v>
      </c>
    </row>
    <row r="498" ht="14.25">
      <c r="A498" s="5">
        <v>81178</v>
      </c>
      <c r="B498" s="6" t="s">
        <v>559</v>
      </c>
      <c r="C498" s="7" t="s">
        <v>109</v>
      </c>
      <c r="D498" s="7" t="s">
        <v>11</v>
      </c>
      <c r="E498" s="5" t="s">
        <v>15</v>
      </c>
      <c r="F498" s="8"/>
      <c r="G498" s="9">
        <f>H498*(1-15%)*(1-F498)</f>
        <v>229.41499999999996</v>
      </c>
      <c r="H498" s="9">
        <v>269.89999999999998</v>
      </c>
      <c r="I498" s="9">
        <f>H498-G498</f>
        <v>40.485000000000014</v>
      </c>
    </row>
    <row r="499" ht="14.25">
      <c r="A499" s="5">
        <v>81484</v>
      </c>
      <c r="B499" s="6" t="s">
        <v>560</v>
      </c>
      <c r="C499" s="7" t="s">
        <v>109</v>
      </c>
      <c r="D499" s="7" t="s">
        <v>45</v>
      </c>
      <c r="E499" s="5" t="s">
        <v>15</v>
      </c>
      <c r="F499" s="8"/>
      <c r="G499" s="9">
        <f>H499*(1-15%)*(1-F499)</f>
        <v>49.214999999999996</v>
      </c>
      <c r="H499" s="9">
        <v>57.899999999999999</v>
      </c>
      <c r="I499" s="9">
        <f>H499-G499</f>
        <v>8.6850000000000023</v>
      </c>
    </row>
    <row r="500" ht="14.25">
      <c r="A500" s="5">
        <v>81650</v>
      </c>
      <c r="B500" s="6" t="s">
        <v>561</v>
      </c>
      <c r="C500" s="7" t="s">
        <v>94</v>
      </c>
      <c r="D500" s="7" t="s">
        <v>95</v>
      </c>
      <c r="E500" s="5" t="s">
        <v>26</v>
      </c>
      <c r="F500" s="8"/>
      <c r="G500" s="9">
        <f>H500*(1-15%)*(1-F500)</f>
        <v>39.015000000000001</v>
      </c>
      <c r="H500" s="9">
        <v>45.899999999999999</v>
      </c>
      <c r="I500" s="9">
        <f>H500-G500</f>
        <v>6.884999999999998</v>
      </c>
    </row>
    <row r="501" ht="14.25">
      <c r="A501" s="5">
        <v>81651</v>
      </c>
      <c r="B501" s="6" t="s">
        <v>562</v>
      </c>
      <c r="C501" s="7" t="s">
        <v>94</v>
      </c>
      <c r="D501" s="7" t="s">
        <v>95</v>
      </c>
      <c r="E501" s="5" t="s">
        <v>26</v>
      </c>
      <c r="F501" s="8"/>
      <c r="G501" s="9">
        <f>H501*(1-15%)*(1-F501)</f>
        <v>39.015000000000001</v>
      </c>
      <c r="H501" s="9">
        <v>45.899999999999999</v>
      </c>
      <c r="I501" s="9">
        <f>H501-G501</f>
        <v>6.884999999999998</v>
      </c>
    </row>
    <row r="502" ht="14.25">
      <c r="A502" s="5">
        <v>81652</v>
      </c>
      <c r="B502" s="6" t="s">
        <v>563</v>
      </c>
      <c r="C502" s="7" t="s">
        <v>94</v>
      </c>
      <c r="D502" s="7" t="s">
        <v>95</v>
      </c>
      <c r="E502" s="5" t="s">
        <v>68</v>
      </c>
      <c r="F502" s="8"/>
      <c r="G502" s="9">
        <f>H502*(1-15%)*(1-F502)</f>
        <v>40.714999999999996</v>
      </c>
      <c r="H502" s="9">
        <v>47.899999999999999</v>
      </c>
      <c r="I502" s="9">
        <f>H502-G502</f>
        <v>7.1850000000000023</v>
      </c>
    </row>
    <row r="503" ht="14.25">
      <c r="A503" s="5">
        <v>81653</v>
      </c>
      <c r="B503" s="6" t="s">
        <v>564</v>
      </c>
      <c r="C503" s="7" t="s">
        <v>94</v>
      </c>
      <c r="D503" s="7" t="s">
        <v>95</v>
      </c>
      <c r="E503" s="5" t="s">
        <v>26</v>
      </c>
      <c r="F503" s="8"/>
      <c r="G503" s="9">
        <f>H503*(1-15%)*(1-F503)</f>
        <v>57.715000000000003</v>
      </c>
      <c r="H503" s="9">
        <v>67.900000000000006</v>
      </c>
      <c r="I503" s="9">
        <f>H503-G503</f>
        <v>10.185000000000002</v>
      </c>
    </row>
    <row r="504" ht="14.25">
      <c r="A504" s="5">
        <v>81654</v>
      </c>
      <c r="B504" s="6" t="s">
        <v>565</v>
      </c>
      <c r="C504" s="7" t="s">
        <v>94</v>
      </c>
      <c r="D504" s="7" t="s">
        <v>95</v>
      </c>
      <c r="E504" s="5" t="s">
        <v>26</v>
      </c>
      <c r="F504" s="8"/>
      <c r="G504" s="9">
        <f>H504*(1-15%)*(1-F504)</f>
        <v>44.964999999999996</v>
      </c>
      <c r="H504" s="9">
        <v>52.899999999999999</v>
      </c>
      <c r="I504" s="9">
        <f>H504-G504</f>
        <v>7.9350000000000023</v>
      </c>
    </row>
    <row r="505" ht="14.25">
      <c r="A505" s="5">
        <v>82815</v>
      </c>
      <c r="B505" s="6" t="s">
        <v>566</v>
      </c>
      <c r="C505" s="7" t="s">
        <v>109</v>
      </c>
      <c r="D505" s="7" t="s">
        <v>110</v>
      </c>
      <c r="E505" s="5" t="s">
        <v>43</v>
      </c>
      <c r="F505" s="8"/>
      <c r="G505" s="9">
        <f>H505*(1-15%)*(1-F505)</f>
        <v>67.915000000000006</v>
      </c>
      <c r="H505" s="9">
        <v>79.900000000000006</v>
      </c>
      <c r="I505" s="9">
        <f>H505-G505</f>
        <v>11.984999999999999</v>
      </c>
    </row>
    <row r="506" ht="14.25">
      <c r="A506" s="5">
        <v>82948</v>
      </c>
      <c r="B506" s="6" t="s">
        <v>567</v>
      </c>
      <c r="C506" s="7" t="s">
        <v>94</v>
      </c>
      <c r="D506" s="7" t="s">
        <v>95</v>
      </c>
      <c r="E506" s="5" t="s">
        <v>68</v>
      </c>
      <c r="F506" s="8"/>
      <c r="G506" s="9">
        <f>H506*(1-15%)*(1-F506)</f>
        <v>89.165000000000006</v>
      </c>
      <c r="H506" s="9">
        <v>104.90000000000001</v>
      </c>
      <c r="I506" s="9">
        <f>H506-G506</f>
        <v>15.734999999999999</v>
      </c>
    </row>
    <row r="507" ht="14.25">
      <c r="A507" s="5">
        <v>83188</v>
      </c>
      <c r="B507" s="6" t="s">
        <v>568</v>
      </c>
      <c r="C507" s="7" t="s">
        <v>10</v>
      </c>
      <c r="D507" s="7" t="s">
        <v>11</v>
      </c>
      <c r="E507" s="5" t="s">
        <v>26</v>
      </c>
      <c r="F507" s="8"/>
      <c r="G507" s="9">
        <f>H507*(1-15%)*(1-F507)</f>
        <v>186.91499999999999</v>
      </c>
      <c r="H507" s="9">
        <v>219.90000000000001</v>
      </c>
      <c r="I507" s="9">
        <f>H507-G507</f>
        <v>32.985000000000014</v>
      </c>
    </row>
    <row r="508" ht="14.25">
      <c r="A508" s="5">
        <v>83189</v>
      </c>
      <c r="B508" s="6" t="s">
        <v>569</v>
      </c>
      <c r="C508" s="7" t="s">
        <v>10</v>
      </c>
      <c r="D508" s="7" t="s">
        <v>71</v>
      </c>
      <c r="E508" s="5" t="s">
        <v>15</v>
      </c>
      <c r="F508" s="8"/>
      <c r="G508" s="9">
        <f>H508*(1-15%)*(1-F508)</f>
        <v>42.414999999999999</v>
      </c>
      <c r="H508" s="9">
        <v>49.899999999999999</v>
      </c>
      <c r="I508" s="9">
        <f>H508-G508</f>
        <v>7.4849999999999994</v>
      </c>
    </row>
    <row r="509" ht="14.25">
      <c r="A509" s="5">
        <v>83903</v>
      </c>
      <c r="B509" s="6" t="s">
        <v>570</v>
      </c>
      <c r="C509" s="7" t="s">
        <v>10</v>
      </c>
      <c r="D509" s="7" t="s">
        <v>174</v>
      </c>
      <c r="E509" s="5" t="s">
        <v>133</v>
      </c>
      <c r="F509" s="8"/>
      <c r="G509" s="9">
        <f>H509*(1-15%)*(1-F509)</f>
        <v>63.665000000000006</v>
      </c>
      <c r="H509" s="9">
        <v>74.900000000000006</v>
      </c>
      <c r="I509" s="9">
        <f>H509-G509</f>
        <v>11.234999999999999</v>
      </c>
    </row>
    <row r="510" ht="14.25">
      <c r="A510" s="5">
        <v>79757</v>
      </c>
      <c r="B510" s="6" t="s">
        <v>571</v>
      </c>
      <c r="C510" s="7" t="s">
        <v>75</v>
      </c>
      <c r="D510" s="7" t="s">
        <v>103</v>
      </c>
      <c r="E510" s="5" t="s">
        <v>15</v>
      </c>
      <c r="F510" s="8"/>
      <c r="G510" s="9">
        <f>H510*(1-15%)*(1-F510)</f>
        <v>25.414999999999999</v>
      </c>
      <c r="H510" s="9">
        <v>29.899999999999999</v>
      </c>
      <c r="I510" s="9">
        <f>H510-G510</f>
        <v>4.4849999999999994</v>
      </c>
    </row>
    <row r="511" ht="14.25">
      <c r="A511" s="5">
        <v>81954</v>
      </c>
      <c r="B511" s="6" t="s">
        <v>572</v>
      </c>
      <c r="C511" s="7" t="s">
        <v>17</v>
      </c>
      <c r="D511" s="7" t="s">
        <v>11</v>
      </c>
      <c r="E511" s="5" t="s">
        <v>26</v>
      </c>
      <c r="F511" s="8"/>
      <c r="G511" s="9">
        <f>H511*(1-15%)*(1-F511)</f>
        <v>140.16499999999999</v>
      </c>
      <c r="H511" s="9">
        <v>164.90000000000001</v>
      </c>
      <c r="I511" s="9">
        <f>H511-G511</f>
        <v>24.735000000000014</v>
      </c>
    </row>
    <row r="512" ht="14.25">
      <c r="A512" s="5">
        <v>81956</v>
      </c>
      <c r="B512" s="6" t="s">
        <v>573</v>
      </c>
      <c r="C512" s="7" t="s">
        <v>17</v>
      </c>
      <c r="D512" s="7" t="s">
        <v>45</v>
      </c>
      <c r="E512" s="5" t="s">
        <v>15</v>
      </c>
      <c r="F512" s="8"/>
      <c r="G512" s="9">
        <f>H512*(1-15%)*(1-F512)</f>
        <v>56.865000000000002</v>
      </c>
      <c r="H512" s="9">
        <v>66.900000000000006</v>
      </c>
      <c r="I512" s="9">
        <f>H512-G512</f>
        <v>10.035000000000004</v>
      </c>
    </row>
    <row r="513" ht="14.25">
      <c r="A513" s="5">
        <v>82045</v>
      </c>
      <c r="B513" s="6" t="s">
        <v>574</v>
      </c>
      <c r="C513" s="7" t="s">
        <v>75</v>
      </c>
      <c r="D513" s="7" t="s">
        <v>45</v>
      </c>
      <c r="E513" s="5" t="s">
        <v>26</v>
      </c>
      <c r="F513" s="8"/>
      <c r="G513" s="9">
        <f>H513*(1-15%)*(1-F513)</f>
        <v>73.865000000000009</v>
      </c>
      <c r="H513" s="9">
        <v>86.900000000000006</v>
      </c>
      <c r="I513" s="9">
        <f>H513-G513</f>
        <v>13.034999999999997</v>
      </c>
    </row>
    <row r="514" ht="14.25">
      <c r="A514" s="5">
        <v>82046</v>
      </c>
      <c r="B514" s="6" t="s">
        <v>575</v>
      </c>
      <c r="C514" s="7" t="s">
        <v>75</v>
      </c>
      <c r="D514" s="7" t="s">
        <v>45</v>
      </c>
      <c r="E514" s="5" t="s">
        <v>68</v>
      </c>
      <c r="F514" s="8"/>
      <c r="G514" s="9">
        <f>H514*(1-15%)*(1-F514)</f>
        <v>55.165000000000006</v>
      </c>
      <c r="H514" s="9">
        <v>64.900000000000006</v>
      </c>
      <c r="I514" s="9">
        <f>H514-G514</f>
        <v>9.7349999999999994</v>
      </c>
    </row>
    <row r="515" ht="14.25">
      <c r="A515" s="5">
        <v>82052</v>
      </c>
      <c r="B515" s="6" t="s">
        <v>576</v>
      </c>
      <c r="C515" s="7" t="s">
        <v>75</v>
      </c>
      <c r="D515" s="7" t="s">
        <v>11</v>
      </c>
      <c r="E515" s="5" t="s">
        <v>39</v>
      </c>
      <c r="F515" s="8"/>
      <c r="G515" s="9">
        <f>H515*(1-15%)*(1-F515)</f>
        <v>84.915000000000006</v>
      </c>
      <c r="H515" s="9">
        <v>99.900000000000006</v>
      </c>
      <c r="I515" s="9">
        <f>H515-G515</f>
        <v>14.984999999999999</v>
      </c>
    </row>
    <row r="516" ht="14.25">
      <c r="A516" s="5">
        <v>82053</v>
      </c>
      <c r="B516" s="6" t="s">
        <v>577</v>
      </c>
      <c r="C516" s="7" t="s">
        <v>75</v>
      </c>
      <c r="D516" s="7" t="s">
        <v>95</v>
      </c>
      <c r="E516" s="5" t="s">
        <v>26</v>
      </c>
      <c r="F516" s="8"/>
      <c r="G516" s="9">
        <f>H516*(1-15%)*(1-F516)</f>
        <v>44.964999999999996</v>
      </c>
      <c r="H516" s="9">
        <v>52.899999999999999</v>
      </c>
      <c r="I516" s="9">
        <f>H516-G516</f>
        <v>7.9350000000000023</v>
      </c>
    </row>
    <row r="517" ht="14.25">
      <c r="A517" s="5">
        <v>82054</v>
      </c>
      <c r="B517" s="6" t="s">
        <v>578</v>
      </c>
      <c r="C517" s="7" t="s">
        <v>75</v>
      </c>
      <c r="D517" s="7" t="s">
        <v>95</v>
      </c>
      <c r="E517" s="5" t="s">
        <v>26</v>
      </c>
      <c r="F517" s="8"/>
      <c r="G517" s="9">
        <f>H517*(1-15%)*(1-F517)</f>
        <v>46.664999999999999</v>
      </c>
      <c r="H517" s="9">
        <v>54.899999999999999</v>
      </c>
      <c r="I517" s="9">
        <f>H517-G517</f>
        <v>8.2349999999999994</v>
      </c>
    </row>
    <row r="518" ht="14.25">
      <c r="A518" s="5">
        <v>82250</v>
      </c>
      <c r="B518" s="6" t="s">
        <v>579</v>
      </c>
      <c r="C518" s="7" t="s">
        <v>75</v>
      </c>
      <c r="D518" s="7" t="s">
        <v>45</v>
      </c>
      <c r="E518" s="5" t="s">
        <v>68</v>
      </c>
      <c r="F518" s="8"/>
      <c r="G518" s="9">
        <f>H518*(1-15%)*(1-F518)</f>
        <v>57.715000000000003</v>
      </c>
      <c r="H518" s="9">
        <v>67.900000000000006</v>
      </c>
      <c r="I518" s="9">
        <f>H518-G518</f>
        <v>10.185000000000002</v>
      </c>
    </row>
    <row r="519" ht="14.25">
      <c r="A519" s="5">
        <v>82265</v>
      </c>
      <c r="B519" s="6" t="s">
        <v>580</v>
      </c>
      <c r="C519" s="7" t="s">
        <v>75</v>
      </c>
      <c r="D519" s="7" t="s">
        <v>103</v>
      </c>
      <c r="E519" s="5" t="s">
        <v>68</v>
      </c>
      <c r="F519" s="8"/>
      <c r="G519" s="9">
        <f>H519*(1-15%)*(1-F519)</f>
        <v>49.214999999999996</v>
      </c>
      <c r="H519" s="9">
        <v>57.899999999999999</v>
      </c>
      <c r="I519" s="9">
        <f>H519-G519</f>
        <v>8.6850000000000023</v>
      </c>
    </row>
    <row r="520" ht="14.25">
      <c r="A520" s="5">
        <v>83308</v>
      </c>
      <c r="B520" s="6" t="s">
        <v>581</v>
      </c>
      <c r="C520" s="7" t="s">
        <v>75</v>
      </c>
      <c r="D520" s="7" t="s">
        <v>103</v>
      </c>
      <c r="E520" s="5" t="s">
        <v>15</v>
      </c>
      <c r="F520" s="8"/>
      <c r="G520" s="9">
        <f>H520*(1-15%)*(1-F520)</f>
        <v>25.414999999999999</v>
      </c>
      <c r="H520" s="9">
        <v>29.899999999999999</v>
      </c>
      <c r="I520" s="9">
        <f>H520-G520</f>
        <v>4.4849999999999994</v>
      </c>
    </row>
    <row r="521" ht="14.25">
      <c r="A521" s="5">
        <v>83764</v>
      </c>
      <c r="B521" s="6" t="s">
        <v>582</v>
      </c>
      <c r="C521" s="7" t="s">
        <v>75</v>
      </c>
      <c r="D521" s="7" t="s">
        <v>583</v>
      </c>
      <c r="E521" s="5" t="s">
        <v>68</v>
      </c>
      <c r="F521" s="8"/>
      <c r="G521" s="9">
        <f>H521*(1-15%)*(1-F521)</f>
        <v>80.665000000000006</v>
      </c>
      <c r="H521" s="9">
        <v>94.900000000000006</v>
      </c>
      <c r="I521" s="9">
        <f>H521-G521</f>
        <v>14.234999999999999</v>
      </c>
    </row>
    <row r="522" ht="14.25">
      <c r="A522" s="5">
        <v>81488</v>
      </c>
      <c r="B522" s="6" t="s">
        <v>584</v>
      </c>
      <c r="C522" s="7" t="s">
        <v>75</v>
      </c>
      <c r="D522" s="7" t="s">
        <v>103</v>
      </c>
      <c r="E522" s="5" t="s">
        <v>15</v>
      </c>
      <c r="F522" s="8"/>
      <c r="G522" s="9">
        <f>H522*(1-15%)*(1-F522)</f>
        <v>25.414999999999999</v>
      </c>
      <c r="H522" s="9">
        <v>29.899999999999999</v>
      </c>
      <c r="I522" s="9">
        <f>H522-G522</f>
        <v>4.4849999999999994</v>
      </c>
    </row>
    <row r="523" ht="14.25">
      <c r="A523" s="5">
        <v>75664</v>
      </c>
      <c r="B523" s="6" t="s">
        <v>585</v>
      </c>
      <c r="C523" s="7" t="s">
        <v>75</v>
      </c>
      <c r="D523" s="7" t="s">
        <v>95</v>
      </c>
      <c r="E523" s="5" t="s">
        <v>26</v>
      </c>
      <c r="F523" s="8"/>
      <c r="G523" s="9">
        <f>H523*(1-15%)*(1-F523)</f>
        <v>44.964999999999996</v>
      </c>
      <c r="H523" s="9">
        <v>52.899999999999999</v>
      </c>
      <c r="I523" s="9">
        <f>H523-G523</f>
        <v>7.9350000000000023</v>
      </c>
    </row>
    <row r="524" ht="14.25">
      <c r="A524" s="5">
        <v>81331</v>
      </c>
      <c r="B524" s="6" t="s">
        <v>586</v>
      </c>
      <c r="C524" s="7" t="s">
        <v>33</v>
      </c>
      <c r="D524" s="7" t="s">
        <v>11</v>
      </c>
      <c r="E524" s="5" t="s">
        <v>43</v>
      </c>
      <c r="F524" s="8"/>
      <c r="G524" s="9">
        <f>H524*(1-15%)*(1-F524)</f>
        <v>271.91499999999996</v>
      </c>
      <c r="H524" s="9">
        <v>319.89999999999998</v>
      </c>
      <c r="I524" s="9">
        <f>H524-G524</f>
        <v>47.985000000000014</v>
      </c>
    </row>
    <row r="525" ht="14.25">
      <c r="A525" s="5">
        <v>81423</v>
      </c>
      <c r="B525" s="6" t="s">
        <v>587</v>
      </c>
      <c r="C525" s="7" t="s">
        <v>33</v>
      </c>
      <c r="D525" s="7" t="s">
        <v>45</v>
      </c>
      <c r="E525" s="5" t="s">
        <v>39</v>
      </c>
      <c r="F525" s="8"/>
      <c r="G525" s="9">
        <f>H525*(1-15%)*(1-F525)</f>
        <v>123.16500000000001</v>
      </c>
      <c r="H525" s="9">
        <v>144.90000000000001</v>
      </c>
      <c r="I525" s="9">
        <f>H525-G525</f>
        <v>21.734999999999999</v>
      </c>
    </row>
    <row r="526" ht="14.25">
      <c r="A526" s="5">
        <v>83072</v>
      </c>
      <c r="B526" s="6" t="s">
        <v>588</v>
      </c>
      <c r="C526" s="7" t="s">
        <v>75</v>
      </c>
      <c r="D526" s="7" t="s">
        <v>95</v>
      </c>
      <c r="E526" s="5" t="s">
        <v>26</v>
      </c>
      <c r="F526" s="8"/>
      <c r="G526" s="9">
        <f>H526*(1-15%)*(1-F526)</f>
        <v>44.964999999999996</v>
      </c>
      <c r="H526" s="9">
        <v>52.899999999999999</v>
      </c>
      <c r="I526" s="9">
        <f>H526-G526</f>
        <v>7.9350000000000023</v>
      </c>
    </row>
    <row r="527" ht="14.25">
      <c r="A527" s="5">
        <v>84197</v>
      </c>
      <c r="B527" s="6" t="s">
        <v>589</v>
      </c>
      <c r="C527" s="7" t="s">
        <v>109</v>
      </c>
      <c r="D527" s="7" t="s">
        <v>110</v>
      </c>
      <c r="E527" s="5" t="s">
        <v>39</v>
      </c>
      <c r="F527" s="8"/>
      <c r="G527" s="9">
        <f>H527*(1-15%)*(1-F527)</f>
        <v>70.465000000000003</v>
      </c>
      <c r="H527" s="9">
        <v>82.900000000000006</v>
      </c>
      <c r="I527" s="9">
        <f>H527-G527</f>
        <v>12.435000000000002</v>
      </c>
    </row>
    <row r="528" ht="14.25">
      <c r="A528" s="5">
        <v>46512</v>
      </c>
      <c r="B528" s="6" t="s">
        <v>590</v>
      </c>
      <c r="C528" s="7" t="s">
        <v>14</v>
      </c>
      <c r="D528" s="7" t="s">
        <v>183</v>
      </c>
      <c r="E528" s="5" t="s">
        <v>15</v>
      </c>
      <c r="F528" s="8"/>
      <c r="G528" s="9">
        <f>H528*(1-15%)*(1-F528)</f>
        <v>18.614999999999998</v>
      </c>
      <c r="H528" s="9">
        <v>21.899999999999999</v>
      </c>
      <c r="I528" s="9">
        <f>H528-G528</f>
        <v>3.2850000000000001</v>
      </c>
    </row>
    <row r="529" ht="14.25">
      <c r="A529" s="5">
        <v>82721</v>
      </c>
      <c r="B529" s="6" t="s">
        <v>591</v>
      </c>
      <c r="C529" s="7" t="s">
        <v>75</v>
      </c>
      <c r="D529" s="7" t="s">
        <v>45</v>
      </c>
      <c r="E529" s="5" t="s">
        <v>15</v>
      </c>
      <c r="F529" s="8"/>
      <c r="G529" s="9">
        <f>H529*(1-15%)*(1-F529)</f>
        <v>57.715000000000003</v>
      </c>
      <c r="H529" s="9">
        <v>67.900000000000006</v>
      </c>
      <c r="I529" s="9">
        <f>H529-G529</f>
        <v>10.185000000000002</v>
      </c>
    </row>
    <row r="530" ht="14.25">
      <c r="A530" s="5">
        <v>83662</v>
      </c>
      <c r="B530" s="6" t="s">
        <v>592</v>
      </c>
      <c r="C530" s="7" t="s">
        <v>75</v>
      </c>
      <c r="D530" s="7" t="s">
        <v>45</v>
      </c>
      <c r="E530" s="5" t="s">
        <v>15</v>
      </c>
      <c r="F530" s="8"/>
      <c r="G530" s="9">
        <f>H530*(1-15%)*(1-F530)</f>
        <v>27.964999999999996</v>
      </c>
      <c r="H530" s="9">
        <v>32.899999999999999</v>
      </c>
      <c r="I530" s="9">
        <f>H530-G530</f>
        <v>4.9350000000000023</v>
      </c>
    </row>
    <row r="531" ht="14.25">
      <c r="A531" s="5">
        <v>83865</v>
      </c>
      <c r="B531" s="6" t="s">
        <v>593</v>
      </c>
      <c r="C531" s="7" t="s">
        <v>10</v>
      </c>
      <c r="D531" s="7" t="s">
        <v>103</v>
      </c>
      <c r="E531" s="5" t="s">
        <v>15</v>
      </c>
      <c r="F531" s="8"/>
      <c r="G531" s="9">
        <f>H531*(1-15%)*(1-F531)</f>
        <v>46.664999999999999</v>
      </c>
      <c r="H531" s="9">
        <v>54.899999999999999</v>
      </c>
      <c r="I531" s="9">
        <f>H531-G531</f>
        <v>8.2349999999999994</v>
      </c>
    </row>
    <row r="532" ht="14.25">
      <c r="A532" s="5">
        <v>83883</v>
      </c>
      <c r="B532" s="6" t="s">
        <v>594</v>
      </c>
      <c r="C532" s="7" t="s">
        <v>271</v>
      </c>
      <c r="D532" s="7" t="s">
        <v>110</v>
      </c>
      <c r="E532" s="5" t="s">
        <v>15</v>
      </c>
      <c r="F532" s="8"/>
      <c r="G532" s="9">
        <f>H532*(1-15%)*(1-F532)</f>
        <v>35.614999999999995</v>
      </c>
      <c r="H532" s="9">
        <v>41.899999999999999</v>
      </c>
      <c r="I532" s="9">
        <f>H532-G532</f>
        <v>6.2850000000000037</v>
      </c>
    </row>
    <row r="533" ht="14.25">
      <c r="A533" s="5">
        <v>83884</v>
      </c>
      <c r="B533" s="6" t="s">
        <v>595</v>
      </c>
      <c r="C533" s="7" t="s">
        <v>271</v>
      </c>
      <c r="D533" s="7" t="s">
        <v>110</v>
      </c>
      <c r="E533" s="5" t="s">
        <v>15</v>
      </c>
      <c r="F533" s="8"/>
      <c r="G533" s="9">
        <f>H533*(1-15%)*(1-F533)</f>
        <v>35.614999999999995</v>
      </c>
      <c r="H533" s="9">
        <v>41.899999999999999</v>
      </c>
      <c r="I533" s="9">
        <f>H533-G533</f>
        <v>6.2850000000000037</v>
      </c>
    </row>
    <row r="534" ht="14.25">
      <c r="A534" s="5">
        <v>83756</v>
      </c>
      <c r="B534" s="6" t="s">
        <v>596</v>
      </c>
      <c r="C534" s="7" t="s">
        <v>21</v>
      </c>
      <c r="D534" s="7" t="s">
        <v>11</v>
      </c>
      <c r="E534" s="5" t="s">
        <v>15</v>
      </c>
      <c r="F534" s="8"/>
      <c r="G534" s="9">
        <f>H534*(1-15%)*(1-F534)</f>
        <v>178.41499999999999</v>
      </c>
      <c r="H534" s="9">
        <v>209.90000000000001</v>
      </c>
      <c r="I534" s="9">
        <f>H534-G534</f>
        <v>31.485000000000014</v>
      </c>
    </row>
    <row r="535" ht="14.25">
      <c r="A535" s="5">
        <v>83757</v>
      </c>
      <c r="B535" s="6" t="s">
        <v>597</v>
      </c>
      <c r="C535" s="7" t="s">
        <v>21</v>
      </c>
      <c r="D535" s="7" t="s">
        <v>11</v>
      </c>
      <c r="E535" s="5" t="s">
        <v>15</v>
      </c>
      <c r="F535" s="8"/>
      <c r="G535" s="9">
        <f>H535*(1-15%)*(1-F535)</f>
        <v>178.41499999999999</v>
      </c>
      <c r="H535" s="9">
        <v>209.90000000000001</v>
      </c>
      <c r="I535" s="9">
        <f>H535-G535</f>
        <v>31.485000000000014</v>
      </c>
    </row>
    <row r="536" ht="14.25">
      <c r="A536" s="5">
        <v>84401</v>
      </c>
      <c r="B536" s="6" t="s">
        <v>598</v>
      </c>
      <c r="C536" s="7" t="s">
        <v>21</v>
      </c>
      <c r="D536" s="7" t="s">
        <v>45</v>
      </c>
      <c r="E536" s="5" t="s">
        <v>15</v>
      </c>
      <c r="F536" s="8"/>
      <c r="G536" s="9">
        <f>H536*(1-15%)*(1-F536)</f>
        <v>57.715000000000003</v>
      </c>
      <c r="H536" s="9">
        <v>67.900000000000006</v>
      </c>
      <c r="I536" s="9">
        <f>H536-G536</f>
        <v>10.185000000000002</v>
      </c>
    </row>
    <row r="537" ht="14.25">
      <c r="A537" s="5">
        <v>83759</v>
      </c>
      <c r="B537" s="6" t="s">
        <v>599</v>
      </c>
      <c r="C537" s="7" t="s">
        <v>21</v>
      </c>
      <c r="D537" s="7" t="s">
        <v>103</v>
      </c>
      <c r="E537" s="5" t="s">
        <v>15</v>
      </c>
      <c r="F537" s="8"/>
      <c r="G537" s="9">
        <f>H537*(1-15%)*(1-F537)</f>
        <v>50.914999999999999</v>
      </c>
      <c r="H537" s="9">
        <v>59.899999999999999</v>
      </c>
      <c r="I537" s="9">
        <f>H537-G537</f>
        <v>8.9849999999999994</v>
      </c>
    </row>
    <row r="538" ht="14.25">
      <c r="A538" s="5">
        <v>45584</v>
      </c>
      <c r="B538" s="6" t="s">
        <v>600</v>
      </c>
      <c r="C538" s="7" t="s">
        <v>201</v>
      </c>
      <c r="D538" s="7" t="s">
        <v>183</v>
      </c>
      <c r="E538" s="5" t="s">
        <v>15</v>
      </c>
      <c r="F538" s="8"/>
      <c r="G538" s="9">
        <f>H538*(1-15%)*(1-F538)</f>
        <v>33.914999999999999</v>
      </c>
      <c r="H538" s="9">
        <v>39.899999999999999</v>
      </c>
      <c r="I538" s="9">
        <f>H538-G538</f>
        <v>5.9849999999999994</v>
      </c>
    </row>
    <row r="539" ht="14.25">
      <c r="A539" s="5">
        <v>75610</v>
      </c>
      <c r="B539" s="6" t="s">
        <v>601</v>
      </c>
      <c r="C539" s="7" t="s">
        <v>271</v>
      </c>
      <c r="D539" s="7" t="s">
        <v>11</v>
      </c>
      <c r="E539" s="5" t="s">
        <v>15</v>
      </c>
      <c r="F539" s="8"/>
      <c r="G539" s="9">
        <f>H539*(1-15%)*(1-F539)</f>
        <v>101.91500000000001</v>
      </c>
      <c r="H539" s="9">
        <v>119.90000000000001</v>
      </c>
      <c r="I539" s="9">
        <f>H539-G539</f>
        <v>17.984999999999999</v>
      </c>
    </row>
    <row r="540" ht="14.25">
      <c r="A540" s="5">
        <v>81274</v>
      </c>
      <c r="B540" s="6" t="s">
        <v>602</v>
      </c>
      <c r="C540" s="7" t="s">
        <v>36</v>
      </c>
      <c r="D540" s="7" t="s">
        <v>11</v>
      </c>
      <c r="E540" s="5" t="s">
        <v>26</v>
      </c>
      <c r="F540" s="8"/>
      <c r="G540" s="9">
        <f>H540*(1-15%)*(1-F540)</f>
        <v>148.66499999999999</v>
      </c>
      <c r="H540" s="9">
        <v>174.90000000000001</v>
      </c>
      <c r="I540" s="9">
        <f>H540-G540</f>
        <v>26.235000000000014</v>
      </c>
    </row>
    <row r="541" ht="14.25">
      <c r="A541" s="5">
        <v>77071</v>
      </c>
      <c r="B541" s="6" t="s">
        <v>603</v>
      </c>
      <c r="C541" s="7" t="s">
        <v>109</v>
      </c>
      <c r="D541" s="7" t="s">
        <v>110</v>
      </c>
      <c r="E541" s="5" t="s">
        <v>15</v>
      </c>
      <c r="F541" s="8"/>
      <c r="G541" s="9">
        <f>H541*(1-15%)*(1-F541)</f>
        <v>36.464999999999996</v>
      </c>
      <c r="H541" s="9">
        <v>42.899999999999999</v>
      </c>
      <c r="I541" s="9">
        <f>H541-G541</f>
        <v>6.4350000000000023</v>
      </c>
    </row>
    <row r="542" ht="14.25">
      <c r="A542" s="5">
        <v>84529</v>
      </c>
      <c r="B542" s="6" t="s">
        <v>604</v>
      </c>
      <c r="C542" s="7" t="s">
        <v>271</v>
      </c>
      <c r="D542" s="7" t="s">
        <v>110</v>
      </c>
      <c r="E542" s="5" t="s">
        <v>15</v>
      </c>
      <c r="F542" s="8"/>
      <c r="G542" s="9">
        <f>H542*(1-15%)*(1-F542)</f>
        <v>25.414999999999999</v>
      </c>
      <c r="H542" s="9">
        <v>29.899999999999999</v>
      </c>
      <c r="I542" s="9">
        <f>H542-G542</f>
        <v>4.4849999999999994</v>
      </c>
    </row>
    <row r="543" ht="14.25">
      <c r="A543" s="5">
        <v>31240</v>
      </c>
      <c r="B543" s="6" t="s">
        <v>605</v>
      </c>
      <c r="C543" s="7" t="s">
        <v>17</v>
      </c>
      <c r="D543" s="7" t="s">
        <v>61</v>
      </c>
      <c r="E543" s="5" t="s">
        <v>39</v>
      </c>
      <c r="F543" s="8"/>
      <c r="G543" s="9">
        <f>H543*(1-15%)*(1-F543)</f>
        <v>39.015000000000001</v>
      </c>
      <c r="H543" s="9">
        <v>45.899999999999999</v>
      </c>
      <c r="I543" s="9">
        <f>H543-G543</f>
        <v>6.884999999999998</v>
      </c>
    </row>
    <row r="544" ht="14.25">
      <c r="A544" s="5">
        <v>31302</v>
      </c>
      <c r="B544" s="6" t="s">
        <v>606</v>
      </c>
      <c r="C544" s="7" t="s">
        <v>10</v>
      </c>
      <c r="D544" s="7" t="s">
        <v>61</v>
      </c>
      <c r="E544" s="5" t="s">
        <v>39</v>
      </c>
      <c r="F544" s="8"/>
      <c r="G544" s="9">
        <f>H544*(1-15%)*(1-F544)</f>
        <v>39.015000000000001</v>
      </c>
      <c r="H544" s="9">
        <v>45.899999999999999</v>
      </c>
      <c r="I544" s="9">
        <f>H544-G544</f>
        <v>6.884999999999998</v>
      </c>
    </row>
    <row r="545" ht="14.25">
      <c r="A545" s="5">
        <v>83081</v>
      </c>
      <c r="B545" s="6" t="s">
        <v>607</v>
      </c>
      <c r="C545" s="7" t="s">
        <v>51</v>
      </c>
      <c r="D545" s="7" t="s">
        <v>11</v>
      </c>
      <c r="E545" s="5" t="s">
        <v>15</v>
      </c>
      <c r="F545" s="8"/>
      <c r="G545" s="9">
        <f>H545*(1-15%)*(1-F545)</f>
        <v>84.915000000000006</v>
      </c>
      <c r="H545" s="9">
        <v>99.900000000000006</v>
      </c>
      <c r="I545" s="9">
        <f>H545-G545</f>
        <v>14.984999999999999</v>
      </c>
    </row>
    <row r="546" ht="14.25">
      <c r="A546" s="5">
        <v>83171</v>
      </c>
      <c r="B546" s="6" t="s">
        <v>608</v>
      </c>
      <c r="C546" s="7" t="s">
        <v>51</v>
      </c>
      <c r="D546" s="7" t="s">
        <v>45</v>
      </c>
      <c r="E546" s="5" t="s">
        <v>15</v>
      </c>
      <c r="F546" s="8"/>
      <c r="G546" s="9">
        <f>H546*(1-15%)*(1-F546)</f>
        <v>53.464999999999996</v>
      </c>
      <c r="H546" s="9">
        <v>62.899999999999999</v>
      </c>
      <c r="I546" s="9">
        <f>H546-G546</f>
        <v>9.4350000000000023</v>
      </c>
    </row>
    <row r="547" ht="14.25">
      <c r="A547" s="5">
        <v>83668</v>
      </c>
      <c r="B547" s="6" t="s">
        <v>609</v>
      </c>
      <c r="C547" s="7" t="s">
        <v>75</v>
      </c>
      <c r="D547" s="7" t="s">
        <v>219</v>
      </c>
      <c r="E547" s="5" t="s">
        <v>15</v>
      </c>
      <c r="F547" s="8"/>
      <c r="G547" s="9">
        <f>H547*(1-15%)*(1-F547)</f>
        <v>61.965000000000003</v>
      </c>
      <c r="H547" s="9">
        <v>72.900000000000006</v>
      </c>
      <c r="I547" s="9">
        <f>H547-G547</f>
        <v>10.935000000000002</v>
      </c>
    </row>
    <row r="548" ht="14.25">
      <c r="A548" s="5">
        <v>83670</v>
      </c>
      <c r="B548" s="6" t="s">
        <v>610</v>
      </c>
      <c r="C548" s="7" t="s">
        <v>75</v>
      </c>
      <c r="D548" s="7" t="s">
        <v>219</v>
      </c>
      <c r="E548" s="5" t="s">
        <v>15</v>
      </c>
      <c r="F548" s="8"/>
      <c r="G548" s="9">
        <f>H548*(1-15%)*(1-F548)</f>
        <v>55.165000000000006</v>
      </c>
      <c r="H548" s="9">
        <v>64.900000000000006</v>
      </c>
      <c r="I548" s="9">
        <f>H548-G548</f>
        <v>9.7349999999999994</v>
      </c>
    </row>
    <row r="549" ht="14.25">
      <c r="A549" s="5">
        <v>83671</v>
      </c>
      <c r="B549" s="6" t="s">
        <v>611</v>
      </c>
      <c r="C549" s="7" t="s">
        <v>75</v>
      </c>
      <c r="D549" s="7" t="s">
        <v>45</v>
      </c>
      <c r="E549" s="5" t="s">
        <v>15</v>
      </c>
      <c r="F549" s="8"/>
      <c r="G549" s="9">
        <f>H549*(1-15%)*(1-F549)</f>
        <v>67.915000000000006</v>
      </c>
      <c r="H549" s="9">
        <v>79.900000000000006</v>
      </c>
      <c r="I549" s="9">
        <f>H549-G549</f>
        <v>11.984999999999999</v>
      </c>
    </row>
    <row r="550" ht="14.25">
      <c r="A550" s="5">
        <v>46016</v>
      </c>
      <c r="B550" s="6" t="s">
        <v>612</v>
      </c>
      <c r="C550" s="7" t="s">
        <v>67</v>
      </c>
      <c r="D550" s="7" t="s">
        <v>183</v>
      </c>
      <c r="E550" s="5" t="s">
        <v>15</v>
      </c>
      <c r="F550" s="8"/>
      <c r="G550" s="9">
        <f>H550*(1-15%)*(1-F550)</f>
        <v>55.165000000000006</v>
      </c>
      <c r="H550" s="9">
        <v>64.900000000000006</v>
      </c>
      <c r="I550" s="9">
        <f>H550-G550</f>
        <v>9.7349999999999994</v>
      </c>
    </row>
    <row r="551" ht="14.25">
      <c r="A551" s="5">
        <v>46469</v>
      </c>
      <c r="B551" s="6" t="s">
        <v>341</v>
      </c>
      <c r="C551" s="7" t="s">
        <v>38</v>
      </c>
      <c r="D551" s="7" t="s">
        <v>183</v>
      </c>
      <c r="E551" s="5" t="s">
        <v>15</v>
      </c>
      <c r="F551" s="8"/>
      <c r="G551" s="9">
        <f>H551*(1-15%)*(1-F551)</f>
        <v>36.464999999999996</v>
      </c>
      <c r="H551" s="9">
        <v>42.899999999999999</v>
      </c>
      <c r="I551" s="9">
        <f>H551-G551</f>
        <v>6.4350000000000023</v>
      </c>
    </row>
    <row r="552" ht="14.25">
      <c r="A552" s="5">
        <v>46670</v>
      </c>
      <c r="B552" s="6" t="s">
        <v>613</v>
      </c>
      <c r="C552" s="7" t="s">
        <v>10</v>
      </c>
      <c r="D552" s="7" t="s">
        <v>183</v>
      </c>
      <c r="E552" s="5" t="s">
        <v>15</v>
      </c>
      <c r="F552" s="8"/>
      <c r="G552" s="9">
        <f>H552*(1-15%)*(1-F552)</f>
        <v>27.964999999999996</v>
      </c>
      <c r="H552" s="9">
        <v>32.899999999999999</v>
      </c>
      <c r="I552" s="9">
        <f>H552-G552</f>
        <v>4.9350000000000023</v>
      </c>
    </row>
    <row r="553" ht="14.25">
      <c r="A553" s="5">
        <v>46672</v>
      </c>
      <c r="B553" s="6" t="s">
        <v>613</v>
      </c>
      <c r="C553" s="7" t="s">
        <v>36</v>
      </c>
      <c r="D553" s="7" t="s">
        <v>183</v>
      </c>
      <c r="E553" s="5" t="s">
        <v>15</v>
      </c>
      <c r="F553" s="8"/>
      <c r="G553" s="9">
        <f>H553*(1-15%)*(1-F553)</f>
        <v>27.964999999999996</v>
      </c>
      <c r="H553" s="9">
        <v>32.899999999999999</v>
      </c>
      <c r="I553" s="9">
        <f>H553-G553</f>
        <v>4.9350000000000023</v>
      </c>
    </row>
    <row r="554" ht="14.25">
      <c r="A554" s="5">
        <v>75153</v>
      </c>
      <c r="B554" s="6" t="s">
        <v>614</v>
      </c>
      <c r="C554" s="7" t="s">
        <v>94</v>
      </c>
      <c r="D554" s="7" t="s">
        <v>95</v>
      </c>
      <c r="E554" s="5" t="s">
        <v>26</v>
      </c>
      <c r="F554" s="8"/>
      <c r="G554" s="9">
        <f>H554*(1-15%)*(1-F554)</f>
        <v>135.91499999999999</v>
      </c>
      <c r="H554" s="9">
        <v>159.90000000000001</v>
      </c>
      <c r="I554" s="9">
        <f>H554-G554</f>
        <v>23.985000000000014</v>
      </c>
    </row>
    <row r="555" ht="14.25">
      <c r="A555" s="5">
        <v>75150</v>
      </c>
      <c r="B555" s="6" t="s">
        <v>615</v>
      </c>
      <c r="C555" s="7" t="s">
        <v>94</v>
      </c>
      <c r="D555" s="7" t="s">
        <v>95</v>
      </c>
      <c r="E555" s="5" t="s">
        <v>26</v>
      </c>
      <c r="F555" s="8"/>
      <c r="G555" s="9">
        <f>H555*(1-15%)*(1-F555)</f>
        <v>123.16500000000001</v>
      </c>
      <c r="H555" s="9">
        <v>144.90000000000001</v>
      </c>
      <c r="I555" s="9">
        <f>H555-G555</f>
        <v>21.734999999999999</v>
      </c>
    </row>
    <row r="556" ht="14.25">
      <c r="A556" s="5">
        <v>44678</v>
      </c>
      <c r="B556" s="6" t="s">
        <v>616</v>
      </c>
      <c r="C556" s="7" t="s">
        <v>94</v>
      </c>
      <c r="D556" s="7" t="s">
        <v>183</v>
      </c>
      <c r="E556" s="5" t="s">
        <v>15</v>
      </c>
      <c r="F556" s="8"/>
      <c r="G556" s="9">
        <f>H556*(1-15%)*(1-F556)</f>
        <v>8.4150000000000009</v>
      </c>
      <c r="H556" s="9">
        <v>9.9000000000000004</v>
      </c>
      <c r="I556" s="9">
        <f>H556-G556</f>
        <v>1.4849999999999994</v>
      </c>
    </row>
    <row r="557" ht="14.25">
      <c r="A557" s="5">
        <v>75154</v>
      </c>
      <c r="B557" s="6" t="s">
        <v>617</v>
      </c>
      <c r="C557" s="7" t="s">
        <v>94</v>
      </c>
      <c r="D557" s="7" t="s">
        <v>95</v>
      </c>
      <c r="E557" s="5" t="s">
        <v>26</v>
      </c>
      <c r="F557" s="8"/>
      <c r="G557" s="9">
        <f>H557*(1-15%)*(1-F557)</f>
        <v>93.415000000000006</v>
      </c>
      <c r="H557" s="9">
        <v>109.90000000000001</v>
      </c>
      <c r="I557" s="9">
        <f>H557-G557</f>
        <v>16.484999999999999</v>
      </c>
    </row>
    <row r="558" ht="14.25">
      <c r="A558" s="5">
        <v>81349</v>
      </c>
      <c r="B558" s="6" t="s">
        <v>618</v>
      </c>
      <c r="C558" s="7" t="s">
        <v>94</v>
      </c>
      <c r="D558" s="7" t="s">
        <v>95</v>
      </c>
      <c r="E558" s="5" t="s">
        <v>26</v>
      </c>
      <c r="F558" s="8"/>
      <c r="G558" s="9">
        <f>H558*(1-15%)*(1-F558)</f>
        <v>93.415000000000006</v>
      </c>
      <c r="H558" s="9">
        <v>109.90000000000001</v>
      </c>
      <c r="I558" s="9">
        <f>H558-G558</f>
        <v>16.484999999999999</v>
      </c>
    </row>
    <row r="559" ht="14.25">
      <c r="A559" s="5">
        <v>82586</v>
      </c>
      <c r="B559" s="6" t="s">
        <v>619</v>
      </c>
      <c r="C559" s="7" t="s">
        <v>94</v>
      </c>
      <c r="D559" s="7" t="s">
        <v>95</v>
      </c>
      <c r="E559" s="5" t="s">
        <v>68</v>
      </c>
      <c r="F559" s="8"/>
      <c r="G559" s="9">
        <f>H559*(1-15%)*(1-F559)</f>
        <v>42.414999999999999</v>
      </c>
      <c r="H559" s="9">
        <v>49.899999999999999</v>
      </c>
      <c r="I559" s="9">
        <f>H559-G559</f>
        <v>7.4849999999999994</v>
      </c>
    </row>
    <row r="560" ht="14.25">
      <c r="A560" s="5">
        <v>82585</v>
      </c>
      <c r="B560" s="6" t="s">
        <v>620</v>
      </c>
      <c r="C560" s="7" t="s">
        <v>94</v>
      </c>
      <c r="D560" s="7" t="s">
        <v>95</v>
      </c>
      <c r="E560" s="5" t="s">
        <v>26</v>
      </c>
      <c r="F560" s="8"/>
      <c r="G560" s="9">
        <f>H560*(1-15%)*(1-F560)</f>
        <v>40.714999999999996</v>
      </c>
      <c r="H560" s="9">
        <v>47.899999999999999</v>
      </c>
      <c r="I560" s="9">
        <f>H560-G560</f>
        <v>7.1850000000000023</v>
      </c>
    </row>
    <row r="561" ht="14.25">
      <c r="A561" s="5">
        <v>1078</v>
      </c>
      <c r="B561" s="6" t="s">
        <v>621</v>
      </c>
      <c r="C561" s="7" t="s">
        <v>94</v>
      </c>
      <c r="D561" s="7" t="s">
        <v>95</v>
      </c>
      <c r="E561" s="5" t="s">
        <v>26</v>
      </c>
      <c r="F561" s="8"/>
      <c r="G561" s="9">
        <f>H561*(1-15%)*(1-F561)</f>
        <v>57.715000000000003</v>
      </c>
      <c r="H561" s="9">
        <v>67.900000000000006</v>
      </c>
      <c r="I561" s="9">
        <f>H561-G561</f>
        <v>10.185000000000002</v>
      </c>
    </row>
    <row r="562" ht="14.25">
      <c r="A562" s="5">
        <v>82587</v>
      </c>
      <c r="B562" s="6" t="s">
        <v>622</v>
      </c>
      <c r="C562" s="7" t="s">
        <v>94</v>
      </c>
      <c r="D562" s="7" t="s">
        <v>95</v>
      </c>
      <c r="E562" s="5" t="s">
        <v>26</v>
      </c>
      <c r="F562" s="8"/>
      <c r="G562" s="9">
        <f>H562*(1-15%)*(1-F562)</f>
        <v>59.415000000000006</v>
      </c>
      <c r="H562" s="9">
        <v>69.900000000000006</v>
      </c>
      <c r="I562" s="9">
        <f>H562-G562</f>
        <v>10.484999999999999</v>
      </c>
    </row>
    <row r="563" ht="14.25">
      <c r="A563" s="5">
        <v>81382</v>
      </c>
      <c r="B563" s="6" t="s">
        <v>623</v>
      </c>
      <c r="C563" s="7" t="s">
        <v>624</v>
      </c>
      <c r="D563" s="7" t="s">
        <v>11</v>
      </c>
      <c r="E563" s="5" t="s">
        <v>39</v>
      </c>
      <c r="F563" s="8"/>
      <c r="G563" s="9">
        <f>H563*(1-15%)*(1-F563)</f>
        <v>280.41499999999996</v>
      </c>
      <c r="H563" s="9">
        <v>329.89999999999998</v>
      </c>
      <c r="I563" s="9">
        <f>H563-G563</f>
        <v>49.485000000000014</v>
      </c>
    </row>
    <row r="564" ht="14.25">
      <c r="A564" s="5">
        <v>83389</v>
      </c>
      <c r="B564" s="6" t="s">
        <v>625</v>
      </c>
      <c r="C564" s="7" t="s">
        <v>25</v>
      </c>
      <c r="D564" s="7" t="s">
        <v>103</v>
      </c>
      <c r="E564" s="5" t="s">
        <v>15</v>
      </c>
      <c r="F564" s="8"/>
      <c r="G564" s="9">
        <f>H564*(1-15%)*(1-F564)</f>
        <v>44.964999999999996</v>
      </c>
      <c r="H564" s="9">
        <v>52.899999999999999</v>
      </c>
      <c r="I564" s="9">
        <f>H564-G564</f>
        <v>7.9350000000000023</v>
      </c>
    </row>
    <row r="565" ht="14.25">
      <c r="A565" s="5">
        <v>1296</v>
      </c>
      <c r="B565" s="6" t="s">
        <v>626</v>
      </c>
      <c r="C565" s="7" t="s">
        <v>67</v>
      </c>
      <c r="D565" s="7" t="s">
        <v>71</v>
      </c>
      <c r="E565" s="5" t="s">
        <v>39</v>
      </c>
      <c r="F565" s="8"/>
      <c r="G565" s="9">
        <f>H565*(1-15%)*(1-F565)</f>
        <v>50.872500000000002</v>
      </c>
      <c r="H565" s="9">
        <v>59.850000000000001</v>
      </c>
      <c r="I565" s="9">
        <f>H565-G565</f>
        <v>8.9774999999999991</v>
      </c>
    </row>
    <row r="566" ht="14.25">
      <c r="A566" s="5">
        <v>1302</v>
      </c>
      <c r="B566" s="6" t="s">
        <v>627</v>
      </c>
      <c r="C566" s="7" t="s">
        <v>70</v>
      </c>
      <c r="D566" s="7" t="s">
        <v>71</v>
      </c>
      <c r="E566" s="5" t="s">
        <v>39</v>
      </c>
      <c r="F566" s="8"/>
      <c r="G566" s="9">
        <f>H566*(1-15%)*(1-F566)</f>
        <v>50.872500000000002</v>
      </c>
      <c r="H566" s="9">
        <v>59.850000000000001</v>
      </c>
      <c r="I566" s="9">
        <f>H566-G566</f>
        <v>8.9774999999999991</v>
      </c>
    </row>
    <row r="567" ht="14.25">
      <c r="A567" s="5">
        <v>1314</v>
      </c>
      <c r="B567" s="6" t="s">
        <v>628</v>
      </c>
      <c r="C567" s="7" t="s">
        <v>624</v>
      </c>
      <c r="D567" s="7" t="s">
        <v>71</v>
      </c>
      <c r="E567" s="5" t="s">
        <v>39</v>
      </c>
      <c r="F567" s="8"/>
      <c r="G567" s="9">
        <f>H567*(1-15%)*(1-F567)</f>
        <v>50.872500000000002</v>
      </c>
      <c r="H567" s="9">
        <v>59.850000000000001</v>
      </c>
      <c r="I567" s="9">
        <f>H567-G567</f>
        <v>8.9774999999999991</v>
      </c>
    </row>
    <row r="568" ht="14.25">
      <c r="A568" s="5">
        <v>1317</v>
      </c>
      <c r="B568" s="6" t="s">
        <v>629</v>
      </c>
      <c r="C568" s="7" t="s">
        <v>10</v>
      </c>
      <c r="D568" s="7" t="s">
        <v>71</v>
      </c>
      <c r="E568" s="5" t="s">
        <v>39</v>
      </c>
      <c r="F568" s="8"/>
      <c r="G568" s="9">
        <f>H568*(1-15%)*(1-F568)</f>
        <v>50.872500000000002</v>
      </c>
      <c r="H568" s="9">
        <v>59.850000000000001</v>
      </c>
      <c r="I568" s="9">
        <f>H568-G568</f>
        <v>8.9774999999999991</v>
      </c>
    </row>
    <row r="569" ht="14.25">
      <c r="A569" s="5">
        <v>45551</v>
      </c>
      <c r="B569" s="6" t="s">
        <v>630</v>
      </c>
      <c r="C569" s="7" t="s">
        <v>109</v>
      </c>
      <c r="D569" s="7" t="s">
        <v>183</v>
      </c>
      <c r="E569" s="5" t="s">
        <v>15</v>
      </c>
      <c r="F569" s="8"/>
      <c r="G569" s="9">
        <f>H569*(1-15%)*(1-F569)</f>
        <v>25.414999999999999</v>
      </c>
      <c r="H569" s="9">
        <v>29.899999999999999</v>
      </c>
      <c r="I569" s="9">
        <f>H569-G569</f>
        <v>4.4849999999999994</v>
      </c>
    </row>
    <row r="570" ht="14.25">
      <c r="A570" s="5">
        <v>45557</v>
      </c>
      <c r="B570" s="6" t="s">
        <v>631</v>
      </c>
      <c r="C570" s="7" t="s">
        <v>201</v>
      </c>
      <c r="D570" s="7" t="s">
        <v>183</v>
      </c>
      <c r="E570" s="5" t="s">
        <v>43</v>
      </c>
      <c r="F570" s="8"/>
      <c r="G570" s="9">
        <f>H570*(1-15%)*(1-F570)</f>
        <v>27.114999999999998</v>
      </c>
      <c r="H570" s="9">
        <v>31.899999999999999</v>
      </c>
      <c r="I570" s="9">
        <f>H570-G570</f>
        <v>4.7850000000000001</v>
      </c>
    </row>
    <row r="571" ht="14.25">
      <c r="A571" s="5">
        <v>46370</v>
      </c>
      <c r="B571" s="6" t="s">
        <v>632</v>
      </c>
      <c r="C571" s="7" t="s">
        <v>109</v>
      </c>
      <c r="D571" s="7" t="s">
        <v>183</v>
      </c>
      <c r="E571" s="5" t="s">
        <v>15</v>
      </c>
      <c r="F571" s="8"/>
      <c r="G571" s="9">
        <f>H571*(1-15%)*(1-F571)</f>
        <v>118.91500000000001</v>
      </c>
      <c r="H571" s="9">
        <v>139.90000000000001</v>
      </c>
      <c r="I571" s="9">
        <f>H571-G571</f>
        <v>20.984999999999999</v>
      </c>
    </row>
    <row r="572" ht="14.25">
      <c r="A572" s="5">
        <v>81165</v>
      </c>
      <c r="B572" s="6" t="s">
        <v>633</v>
      </c>
      <c r="C572" s="7" t="s">
        <v>82</v>
      </c>
      <c r="D572" s="7" t="s">
        <v>45</v>
      </c>
      <c r="E572" s="5" t="s">
        <v>15</v>
      </c>
      <c r="F572" s="8"/>
      <c r="G572" s="9">
        <f>H572*(1-15%)*(1-F572)</f>
        <v>63.665000000000006</v>
      </c>
      <c r="H572" s="9">
        <v>74.900000000000006</v>
      </c>
      <c r="I572" s="9">
        <f>H572-G572</f>
        <v>11.234999999999999</v>
      </c>
    </row>
    <row r="573" ht="14.25">
      <c r="A573" s="5">
        <v>81166</v>
      </c>
      <c r="B573" s="6" t="s">
        <v>634</v>
      </c>
      <c r="C573" s="7" t="s">
        <v>82</v>
      </c>
      <c r="D573" s="7" t="s">
        <v>45</v>
      </c>
      <c r="E573" s="5" t="s">
        <v>15</v>
      </c>
      <c r="F573" s="8"/>
      <c r="G573" s="9">
        <f>H573*(1-15%)*(1-F573)</f>
        <v>46.664999999999999</v>
      </c>
      <c r="H573" s="9">
        <v>54.899999999999999</v>
      </c>
      <c r="I573" s="9">
        <f>H573-G573</f>
        <v>8.2349999999999994</v>
      </c>
    </row>
    <row r="574" ht="14.25">
      <c r="A574" s="5">
        <v>81168</v>
      </c>
      <c r="B574" s="6" t="s">
        <v>635</v>
      </c>
      <c r="C574" s="7" t="s">
        <v>82</v>
      </c>
      <c r="D574" s="7" t="s">
        <v>103</v>
      </c>
      <c r="E574" s="5" t="s">
        <v>15</v>
      </c>
      <c r="F574" s="8"/>
      <c r="G574" s="9">
        <f>H574*(1-15%)*(1-F574)</f>
        <v>20.314999999999998</v>
      </c>
      <c r="H574" s="9">
        <v>23.899999999999999</v>
      </c>
      <c r="I574" s="9">
        <f>H574-G574</f>
        <v>3.5850000000000009</v>
      </c>
    </row>
    <row r="575" ht="14.25">
      <c r="A575" s="5">
        <v>81170</v>
      </c>
      <c r="B575" s="6" t="s">
        <v>636</v>
      </c>
      <c r="C575" s="7" t="s">
        <v>82</v>
      </c>
      <c r="D575" s="7" t="s">
        <v>11</v>
      </c>
      <c r="E575" s="5" t="s">
        <v>15</v>
      </c>
      <c r="F575" s="8"/>
      <c r="G575" s="9">
        <f>H575*(1-15%)*(1-F575)</f>
        <v>78.965000000000003</v>
      </c>
      <c r="H575" s="9">
        <v>92.900000000000006</v>
      </c>
      <c r="I575" s="9">
        <f>H575-G575</f>
        <v>13.935000000000002</v>
      </c>
    </row>
    <row r="576" ht="14.25">
      <c r="A576" s="5">
        <v>81419</v>
      </c>
      <c r="B576" s="6" t="s">
        <v>637</v>
      </c>
      <c r="C576" s="7" t="s">
        <v>82</v>
      </c>
      <c r="D576" s="7" t="s">
        <v>45</v>
      </c>
      <c r="E576" s="5" t="s">
        <v>15</v>
      </c>
      <c r="F576" s="8"/>
      <c r="G576" s="9">
        <f>H576*(1-15%)*(1-F576)</f>
        <v>50.914999999999999</v>
      </c>
      <c r="H576" s="9">
        <v>59.899999999999999</v>
      </c>
      <c r="I576" s="9">
        <f>H576-G576</f>
        <v>8.9849999999999994</v>
      </c>
    </row>
    <row r="577" ht="14.25">
      <c r="A577" s="5">
        <v>81633</v>
      </c>
      <c r="B577" s="6" t="s">
        <v>638</v>
      </c>
      <c r="C577" s="7" t="s">
        <v>109</v>
      </c>
      <c r="D577" s="7" t="s">
        <v>110</v>
      </c>
      <c r="E577" s="5" t="s">
        <v>39</v>
      </c>
      <c r="F577" s="8"/>
      <c r="G577" s="9">
        <f>H577*(1-15%)*(1-F577)</f>
        <v>127.41500000000001</v>
      </c>
      <c r="H577" s="9">
        <v>149.90000000000001</v>
      </c>
      <c r="I577" s="9">
        <f>H577-G577</f>
        <v>22.484999999999999</v>
      </c>
    </row>
    <row r="578" ht="14.25">
      <c r="A578" s="5">
        <v>81634</v>
      </c>
      <c r="B578" s="6" t="s">
        <v>639</v>
      </c>
      <c r="C578" s="7" t="s">
        <v>109</v>
      </c>
      <c r="D578" s="7" t="s">
        <v>110</v>
      </c>
      <c r="E578" s="5" t="s">
        <v>39</v>
      </c>
      <c r="F578" s="8"/>
      <c r="G578" s="9">
        <f>H578*(1-15%)*(1-F578)</f>
        <v>127.41500000000001</v>
      </c>
      <c r="H578" s="9">
        <v>149.90000000000001</v>
      </c>
      <c r="I578" s="9">
        <f>H578-G578</f>
        <v>22.484999999999999</v>
      </c>
    </row>
    <row r="579" ht="14.25">
      <c r="A579" s="5">
        <v>81635</v>
      </c>
      <c r="B579" s="6" t="s">
        <v>640</v>
      </c>
      <c r="C579" s="7" t="s">
        <v>109</v>
      </c>
      <c r="D579" s="7" t="s">
        <v>110</v>
      </c>
      <c r="E579" s="5" t="s">
        <v>39</v>
      </c>
      <c r="F579" s="8"/>
      <c r="G579" s="9">
        <f>H579*(1-15%)*(1-F579)</f>
        <v>127.41500000000001</v>
      </c>
      <c r="H579" s="9">
        <v>149.90000000000001</v>
      </c>
      <c r="I579" s="9">
        <f>H579-G579</f>
        <v>22.484999999999999</v>
      </c>
    </row>
    <row r="580" ht="14.25">
      <c r="A580" s="5">
        <v>81636</v>
      </c>
      <c r="B580" s="6" t="s">
        <v>641</v>
      </c>
      <c r="C580" s="7" t="s">
        <v>109</v>
      </c>
      <c r="D580" s="7" t="s">
        <v>110</v>
      </c>
      <c r="E580" s="5" t="s">
        <v>39</v>
      </c>
      <c r="F580" s="8"/>
      <c r="G580" s="9">
        <f>H580*(1-15%)*(1-F580)</f>
        <v>127.41500000000001</v>
      </c>
      <c r="H580" s="9">
        <v>149.90000000000001</v>
      </c>
      <c r="I580" s="9">
        <f>H580-G580</f>
        <v>22.484999999999999</v>
      </c>
    </row>
    <row r="581" ht="14.25">
      <c r="A581" s="5">
        <v>81637</v>
      </c>
      <c r="B581" s="6" t="s">
        <v>642</v>
      </c>
      <c r="C581" s="7" t="s">
        <v>109</v>
      </c>
      <c r="D581" s="7" t="s">
        <v>110</v>
      </c>
      <c r="E581" s="5" t="s">
        <v>39</v>
      </c>
      <c r="F581" s="8"/>
      <c r="G581" s="9">
        <f>H581*(1-15%)*(1-F581)</f>
        <v>127.41500000000001</v>
      </c>
      <c r="H581" s="9">
        <v>149.90000000000001</v>
      </c>
      <c r="I581" s="9">
        <f>H581-G581</f>
        <v>22.484999999999999</v>
      </c>
    </row>
    <row r="582" ht="14.25">
      <c r="A582" s="5">
        <v>81638</v>
      </c>
      <c r="B582" s="6" t="s">
        <v>643</v>
      </c>
      <c r="C582" s="7" t="s">
        <v>109</v>
      </c>
      <c r="D582" s="7" t="s">
        <v>110</v>
      </c>
      <c r="E582" s="5" t="s">
        <v>39</v>
      </c>
      <c r="F582" s="8"/>
      <c r="G582" s="9">
        <f>H582*(1-15%)*(1-F582)</f>
        <v>127.41500000000001</v>
      </c>
      <c r="H582" s="9">
        <v>149.90000000000001</v>
      </c>
      <c r="I582" s="9">
        <f>H582-G582</f>
        <v>22.484999999999999</v>
      </c>
    </row>
    <row r="583" ht="14.25">
      <c r="A583" s="5">
        <v>81639</v>
      </c>
      <c r="B583" s="6" t="s">
        <v>644</v>
      </c>
      <c r="C583" s="7" t="s">
        <v>109</v>
      </c>
      <c r="D583" s="7" t="s">
        <v>110</v>
      </c>
      <c r="E583" s="5" t="s">
        <v>39</v>
      </c>
      <c r="F583" s="8"/>
      <c r="G583" s="9">
        <f>H583*(1-15%)*(1-F583)</f>
        <v>127.41500000000001</v>
      </c>
      <c r="H583" s="9">
        <v>149.90000000000001</v>
      </c>
      <c r="I583" s="9">
        <f>H583-G583</f>
        <v>22.484999999999999</v>
      </c>
    </row>
    <row r="584" ht="14.25">
      <c r="A584" s="5">
        <v>81640</v>
      </c>
      <c r="B584" s="6" t="s">
        <v>645</v>
      </c>
      <c r="C584" s="7" t="s">
        <v>109</v>
      </c>
      <c r="D584" s="7" t="s">
        <v>110</v>
      </c>
      <c r="E584" s="5" t="s">
        <v>39</v>
      </c>
      <c r="F584" s="8"/>
      <c r="G584" s="9">
        <f>H584*(1-15%)*(1-F584)</f>
        <v>127.41500000000001</v>
      </c>
      <c r="H584" s="9">
        <v>149.90000000000001</v>
      </c>
      <c r="I584" s="9">
        <f>H584-G584</f>
        <v>22.484999999999999</v>
      </c>
    </row>
    <row r="585" ht="14.25">
      <c r="A585" s="5">
        <v>81641</v>
      </c>
      <c r="B585" s="6" t="s">
        <v>646</v>
      </c>
      <c r="C585" s="7" t="s">
        <v>109</v>
      </c>
      <c r="D585" s="7" t="s">
        <v>110</v>
      </c>
      <c r="E585" s="5" t="s">
        <v>39</v>
      </c>
      <c r="F585" s="8"/>
      <c r="G585" s="9">
        <f>H585*(1-15%)*(1-F585)</f>
        <v>127.41500000000001</v>
      </c>
      <c r="H585" s="9">
        <v>149.90000000000001</v>
      </c>
      <c r="I585" s="9">
        <f>H585-G585</f>
        <v>22.484999999999999</v>
      </c>
    </row>
    <row r="586" ht="14.25">
      <c r="A586" s="5">
        <v>81642</v>
      </c>
      <c r="B586" s="6" t="s">
        <v>647</v>
      </c>
      <c r="C586" s="7" t="s">
        <v>109</v>
      </c>
      <c r="D586" s="7" t="s">
        <v>110</v>
      </c>
      <c r="E586" s="5" t="s">
        <v>39</v>
      </c>
      <c r="F586" s="8"/>
      <c r="G586" s="9">
        <f>H586*(1-15%)*(1-F586)</f>
        <v>127.41500000000001</v>
      </c>
      <c r="H586" s="9">
        <v>149.90000000000001</v>
      </c>
      <c r="I586" s="9">
        <f>H586-G586</f>
        <v>22.484999999999999</v>
      </c>
    </row>
    <row r="587" ht="14.25">
      <c r="A587" s="5">
        <v>81643</v>
      </c>
      <c r="B587" s="6" t="s">
        <v>648</v>
      </c>
      <c r="C587" s="7" t="s">
        <v>109</v>
      </c>
      <c r="D587" s="7" t="s">
        <v>110</v>
      </c>
      <c r="E587" s="5" t="s">
        <v>39</v>
      </c>
      <c r="F587" s="8"/>
      <c r="G587" s="9">
        <f>H587*(1-15%)*(1-F587)</f>
        <v>127.41500000000001</v>
      </c>
      <c r="H587" s="9">
        <v>149.90000000000001</v>
      </c>
      <c r="I587" s="9">
        <f>H587-G587</f>
        <v>22.484999999999999</v>
      </c>
    </row>
    <row r="588" ht="14.25">
      <c r="A588" s="5">
        <v>81644</v>
      </c>
      <c r="B588" s="6" t="s">
        <v>649</v>
      </c>
      <c r="C588" s="7" t="s">
        <v>109</v>
      </c>
      <c r="D588" s="7" t="s">
        <v>110</v>
      </c>
      <c r="E588" s="5" t="s">
        <v>39</v>
      </c>
      <c r="F588" s="8"/>
      <c r="G588" s="9">
        <f>H588*(1-15%)*(1-F588)</f>
        <v>127.41500000000001</v>
      </c>
      <c r="H588" s="9">
        <v>149.90000000000001</v>
      </c>
      <c r="I588" s="9">
        <f>H588-G588</f>
        <v>22.484999999999999</v>
      </c>
    </row>
    <row r="589" ht="14.25">
      <c r="A589" s="5">
        <v>81645</v>
      </c>
      <c r="B589" s="6" t="s">
        <v>650</v>
      </c>
      <c r="C589" s="7" t="s">
        <v>109</v>
      </c>
      <c r="D589" s="7" t="s">
        <v>110</v>
      </c>
      <c r="E589" s="5" t="s">
        <v>39</v>
      </c>
      <c r="F589" s="8"/>
      <c r="G589" s="9">
        <f>H589*(1-15%)*(1-F589)</f>
        <v>127.41500000000001</v>
      </c>
      <c r="H589" s="9">
        <v>149.90000000000001</v>
      </c>
      <c r="I589" s="9">
        <f>H589-G589</f>
        <v>22.484999999999999</v>
      </c>
    </row>
    <row r="590" ht="14.25">
      <c r="A590" s="5">
        <v>81646</v>
      </c>
      <c r="B590" s="6" t="s">
        <v>651</v>
      </c>
      <c r="C590" s="7" t="s">
        <v>109</v>
      </c>
      <c r="D590" s="7" t="s">
        <v>110</v>
      </c>
      <c r="E590" s="5" t="s">
        <v>39</v>
      </c>
      <c r="F590" s="8"/>
      <c r="G590" s="9">
        <f>H590*(1-15%)*(1-F590)</f>
        <v>127.41500000000001</v>
      </c>
      <c r="H590" s="9">
        <v>149.90000000000001</v>
      </c>
      <c r="I590" s="9">
        <f>H590-G590</f>
        <v>22.484999999999999</v>
      </c>
    </row>
    <row r="591" ht="14.25">
      <c r="A591" s="5">
        <v>81973</v>
      </c>
      <c r="B591" s="6" t="s">
        <v>652</v>
      </c>
      <c r="C591" s="7" t="s">
        <v>14</v>
      </c>
      <c r="D591" s="7" t="s">
        <v>71</v>
      </c>
      <c r="E591" s="5" t="s">
        <v>15</v>
      </c>
      <c r="F591" s="8"/>
      <c r="G591" s="9">
        <f>H591*(1-15%)*(1-F591)</f>
        <v>32.214999999999996</v>
      </c>
      <c r="H591" s="9">
        <v>37.899999999999999</v>
      </c>
      <c r="I591" s="9">
        <f>H591-G591</f>
        <v>5.6850000000000023</v>
      </c>
    </row>
    <row r="592" ht="14.25">
      <c r="A592" s="5">
        <v>82448</v>
      </c>
      <c r="B592" s="6" t="s">
        <v>653</v>
      </c>
      <c r="C592" s="7" t="s">
        <v>109</v>
      </c>
      <c r="D592" s="7" t="s">
        <v>110</v>
      </c>
      <c r="E592" s="5" t="s">
        <v>15</v>
      </c>
      <c r="F592" s="8"/>
      <c r="G592" s="9">
        <f>H592*(1-15%)*(1-F592)</f>
        <v>72.165000000000006</v>
      </c>
      <c r="H592" s="9">
        <v>84.900000000000006</v>
      </c>
      <c r="I592" s="9">
        <f>H592-G592</f>
        <v>12.734999999999999</v>
      </c>
    </row>
    <row r="593" ht="14.25">
      <c r="A593" s="5">
        <v>82449</v>
      </c>
      <c r="B593" s="6" t="s">
        <v>654</v>
      </c>
      <c r="C593" s="7" t="s">
        <v>109</v>
      </c>
      <c r="D593" s="7" t="s">
        <v>110</v>
      </c>
      <c r="E593" s="5" t="s">
        <v>15</v>
      </c>
      <c r="F593" s="8"/>
      <c r="G593" s="9">
        <f>H593*(1-15%)*(1-F593)</f>
        <v>72.165000000000006</v>
      </c>
      <c r="H593" s="9">
        <v>84.900000000000006</v>
      </c>
      <c r="I593" s="9">
        <f>H593-G593</f>
        <v>12.734999999999999</v>
      </c>
    </row>
    <row r="594" ht="14.25">
      <c r="A594" s="5">
        <v>82450</v>
      </c>
      <c r="B594" s="6" t="s">
        <v>655</v>
      </c>
      <c r="C594" s="7" t="s">
        <v>109</v>
      </c>
      <c r="D594" s="7" t="s">
        <v>110</v>
      </c>
      <c r="E594" s="5" t="s">
        <v>15</v>
      </c>
      <c r="F594" s="8"/>
      <c r="G594" s="9">
        <f>H594*(1-15%)*(1-F594)</f>
        <v>72.165000000000006</v>
      </c>
      <c r="H594" s="9">
        <v>84.900000000000006</v>
      </c>
      <c r="I594" s="9">
        <f>H594-G594</f>
        <v>12.734999999999999</v>
      </c>
    </row>
    <row r="595" ht="14.25">
      <c r="A595" s="5">
        <v>82451</v>
      </c>
      <c r="B595" s="6" t="s">
        <v>656</v>
      </c>
      <c r="C595" s="7" t="s">
        <v>109</v>
      </c>
      <c r="D595" s="7" t="s">
        <v>110</v>
      </c>
      <c r="E595" s="5" t="s">
        <v>15</v>
      </c>
      <c r="F595" s="8"/>
      <c r="G595" s="9">
        <f>H595*(1-15%)*(1-F595)</f>
        <v>72.165000000000006</v>
      </c>
      <c r="H595" s="9">
        <v>84.900000000000006</v>
      </c>
      <c r="I595" s="9">
        <f>H595-G595</f>
        <v>12.734999999999999</v>
      </c>
    </row>
    <row r="596" ht="14.25">
      <c r="A596" s="5">
        <v>82452</v>
      </c>
      <c r="B596" s="6" t="s">
        <v>657</v>
      </c>
      <c r="C596" s="7" t="s">
        <v>109</v>
      </c>
      <c r="D596" s="7" t="s">
        <v>110</v>
      </c>
      <c r="E596" s="5" t="s">
        <v>15</v>
      </c>
      <c r="F596" s="8"/>
      <c r="G596" s="9">
        <f>H596*(1-15%)*(1-F596)</f>
        <v>72.165000000000006</v>
      </c>
      <c r="H596" s="9">
        <v>84.900000000000006</v>
      </c>
      <c r="I596" s="9">
        <f>H596-G596</f>
        <v>12.734999999999999</v>
      </c>
    </row>
    <row r="597" ht="14.25">
      <c r="A597" s="5">
        <v>82464</v>
      </c>
      <c r="B597" s="6" t="s">
        <v>658</v>
      </c>
      <c r="C597" s="7" t="s">
        <v>109</v>
      </c>
      <c r="D597" s="7" t="s">
        <v>110</v>
      </c>
      <c r="E597" s="5" t="s">
        <v>39</v>
      </c>
      <c r="F597" s="8"/>
      <c r="G597" s="9">
        <f>H597*(1-15%)*(1-F597)</f>
        <v>127.41500000000001</v>
      </c>
      <c r="H597" s="9">
        <v>149.90000000000001</v>
      </c>
      <c r="I597" s="9">
        <f>H597-G597</f>
        <v>22.484999999999999</v>
      </c>
    </row>
    <row r="598" ht="14.25">
      <c r="A598" s="5">
        <v>82605</v>
      </c>
      <c r="B598" s="6" t="s">
        <v>659</v>
      </c>
      <c r="C598" s="7" t="s">
        <v>109</v>
      </c>
      <c r="D598" s="7" t="s">
        <v>110</v>
      </c>
      <c r="E598" s="5" t="s">
        <v>15</v>
      </c>
      <c r="F598" s="8"/>
      <c r="G598" s="9">
        <f>H598*(1-15%)*(1-F598)</f>
        <v>84.915000000000006</v>
      </c>
      <c r="H598" s="9">
        <v>99.900000000000006</v>
      </c>
      <c r="I598" s="9">
        <f>H598-G598</f>
        <v>14.984999999999999</v>
      </c>
    </row>
    <row r="599" ht="14.25">
      <c r="A599" s="5">
        <v>82607</v>
      </c>
      <c r="B599" s="6" t="s">
        <v>660</v>
      </c>
      <c r="C599" s="7" t="s">
        <v>109</v>
      </c>
      <c r="D599" s="7" t="s">
        <v>110</v>
      </c>
      <c r="E599" s="5" t="s">
        <v>15</v>
      </c>
      <c r="F599" s="8"/>
      <c r="G599" s="9">
        <f>H599*(1-15%)*(1-F599)</f>
        <v>84.915000000000006</v>
      </c>
      <c r="H599" s="9">
        <v>99.900000000000006</v>
      </c>
      <c r="I599" s="9">
        <f>H599-G599</f>
        <v>14.984999999999999</v>
      </c>
    </row>
    <row r="600" ht="14.25">
      <c r="A600" s="5">
        <v>82608</v>
      </c>
      <c r="B600" s="6" t="s">
        <v>661</v>
      </c>
      <c r="C600" s="7" t="s">
        <v>109</v>
      </c>
      <c r="D600" s="7" t="s">
        <v>110</v>
      </c>
      <c r="E600" s="5" t="s">
        <v>15</v>
      </c>
      <c r="F600" s="8"/>
      <c r="G600" s="9">
        <f>H600*(1-15%)*(1-F600)</f>
        <v>84.915000000000006</v>
      </c>
      <c r="H600" s="9">
        <v>99.900000000000006</v>
      </c>
      <c r="I600" s="9">
        <f>H600-G600</f>
        <v>14.984999999999999</v>
      </c>
    </row>
    <row r="601" ht="14.25">
      <c r="A601" s="5">
        <v>82609</v>
      </c>
      <c r="B601" s="6" t="s">
        <v>662</v>
      </c>
      <c r="C601" s="7" t="s">
        <v>109</v>
      </c>
      <c r="D601" s="7" t="s">
        <v>110</v>
      </c>
      <c r="E601" s="5" t="s">
        <v>15</v>
      </c>
      <c r="F601" s="8"/>
      <c r="G601" s="9">
        <f>H601*(1-15%)*(1-F601)</f>
        <v>84.915000000000006</v>
      </c>
      <c r="H601" s="9">
        <v>99.900000000000006</v>
      </c>
      <c r="I601" s="9">
        <f>H601-G601</f>
        <v>14.984999999999999</v>
      </c>
    </row>
    <row r="602" ht="14.25">
      <c r="A602" s="5">
        <v>82610</v>
      </c>
      <c r="B602" s="6" t="s">
        <v>663</v>
      </c>
      <c r="C602" s="7" t="s">
        <v>109</v>
      </c>
      <c r="D602" s="7" t="s">
        <v>110</v>
      </c>
      <c r="E602" s="5" t="s">
        <v>15</v>
      </c>
      <c r="F602" s="8"/>
      <c r="G602" s="9">
        <f>H602*(1-15%)*(1-F602)</f>
        <v>84.915000000000006</v>
      </c>
      <c r="H602" s="9">
        <v>99.900000000000006</v>
      </c>
      <c r="I602" s="9">
        <f>H602-G602</f>
        <v>14.984999999999999</v>
      </c>
    </row>
    <row r="603" ht="14.25">
      <c r="A603" s="5">
        <v>82612</v>
      </c>
      <c r="B603" s="6" t="s">
        <v>664</v>
      </c>
      <c r="C603" s="7" t="s">
        <v>109</v>
      </c>
      <c r="D603" s="7" t="s">
        <v>110</v>
      </c>
      <c r="E603" s="5" t="s">
        <v>15</v>
      </c>
      <c r="F603" s="8"/>
      <c r="G603" s="9">
        <f>H603*(1-15%)*(1-F603)</f>
        <v>84.915000000000006</v>
      </c>
      <c r="H603" s="9">
        <v>99.900000000000006</v>
      </c>
      <c r="I603" s="9">
        <f>H603-G603</f>
        <v>14.984999999999999</v>
      </c>
    </row>
    <row r="604" ht="14.25">
      <c r="A604" s="5">
        <v>82613</v>
      </c>
      <c r="B604" s="6" t="s">
        <v>665</v>
      </c>
      <c r="C604" s="7" t="s">
        <v>109</v>
      </c>
      <c r="D604" s="7" t="s">
        <v>110</v>
      </c>
      <c r="E604" s="5" t="s">
        <v>15</v>
      </c>
      <c r="F604" s="8"/>
      <c r="G604" s="9">
        <f>H604*(1-15%)*(1-F604)</f>
        <v>84.915000000000006</v>
      </c>
      <c r="H604" s="9">
        <v>99.900000000000006</v>
      </c>
      <c r="I604" s="9">
        <f>H604-G604</f>
        <v>14.984999999999999</v>
      </c>
    </row>
    <row r="605" ht="14.25">
      <c r="A605" s="5">
        <v>84056</v>
      </c>
      <c r="B605" s="6" t="s">
        <v>666</v>
      </c>
      <c r="C605" s="7" t="s">
        <v>17</v>
      </c>
      <c r="D605" s="7" t="s">
        <v>71</v>
      </c>
      <c r="E605" s="5" t="s">
        <v>68</v>
      </c>
      <c r="F605" s="8"/>
      <c r="G605" s="9">
        <f>H605*(1-15%)*(1-F605)</f>
        <v>42.414999999999999</v>
      </c>
      <c r="H605" s="9">
        <v>49.899999999999999</v>
      </c>
      <c r="I605" s="9">
        <f>H605-G605</f>
        <v>7.4849999999999994</v>
      </c>
    </row>
    <row r="606" ht="14.25">
      <c r="A606" s="5">
        <v>84057</v>
      </c>
      <c r="B606" s="6" t="s">
        <v>667</v>
      </c>
      <c r="C606" s="7" t="s">
        <v>17</v>
      </c>
      <c r="D606" s="7" t="s">
        <v>71</v>
      </c>
      <c r="E606" s="5" t="s">
        <v>133</v>
      </c>
      <c r="F606" s="8"/>
      <c r="G606" s="9">
        <f>H606*(1-15%)*(1-F606)</f>
        <v>42.414999999999999</v>
      </c>
      <c r="H606" s="9">
        <v>49.899999999999999</v>
      </c>
      <c r="I606" s="9">
        <f>H606-G606</f>
        <v>7.4849999999999994</v>
      </c>
    </row>
    <row r="607" ht="14.25">
      <c r="A607" s="5">
        <v>84108</v>
      </c>
      <c r="B607" s="6" t="s">
        <v>668</v>
      </c>
      <c r="C607" s="7" t="s">
        <v>17</v>
      </c>
      <c r="D607" s="7" t="s">
        <v>71</v>
      </c>
      <c r="E607" s="5" t="s">
        <v>15</v>
      </c>
      <c r="F607" s="8"/>
      <c r="G607" s="9">
        <f>H607*(1-15%)*(1-F607)</f>
        <v>32.214999999999996</v>
      </c>
      <c r="H607" s="9">
        <v>37.899999999999999</v>
      </c>
      <c r="I607" s="9">
        <f>H607-G607</f>
        <v>5.6850000000000023</v>
      </c>
    </row>
    <row r="608" ht="14.25">
      <c r="A608" s="5">
        <v>84307</v>
      </c>
      <c r="B608" s="6" t="s">
        <v>669</v>
      </c>
      <c r="C608" s="7" t="s">
        <v>109</v>
      </c>
      <c r="D608" s="7" t="s">
        <v>110</v>
      </c>
      <c r="E608" s="5" t="s">
        <v>15</v>
      </c>
      <c r="F608" s="8"/>
      <c r="G608" s="9">
        <f>H608*(1-15%)*(1-F608)</f>
        <v>84.915000000000006</v>
      </c>
      <c r="H608" s="9">
        <v>99.900000000000006</v>
      </c>
      <c r="I608" s="9">
        <f>H608-G608</f>
        <v>14.984999999999999</v>
      </c>
    </row>
    <row r="609" ht="14.25">
      <c r="A609" s="5">
        <v>83894</v>
      </c>
      <c r="B609" s="6" t="s">
        <v>670</v>
      </c>
      <c r="C609" s="7" t="s">
        <v>109</v>
      </c>
      <c r="D609" s="7" t="s">
        <v>219</v>
      </c>
      <c r="E609" s="5" t="s">
        <v>68</v>
      </c>
      <c r="F609" s="8"/>
      <c r="G609" s="9">
        <f>H609*(1-15%)*(1-F609)</f>
        <v>127.41500000000001</v>
      </c>
      <c r="H609" s="9">
        <v>149.90000000000001</v>
      </c>
      <c r="I609" s="9">
        <f>H609-G609</f>
        <v>22.484999999999999</v>
      </c>
    </row>
    <row r="610" ht="14.25">
      <c r="A610" s="5">
        <v>83859</v>
      </c>
      <c r="B610" s="6" t="s">
        <v>671</v>
      </c>
      <c r="C610" s="7" t="s">
        <v>109</v>
      </c>
      <c r="D610" s="7" t="s">
        <v>110</v>
      </c>
      <c r="E610" s="5" t="s">
        <v>43</v>
      </c>
      <c r="F610" s="8"/>
      <c r="G610" s="9">
        <f>H610*(1-15%)*(1-F610)</f>
        <v>50.914999999999999</v>
      </c>
      <c r="H610" s="9">
        <v>59.899999999999999</v>
      </c>
      <c r="I610" s="9">
        <f>H610-G610</f>
        <v>8.9849999999999994</v>
      </c>
    </row>
    <row r="611" ht="14.25">
      <c r="A611" s="5">
        <v>47617</v>
      </c>
      <c r="B611" s="6" t="s">
        <v>672</v>
      </c>
      <c r="C611" s="7" t="s">
        <v>201</v>
      </c>
      <c r="D611" s="7" t="s">
        <v>183</v>
      </c>
      <c r="E611" s="5" t="s">
        <v>15</v>
      </c>
      <c r="F611" s="8"/>
      <c r="G611" s="9">
        <f>H611*(1-15%)*(1-F611)</f>
        <v>42.414999999999999</v>
      </c>
      <c r="H611" s="9">
        <v>49.899999999999999</v>
      </c>
      <c r="I611" s="9">
        <f>H611-G611</f>
        <v>7.4849999999999994</v>
      </c>
    </row>
    <row r="612" ht="14.25">
      <c r="A612" s="5">
        <v>84042</v>
      </c>
      <c r="B612" s="6" t="s">
        <v>673</v>
      </c>
      <c r="C612" s="7" t="s">
        <v>33</v>
      </c>
      <c r="D612" s="7" t="s">
        <v>61</v>
      </c>
      <c r="E612" s="5" t="s">
        <v>68</v>
      </c>
      <c r="F612" s="8"/>
      <c r="G612" s="9">
        <f>H612*(1-15%)*(1-F612)</f>
        <v>138.465</v>
      </c>
      <c r="H612" s="9">
        <v>162.90000000000001</v>
      </c>
      <c r="I612" s="9">
        <f>H612-G612</f>
        <v>24.435000000000002</v>
      </c>
    </row>
    <row r="613" ht="14.25">
      <c r="A613" s="5">
        <v>84043</v>
      </c>
      <c r="B613" s="6" t="s">
        <v>674</v>
      </c>
      <c r="C613" s="7" t="s">
        <v>14</v>
      </c>
      <c r="D613" s="7" t="s">
        <v>61</v>
      </c>
      <c r="E613" s="5" t="s">
        <v>15</v>
      </c>
      <c r="F613" s="8"/>
      <c r="G613" s="9">
        <f>H613*(1-15%)*(1-F613)</f>
        <v>131.66499999999999</v>
      </c>
      <c r="H613" s="9">
        <v>154.90000000000001</v>
      </c>
      <c r="I613" s="9">
        <f>H613-G613</f>
        <v>23.235000000000014</v>
      </c>
    </row>
    <row r="614" ht="14.25">
      <c r="A614" s="5">
        <v>84047</v>
      </c>
      <c r="B614" s="6" t="s">
        <v>675</v>
      </c>
      <c r="C614" s="7" t="s">
        <v>14</v>
      </c>
      <c r="D614" s="7" t="s">
        <v>61</v>
      </c>
      <c r="E614" s="5" t="s">
        <v>26</v>
      </c>
      <c r="F614" s="8"/>
      <c r="G614" s="9">
        <f>H614*(1-15%)*(1-F614)</f>
        <v>140.16499999999999</v>
      </c>
      <c r="H614" s="9">
        <v>164.90000000000001</v>
      </c>
      <c r="I614" s="9">
        <f>H614-G614</f>
        <v>24.735000000000014</v>
      </c>
    </row>
    <row r="615" ht="14.25">
      <c r="A615" s="5">
        <v>84113</v>
      </c>
      <c r="B615" s="6" t="s">
        <v>676</v>
      </c>
      <c r="C615" s="7" t="s">
        <v>17</v>
      </c>
      <c r="D615" s="7" t="s">
        <v>61</v>
      </c>
      <c r="E615" s="5" t="s">
        <v>39</v>
      </c>
      <c r="F615" s="8"/>
      <c r="G615" s="9">
        <f>H615*(1-15%)*(1-F615)</f>
        <v>203.91499999999999</v>
      </c>
      <c r="H615" s="9">
        <v>239.90000000000001</v>
      </c>
      <c r="I615" s="9">
        <f>H615-G615</f>
        <v>35.985000000000014</v>
      </c>
    </row>
    <row r="616" ht="14.25">
      <c r="A616" s="5">
        <v>83766</v>
      </c>
      <c r="B616" s="6" t="s">
        <v>677</v>
      </c>
      <c r="C616" s="7" t="s">
        <v>426</v>
      </c>
      <c r="D616" s="7" t="s">
        <v>219</v>
      </c>
      <c r="E616" s="5" t="s">
        <v>133</v>
      </c>
      <c r="F616" s="8"/>
      <c r="G616" s="9">
        <f>H616*(1-15%)*(1-F616)</f>
        <v>169.91499999999999</v>
      </c>
      <c r="H616" s="9">
        <v>199.90000000000001</v>
      </c>
      <c r="I616" s="9">
        <f>H616-G616</f>
        <v>29.985000000000014</v>
      </c>
    </row>
    <row r="617" ht="14.25">
      <c r="A617" s="5">
        <v>83768</v>
      </c>
      <c r="B617" s="6" t="s">
        <v>678</v>
      </c>
      <c r="C617" s="7" t="s">
        <v>426</v>
      </c>
      <c r="D617" s="7" t="s">
        <v>219</v>
      </c>
      <c r="E617" s="5" t="s">
        <v>26</v>
      </c>
      <c r="F617" s="8"/>
      <c r="G617" s="9">
        <f>H617*(1-15%)*(1-F617)</f>
        <v>148.66499999999999</v>
      </c>
      <c r="H617" s="9">
        <v>174.90000000000001</v>
      </c>
      <c r="I617" s="9">
        <f>H617-G617</f>
        <v>26.235000000000014</v>
      </c>
    </row>
    <row r="618" ht="14.25">
      <c r="A618" s="5">
        <v>30086</v>
      </c>
      <c r="B618" s="6" t="s">
        <v>679</v>
      </c>
      <c r="C618" s="7" t="s">
        <v>426</v>
      </c>
      <c r="D618" s="7" t="s">
        <v>61</v>
      </c>
      <c r="E618" s="5" t="s">
        <v>15</v>
      </c>
      <c r="F618" s="8"/>
      <c r="G618" s="9">
        <f>H618*(1-15%)*(1-F618)</f>
        <v>106.16500000000001</v>
      </c>
      <c r="H618" s="9">
        <v>124.90000000000001</v>
      </c>
      <c r="I618" s="9">
        <f>H618-G618</f>
        <v>18.734999999999999</v>
      </c>
    </row>
    <row r="619" ht="14.25">
      <c r="A619" s="5">
        <v>83770</v>
      </c>
      <c r="B619" s="6" t="s">
        <v>680</v>
      </c>
      <c r="C619" s="7" t="s">
        <v>426</v>
      </c>
      <c r="D619" s="7" t="s">
        <v>219</v>
      </c>
      <c r="E619" s="5" t="s">
        <v>68</v>
      </c>
      <c r="F619" s="8"/>
      <c r="G619" s="9">
        <f>H619*(1-15%)*(1-F619)</f>
        <v>114.66500000000001</v>
      </c>
      <c r="H619" s="9">
        <v>134.90000000000001</v>
      </c>
      <c r="I619" s="9">
        <f>H619-G619</f>
        <v>20.234999999999999</v>
      </c>
    </row>
    <row r="620" ht="14.25">
      <c r="A620" s="5">
        <v>46365</v>
      </c>
      <c r="B620" s="6" t="s">
        <v>681</v>
      </c>
      <c r="C620" s="7" t="s">
        <v>201</v>
      </c>
      <c r="D620" s="7" t="s">
        <v>183</v>
      </c>
      <c r="E620" s="5" t="s">
        <v>15</v>
      </c>
      <c r="F620" s="8"/>
      <c r="G620" s="9">
        <f>H620*(1-15%)*(1-F620)</f>
        <v>70.465000000000003</v>
      </c>
      <c r="H620" s="9">
        <v>82.900000000000006</v>
      </c>
      <c r="I620" s="9">
        <f>H620-G620</f>
        <v>12.435000000000002</v>
      </c>
    </row>
    <row r="621" ht="14.25">
      <c r="A621" s="5">
        <v>83767</v>
      </c>
      <c r="B621" s="6" t="s">
        <v>682</v>
      </c>
      <c r="C621" s="7" t="s">
        <v>426</v>
      </c>
      <c r="D621" s="7" t="s">
        <v>219</v>
      </c>
      <c r="E621" s="5" t="s">
        <v>26</v>
      </c>
      <c r="F621" s="8"/>
      <c r="G621" s="9">
        <f>H621*(1-15%)*(1-F621)</f>
        <v>72.165000000000006</v>
      </c>
      <c r="H621" s="9">
        <v>84.900000000000006</v>
      </c>
      <c r="I621" s="9">
        <f>H621-G621</f>
        <v>12.734999999999999</v>
      </c>
    </row>
    <row r="622" ht="14.25">
      <c r="A622" s="5">
        <v>84363</v>
      </c>
      <c r="B622" s="6" t="s">
        <v>683</v>
      </c>
      <c r="C622" s="7" t="s">
        <v>426</v>
      </c>
      <c r="D622" s="7" t="s">
        <v>219</v>
      </c>
      <c r="E622" s="5" t="s">
        <v>68</v>
      </c>
      <c r="F622" s="8"/>
      <c r="G622" s="9">
        <f>H622*(1-15%)*(1-F622)</f>
        <v>61.965000000000003</v>
      </c>
      <c r="H622" s="9">
        <v>72.900000000000006</v>
      </c>
      <c r="I622" s="9">
        <f>H622-G622</f>
        <v>10.935000000000002</v>
      </c>
    </row>
    <row r="623" ht="14.25">
      <c r="A623" s="5">
        <v>84193</v>
      </c>
      <c r="B623" s="6" t="s">
        <v>684</v>
      </c>
      <c r="C623" s="7" t="s">
        <v>426</v>
      </c>
      <c r="D623" s="7" t="s">
        <v>219</v>
      </c>
      <c r="E623" s="5" t="s">
        <v>68</v>
      </c>
      <c r="F623" s="8"/>
      <c r="G623" s="9">
        <f>H623*(1-15%)*(1-F623)</f>
        <v>61.115000000000002</v>
      </c>
      <c r="H623" s="9">
        <v>71.900000000000006</v>
      </c>
      <c r="I623" s="9">
        <f>H623-G623</f>
        <v>10.785000000000004</v>
      </c>
    </row>
    <row r="624" ht="14.25">
      <c r="A624" s="5">
        <v>83356</v>
      </c>
      <c r="B624" s="6" t="s">
        <v>685</v>
      </c>
      <c r="C624" s="7" t="s">
        <v>17</v>
      </c>
      <c r="D624" s="7" t="s">
        <v>11</v>
      </c>
      <c r="E624" s="5" t="s">
        <v>15</v>
      </c>
      <c r="F624" s="8"/>
      <c r="G624" s="9">
        <f>H624*(1-15%)*(1-F624)</f>
        <v>83.215000000000003</v>
      </c>
      <c r="H624" s="9">
        <v>97.900000000000006</v>
      </c>
      <c r="I624" s="9">
        <f>H624-G624</f>
        <v>14.685000000000002</v>
      </c>
    </row>
    <row r="625" ht="14.25">
      <c r="A625" s="5">
        <v>83357</v>
      </c>
      <c r="B625" s="6" t="s">
        <v>686</v>
      </c>
      <c r="C625" s="7" t="s">
        <v>17</v>
      </c>
      <c r="D625" s="7" t="s">
        <v>11</v>
      </c>
      <c r="E625" s="5" t="s">
        <v>26</v>
      </c>
      <c r="F625" s="8"/>
      <c r="G625" s="9">
        <f>H625*(1-15%)*(1-F625)</f>
        <v>83.215000000000003</v>
      </c>
      <c r="H625" s="9">
        <v>97.900000000000006</v>
      </c>
      <c r="I625" s="9">
        <f>H625-G625</f>
        <v>14.685000000000002</v>
      </c>
    </row>
    <row r="626" ht="14.25">
      <c r="A626" s="5">
        <v>45627</v>
      </c>
      <c r="B626" s="6" t="s">
        <v>687</v>
      </c>
      <c r="C626" s="7" t="s">
        <v>271</v>
      </c>
      <c r="D626" s="7" t="s">
        <v>183</v>
      </c>
      <c r="E626" s="5" t="s">
        <v>68</v>
      </c>
      <c r="F626" s="8"/>
      <c r="G626" s="9">
        <f>H626*(1-15%)*(1-F626)</f>
        <v>76.415000000000006</v>
      </c>
      <c r="H626" s="9">
        <v>89.900000000000006</v>
      </c>
      <c r="I626" s="9">
        <f>H626-G626</f>
        <v>13.484999999999999</v>
      </c>
    </row>
    <row r="627" ht="14.25">
      <c r="A627" s="5">
        <v>46593</v>
      </c>
      <c r="B627" s="6" t="s">
        <v>688</v>
      </c>
      <c r="C627" s="7" t="s">
        <v>87</v>
      </c>
      <c r="D627" s="7" t="s">
        <v>183</v>
      </c>
      <c r="E627" s="5" t="s">
        <v>68</v>
      </c>
      <c r="F627" s="8"/>
      <c r="G627" s="9">
        <f>H627*(1-15%)*(1-F627)</f>
        <v>87.465000000000003</v>
      </c>
      <c r="H627" s="9">
        <v>102.90000000000001</v>
      </c>
      <c r="I627" s="9">
        <f>H627-G627</f>
        <v>15.435000000000002</v>
      </c>
    </row>
    <row r="628" ht="14.25">
      <c r="A628" s="5">
        <v>82969</v>
      </c>
      <c r="B628" s="6" t="s">
        <v>689</v>
      </c>
      <c r="C628" s="7" t="s">
        <v>10</v>
      </c>
      <c r="D628" s="7" t="s">
        <v>95</v>
      </c>
      <c r="E628" s="5" t="s">
        <v>26</v>
      </c>
      <c r="F628" s="8"/>
      <c r="G628" s="9">
        <f>H628*(1-15%)*(1-F628)</f>
        <v>47.515000000000001</v>
      </c>
      <c r="H628" s="9">
        <v>55.899999999999999</v>
      </c>
      <c r="I628" s="9">
        <f>H628-G628</f>
        <v>8.384999999999998</v>
      </c>
    </row>
    <row r="629" ht="14.25">
      <c r="A629" s="5">
        <v>82979</v>
      </c>
      <c r="B629" s="6" t="s">
        <v>690</v>
      </c>
      <c r="C629" s="7" t="s">
        <v>10</v>
      </c>
      <c r="D629" s="7" t="s">
        <v>95</v>
      </c>
      <c r="E629" s="5" t="s">
        <v>26</v>
      </c>
      <c r="F629" s="8"/>
      <c r="G629" s="9">
        <f>H629*(1-15%)*(1-F629)</f>
        <v>84.915000000000006</v>
      </c>
      <c r="H629" s="9">
        <v>99.900000000000006</v>
      </c>
      <c r="I629" s="9">
        <f>H629-G629</f>
        <v>14.984999999999999</v>
      </c>
    </row>
    <row r="630" ht="14.25">
      <c r="A630" s="5">
        <v>83684</v>
      </c>
      <c r="B630" s="6" t="s">
        <v>691</v>
      </c>
      <c r="C630" s="7" t="s">
        <v>87</v>
      </c>
      <c r="D630" s="7" t="s">
        <v>52</v>
      </c>
      <c r="E630" s="5" t="s">
        <v>39</v>
      </c>
      <c r="F630" s="8"/>
      <c r="G630" s="9">
        <f>H630*(1-15%)*(1-F630)</f>
        <v>82.365000000000009</v>
      </c>
      <c r="H630" s="9">
        <v>96.900000000000006</v>
      </c>
      <c r="I630" s="9">
        <f>H630-G630</f>
        <v>14.534999999999997</v>
      </c>
    </row>
    <row r="631" ht="14.25">
      <c r="A631" s="5">
        <v>84247</v>
      </c>
      <c r="B631" s="6" t="s">
        <v>692</v>
      </c>
      <c r="C631" s="7" t="s">
        <v>10</v>
      </c>
      <c r="D631" s="7" t="s">
        <v>95</v>
      </c>
      <c r="E631" s="5" t="s">
        <v>26</v>
      </c>
      <c r="F631" s="8"/>
      <c r="G631" s="9">
        <f>H631*(1-15%)*(1-F631)</f>
        <v>49.214999999999996</v>
      </c>
      <c r="H631" s="9">
        <v>57.899999999999999</v>
      </c>
      <c r="I631" s="9">
        <f>H631-G631</f>
        <v>8.6850000000000023</v>
      </c>
    </row>
    <row r="632" ht="14.25">
      <c r="A632" s="5">
        <v>83061</v>
      </c>
      <c r="B632" s="6" t="s">
        <v>693</v>
      </c>
      <c r="C632" s="7" t="s">
        <v>694</v>
      </c>
      <c r="D632" s="7" t="s">
        <v>45</v>
      </c>
      <c r="E632" s="5" t="s">
        <v>39</v>
      </c>
      <c r="F632" s="8"/>
      <c r="G632" s="9">
        <f>H632*(1-15%)*(1-F632)</f>
        <v>36.464999999999996</v>
      </c>
      <c r="H632" s="9">
        <v>42.899999999999999</v>
      </c>
      <c r="I632" s="9">
        <f>H632-G632</f>
        <v>6.4350000000000023</v>
      </c>
    </row>
    <row r="633" ht="14.25">
      <c r="A633" s="5">
        <v>83453</v>
      </c>
      <c r="B633" s="6" t="s">
        <v>695</v>
      </c>
      <c r="C633" s="7" t="s">
        <v>75</v>
      </c>
      <c r="D633" s="7" t="s">
        <v>45</v>
      </c>
      <c r="E633" s="5" t="s">
        <v>15</v>
      </c>
      <c r="F633" s="8"/>
      <c r="G633" s="9">
        <f>H633*(1-15%)*(1-F633)</f>
        <v>72.165000000000006</v>
      </c>
      <c r="H633" s="9">
        <v>84.900000000000006</v>
      </c>
      <c r="I633" s="9">
        <f>H633-G633</f>
        <v>12.734999999999999</v>
      </c>
    </row>
    <row r="634" ht="14.25">
      <c r="A634" s="5">
        <v>83454</v>
      </c>
      <c r="B634" s="6" t="s">
        <v>696</v>
      </c>
      <c r="C634" s="7" t="s">
        <v>75</v>
      </c>
      <c r="D634" s="7" t="s">
        <v>45</v>
      </c>
      <c r="E634" s="5" t="s">
        <v>15</v>
      </c>
      <c r="F634" s="8"/>
      <c r="G634" s="9">
        <f>H634*(1-15%)*(1-F634)</f>
        <v>72.165000000000006</v>
      </c>
      <c r="H634" s="9">
        <v>84.900000000000006</v>
      </c>
      <c r="I634" s="9">
        <f>H634-G634</f>
        <v>12.734999999999999</v>
      </c>
    </row>
    <row r="635" ht="14.25">
      <c r="A635" s="5">
        <v>83457</v>
      </c>
      <c r="B635" s="6" t="s">
        <v>697</v>
      </c>
      <c r="C635" s="7" t="s">
        <v>75</v>
      </c>
      <c r="D635" s="7" t="s">
        <v>45</v>
      </c>
      <c r="E635" s="5" t="s">
        <v>15</v>
      </c>
      <c r="F635" s="8"/>
      <c r="G635" s="9">
        <f>H635*(1-15%)*(1-F635)</f>
        <v>72.165000000000006</v>
      </c>
      <c r="H635" s="9">
        <v>84.900000000000006</v>
      </c>
      <c r="I635" s="9">
        <f>H635-G635</f>
        <v>12.734999999999999</v>
      </c>
    </row>
    <row r="636" ht="14.25">
      <c r="A636" s="5">
        <v>83519</v>
      </c>
      <c r="B636" s="6" t="s">
        <v>698</v>
      </c>
      <c r="C636" s="7" t="s">
        <v>75</v>
      </c>
      <c r="D636" s="7" t="s">
        <v>45</v>
      </c>
      <c r="E636" s="5" t="s">
        <v>15</v>
      </c>
      <c r="F636" s="8"/>
      <c r="G636" s="9">
        <f>H636*(1-15%)*(1-F636)</f>
        <v>72.165000000000006</v>
      </c>
      <c r="H636" s="9">
        <v>84.900000000000006</v>
      </c>
      <c r="I636" s="9">
        <f>H636-G636</f>
        <v>12.734999999999999</v>
      </c>
    </row>
    <row r="637" ht="14.25">
      <c r="A637" s="5">
        <v>84097</v>
      </c>
      <c r="B637" s="6" t="s">
        <v>699</v>
      </c>
      <c r="C637" s="7" t="s">
        <v>17</v>
      </c>
      <c r="D637" s="7" t="s">
        <v>45</v>
      </c>
      <c r="E637" s="5" t="s">
        <v>26</v>
      </c>
      <c r="F637" s="8"/>
      <c r="G637" s="9">
        <f>H637*(1-15%)*(1-F637)</f>
        <v>38.164999999999999</v>
      </c>
      <c r="H637" s="9">
        <v>44.899999999999999</v>
      </c>
      <c r="I637" s="9">
        <f>H637-G637</f>
        <v>6.7349999999999994</v>
      </c>
    </row>
    <row r="638" ht="14.25">
      <c r="A638" s="5">
        <v>39235</v>
      </c>
      <c r="B638" s="6" t="s">
        <v>700</v>
      </c>
      <c r="C638" s="7" t="s">
        <v>694</v>
      </c>
      <c r="D638" s="7" t="s">
        <v>71</v>
      </c>
      <c r="E638" s="5" t="s">
        <v>68</v>
      </c>
      <c r="F638" s="8"/>
      <c r="G638" s="9">
        <f>H638*(1-15%)*(1-F638)</f>
        <v>42.414999999999999</v>
      </c>
      <c r="H638" s="9">
        <v>49.899999999999999</v>
      </c>
      <c r="I638" s="9">
        <f>H638-G638</f>
        <v>7.4849999999999994</v>
      </c>
    </row>
    <row r="639" ht="14.25">
      <c r="A639" s="5">
        <v>40058</v>
      </c>
      <c r="B639" s="6" t="s">
        <v>701</v>
      </c>
      <c r="C639" s="7" t="s">
        <v>694</v>
      </c>
      <c r="D639" s="7" t="s">
        <v>71</v>
      </c>
      <c r="E639" s="5" t="s">
        <v>15</v>
      </c>
      <c r="F639" s="8"/>
      <c r="G639" s="9">
        <f>H639*(1-15%)*(1-F639)</f>
        <v>32.214999999999996</v>
      </c>
      <c r="H639" s="9">
        <v>37.899999999999999</v>
      </c>
      <c r="I639" s="9">
        <f>H639-G639</f>
        <v>5.6850000000000023</v>
      </c>
    </row>
    <row r="640" ht="14.25">
      <c r="A640" s="5">
        <v>1080</v>
      </c>
      <c r="B640" s="6" t="s">
        <v>702</v>
      </c>
      <c r="C640" s="7" t="s">
        <v>271</v>
      </c>
      <c r="D640" s="7" t="s">
        <v>110</v>
      </c>
      <c r="E640" s="5" t="s">
        <v>703</v>
      </c>
      <c r="F640" s="8"/>
      <c r="G640" s="9">
        <f>H640*(1-15%)*(1-F640)</f>
        <v>40.714999999999996</v>
      </c>
      <c r="H640" s="9">
        <v>47.899999999999999</v>
      </c>
      <c r="I640" s="9">
        <f>H640-G640</f>
        <v>7.1850000000000023</v>
      </c>
    </row>
    <row r="641" ht="14.25">
      <c r="A641" s="5">
        <v>70373</v>
      </c>
      <c r="B641" s="6" t="s">
        <v>704</v>
      </c>
      <c r="C641" s="7" t="s">
        <v>705</v>
      </c>
      <c r="D641" s="7" t="s">
        <v>103</v>
      </c>
      <c r="E641" s="5" t="s">
        <v>15</v>
      </c>
      <c r="F641" s="8"/>
      <c r="G641" s="9">
        <f>H641*(1-15%)*(1-F641)</f>
        <v>45.814999999999998</v>
      </c>
      <c r="H641" s="9">
        <v>53.899999999999999</v>
      </c>
      <c r="I641" s="9">
        <f>H641-G641</f>
        <v>8.0850000000000009</v>
      </c>
    </row>
    <row r="642" ht="14.25">
      <c r="A642" s="5">
        <v>45532</v>
      </c>
      <c r="B642" s="6" t="s">
        <v>375</v>
      </c>
      <c r="C642" s="7" t="s">
        <v>251</v>
      </c>
      <c r="D642" s="7" t="s">
        <v>183</v>
      </c>
      <c r="E642" s="5" t="s">
        <v>15</v>
      </c>
      <c r="F642" s="8"/>
      <c r="G642" s="9">
        <f>H642*(1-15%)*(1-F642)</f>
        <v>33.914999999999999</v>
      </c>
      <c r="H642" s="9">
        <v>39.899999999999999</v>
      </c>
      <c r="I642" s="9">
        <f>H642-G642</f>
        <v>5.9849999999999994</v>
      </c>
    </row>
    <row r="643" ht="14.25">
      <c r="A643" s="5">
        <v>46643</v>
      </c>
      <c r="B643" s="6" t="s">
        <v>706</v>
      </c>
      <c r="C643" s="7" t="s">
        <v>33</v>
      </c>
      <c r="D643" s="7" t="s">
        <v>183</v>
      </c>
      <c r="E643" s="5" t="s">
        <v>68</v>
      </c>
      <c r="F643" s="8"/>
      <c r="G643" s="9">
        <f>H643*(1-15%)*(1-F643)</f>
        <v>42.414999999999999</v>
      </c>
      <c r="H643" s="9">
        <v>49.899999999999999</v>
      </c>
      <c r="I643" s="9">
        <f>H643-G643</f>
        <v>7.4849999999999994</v>
      </c>
    </row>
    <row r="644" ht="14.25">
      <c r="A644" s="5">
        <v>46645</v>
      </c>
      <c r="B644" s="6" t="s">
        <v>707</v>
      </c>
      <c r="C644" s="7" t="s">
        <v>624</v>
      </c>
      <c r="D644" s="7" t="s">
        <v>183</v>
      </c>
      <c r="E644" s="5" t="s">
        <v>68</v>
      </c>
      <c r="F644" s="8"/>
      <c r="G644" s="9">
        <f>H644*(1-15%)*(1-F644)</f>
        <v>78.965000000000003</v>
      </c>
      <c r="H644" s="9">
        <v>92.900000000000006</v>
      </c>
      <c r="I644" s="9">
        <f>H644-G644</f>
        <v>13.935000000000002</v>
      </c>
    </row>
    <row r="645" ht="14.25">
      <c r="A645" s="5">
        <v>46758</v>
      </c>
      <c r="B645" s="6" t="s">
        <v>708</v>
      </c>
      <c r="C645" s="7" t="s">
        <v>694</v>
      </c>
      <c r="D645" s="7" t="s">
        <v>183</v>
      </c>
      <c r="E645" s="5" t="s">
        <v>15</v>
      </c>
      <c r="F645" s="8"/>
      <c r="G645" s="9">
        <f>H645*(1-15%)*(1-F645)</f>
        <v>41.564999999999998</v>
      </c>
      <c r="H645" s="9">
        <v>48.899999999999999</v>
      </c>
      <c r="I645" s="9">
        <f>H645-G645</f>
        <v>7.3350000000000009</v>
      </c>
    </row>
    <row r="646" ht="14.25">
      <c r="A646" s="5">
        <v>83060</v>
      </c>
      <c r="B646" s="6" t="s">
        <v>709</v>
      </c>
      <c r="C646" s="7" t="s">
        <v>694</v>
      </c>
      <c r="D646" s="7" t="s">
        <v>11</v>
      </c>
      <c r="E646" s="5" t="s">
        <v>26</v>
      </c>
      <c r="F646" s="8"/>
      <c r="G646" s="9">
        <f>H646*(1-15%)*(1-F646)</f>
        <v>101.91500000000001</v>
      </c>
      <c r="H646" s="9">
        <v>119.90000000000001</v>
      </c>
      <c r="I646" s="9">
        <f>H646-G646</f>
        <v>17.984999999999999</v>
      </c>
    </row>
    <row r="647" ht="14.25">
      <c r="A647" s="5">
        <v>83059</v>
      </c>
      <c r="B647" s="6" t="s">
        <v>710</v>
      </c>
      <c r="C647" s="7" t="s">
        <v>694</v>
      </c>
      <c r="D647" s="7" t="s">
        <v>11</v>
      </c>
      <c r="E647" s="5" t="s">
        <v>26</v>
      </c>
      <c r="F647" s="8"/>
      <c r="G647" s="9">
        <f>H647*(1-15%)*(1-F647)</f>
        <v>101.91500000000001</v>
      </c>
      <c r="H647" s="9">
        <v>119.90000000000001</v>
      </c>
      <c r="I647" s="9">
        <f>H647-G647</f>
        <v>17.984999999999999</v>
      </c>
    </row>
    <row r="648" ht="14.25">
      <c r="A648" s="5">
        <v>83445</v>
      </c>
      <c r="B648" s="6" t="s">
        <v>711</v>
      </c>
      <c r="C648" s="7" t="s">
        <v>82</v>
      </c>
      <c r="D648" s="7" t="s">
        <v>45</v>
      </c>
      <c r="E648" s="5" t="s">
        <v>703</v>
      </c>
      <c r="F648" s="8"/>
      <c r="G648" s="9">
        <f>H648*(1-15%)*(1-F648)</f>
        <v>47.515000000000001</v>
      </c>
      <c r="H648" s="9">
        <v>55.899999999999999</v>
      </c>
      <c r="I648" s="9">
        <f>H648-G648</f>
        <v>8.384999999999998</v>
      </c>
    </row>
    <row r="649" ht="14.25">
      <c r="A649" s="5">
        <v>84340</v>
      </c>
      <c r="B649" s="6" t="s">
        <v>712</v>
      </c>
      <c r="C649" s="7" t="s">
        <v>201</v>
      </c>
      <c r="D649" s="7" t="s">
        <v>61</v>
      </c>
      <c r="E649" s="5" t="s">
        <v>15</v>
      </c>
      <c r="F649" s="8"/>
      <c r="G649" s="9">
        <f>H649*(1-15%)*(1-F649)</f>
        <v>84.915000000000006</v>
      </c>
      <c r="H649" s="9">
        <v>99.900000000000006</v>
      </c>
      <c r="I649" s="9">
        <f>H649-G649</f>
        <v>14.984999999999999</v>
      </c>
    </row>
    <row r="650" ht="14.25">
      <c r="A650" s="5">
        <v>83408</v>
      </c>
      <c r="B650" s="6" t="s">
        <v>713</v>
      </c>
      <c r="C650" s="7" t="s">
        <v>109</v>
      </c>
      <c r="D650" s="7" t="s">
        <v>110</v>
      </c>
      <c r="E650" s="5" t="s">
        <v>15</v>
      </c>
      <c r="F650" s="8"/>
      <c r="G650" s="9">
        <f>H650*(1-15%)*(1-F650)</f>
        <v>106.16500000000001</v>
      </c>
      <c r="H650" s="9">
        <v>124.90000000000001</v>
      </c>
      <c r="I650" s="9">
        <f>H650-G650</f>
        <v>18.734999999999999</v>
      </c>
    </row>
    <row r="651" ht="14.25">
      <c r="A651" s="5">
        <v>83420</v>
      </c>
      <c r="B651" s="6" t="s">
        <v>713</v>
      </c>
      <c r="C651" s="7" t="s">
        <v>109</v>
      </c>
      <c r="D651" s="7" t="s">
        <v>110</v>
      </c>
      <c r="E651" s="5" t="s">
        <v>15</v>
      </c>
      <c r="F651" s="8"/>
      <c r="G651" s="9">
        <f>H651*(1-15%)*(1-F651)</f>
        <v>106.16500000000001</v>
      </c>
      <c r="H651" s="9">
        <v>124.90000000000001</v>
      </c>
      <c r="I651" s="9">
        <f>H651-G651</f>
        <v>18.734999999999999</v>
      </c>
    </row>
    <row r="652" ht="14.25">
      <c r="A652" s="5">
        <v>83421</v>
      </c>
      <c r="B652" s="6" t="s">
        <v>713</v>
      </c>
      <c r="C652" s="7" t="s">
        <v>109</v>
      </c>
      <c r="D652" s="7" t="s">
        <v>110</v>
      </c>
      <c r="E652" s="5" t="s">
        <v>15</v>
      </c>
      <c r="F652" s="8"/>
      <c r="G652" s="9">
        <f>H652*(1-15%)*(1-F652)</f>
        <v>106.16500000000001</v>
      </c>
      <c r="H652" s="9">
        <v>124.90000000000001</v>
      </c>
      <c r="I652" s="9">
        <f>H652-G652</f>
        <v>18.734999999999999</v>
      </c>
    </row>
    <row r="653" ht="14.25">
      <c r="A653" s="5">
        <v>83422</v>
      </c>
      <c r="B653" s="6" t="s">
        <v>713</v>
      </c>
      <c r="C653" s="7" t="s">
        <v>109</v>
      </c>
      <c r="D653" s="7" t="s">
        <v>110</v>
      </c>
      <c r="E653" s="5" t="s">
        <v>15</v>
      </c>
      <c r="F653" s="8"/>
      <c r="G653" s="9">
        <f>H653*(1-15%)*(1-F653)</f>
        <v>106.16500000000001</v>
      </c>
      <c r="H653" s="9">
        <v>124.90000000000001</v>
      </c>
      <c r="I653" s="9">
        <f>H653-G653</f>
        <v>18.734999999999999</v>
      </c>
    </row>
    <row r="654" ht="14.25">
      <c r="A654" s="5">
        <v>83423</v>
      </c>
      <c r="B654" s="6" t="s">
        <v>713</v>
      </c>
      <c r="C654" s="7" t="s">
        <v>109</v>
      </c>
      <c r="D654" s="7" t="s">
        <v>110</v>
      </c>
      <c r="E654" s="5" t="s">
        <v>15</v>
      </c>
      <c r="F654" s="8"/>
      <c r="G654" s="9">
        <f>H654*(1-15%)*(1-F654)</f>
        <v>106.16500000000001</v>
      </c>
      <c r="H654" s="9">
        <v>124.90000000000001</v>
      </c>
      <c r="I654" s="9">
        <f>H654-G654</f>
        <v>18.734999999999999</v>
      </c>
    </row>
    <row r="655" ht="14.25">
      <c r="A655" s="5">
        <v>83424</v>
      </c>
      <c r="B655" s="6" t="s">
        <v>713</v>
      </c>
      <c r="C655" s="7" t="s">
        <v>109</v>
      </c>
      <c r="D655" s="7" t="s">
        <v>110</v>
      </c>
      <c r="E655" s="5" t="s">
        <v>15</v>
      </c>
      <c r="F655" s="8"/>
      <c r="G655" s="9">
        <f>H655*(1-15%)*(1-F655)</f>
        <v>106.16500000000001</v>
      </c>
      <c r="H655" s="9">
        <v>124.90000000000001</v>
      </c>
      <c r="I655" s="9">
        <f>H655-G655</f>
        <v>18.734999999999999</v>
      </c>
    </row>
    <row r="656" ht="14.25">
      <c r="A656" s="5">
        <v>83425</v>
      </c>
      <c r="B656" s="6" t="s">
        <v>713</v>
      </c>
      <c r="C656" s="7" t="s">
        <v>109</v>
      </c>
      <c r="D656" s="7" t="s">
        <v>110</v>
      </c>
      <c r="E656" s="5" t="s">
        <v>15</v>
      </c>
      <c r="F656" s="8"/>
      <c r="G656" s="9">
        <f>H656*(1-15%)*(1-F656)</f>
        <v>106.16500000000001</v>
      </c>
      <c r="H656" s="9">
        <v>124.90000000000001</v>
      </c>
      <c r="I656" s="9">
        <f>H656-G656</f>
        <v>18.734999999999999</v>
      </c>
    </row>
    <row r="657" ht="14.25">
      <c r="A657" s="5">
        <v>83426</v>
      </c>
      <c r="B657" s="6" t="s">
        <v>713</v>
      </c>
      <c r="C657" s="7" t="s">
        <v>109</v>
      </c>
      <c r="D657" s="7" t="s">
        <v>110</v>
      </c>
      <c r="E657" s="5" t="s">
        <v>15</v>
      </c>
      <c r="F657" s="8"/>
      <c r="G657" s="9">
        <f>H657*(1-15%)*(1-F657)</f>
        <v>106.16500000000001</v>
      </c>
      <c r="H657" s="9">
        <v>124.90000000000001</v>
      </c>
      <c r="I657" s="9">
        <f>H657-G657</f>
        <v>18.734999999999999</v>
      </c>
    </row>
    <row r="658" ht="14.25">
      <c r="A658" s="5">
        <v>83427</v>
      </c>
      <c r="B658" s="6" t="s">
        <v>713</v>
      </c>
      <c r="C658" s="7" t="s">
        <v>109</v>
      </c>
      <c r="D658" s="7" t="s">
        <v>110</v>
      </c>
      <c r="E658" s="5" t="s">
        <v>15</v>
      </c>
      <c r="F658" s="8"/>
      <c r="G658" s="9">
        <f>H658*(1-15%)*(1-F658)</f>
        <v>106.16500000000001</v>
      </c>
      <c r="H658" s="9">
        <v>124.90000000000001</v>
      </c>
      <c r="I658" s="9">
        <f>H658-G658</f>
        <v>18.734999999999999</v>
      </c>
    </row>
    <row r="659" ht="14.25">
      <c r="A659" s="5">
        <v>83428</v>
      </c>
      <c r="B659" s="6" t="s">
        <v>713</v>
      </c>
      <c r="C659" s="7" t="s">
        <v>109</v>
      </c>
      <c r="D659" s="7" t="s">
        <v>110</v>
      </c>
      <c r="E659" s="5" t="s">
        <v>15</v>
      </c>
      <c r="F659" s="8"/>
      <c r="G659" s="9">
        <f>H659*(1-15%)*(1-F659)</f>
        <v>106.16500000000001</v>
      </c>
      <c r="H659" s="9">
        <v>124.90000000000001</v>
      </c>
      <c r="I659" s="9">
        <f>H659-G659</f>
        <v>18.734999999999999</v>
      </c>
    </row>
    <row r="660" ht="14.25">
      <c r="A660" s="5">
        <v>83429</v>
      </c>
      <c r="B660" s="6" t="s">
        <v>713</v>
      </c>
      <c r="C660" s="7" t="s">
        <v>109</v>
      </c>
      <c r="D660" s="7" t="s">
        <v>110</v>
      </c>
      <c r="E660" s="5" t="s">
        <v>15</v>
      </c>
      <c r="F660" s="8"/>
      <c r="G660" s="9">
        <f>H660*(1-15%)*(1-F660)</f>
        <v>106.16500000000001</v>
      </c>
      <c r="H660" s="9">
        <v>124.90000000000001</v>
      </c>
      <c r="I660" s="9">
        <f>H660-G660</f>
        <v>18.734999999999999</v>
      </c>
    </row>
    <row r="661" ht="14.25">
      <c r="A661" s="5">
        <v>83430</v>
      </c>
      <c r="B661" s="6" t="s">
        <v>713</v>
      </c>
      <c r="C661" s="7" t="s">
        <v>109</v>
      </c>
      <c r="D661" s="7" t="s">
        <v>110</v>
      </c>
      <c r="E661" s="5" t="s">
        <v>15</v>
      </c>
      <c r="F661" s="8"/>
      <c r="G661" s="9">
        <f>H661*(1-15%)*(1-F661)</f>
        <v>106.16500000000001</v>
      </c>
      <c r="H661" s="9">
        <v>124.90000000000001</v>
      </c>
      <c r="I661" s="9">
        <f>H661-G661</f>
        <v>18.734999999999999</v>
      </c>
    </row>
    <row r="662" ht="14.25">
      <c r="A662" s="5">
        <v>83431</v>
      </c>
      <c r="B662" s="6" t="s">
        <v>713</v>
      </c>
      <c r="C662" s="7" t="s">
        <v>109</v>
      </c>
      <c r="D662" s="7" t="s">
        <v>110</v>
      </c>
      <c r="E662" s="5" t="s">
        <v>15</v>
      </c>
      <c r="F662" s="8"/>
      <c r="G662" s="9">
        <f>H662*(1-15%)*(1-F662)</f>
        <v>106.16500000000001</v>
      </c>
      <c r="H662" s="9">
        <v>124.90000000000001</v>
      </c>
      <c r="I662" s="9">
        <f>H662-G662</f>
        <v>18.734999999999999</v>
      </c>
    </row>
    <row r="663" ht="14.25">
      <c r="A663" s="5">
        <v>83432</v>
      </c>
      <c r="B663" s="6" t="s">
        <v>713</v>
      </c>
      <c r="C663" s="7" t="s">
        <v>109</v>
      </c>
      <c r="D663" s="7" t="s">
        <v>110</v>
      </c>
      <c r="E663" s="5" t="s">
        <v>15</v>
      </c>
      <c r="F663" s="8"/>
      <c r="G663" s="9">
        <f>H663*(1-15%)*(1-F663)</f>
        <v>106.16500000000001</v>
      </c>
      <c r="H663" s="9">
        <v>124.90000000000001</v>
      </c>
      <c r="I663" s="9">
        <f>H663-G663</f>
        <v>18.734999999999999</v>
      </c>
    </row>
    <row r="664" ht="14.25">
      <c r="A664" s="5">
        <v>83433</v>
      </c>
      <c r="B664" s="6" t="s">
        <v>713</v>
      </c>
      <c r="C664" s="7" t="s">
        <v>109</v>
      </c>
      <c r="D664" s="7" t="s">
        <v>110</v>
      </c>
      <c r="E664" s="5" t="s">
        <v>15</v>
      </c>
      <c r="F664" s="8"/>
      <c r="G664" s="9">
        <f>H664*(1-15%)*(1-F664)</f>
        <v>106.16500000000001</v>
      </c>
      <c r="H664" s="9">
        <v>124.90000000000001</v>
      </c>
      <c r="I664" s="9">
        <f>H664-G664</f>
        <v>18.734999999999999</v>
      </c>
    </row>
    <row r="665" ht="14.25">
      <c r="A665" s="5">
        <v>46620</v>
      </c>
      <c r="B665" s="6" t="s">
        <v>714</v>
      </c>
      <c r="C665" s="7" t="s">
        <v>70</v>
      </c>
      <c r="D665" s="7" t="s">
        <v>183</v>
      </c>
      <c r="E665" s="5" t="s">
        <v>15</v>
      </c>
      <c r="F665" s="8"/>
      <c r="G665" s="9">
        <f>H665*(1-15%)*(1-F665)</f>
        <v>72.165000000000006</v>
      </c>
      <c r="H665" s="9">
        <v>84.900000000000006</v>
      </c>
      <c r="I665" s="9">
        <f>H665-G665</f>
        <v>12.734999999999999</v>
      </c>
    </row>
    <row r="666" ht="14.25">
      <c r="A666" s="5">
        <v>74722</v>
      </c>
      <c r="B666" s="6" t="s">
        <v>715</v>
      </c>
      <c r="C666" s="7" t="s">
        <v>70</v>
      </c>
      <c r="D666" s="7" t="s">
        <v>11</v>
      </c>
      <c r="E666" s="5" t="s">
        <v>39</v>
      </c>
      <c r="F666" s="8"/>
      <c r="G666" s="9">
        <f>H666*(1-15%)*(1-F666)</f>
        <v>157.16499999999999</v>
      </c>
      <c r="H666" s="9">
        <v>184.90000000000001</v>
      </c>
      <c r="I666" s="9">
        <f>H666-G666</f>
        <v>27.735000000000014</v>
      </c>
    </row>
    <row r="667" ht="14.25">
      <c r="A667" s="5">
        <v>83971</v>
      </c>
      <c r="B667" s="6" t="s">
        <v>716</v>
      </c>
      <c r="C667" s="7" t="s">
        <v>70</v>
      </c>
      <c r="D667" s="7" t="s">
        <v>11</v>
      </c>
      <c r="E667" s="5" t="s">
        <v>39</v>
      </c>
      <c r="F667" s="8"/>
      <c r="G667" s="9">
        <f>H667*(1-15%)*(1-F667)</f>
        <v>186.91499999999999</v>
      </c>
      <c r="H667" s="9">
        <v>219.90000000000001</v>
      </c>
      <c r="I667" s="9">
        <f>H667-G667</f>
        <v>32.985000000000014</v>
      </c>
    </row>
    <row r="668" ht="14.25">
      <c r="A668" s="5">
        <v>84182</v>
      </c>
      <c r="B668" s="6" t="s">
        <v>717</v>
      </c>
      <c r="C668" s="7" t="s">
        <v>70</v>
      </c>
      <c r="D668" s="7" t="s">
        <v>71</v>
      </c>
      <c r="E668" s="5" t="s">
        <v>39</v>
      </c>
      <c r="F668" s="8"/>
      <c r="G668" s="9">
        <f>H668*(1-15%)*(1-F668)</f>
        <v>101.91500000000001</v>
      </c>
      <c r="H668" s="9">
        <v>119.90000000000001</v>
      </c>
      <c r="I668" s="9">
        <f>H668-G668</f>
        <v>17.984999999999999</v>
      </c>
    </row>
    <row r="669" ht="14.25">
      <c r="A669" s="5">
        <v>83443</v>
      </c>
      <c r="B669" s="6" t="s">
        <v>718</v>
      </c>
      <c r="C669" s="7" t="s">
        <v>94</v>
      </c>
      <c r="D669" s="7" t="s">
        <v>95</v>
      </c>
      <c r="E669" s="5" t="s">
        <v>26</v>
      </c>
      <c r="F669" s="8"/>
      <c r="G669" s="9">
        <f>H669*(1-15%)*(1-F669)</f>
        <v>46.664999999999999</v>
      </c>
      <c r="H669" s="9">
        <v>54.899999999999999</v>
      </c>
      <c r="I669" s="9">
        <f>H669-G669</f>
        <v>8.2349999999999994</v>
      </c>
    </row>
    <row r="670" ht="14.25">
      <c r="A670" s="5">
        <v>48558</v>
      </c>
      <c r="B670" s="6" t="s">
        <v>719</v>
      </c>
      <c r="C670" s="7" t="s">
        <v>201</v>
      </c>
      <c r="D670" s="7" t="s">
        <v>183</v>
      </c>
      <c r="E670" s="5" t="s">
        <v>15</v>
      </c>
      <c r="F670" s="8"/>
      <c r="G670" s="9">
        <f>H670*(1-15%)*(1-F670)</f>
        <v>5.8650000000000002</v>
      </c>
      <c r="H670" s="9">
        <v>6.9000000000000004</v>
      </c>
      <c r="I670" s="9">
        <f>H670-G670</f>
        <v>1.0350000000000001</v>
      </c>
    </row>
    <row r="671" ht="14.25">
      <c r="A671" s="5">
        <v>48559</v>
      </c>
      <c r="B671" s="6" t="s">
        <v>720</v>
      </c>
      <c r="C671" s="7" t="s">
        <v>201</v>
      </c>
      <c r="D671" s="7" t="s">
        <v>183</v>
      </c>
      <c r="E671" s="5" t="s">
        <v>15</v>
      </c>
      <c r="F671" s="8"/>
      <c r="G671" s="9">
        <f>H671*(1-15%)*(1-F671)</f>
        <v>5.8650000000000002</v>
      </c>
      <c r="H671" s="9">
        <v>6.9000000000000004</v>
      </c>
      <c r="I671" s="9">
        <f>H671-G671</f>
        <v>1.0350000000000001</v>
      </c>
    </row>
    <row r="672" ht="14.25">
      <c r="A672" s="5">
        <v>83039</v>
      </c>
      <c r="B672" s="6" t="s">
        <v>721</v>
      </c>
      <c r="C672" s="7" t="s">
        <v>36</v>
      </c>
      <c r="D672" s="7" t="s">
        <v>11</v>
      </c>
      <c r="E672" s="5" t="s">
        <v>68</v>
      </c>
      <c r="F672" s="8"/>
      <c r="G672" s="9">
        <f>H672*(1-15%)*(1-F672)</f>
        <v>148.66499999999999</v>
      </c>
      <c r="H672" s="9">
        <v>174.90000000000001</v>
      </c>
      <c r="I672" s="9">
        <f>H672-G672</f>
        <v>26.235000000000014</v>
      </c>
    </row>
    <row r="673" ht="14.25">
      <c r="A673" s="5">
        <v>83041</v>
      </c>
      <c r="B673" s="6" t="s">
        <v>722</v>
      </c>
      <c r="C673" s="7" t="s">
        <v>36</v>
      </c>
      <c r="D673" s="7" t="s">
        <v>71</v>
      </c>
      <c r="E673" s="5" t="s">
        <v>26</v>
      </c>
      <c r="F673" s="8"/>
      <c r="G673" s="9">
        <f>H673*(1-15%)*(1-F673)</f>
        <v>42.414999999999999</v>
      </c>
      <c r="H673" s="9">
        <v>49.899999999999999</v>
      </c>
      <c r="I673" s="9">
        <f>H673-G673</f>
        <v>7.4849999999999994</v>
      </c>
    </row>
    <row r="674" ht="14.25">
      <c r="A674" s="5">
        <v>83046</v>
      </c>
      <c r="B674" s="6" t="s">
        <v>723</v>
      </c>
      <c r="C674" s="7" t="s">
        <v>36</v>
      </c>
      <c r="D674" s="7" t="s">
        <v>71</v>
      </c>
      <c r="E674" s="5" t="s">
        <v>15</v>
      </c>
      <c r="F674" s="8"/>
      <c r="G674" s="9">
        <f>H674*(1-15%)*(1-F674)</f>
        <v>32.214999999999996</v>
      </c>
      <c r="H674" s="9">
        <v>37.899999999999999</v>
      </c>
      <c r="I674" s="9">
        <f>H674-G674</f>
        <v>5.6850000000000023</v>
      </c>
    </row>
    <row r="675" ht="14.25">
      <c r="A675" s="5">
        <v>83529</v>
      </c>
      <c r="B675" s="6" t="s">
        <v>724</v>
      </c>
      <c r="C675" s="7" t="s">
        <v>67</v>
      </c>
      <c r="D675" s="7" t="s">
        <v>11</v>
      </c>
      <c r="E675" s="5" t="s">
        <v>68</v>
      </c>
      <c r="F675" s="8"/>
      <c r="G675" s="9">
        <f>H675*(1-15%)*(1-F675)</f>
        <v>305.91499999999996</v>
      </c>
      <c r="H675" s="9">
        <v>359.89999999999998</v>
      </c>
      <c r="I675" s="9">
        <f>H675-G675</f>
        <v>53.985000000000014</v>
      </c>
    </row>
    <row r="676" ht="14.25">
      <c r="A676" s="5">
        <v>84194</v>
      </c>
      <c r="B676" s="6" t="s">
        <v>725</v>
      </c>
      <c r="C676" s="7" t="s">
        <v>82</v>
      </c>
      <c r="D676" s="7" t="s">
        <v>45</v>
      </c>
      <c r="E676" s="5" t="s">
        <v>43</v>
      </c>
      <c r="F676" s="8"/>
      <c r="G676" s="9">
        <f>H676*(1-15%)*(1-F676)</f>
        <v>66.215000000000003</v>
      </c>
      <c r="H676" s="9">
        <v>77.900000000000006</v>
      </c>
      <c r="I676" s="9">
        <f>H676-G676</f>
        <v>11.685000000000002</v>
      </c>
    </row>
    <row r="677" ht="14.25">
      <c r="A677" s="5">
        <v>84206</v>
      </c>
      <c r="B677" s="6" t="s">
        <v>726</v>
      </c>
      <c r="C677" s="7" t="s">
        <v>82</v>
      </c>
      <c r="D677" s="7" t="s">
        <v>45</v>
      </c>
      <c r="E677" s="5" t="s">
        <v>43</v>
      </c>
      <c r="F677" s="8"/>
      <c r="G677" s="9">
        <f>H677*(1-15%)*(1-F677)</f>
        <v>66.215000000000003</v>
      </c>
      <c r="H677" s="9">
        <v>77.900000000000006</v>
      </c>
      <c r="I677" s="9">
        <f>H677-G677</f>
        <v>11.685000000000002</v>
      </c>
    </row>
    <row r="678" ht="14.25">
      <c r="A678" s="5">
        <v>30247</v>
      </c>
      <c r="B678" s="6" t="s">
        <v>727</v>
      </c>
      <c r="C678" s="7" t="s">
        <v>14</v>
      </c>
      <c r="D678" s="7" t="s">
        <v>11</v>
      </c>
      <c r="E678" s="5" t="s">
        <v>15</v>
      </c>
      <c r="F678" s="8"/>
      <c r="G678" s="9">
        <f>H678*(1-15%)*(1-F678)</f>
        <v>135.91499999999999</v>
      </c>
      <c r="H678" s="9">
        <v>159.90000000000001</v>
      </c>
      <c r="I678" s="9">
        <f>H678-G678</f>
        <v>23.985000000000014</v>
      </c>
    </row>
    <row r="679" ht="14.25">
      <c r="A679" s="5">
        <v>30363</v>
      </c>
      <c r="B679" s="6" t="s">
        <v>728</v>
      </c>
      <c r="C679" s="7" t="s">
        <v>14</v>
      </c>
      <c r="D679" s="7" t="s">
        <v>11</v>
      </c>
      <c r="E679" s="5" t="s">
        <v>15</v>
      </c>
      <c r="F679" s="8"/>
      <c r="G679" s="9">
        <f>H679*(1-15%)*(1-F679)</f>
        <v>135.91499999999999</v>
      </c>
      <c r="H679" s="9">
        <v>159.90000000000001</v>
      </c>
      <c r="I679" s="9">
        <f>H679-G679</f>
        <v>23.985000000000014</v>
      </c>
    </row>
    <row r="680" ht="14.25">
      <c r="A680" s="5">
        <v>1004</v>
      </c>
      <c r="B680" s="6" t="s">
        <v>729</v>
      </c>
      <c r="C680" s="7" t="s">
        <v>17</v>
      </c>
      <c r="D680" s="7" t="s">
        <v>11</v>
      </c>
      <c r="E680" s="5" t="s">
        <v>26</v>
      </c>
      <c r="F680" s="8"/>
      <c r="G680" s="9">
        <f>H680*(1-15%)*(1-F680)</f>
        <v>140.16499999999999</v>
      </c>
      <c r="H680" s="9">
        <v>164.90000000000001</v>
      </c>
      <c r="I680" s="9">
        <f>H680-G680</f>
        <v>24.735000000000014</v>
      </c>
    </row>
    <row r="681" ht="14.25">
      <c r="A681" s="5">
        <v>1006</v>
      </c>
      <c r="B681" s="6" t="s">
        <v>730</v>
      </c>
      <c r="C681" s="7" t="s">
        <v>17</v>
      </c>
      <c r="D681" s="7" t="s">
        <v>45</v>
      </c>
      <c r="E681" s="5" t="s">
        <v>15</v>
      </c>
      <c r="F681" s="8"/>
      <c r="G681" s="9">
        <f>H681*(1-15%)*(1-F681)</f>
        <v>56.865000000000002</v>
      </c>
      <c r="H681" s="9">
        <v>66.900000000000006</v>
      </c>
      <c r="I681" s="9">
        <f>H681-G681</f>
        <v>10.035000000000004</v>
      </c>
    </row>
    <row r="682" ht="14.25">
      <c r="A682" s="5">
        <v>5221</v>
      </c>
      <c r="B682" s="6" t="s">
        <v>731</v>
      </c>
      <c r="C682" s="7" t="s">
        <v>17</v>
      </c>
      <c r="D682" s="7" t="s">
        <v>71</v>
      </c>
      <c r="E682" s="5" t="s">
        <v>39</v>
      </c>
      <c r="F682" s="8"/>
      <c r="G682" s="9">
        <f>H682*(1-15%)*(1-F682)</f>
        <v>32.214999999999996</v>
      </c>
      <c r="H682" s="9">
        <v>37.899999999999999</v>
      </c>
      <c r="I682" s="9">
        <f>H682-G682</f>
        <v>5.6850000000000023</v>
      </c>
    </row>
    <row r="683" ht="14.25">
      <c r="A683" s="5">
        <v>48560</v>
      </c>
      <c r="B683" s="6" t="s">
        <v>732</v>
      </c>
      <c r="C683" s="7" t="s">
        <v>17</v>
      </c>
      <c r="D683" s="7" t="s">
        <v>71</v>
      </c>
      <c r="E683" s="5" t="s">
        <v>15</v>
      </c>
      <c r="F683" s="8"/>
      <c r="G683" s="9">
        <f>H683*(1-15%)*(1-F683)</f>
        <v>42.414999999999999</v>
      </c>
      <c r="H683" s="9">
        <v>49.899999999999999</v>
      </c>
      <c r="I683" s="9">
        <f>H683-G683</f>
        <v>7.4849999999999994</v>
      </c>
    </row>
    <row r="684" ht="14.25">
      <c r="A684" s="5">
        <v>84203</v>
      </c>
      <c r="B684" s="6" t="s">
        <v>733</v>
      </c>
      <c r="C684" s="7" t="s">
        <v>82</v>
      </c>
      <c r="D684" s="7" t="s">
        <v>45</v>
      </c>
      <c r="E684" s="5" t="s">
        <v>43</v>
      </c>
      <c r="F684" s="8"/>
      <c r="G684" s="9">
        <f>H684*(1-15%)*(1-F684)</f>
        <v>63.665000000000006</v>
      </c>
      <c r="H684" s="9">
        <v>74.900000000000006</v>
      </c>
      <c r="I684" s="9">
        <f>H684-G684</f>
        <v>11.234999999999999</v>
      </c>
    </row>
    <row r="685" ht="14.25">
      <c r="A685" s="5">
        <v>84204</v>
      </c>
      <c r="B685" s="6" t="s">
        <v>734</v>
      </c>
      <c r="C685" s="7" t="s">
        <v>82</v>
      </c>
      <c r="D685" s="7" t="s">
        <v>45</v>
      </c>
      <c r="E685" s="5" t="s">
        <v>43</v>
      </c>
      <c r="F685" s="8"/>
      <c r="G685" s="9">
        <f>H685*(1-15%)*(1-F685)</f>
        <v>46.664999999999999</v>
      </c>
      <c r="H685" s="9">
        <v>54.899999999999999</v>
      </c>
      <c r="I685" s="9">
        <f>H685-G685</f>
        <v>8.2349999999999994</v>
      </c>
    </row>
    <row r="686" ht="14.25">
      <c r="A686" s="5">
        <v>84205</v>
      </c>
      <c r="B686" s="6" t="s">
        <v>735</v>
      </c>
      <c r="C686" s="7" t="s">
        <v>82</v>
      </c>
      <c r="D686" s="7" t="s">
        <v>11</v>
      </c>
      <c r="E686" s="5" t="s">
        <v>26</v>
      </c>
      <c r="F686" s="8"/>
      <c r="G686" s="9">
        <f>H686*(1-15%)*(1-F686)</f>
        <v>78.965000000000003</v>
      </c>
      <c r="H686" s="9">
        <v>92.900000000000006</v>
      </c>
      <c r="I686" s="9">
        <f>H686-G686</f>
        <v>13.935000000000002</v>
      </c>
    </row>
    <row r="687" ht="14.25">
      <c r="A687" s="5">
        <v>84207</v>
      </c>
      <c r="B687" s="6" t="s">
        <v>736</v>
      </c>
      <c r="C687" s="7" t="s">
        <v>82</v>
      </c>
      <c r="D687" s="7" t="s">
        <v>103</v>
      </c>
      <c r="E687" s="5" t="s">
        <v>43</v>
      </c>
      <c r="F687" s="8"/>
      <c r="G687" s="9">
        <f>H687*(1-15%)*(1-F687)</f>
        <v>31.364999999999998</v>
      </c>
      <c r="H687" s="9">
        <v>36.899999999999999</v>
      </c>
      <c r="I687" s="9">
        <f>H687-G687</f>
        <v>5.5350000000000001</v>
      </c>
    </row>
    <row r="688" ht="14.25">
      <c r="A688" s="5">
        <v>84243</v>
      </c>
      <c r="B688" s="6" t="s">
        <v>737</v>
      </c>
      <c r="C688" s="7" t="s">
        <v>82</v>
      </c>
      <c r="D688" s="7" t="s">
        <v>45</v>
      </c>
      <c r="E688" s="5" t="s">
        <v>43</v>
      </c>
      <c r="F688" s="8"/>
      <c r="G688" s="9">
        <f>H688*(1-15%)*(1-F688)</f>
        <v>50.914999999999999</v>
      </c>
      <c r="H688" s="9">
        <v>59.899999999999999</v>
      </c>
      <c r="I688" s="9">
        <f>H688-G688</f>
        <v>8.9849999999999994</v>
      </c>
    </row>
    <row r="689" ht="14.25">
      <c r="A689" s="5">
        <v>30192</v>
      </c>
      <c r="B689" s="6" t="s">
        <v>738</v>
      </c>
      <c r="C689" s="7" t="s">
        <v>10</v>
      </c>
      <c r="D689" s="7" t="s">
        <v>11</v>
      </c>
      <c r="E689" s="5" t="s">
        <v>43</v>
      </c>
      <c r="F689" s="8"/>
      <c r="G689" s="9">
        <f>H689*(1-15%)*(1-F689)</f>
        <v>203.91499999999999</v>
      </c>
      <c r="H689" s="9">
        <v>239.90000000000001</v>
      </c>
      <c r="I689" s="9">
        <f>H689-G689</f>
        <v>35.985000000000014</v>
      </c>
    </row>
    <row r="690" ht="14.25">
      <c r="A690" s="5">
        <v>46894</v>
      </c>
      <c r="B690" s="6" t="s">
        <v>739</v>
      </c>
      <c r="C690" s="7" t="s">
        <v>10</v>
      </c>
      <c r="D690" s="7" t="s">
        <v>183</v>
      </c>
      <c r="E690" s="5" t="s">
        <v>68</v>
      </c>
      <c r="F690" s="8"/>
      <c r="G690" s="9">
        <f>H690*(1-15%)*(1-F690)</f>
        <v>67.915000000000006</v>
      </c>
      <c r="H690" s="9">
        <v>79.900000000000006</v>
      </c>
      <c r="I690" s="9">
        <f>H690-G690</f>
        <v>11.984999999999999</v>
      </c>
    </row>
    <row r="691" ht="14.25">
      <c r="A691" s="5">
        <v>47624</v>
      </c>
      <c r="B691" s="6" t="s">
        <v>740</v>
      </c>
      <c r="C691" s="7" t="s">
        <v>94</v>
      </c>
      <c r="D691" s="7" t="s">
        <v>95</v>
      </c>
      <c r="E691" s="5" t="s">
        <v>68</v>
      </c>
      <c r="F691" s="8"/>
      <c r="G691" s="9">
        <f>H691*(1-15%)*(1-F691)</f>
        <v>39.015000000000001</v>
      </c>
      <c r="H691" s="9">
        <v>45.899999999999999</v>
      </c>
      <c r="I691" s="9">
        <f>H691-G691</f>
        <v>6.884999999999998</v>
      </c>
    </row>
    <row r="692" ht="14.25">
      <c r="A692" s="5">
        <v>47637</v>
      </c>
      <c r="B692" s="6" t="s">
        <v>741</v>
      </c>
      <c r="C692" s="7" t="s">
        <v>94</v>
      </c>
      <c r="D692" s="7" t="s">
        <v>95</v>
      </c>
      <c r="E692" s="5" t="s">
        <v>68</v>
      </c>
      <c r="F692" s="8"/>
      <c r="G692" s="9">
        <f>H692*(1-15%)*(1-F692)</f>
        <v>39.015000000000001</v>
      </c>
      <c r="H692" s="9">
        <v>45.899999999999999</v>
      </c>
      <c r="I692" s="9">
        <f>H692-G692</f>
        <v>6.884999999999998</v>
      </c>
    </row>
    <row r="693" ht="14.25">
      <c r="A693" s="5">
        <v>47638</v>
      </c>
      <c r="B693" s="6" t="s">
        <v>742</v>
      </c>
      <c r="C693" s="7" t="s">
        <v>94</v>
      </c>
      <c r="D693" s="7" t="s">
        <v>95</v>
      </c>
      <c r="E693" s="5" t="s">
        <v>15</v>
      </c>
      <c r="F693" s="8"/>
      <c r="G693" s="9">
        <f>H693*(1-15%)*(1-F693)</f>
        <v>40.714999999999996</v>
      </c>
      <c r="H693" s="9">
        <v>47.899999999999999</v>
      </c>
      <c r="I693" s="9">
        <f>H693-G693</f>
        <v>7.1850000000000023</v>
      </c>
    </row>
    <row r="694" ht="14.25">
      <c r="A694" s="5">
        <v>47639</v>
      </c>
      <c r="B694" s="6" t="s">
        <v>743</v>
      </c>
      <c r="C694" s="7" t="s">
        <v>94</v>
      </c>
      <c r="D694" s="7" t="s">
        <v>95</v>
      </c>
      <c r="E694" s="5" t="s">
        <v>68</v>
      </c>
      <c r="F694" s="8"/>
      <c r="G694" s="9">
        <f>H694*(1-15%)*(1-F694)</f>
        <v>40.714999999999996</v>
      </c>
      <c r="H694" s="9">
        <v>47.899999999999999</v>
      </c>
      <c r="I694" s="9">
        <f>H694-G694</f>
        <v>7.1850000000000023</v>
      </c>
    </row>
    <row r="695" ht="14.25">
      <c r="A695" s="5">
        <v>47640</v>
      </c>
      <c r="B695" s="6" t="s">
        <v>744</v>
      </c>
      <c r="C695" s="7" t="s">
        <v>94</v>
      </c>
      <c r="D695" s="7" t="s">
        <v>95</v>
      </c>
      <c r="E695" s="5" t="s">
        <v>68</v>
      </c>
      <c r="F695" s="8"/>
      <c r="G695" s="9">
        <f>H695*(1-15%)*(1-F695)</f>
        <v>57.715000000000003</v>
      </c>
      <c r="H695" s="9">
        <v>67.900000000000006</v>
      </c>
      <c r="I695" s="9">
        <f>H695-G695</f>
        <v>10.185000000000002</v>
      </c>
    </row>
    <row r="696" ht="14.25">
      <c r="A696" s="5">
        <v>47641</v>
      </c>
      <c r="B696" s="6" t="s">
        <v>745</v>
      </c>
      <c r="C696" s="7" t="s">
        <v>94</v>
      </c>
      <c r="D696" s="7" t="s">
        <v>95</v>
      </c>
      <c r="E696" s="5" t="s">
        <v>26</v>
      </c>
      <c r="F696" s="8"/>
      <c r="G696" s="9">
        <f>H696*(1-15%)*(1-F696)</f>
        <v>57.715000000000003</v>
      </c>
      <c r="H696" s="9">
        <v>67.900000000000006</v>
      </c>
      <c r="I696" s="9">
        <f>H696-G696</f>
        <v>10.185000000000002</v>
      </c>
    </row>
    <row r="697" ht="14.25">
      <c r="A697" s="5">
        <v>47794</v>
      </c>
      <c r="B697" s="6" t="s">
        <v>746</v>
      </c>
      <c r="C697" s="7" t="s">
        <v>94</v>
      </c>
      <c r="D697" s="7" t="s">
        <v>95</v>
      </c>
      <c r="E697" s="5" t="s">
        <v>26</v>
      </c>
      <c r="F697" s="8"/>
      <c r="G697" s="9">
        <f>H697*(1-15%)*(1-F697)</f>
        <v>46.664999999999999</v>
      </c>
      <c r="H697" s="9">
        <v>54.899999999999999</v>
      </c>
      <c r="I697" s="9">
        <f>H697-G697</f>
        <v>8.2349999999999994</v>
      </c>
    </row>
    <row r="698" ht="14.25">
      <c r="A698" s="5">
        <v>77517</v>
      </c>
      <c r="B698" s="6" t="s">
        <v>747</v>
      </c>
      <c r="C698" s="7" t="s">
        <v>70</v>
      </c>
      <c r="D698" s="7" t="s">
        <v>11</v>
      </c>
      <c r="E698" s="5" t="s">
        <v>43</v>
      </c>
      <c r="F698" s="8"/>
      <c r="G698" s="9">
        <f>H698*(1-15%)*(1-F698)</f>
        <v>271.91499999999996</v>
      </c>
      <c r="H698" s="9">
        <v>319.89999999999998</v>
      </c>
      <c r="I698" s="9">
        <f>H698-G698</f>
        <v>47.985000000000014</v>
      </c>
    </row>
    <row r="699" ht="14.25">
      <c r="A699" s="5">
        <v>77524</v>
      </c>
      <c r="B699" s="6" t="s">
        <v>748</v>
      </c>
      <c r="C699" s="7" t="s">
        <v>70</v>
      </c>
      <c r="D699" s="7" t="s">
        <v>11</v>
      </c>
      <c r="E699" s="5" t="s">
        <v>12</v>
      </c>
      <c r="F699" s="8"/>
      <c r="G699" s="9">
        <f>H699*(1-15%)*(1-F699)</f>
        <v>271.91499999999996</v>
      </c>
      <c r="H699" s="9">
        <v>319.89999999999998</v>
      </c>
      <c r="I699" s="9">
        <f>H699-G699</f>
        <v>47.985000000000014</v>
      </c>
    </row>
    <row r="700" ht="14.25">
      <c r="A700" s="5">
        <v>77988</v>
      </c>
      <c r="B700" s="6" t="s">
        <v>749</v>
      </c>
      <c r="C700" s="7" t="s">
        <v>70</v>
      </c>
      <c r="D700" s="7" t="s">
        <v>11</v>
      </c>
      <c r="E700" s="5" t="s">
        <v>39</v>
      </c>
      <c r="F700" s="8"/>
      <c r="G700" s="9">
        <f>H700*(1-15%)*(1-F700)</f>
        <v>271.91499999999996</v>
      </c>
      <c r="H700" s="9">
        <v>319.89999999999998</v>
      </c>
      <c r="I700" s="9">
        <f>H700-G700</f>
        <v>47.985000000000014</v>
      </c>
    </row>
    <row r="701" ht="14.25">
      <c r="A701" s="5">
        <v>82795</v>
      </c>
      <c r="B701" s="6" t="s">
        <v>750</v>
      </c>
      <c r="C701" s="7" t="s">
        <v>82</v>
      </c>
      <c r="D701" s="7" t="s">
        <v>95</v>
      </c>
      <c r="E701" s="5" t="s">
        <v>68</v>
      </c>
      <c r="F701" s="8"/>
      <c r="G701" s="9">
        <f>H701*(1-15%)*(1-F701)</f>
        <v>25.414999999999999</v>
      </c>
      <c r="H701" s="9">
        <v>29.899999999999999</v>
      </c>
      <c r="I701" s="9">
        <f>H701-G701</f>
        <v>4.4849999999999994</v>
      </c>
    </row>
    <row r="702" ht="14.25">
      <c r="A702" s="5">
        <v>84314</v>
      </c>
      <c r="B702" s="6" t="s">
        <v>751</v>
      </c>
      <c r="C702" s="7" t="s">
        <v>82</v>
      </c>
      <c r="D702" s="7" t="s">
        <v>95</v>
      </c>
      <c r="E702" s="5" t="s">
        <v>68</v>
      </c>
      <c r="F702" s="8"/>
      <c r="G702" s="9">
        <f>H702*(1-15%)*(1-F702)</f>
        <v>25.414999999999999</v>
      </c>
      <c r="H702" s="9">
        <v>29.899999999999999</v>
      </c>
      <c r="I702" s="9">
        <f>H702-G702</f>
        <v>4.4849999999999994</v>
      </c>
    </row>
    <row r="703" ht="14.25">
      <c r="A703" s="5">
        <v>82989</v>
      </c>
      <c r="B703" s="6" t="s">
        <v>752</v>
      </c>
      <c r="C703" s="7" t="s">
        <v>75</v>
      </c>
      <c r="D703" s="7" t="s">
        <v>45</v>
      </c>
      <c r="E703" s="5" t="s">
        <v>15</v>
      </c>
      <c r="F703" s="8"/>
      <c r="G703" s="9">
        <f>H703*(1-15%)*(1-F703)</f>
        <v>73.865000000000009</v>
      </c>
      <c r="H703" s="9">
        <v>86.900000000000006</v>
      </c>
      <c r="I703" s="9">
        <f>H703-G703</f>
        <v>13.034999999999997</v>
      </c>
    </row>
    <row r="704" ht="14.25">
      <c r="A704" s="5">
        <v>82992</v>
      </c>
      <c r="B704" s="6" t="s">
        <v>753</v>
      </c>
      <c r="C704" s="7" t="s">
        <v>75</v>
      </c>
      <c r="D704" s="7" t="s">
        <v>45</v>
      </c>
      <c r="E704" s="5" t="s">
        <v>15</v>
      </c>
      <c r="F704" s="8"/>
      <c r="G704" s="9">
        <f>H704*(1-15%)*(1-F704)</f>
        <v>72.165000000000006</v>
      </c>
      <c r="H704" s="9">
        <v>84.900000000000006</v>
      </c>
      <c r="I704" s="9">
        <f>H704-G704</f>
        <v>12.734999999999999</v>
      </c>
    </row>
    <row r="705" ht="14.25">
      <c r="A705" s="5">
        <v>84305</v>
      </c>
      <c r="B705" s="6" t="s">
        <v>754</v>
      </c>
      <c r="C705" s="7" t="s">
        <v>75</v>
      </c>
      <c r="D705" s="7" t="s">
        <v>583</v>
      </c>
      <c r="E705" s="5" t="s">
        <v>15</v>
      </c>
      <c r="F705" s="8"/>
      <c r="G705" s="9">
        <f>H705*(1-15%)*(1-F705)</f>
        <v>80.665000000000006</v>
      </c>
      <c r="H705" s="9">
        <v>94.900000000000006</v>
      </c>
      <c r="I705" s="9">
        <f>H705-G705</f>
        <v>14.234999999999999</v>
      </c>
    </row>
    <row r="706" ht="14.25">
      <c r="A706" s="5">
        <v>79417</v>
      </c>
      <c r="B706" s="6" t="s">
        <v>755</v>
      </c>
      <c r="C706" s="7" t="s">
        <v>705</v>
      </c>
      <c r="D706" s="7" t="s">
        <v>71</v>
      </c>
      <c r="E706" s="5" t="s">
        <v>39</v>
      </c>
      <c r="F706" s="8"/>
      <c r="G706" s="9">
        <f>H706*(1-15%)*(1-F706)</f>
        <v>42.414999999999999</v>
      </c>
      <c r="H706" s="9">
        <v>49.899999999999999</v>
      </c>
      <c r="I706" s="9">
        <f>H706-G706</f>
        <v>7.4849999999999994</v>
      </c>
    </row>
    <row r="707" ht="14.25">
      <c r="A707" s="5">
        <v>83961</v>
      </c>
      <c r="B707" s="6" t="s">
        <v>756</v>
      </c>
      <c r="C707" s="7" t="s">
        <v>705</v>
      </c>
      <c r="D707" s="7" t="s">
        <v>71</v>
      </c>
      <c r="E707" s="5" t="s">
        <v>43</v>
      </c>
      <c r="F707" s="8"/>
      <c r="G707" s="9">
        <f>H707*(1-15%)*(1-F707)</f>
        <v>42.414999999999999</v>
      </c>
      <c r="H707" s="9">
        <v>49.899999999999999</v>
      </c>
      <c r="I707" s="9">
        <f>H707-G707</f>
        <v>7.4849999999999994</v>
      </c>
    </row>
    <row r="708" ht="14.25">
      <c r="A708" s="5">
        <v>83960</v>
      </c>
      <c r="B708" s="6" t="s">
        <v>757</v>
      </c>
      <c r="C708" s="7" t="s">
        <v>705</v>
      </c>
      <c r="D708" s="7" t="s">
        <v>71</v>
      </c>
      <c r="E708" s="5" t="s">
        <v>68</v>
      </c>
      <c r="F708" s="8"/>
      <c r="G708" s="9">
        <f>H708*(1-15%)*(1-F708)</f>
        <v>33.914999999999999</v>
      </c>
      <c r="H708" s="9">
        <v>39.899999999999999</v>
      </c>
      <c r="I708" s="9">
        <f>H708-G708</f>
        <v>5.9849999999999994</v>
      </c>
    </row>
    <row r="709" ht="14.25">
      <c r="A709" s="5">
        <v>74436</v>
      </c>
      <c r="B709" s="6" t="s">
        <v>758</v>
      </c>
      <c r="C709" s="7" t="s">
        <v>705</v>
      </c>
      <c r="D709" s="7" t="s">
        <v>71</v>
      </c>
      <c r="E709" s="5" t="s">
        <v>15</v>
      </c>
      <c r="F709" s="8"/>
      <c r="G709" s="9">
        <f>H709*(1-15%)*(1-F709)</f>
        <v>32.214999999999996</v>
      </c>
      <c r="H709" s="9">
        <v>37.899999999999999</v>
      </c>
      <c r="I709" s="9">
        <f>H709-G709</f>
        <v>5.6850000000000023</v>
      </c>
    </row>
    <row r="710" ht="14.25">
      <c r="A710" s="5">
        <v>83010</v>
      </c>
      <c r="B710" s="6" t="s">
        <v>759</v>
      </c>
      <c r="C710" s="7" t="s">
        <v>705</v>
      </c>
      <c r="D710" s="7" t="s">
        <v>71</v>
      </c>
      <c r="E710" s="5" t="s">
        <v>15</v>
      </c>
      <c r="F710" s="8"/>
      <c r="G710" s="9">
        <f>H710*(1-15%)*(1-F710)</f>
        <v>32.214999999999996</v>
      </c>
      <c r="H710" s="9">
        <v>37.899999999999999</v>
      </c>
      <c r="I710" s="9">
        <f>H710-G710</f>
        <v>5.6850000000000023</v>
      </c>
    </row>
    <row r="711" ht="14.25">
      <c r="A711" s="5">
        <v>84055</v>
      </c>
      <c r="B711" s="6" t="s">
        <v>760</v>
      </c>
      <c r="C711" s="7" t="s">
        <v>10</v>
      </c>
      <c r="D711" s="7" t="s">
        <v>71</v>
      </c>
      <c r="E711" s="5" t="s">
        <v>43</v>
      </c>
      <c r="F711" s="8"/>
      <c r="G711" s="9">
        <f>H711*(1-15%)*(1-F711)</f>
        <v>42.414999999999999</v>
      </c>
      <c r="H711" s="9">
        <v>49.899999999999999</v>
      </c>
      <c r="I711" s="9">
        <f>H711-G711</f>
        <v>7.4849999999999994</v>
      </c>
    </row>
    <row r="712" ht="14.25">
      <c r="A712" s="5">
        <v>84110</v>
      </c>
      <c r="B712" s="6" t="s">
        <v>761</v>
      </c>
      <c r="C712" s="7" t="s">
        <v>10</v>
      </c>
      <c r="D712" s="7" t="s">
        <v>71</v>
      </c>
      <c r="E712" s="5" t="s">
        <v>15</v>
      </c>
      <c r="F712" s="8"/>
      <c r="G712" s="9">
        <f>H712*(1-15%)*(1-F712)</f>
        <v>32.214999999999996</v>
      </c>
      <c r="H712" s="9">
        <v>37.899999999999999</v>
      </c>
      <c r="I712" s="9">
        <f>H712-G712</f>
        <v>5.6850000000000023</v>
      </c>
    </row>
    <row r="713" ht="14.25">
      <c r="A713" s="5">
        <v>82169</v>
      </c>
      <c r="B713" s="6" t="s">
        <v>762</v>
      </c>
      <c r="C713" s="7" t="s">
        <v>109</v>
      </c>
      <c r="D713" s="7" t="s">
        <v>61</v>
      </c>
      <c r="E713" s="5" t="s">
        <v>15</v>
      </c>
      <c r="F713" s="8"/>
      <c r="G713" s="9">
        <f>H713*(1-15%)*(1-F713)</f>
        <v>118.91500000000001</v>
      </c>
      <c r="H713" s="9">
        <v>139.90000000000001</v>
      </c>
      <c r="I713" s="9">
        <f>H713-G713</f>
        <v>20.984999999999999</v>
      </c>
    </row>
    <row r="714" ht="14.25">
      <c r="A714" s="5">
        <v>82803</v>
      </c>
      <c r="B714" s="6" t="s">
        <v>763</v>
      </c>
      <c r="C714" s="7" t="s">
        <v>82</v>
      </c>
      <c r="D714" s="7" t="s">
        <v>95</v>
      </c>
      <c r="E714" s="5" t="s">
        <v>26</v>
      </c>
      <c r="F714" s="8"/>
      <c r="G714" s="9">
        <f>H714*(1-15%)*(1-F714)</f>
        <v>30.514999999999997</v>
      </c>
      <c r="H714" s="9">
        <v>35.899999999999999</v>
      </c>
      <c r="I714" s="9">
        <f>H714-G714</f>
        <v>5.3850000000000016</v>
      </c>
    </row>
    <row r="715" ht="14.25">
      <c r="A715" s="5">
        <v>47993</v>
      </c>
      <c r="B715" s="6" t="s">
        <v>764</v>
      </c>
      <c r="C715" s="7" t="s">
        <v>201</v>
      </c>
      <c r="D715" s="7" t="s">
        <v>183</v>
      </c>
      <c r="E715" s="5" t="s">
        <v>15</v>
      </c>
      <c r="F715" s="8"/>
      <c r="G715" s="9">
        <f>H715*(1-15%)*(1-F715)</f>
        <v>66.215000000000003</v>
      </c>
      <c r="H715" s="9">
        <v>77.900000000000006</v>
      </c>
      <c r="I715" s="9">
        <f>H715-G715</f>
        <v>11.685000000000002</v>
      </c>
    </row>
    <row r="716" ht="14.25">
      <c r="A716" s="5">
        <v>48120</v>
      </c>
      <c r="B716" s="6" t="s">
        <v>765</v>
      </c>
      <c r="C716" s="7" t="s">
        <v>30</v>
      </c>
      <c r="D716" s="7" t="s">
        <v>183</v>
      </c>
      <c r="E716" s="5" t="s">
        <v>15</v>
      </c>
      <c r="F716" s="8"/>
      <c r="G716" s="9">
        <f>H716*(1-15%)*(1-F716)</f>
        <v>31.364999999999998</v>
      </c>
      <c r="H716" s="9">
        <v>36.899999999999999</v>
      </c>
      <c r="I716" s="9">
        <f>H716-G716</f>
        <v>5.5350000000000001</v>
      </c>
    </row>
    <row r="717" ht="14.25">
      <c r="A717" s="5">
        <v>84304</v>
      </c>
      <c r="B717" s="6" t="s">
        <v>766</v>
      </c>
      <c r="C717" s="7" t="s">
        <v>75</v>
      </c>
      <c r="D717" s="7" t="s">
        <v>11</v>
      </c>
      <c r="E717" s="5" t="s">
        <v>15</v>
      </c>
      <c r="F717" s="8"/>
      <c r="G717" s="9">
        <f>H717*(1-15%)*(1-F717)</f>
        <v>84.915000000000006</v>
      </c>
      <c r="H717" s="9">
        <v>99.900000000000006</v>
      </c>
      <c r="I717" s="9">
        <f>H717-G717</f>
        <v>14.984999999999999</v>
      </c>
    </row>
    <row r="718" ht="14.25">
      <c r="A718" s="5">
        <v>74438</v>
      </c>
      <c r="B718" s="6" t="s">
        <v>767</v>
      </c>
      <c r="C718" s="7" t="s">
        <v>705</v>
      </c>
      <c r="D718" s="7" t="s">
        <v>11</v>
      </c>
      <c r="E718" s="5" t="s">
        <v>12</v>
      </c>
      <c r="F718" s="8"/>
      <c r="G718" s="9">
        <f>H718*(1-15%)*(1-F718)</f>
        <v>152.91499999999999</v>
      </c>
      <c r="H718" s="9">
        <v>179.90000000000001</v>
      </c>
      <c r="I718" s="9">
        <f>H718-G718</f>
        <v>26.985000000000014</v>
      </c>
    </row>
    <row r="719" ht="14.25">
      <c r="A719" s="5">
        <v>74440</v>
      </c>
      <c r="B719" s="6" t="s">
        <v>768</v>
      </c>
      <c r="C719" s="7" t="s">
        <v>705</v>
      </c>
      <c r="D719" s="7" t="s">
        <v>11</v>
      </c>
      <c r="E719" s="5" t="s">
        <v>15</v>
      </c>
      <c r="F719" s="8"/>
      <c r="G719" s="9">
        <f>H719*(1-15%)*(1-F719)</f>
        <v>152.91499999999999</v>
      </c>
      <c r="H719" s="9">
        <v>179.90000000000001</v>
      </c>
      <c r="I719" s="9">
        <f>H719-G719</f>
        <v>26.985000000000014</v>
      </c>
    </row>
    <row r="720" ht="14.25">
      <c r="A720" s="5">
        <v>74444</v>
      </c>
      <c r="B720" s="6" t="s">
        <v>769</v>
      </c>
      <c r="C720" s="7" t="s">
        <v>705</v>
      </c>
      <c r="D720" s="7" t="s">
        <v>11</v>
      </c>
      <c r="E720" s="5" t="s">
        <v>26</v>
      </c>
      <c r="F720" s="8"/>
      <c r="G720" s="9">
        <f>H720*(1-15%)*(1-F720)</f>
        <v>152.91499999999999</v>
      </c>
      <c r="H720" s="9">
        <v>179.90000000000001</v>
      </c>
      <c r="I720" s="9">
        <f>H720-G720</f>
        <v>26.985000000000014</v>
      </c>
    </row>
    <row r="721" ht="14.25">
      <c r="A721" s="5">
        <v>81138</v>
      </c>
      <c r="B721" s="6" t="s">
        <v>770</v>
      </c>
      <c r="C721" s="7" t="s">
        <v>705</v>
      </c>
      <c r="D721" s="7" t="s">
        <v>11</v>
      </c>
      <c r="E721" s="5" t="s">
        <v>15</v>
      </c>
      <c r="F721" s="8"/>
      <c r="G721" s="9">
        <f>H721*(1-15%)*(1-F721)</f>
        <v>152.91499999999999</v>
      </c>
      <c r="H721" s="9">
        <v>179.90000000000001</v>
      </c>
      <c r="I721" s="9">
        <f>H721-G721</f>
        <v>26.985000000000014</v>
      </c>
    </row>
    <row r="722" ht="14.25">
      <c r="A722" s="5">
        <v>82789</v>
      </c>
      <c r="B722" s="6" t="s">
        <v>771</v>
      </c>
      <c r="C722" s="7" t="s">
        <v>82</v>
      </c>
      <c r="D722" s="7" t="s">
        <v>95</v>
      </c>
      <c r="E722" s="5" t="s">
        <v>26</v>
      </c>
      <c r="F722" s="8"/>
      <c r="G722" s="9">
        <f>H722*(1-15%)*(1-F722)</f>
        <v>22.014999999999997</v>
      </c>
      <c r="H722" s="9">
        <v>25.899999999999999</v>
      </c>
      <c r="I722" s="9">
        <f>H722-G722</f>
        <v>3.8850000000000016</v>
      </c>
    </row>
    <row r="723" ht="14.25">
      <c r="A723" s="5">
        <v>84313</v>
      </c>
      <c r="B723" s="6" t="s">
        <v>772</v>
      </c>
      <c r="C723" s="7" t="s">
        <v>82</v>
      </c>
      <c r="D723" s="7" t="s">
        <v>95</v>
      </c>
      <c r="E723" s="5" t="s">
        <v>68</v>
      </c>
      <c r="F723" s="8"/>
      <c r="G723" s="9">
        <f>H723*(1-15%)*(1-F723)</f>
        <v>22.014999999999997</v>
      </c>
      <c r="H723" s="9">
        <v>25.899999999999999</v>
      </c>
      <c r="I723" s="9">
        <f>H723-G723</f>
        <v>3.8850000000000016</v>
      </c>
    </row>
    <row r="724" ht="14.25">
      <c r="A724" s="5">
        <v>46895</v>
      </c>
      <c r="B724" s="6" t="s">
        <v>773</v>
      </c>
      <c r="C724" s="7" t="s">
        <v>201</v>
      </c>
      <c r="D724" s="7" t="s">
        <v>183</v>
      </c>
      <c r="E724" s="5" t="s">
        <v>15</v>
      </c>
      <c r="F724" s="8"/>
      <c r="G724" s="9">
        <f>H724*(1-15%)*(1-F724)</f>
        <v>36.464999999999996</v>
      </c>
      <c r="H724" s="9">
        <v>42.899999999999999</v>
      </c>
      <c r="I724" s="9">
        <f>H724-G724</f>
        <v>6.4350000000000023</v>
      </c>
    </row>
    <row r="725" ht="14.25">
      <c r="A725" s="5">
        <v>48119</v>
      </c>
      <c r="B725" s="6" t="s">
        <v>774</v>
      </c>
      <c r="C725" s="7" t="s">
        <v>19</v>
      </c>
      <c r="D725" s="7" t="s">
        <v>183</v>
      </c>
      <c r="E725" s="5" t="s">
        <v>15</v>
      </c>
      <c r="F725" s="8"/>
      <c r="G725" s="9">
        <f>H725*(1-15%)*(1-F725)</f>
        <v>16.914999999999999</v>
      </c>
      <c r="H725" s="9">
        <v>19.899999999999999</v>
      </c>
      <c r="I725" s="9">
        <f>H725-G725</f>
        <v>2.9849999999999994</v>
      </c>
    </row>
    <row r="726" ht="14.25">
      <c r="A726" s="5">
        <v>84241</v>
      </c>
      <c r="B726" s="6" t="s">
        <v>775</v>
      </c>
      <c r="C726" s="7" t="s">
        <v>426</v>
      </c>
      <c r="D726" s="7" t="s">
        <v>219</v>
      </c>
      <c r="E726" s="5" t="s">
        <v>26</v>
      </c>
      <c r="F726" s="8"/>
      <c r="G726" s="9">
        <f>H726*(1-15%)*(1-F726)</f>
        <v>110.41500000000001</v>
      </c>
      <c r="H726" s="9">
        <v>129.90000000000001</v>
      </c>
      <c r="I726" s="9">
        <f>H726-G726</f>
        <v>19.484999999999999</v>
      </c>
    </row>
    <row r="727" ht="14.25">
      <c r="A727" s="5">
        <v>83065</v>
      </c>
      <c r="B727" s="6" t="s">
        <v>776</v>
      </c>
      <c r="C727" s="7" t="s">
        <v>399</v>
      </c>
      <c r="D727" s="7" t="s">
        <v>71</v>
      </c>
      <c r="E727" s="5" t="s">
        <v>43</v>
      </c>
      <c r="F727" s="8"/>
      <c r="G727" s="9">
        <f>H727*(1-15%)*(1-F727)</f>
        <v>33.914999999999999</v>
      </c>
      <c r="H727" s="9">
        <v>39.899999999999999</v>
      </c>
      <c r="I727" s="9">
        <f>H727-G727</f>
        <v>5.9849999999999994</v>
      </c>
    </row>
    <row r="728" ht="14.25">
      <c r="A728" s="5">
        <v>47339</v>
      </c>
      <c r="B728" s="6" t="s">
        <v>777</v>
      </c>
      <c r="C728" s="7" t="s">
        <v>399</v>
      </c>
      <c r="D728" s="7" t="s">
        <v>11</v>
      </c>
      <c r="E728" s="5" t="s">
        <v>43</v>
      </c>
      <c r="F728" s="8"/>
      <c r="G728" s="9">
        <f>H728*(1-15%)*(1-F728)</f>
        <v>148.66499999999999</v>
      </c>
      <c r="H728" s="9">
        <v>174.90000000000001</v>
      </c>
      <c r="I728" s="9">
        <f>H728-G728</f>
        <v>26.235000000000014</v>
      </c>
    </row>
    <row r="729" ht="14.25">
      <c r="A729" s="5">
        <v>47552</v>
      </c>
      <c r="B729" s="6" t="s">
        <v>778</v>
      </c>
      <c r="C729" s="7" t="s">
        <v>397</v>
      </c>
      <c r="D729" s="7" t="s">
        <v>11</v>
      </c>
      <c r="E729" s="5" t="s">
        <v>43</v>
      </c>
      <c r="F729" s="8"/>
      <c r="G729" s="9">
        <f>H729*(1-15%)*(1-F729)</f>
        <v>203.91499999999999</v>
      </c>
      <c r="H729" s="9">
        <v>239.90000000000001</v>
      </c>
      <c r="I729" s="9">
        <f>H729-G729</f>
        <v>35.985000000000014</v>
      </c>
    </row>
    <row r="730" ht="14.25">
      <c r="A730" s="5">
        <v>47630</v>
      </c>
      <c r="B730" s="6" t="s">
        <v>779</v>
      </c>
      <c r="C730" s="7" t="s">
        <v>397</v>
      </c>
      <c r="D730" s="7" t="s">
        <v>11</v>
      </c>
      <c r="E730" s="5" t="s">
        <v>133</v>
      </c>
      <c r="F730" s="8"/>
      <c r="G730" s="9">
        <f>H730*(1-15%)*(1-F730)</f>
        <v>203.91499999999999</v>
      </c>
      <c r="H730" s="9">
        <v>239.90000000000001</v>
      </c>
      <c r="I730" s="9">
        <f>H730-G730</f>
        <v>35.985000000000014</v>
      </c>
    </row>
    <row r="731" ht="14.25">
      <c r="A731" s="5">
        <v>47553</v>
      </c>
      <c r="B731" s="6" t="s">
        <v>780</v>
      </c>
      <c r="C731" s="7" t="s">
        <v>397</v>
      </c>
      <c r="D731" s="7" t="s">
        <v>11</v>
      </c>
      <c r="E731" s="5" t="s">
        <v>43</v>
      </c>
      <c r="F731" s="8"/>
      <c r="G731" s="9">
        <f>H731*(1-15%)*(1-F731)</f>
        <v>203.91499999999999</v>
      </c>
      <c r="H731" s="9">
        <v>239.90000000000001</v>
      </c>
      <c r="I731" s="9">
        <f>H731-G731</f>
        <v>35.985000000000014</v>
      </c>
    </row>
    <row r="732" ht="14.25">
      <c r="A732" s="5">
        <v>47629</v>
      </c>
      <c r="B732" s="6" t="s">
        <v>781</v>
      </c>
      <c r="C732" s="7" t="s">
        <v>397</v>
      </c>
      <c r="D732" s="7" t="s">
        <v>11</v>
      </c>
      <c r="E732" s="5" t="s">
        <v>12</v>
      </c>
      <c r="F732" s="8"/>
      <c r="G732" s="9">
        <f>H732*(1-15%)*(1-F732)</f>
        <v>203.91499999999999</v>
      </c>
      <c r="H732" s="9">
        <v>239.90000000000001</v>
      </c>
      <c r="I732" s="9">
        <f>H732-G732</f>
        <v>35.985000000000014</v>
      </c>
    </row>
    <row r="733" ht="14.25">
      <c r="A733" s="5">
        <v>49353</v>
      </c>
      <c r="B733" s="6" t="s">
        <v>782</v>
      </c>
      <c r="C733" s="7" t="s">
        <v>397</v>
      </c>
      <c r="D733" s="7" t="s">
        <v>11</v>
      </c>
      <c r="E733" s="5" t="s">
        <v>39</v>
      </c>
      <c r="F733" s="8"/>
      <c r="G733" s="9">
        <f>H733*(1-15%)*(1-F733)</f>
        <v>203.91499999999999</v>
      </c>
      <c r="H733" s="9">
        <v>239.90000000000001</v>
      </c>
      <c r="I733" s="9">
        <f>H733-G733</f>
        <v>35.985000000000014</v>
      </c>
    </row>
    <row r="734" ht="14.25">
      <c r="A734" s="5">
        <v>49807</v>
      </c>
      <c r="B734" s="6" t="s">
        <v>783</v>
      </c>
      <c r="C734" s="7" t="s">
        <v>397</v>
      </c>
      <c r="D734" s="7" t="s">
        <v>11</v>
      </c>
      <c r="E734" s="5" t="s">
        <v>15</v>
      </c>
      <c r="F734" s="8"/>
      <c r="G734" s="9">
        <f>H734*(1-15%)*(1-F734)</f>
        <v>203.91499999999999</v>
      </c>
      <c r="H734" s="9">
        <v>239.90000000000001</v>
      </c>
      <c r="I734" s="9">
        <f>H734-G734</f>
        <v>35.985000000000014</v>
      </c>
    </row>
    <row r="735" ht="14.25">
      <c r="A735" s="5">
        <v>36487</v>
      </c>
      <c r="B735" s="6" t="s">
        <v>784</v>
      </c>
      <c r="C735" s="7" t="s">
        <v>109</v>
      </c>
      <c r="D735" s="7" t="s">
        <v>110</v>
      </c>
      <c r="E735" s="5" t="s">
        <v>39</v>
      </c>
      <c r="F735" s="8"/>
      <c r="G735" s="9">
        <f>H735*(1-15%)*(1-F735)</f>
        <v>73.015000000000001</v>
      </c>
      <c r="H735" s="9">
        <v>85.900000000000006</v>
      </c>
      <c r="I735" s="9">
        <f>H735-G735</f>
        <v>12.885000000000005</v>
      </c>
    </row>
    <row r="736" ht="14.25">
      <c r="A736" s="5">
        <v>36488</v>
      </c>
      <c r="B736" s="6" t="s">
        <v>785</v>
      </c>
      <c r="C736" s="7" t="s">
        <v>109</v>
      </c>
      <c r="D736" s="7" t="s">
        <v>110</v>
      </c>
      <c r="E736" s="5" t="s">
        <v>39</v>
      </c>
      <c r="F736" s="8"/>
      <c r="G736" s="9">
        <f>H736*(1-15%)*(1-F736)</f>
        <v>73.015000000000001</v>
      </c>
      <c r="H736" s="9">
        <v>85.900000000000006</v>
      </c>
      <c r="I736" s="9">
        <f>H736-G736</f>
        <v>12.885000000000005</v>
      </c>
    </row>
    <row r="737" ht="14.25">
      <c r="A737" s="5">
        <v>36637</v>
      </c>
      <c r="B737" s="6" t="s">
        <v>786</v>
      </c>
      <c r="C737" s="7" t="s">
        <v>109</v>
      </c>
      <c r="D737" s="7" t="s">
        <v>110</v>
      </c>
      <c r="E737" s="5" t="s">
        <v>39</v>
      </c>
      <c r="F737" s="8"/>
      <c r="G737" s="9">
        <f>H737*(1-15%)*(1-F737)</f>
        <v>73.015000000000001</v>
      </c>
      <c r="H737" s="9">
        <v>85.900000000000006</v>
      </c>
      <c r="I737" s="9">
        <f>H737-G737</f>
        <v>12.885000000000005</v>
      </c>
    </row>
    <row r="738" ht="14.25">
      <c r="A738" s="5">
        <v>36826</v>
      </c>
      <c r="B738" s="6" t="s">
        <v>787</v>
      </c>
      <c r="C738" s="7" t="s">
        <v>109</v>
      </c>
      <c r="D738" s="7" t="s">
        <v>110</v>
      </c>
      <c r="E738" s="5" t="s">
        <v>39</v>
      </c>
      <c r="F738" s="8"/>
      <c r="G738" s="9">
        <f>H738*(1-15%)*(1-F738)</f>
        <v>73.015000000000001</v>
      </c>
      <c r="H738" s="9">
        <v>85.900000000000006</v>
      </c>
      <c r="I738" s="9">
        <f>H738-G738</f>
        <v>12.885000000000005</v>
      </c>
    </row>
    <row r="739" ht="14.25">
      <c r="A739" s="5">
        <v>37159</v>
      </c>
      <c r="B739" s="6" t="s">
        <v>788</v>
      </c>
      <c r="C739" s="7" t="s">
        <v>109</v>
      </c>
      <c r="D739" s="7" t="s">
        <v>110</v>
      </c>
      <c r="E739" s="5" t="s">
        <v>39</v>
      </c>
      <c r="F739" s="8"/>
      <c r="G739" s="9">
        <f>H739*(1-15%)*(1-F739)</f>
        <v>73.015000000000001</v>
      </c>
      <c r="H739" s="9">
        <v>85.900000000000006</v>
      </c>
      <c r="I739" s="9">
        <f>H739-G739</f>
        <v>12.885000000000005</v>
      </c>
    </row>
    <row r="740" ht="14.25">
      <c r="A740" s="5">
        <v>37693</v>
      </c>
      <c r="B740" s="6" t="s">
        <v>789</v>
      </c>
      <c r="C740" s="7" t="s">
        <v>109</v>
      </c>
      <c r="D740" s="7" t="s">
        <v>110</v>
      </c>
      <c r="E740" s="5" t="s">
        <v>39</v>
      </c>
      <c r="F740" s="8"/>
      <c r="G740" s="9">
        <f>H740*(1-15%)*(1-F740)</f>
        <v>73.015000000000001</v>
      </c>
      <c r="H740" s="9">
        <v>85.900000000000006</v>
      </c>
      <c r="I740" s="9">
        <f>H740-G740</f>
        <v>12.885000000000005</v>
      </c>
    </row>
    <row r="741" ht="14.25">
      <c r="A741" s="5">
        <v>37694</v>
      </c>
      <c r="B741" s="6" t="s">
        <v>790</v>
      </c>
      <c r="C741" s="7" t="s">
        <v>109</v>
      </c>
      <c r="D741" s="7" t="s">
        <v>110</v>
      </c>
      <c r="E741" s="5" t="s">
        <v>39</v>
      </c>
      <c r="F741" s="8"/>
      <c r="G741" s="9">
        <f>H741*(1-15%)*(1-F741)</f>
        <v>73.015000000000001</v>
      </c>
      <c r="H741" s="9">
        <v>85.900000000000006</v>
      </c>
      <c r="I741" s="9">
        <f>H741-G741</f>
        <v>12.885000000000005</v>
      </c>
    </row>
    <row r="742" ht="14.25">
      <c r="A742" s="5">
        <v>37695</v>
      </c>
      <c r="B742" s="6" t="s">
        <v>791</v>
      </c>
      <c r="C742" s="7" t="s">
        <v>109</v>
      </c>
      <c r="D742" s="7" t="s">
        <v>110</v>
      </c>
      <c r="E742" s="5" t="s">
        <v>39</v>
      </c>
      <c r="F742" s="8"/>
      <c r="G742" s="9">
        <f>H742*(1-15%)*(1-F742)</f>
        <v>73.015000000000001</v>
      </c>
      <c r="H742" s="9">
        <v>85.900000000000006</v>
      </c>
      <c r="I742" s="9">
        <f>H742-G742</f>
        <v>12.885000000000005</v>
      </c>
    </row>
    <row r="743" ht="14.25">
      <c r="A743" s="5">
        <v>37696</v>
      </c>
      <c r="B743" s="6" t="s">
        <v>792</v>
      </c>
      <c r="C743" s="7" t="s">
        <v>109</v>
      </c>
      <c r="D743" s="7" t="s">
        <v>110</v>
      </c>
      <c r="E743" s="5" t="s">
        <v>39</v>
      </c>
      <c r="F743" s="8"/>
      <c r="G743" s="9">
        <f>H743*(1-15%)*(1-F743)</f>
        <v>73.015000000000001</v>
      </c>
      <c r="H743" s="9">
        <v>85.900000000000006</v>
      </c>
      <c r="I743" s="9">
        <f>H743-G743</f>
        <v>12.885000000000005</v>
      </c>
    </row>
    <row r="744" ht="14.25">
      <c r="A744" s="5">
        <v>37699</v>
      </c>
      <c r="B744" s="6" t="s">
        <v>793</v>
      </c>
      <c r="C744" s="7" t="s">
        <v>109</v>
      </c>
      <c r="D744" s="7" t="s">
        <v>110</v>
      </c>
      <c r="E744" s="5" t="s">
        <v>39</v>
      </c>
      <c r="F744" s="8"/>
      <c r="G744" s="9">
        <f>H744*(1-15%)*(1-F744)</f>
        <v>73.015000000000001</v>
      </c>
      <c r="H744" s="9">
        <v>85.900000000000006</v>
      </c>
      <c r="I744" s="9">
        <f>H744-G744</f>
        <v>12.885000000000005</v>
      </c>
    </row>
    <row r="745" ht="14.25">
      <c r="A745" s="5">
        <v>48015</v>
      </c>
      <c r="B745" s="6" t="s">
        <v>794</v>
      </c>
      <c r="C745" s="7" t="s">
        <v>109</v>
      </c>
      <c r="D745" s="7" t="s">
        <v>110</v>
      </c>
      <c r="E745" s="5" t="s">
        <v>39</v>
      </c>
      <c r="F745" s="8"/>
      <c r="G745" s="9">
        <f>H745*(1-15%)*(1-F745)</f>
        <v>70.465000000000003</v>
      </c>
      <c r="H745" s="9">
        <v>82.900000000000006</v>
      </c>
      <c r="I745" s="9">
        <f>H745-G745</f>
        <v>12.435000000000002</v>
      </c>
    </row>
    <row r="746" ht="14.25">
      <c r="A746" s="5">
        <v>49218</v>
      </c>
      <c r="B746" s="6" t="s">
        <v>795</v>
      </c>
      <c r="C746" s="7" t="s">
        <v>109</v>
      </c>
      <c r="D746" s="7" t="s">
        <v>183</v>
      </c>
      <c r="E746" s="5" t="s">
        <v>68</v>
      </c>
      <c r="F746" s="8"/>
      <c r="G746" s="9">
        <f>H746*(1-15%)*(1-F746)</f>
        <v>42.414999999999999</v>
      </c>
      <c r="H746" s="9">
        <v>49.899999999999999</v>
      </c>
      <c r="I746" s="9">
        <f>H746-G746</f>
        <v>7.4849999999999994</v>
      </c>
    </row>
    <row r="747" ht="14.25">
      <c r="A747" s="5">
        <v>46555</v>
      </c>
      <c r="B747" s="6" t="s">
        <v>796</v>
      </c>
      <c r="C747" s="7" t="s">
        <v>201</v>
      </c>
      <c r="D747" s="7" t="s">
        <v>347</v>
      </c>
      <c r="E747" s="5" t="s">
        <v>26</v>
      </c>
      <c r="F747" s="8"/>
      <c r="G747" s="9">
        <f>H747*(1-15%)*(1-F747)</f>
        <v>131.66499999999999</v>
      </c>
      <c r="H747" s="9">
        <v>154.90000000000001</v>
      </c>
      <c r="I747" s="9">
        <f>H747-G747</f>
        <v>23.235000000000014</v>
      </c>
    </row>
    <row r="748" ht="14.25">
      <c r="A748" s="5">
        <v>84117</v>
      </c>
      <c r="B748" s="6" t="s">
        <v>797</v>
      </c>
      <c r="C748" s="7" t="s">
        <v>82</v>
      </c>
      <c r="D748" s="7" t="s">
        <v>45</v>
      </c>
      <c r="E748" s="5" t="s">
        <v>15</v>
      </c>
      <c r="F748" s="8"/>
      <c r="G748" s="9">
        <f>H748*(1-15%)*(1-F748)</f>
        <v>22.864999999999998</v>
      </c>
      <c r="H748" s="9">
        <v>26.899999999999999</v>
      </c>
      <c r="I748" s="9">
        <f>H748-G748</f>
        <v>4.0350000000000001</v>
      </c>
    </row>
    <row r="749" ht="14.25">
      <c r="A749" s="5">
        <v>49217</v>
      </c>
      <c r="B749" s="6" t="s">
        <v>798</v>
      </c>
      <c r="C749" s="7" t="s">
        <v>75</v>
      </c>
      <c r="D749" s="7" t="s">
        <v>103</v>
      </c>
      <c r="E749" s="5" t="s">
        <v>15</v>
      </c>
      <c r="F749" s="8"/>
      <c r="G749" s="9">
        <f>H749*(1-15%)*(1-F749)</f>
        <v>46.664999999999999</v>
      </c>
      <c r="H749" s="9">
        <v>54.899999999999999</v>
      </c>
      <c r="I749" s="9">
        <f>H749-G749</f>
        <v>8.2349999999999994</v>
      </c>
    </row>
    <row r="750" ht="14.25">
      <c r="A750" s="5">
        <v>1428</v>
      </c>
      <c r="B750" s="6" t="s">
        <v>799</v>
      </c>
      <c r="C750" s="7" t="s">
        <v>75</v>
      </c>
      <c r="D750" s="7" t="s">
        <v>45</v>
      </c>
      <c r="E750" s="5" t="s">
        <v>26</v>
      </c>
      <c r="F750" s="8"/>
      <c r="G750" s="9">
        <f>H750*(1-15%)*(1-F750)</f>
        <v>73.865000000000009</v>
      </c>
      <c r="H750" s="9">
        <v>86.900000000000006</v>
      </c>
      <c r="I750" s="9">
        <f>H750-G750</f>
        <v>13.034999999999997</v>
      </c>
    </row>
    <row r="751" ht="14.25">
      <c r="A751" s="5">
        <v>1634</v>
      </c>
      <c r="B751" s="6" t="s">
        <v>800</v>
      </c>
      <c r="C751" s="7" t="s">
        <v>75</v>
      </c>
      <c r="D751" s="7" t="s">
        <v>45</v>
      </c>
      <c r="E751" s="5" t="s">
        <v>26</v>
      </c>
      <c r="F751" s="8"/>
      <c r="G751" s="9">
        <f>H751*(1-15%)*(1-F751)</f>
        <v>49.214999999999996</v>
      </c>
      <c r="H751" s="9">
        <v>57.899999999999999</v>
      </c>
      <c r="I751" s="9">
        <f>H751-G751</f>
        <v>8.6850000000000023</v>
      </c>
    </row>
    <row r="752" ht="14.25">
      <c r="A752" s="5">
        <v>1640</v>
      </c>
      <c r="B752" s="6" t="s">
        <v>801</v>
      </c>
      <c r="C752" s="7" t="s">
        <v>75</v>
      </c>
      <c r="D752" s="7" t="s">
        <v>45</v>
      </c>
      <c r="E752" s="5" t="s">
        <v>26</v>
      </c>
      <c r="F752" s="8"/>
      <c r="G752" s="9">
        <f>H752*(1-15%)*(1-F752)</f>
        <v>55.165000000000006</v>
      </c>
      <c r="H752" s="9">
        <v>64.900000000000006</v>
      </c>
      <c r="I752" s="9">
        <f>H752-G752</f>
        <v>9.7349999999999994</v>
      </c>
    </row>
    <row r="753" ht="14.25">
      <c r="A753" s="5">
        <v>1650</v>
      </c>
      <c r="B753" s="6" t="s">
        <v>802</v>
      </c>
      <c r="C753" s="7" t="s">
        <v>75</v>
      </c>
      <c r="D753" s="7" t="s">
        <v>45</v>
      </c>
      <c r="E753" s="5" t="s">
        <v>15</v>
      </c>
      <c r="F753" s="8"/>
      <c r="G753" s="9">
        <f>H753*(1-15%)*(1-F753)</f>
        <v>57.715000000000003</v>
      </c>
      <c r="H753" s="9">
        <v>67.900000000000006</v>
      </c>
      <c r="I753" s="9">
        <f>H753-G753</f>
        <v>10.185000000000002</v>
      </c>
    </row>
    <row r="754" ht="14.25">
      <c r="A754" s="5">
        <v>80888</v>
      </c>
      <c r="B754" s="6" t="s">
        <v>803</v>
      </c>
      <c r="C754" s="7" t="s">
        <v>25</v>
      </c>
      <c r="D754" s="7" t="s">
        <v>71</v>
      </c>
      <c r="E754" s="5" t="s">
        <v>68</v>
      </c>
      <c r="F754" s="8"/>
      <c r="G754" s="9">
        <f>H754*(1-15%)*(1-F754)</f>
        <v>42.414999999999999</v>
      </c>
      <c r="H754" s="9">
        <v>49.899999999999999</v>
      </c>
      <c r="I754" s="9">
        <f>H754-G754</f>
        <v>7.4849999999999994</v>
      </c>
    </row>
    <row r="755" ht="14.25">
      <c r="A755" s="5">
        <v>80889</v>
      </c>
      <c r="B755" s="6" t="s">
        <v>804</v>
      </c>
      <c r="C755" s="7" t="s">
        <v>25</v>
      </c>
      <c r="D755" s="7" t="s">
        <v>71</v>
      </c>
      <c r="E755" s="5" t="s">
        <v>15</v>
      </c>
      <c r="F755" s="8"/>
      <c r="G755" s="9">
        <f>H755*(1-15%)*(1-F755)</f>
        <v>32.214999999999996</v>
      </c>
      <c r="H755" s="9">
        <v>37.899999999999999</v>
      </c>
      <c r="I755" s="9">
        <f>H755-G755</f>
        <v>5.6850000000000023</v>
      </c>
    </row>
    <row r="756" ht="14.25">
      <c r="A756" s="5">
        <v>49403</v>
      </c>
      <c r="B756" s="6" t="s">
        <v>805</v>
      </c>
      <c r="C756" s="7" t="s">
        <v>426</v>
      </c>
      <c r="D756" s="7" t="s">
        <v>219</v>
      </c>
      <c r="E756" s="5" t="s">
        <v>39</v>
      </c>
      <c r="F756" s="8"/>
      <c r="G756" s="9">
        <f>H756*(1-15%)*(1-F756)</f>
        <v>148.66499999999999</v>
      </c>
      <c r="H756" s="9">
        <v>174.90000000000001</v>
      </c>
      <c r="I756" s="9">
        <f>H756-G756</f>
        <v>26.235000000000014</v>
      </c>
    </row>
    <row r="757" ht="14.25">
      <c r="A757" s="5">
        <v>83550</v>
      </c>
      <c r="B757" s="6" t="s">
        <v>806</v>
      </c>
      <c r="C757" s="7" t="s">
        <v>426</v>
      </c>
      <c r="D757" s="7" t="s">
        <v>219</v>
      </c>
      <c r="E757" s="5" t="s">
        <v>43</v>
      </c>
      <c r="F757" s="8"/>
      <c r="G757" s="9">
        <f>H757*(1-15%)*(1-F757)</f>
        <v>182.66499999999999</v>
      </c>
      <c r="H757" s="9">
        <v>214.90000000000001</v>
      </c>
      <c r="I757" s="9">
        <f>H757-G757</f>
        <v>32.235000000000014</v>
      </c>
    </row>
    <row r="758" ht="14.25">
      <c r="A758" s="5">
        <v>83551</v>
      </c>
      <c r="B758" s="6" t="s">
        <v>807</v>
      </c>
      <c r="C758" s="7" t="s">
        <v>426</v>
      </c>
      <c r="D758" s="7" t="s">
        <v>219</v>
      </c>
      <c r="E758" s="5" t="s">
        <v>68</v>
      </c>
      <c r="F758" s="8"/>
      <c r="G758" s="9">
        <f>H758*(1-15%)*(1-F758)</f>
        <v>174.16499999999999</v>
      </c>
      <c r="H758" s="9">
        <v>204.90000000000001</v>
      </c>
      <c r="I758" s="9">
        <f>H758-G758</f>
        <v>30.735000000000014</v>
      </c>
    </row>
    <row r="759" ht="14.25">
      <c r="A759" s="5">
        <v>83552</v>
      </c>
      <c r="B759" s="6" t="s">
        <v>808</v>
      </c>
      <c r="C759" s="7" t="s">
        <v>426</v>
      </c>
      <c r="D759" s="7" t="s">
        <v>219</v>
      </c>
      <c r="E759" s="5" t="s">
        <v>26</v>
      </c>
      <c r="F759" s="8"/>
      <c r="G759" s="9">
        <f>H759*(1-15%)*(1-F759)</f>
        <v>101.91500000000001</v>
      </c>
      <c r="H759" s="9">
        <v>119.90000000000001</v>
      </c>
      <c r="I759" s="9">
        <f>H759-G759</f>
        <v>17.984999999999999</v>
      </c>
    </row>
    <row r="760" ht="14.25">
      <c r="A760" s="5">
        <v>46568</v>
      </c>
      <c r="B760" s="6" t="s">
        <v>809</v>
      </c>
      <c r="C760" s="7" t="s">
        <v>79</v>
      </c>
      <c r="D760" s="7" t="s">
        <v>183</v>
      </c>
      <c r="E760" s="5" t="s">
        <v>26</v>
      </c>
      <c r="F760" s="8"/>
      <c r="G760" s="9">
        <f>H760*(1-15%)*(1-F760)</f>
        <v>74.715000000000003</v>
      </c>
      <c r="H760" s="9">
        <v>87.900000000000006</v>
      </c>
      <c r="I760" s="9">
        <f>H760-G760</f>
        <v>13.185000000000002</v>
      </c>
    </row>
    <row r="761" ht="14.25">
      <c r="A761" s="5">
        <v>1630</v>
      </c>
      <c r="B761" s="6" t="s">
        <v>810</v>
      </c>
      <c r="C761" s="7" t="s">
        <v>75</v>
      </c>
      <c r="D761" s="7" t="s">
        <v>11</v>
      </c>
      <c r="E761" s="5" t="s">
        <v>68</v>
      </c>
      <c r="F761" s="8"/>
      <c r="G761" s="9">
        <f>H761*(1-15%)*(1-F761)</f>
        <v>84.915000000000006</v>
      </c>
      <c r="H761" s="9">
        <v>99.900000000000006</v>
      </c>
      <c r="I761" s="9">
        <f>H761-G761</f>
        <v>14.984999999999999</v>
      </c>
    </row>
    <row r="762" ht="14.25">
      <c r="A762" s="5">
        <v>77490</v>
      </c>
      <c r="B762" s="6" t="s">
        <v>811</v>
      </c>
      <c r="C762" s="7" t="s">
        <v>25</v>
      </c>
      <c r="D762" s="7" t="s">
        <v>11</v>
      </c>
      <c r="E762" s="5" t="s">
        <v>39</v>
      </c>
      <c r="F762" s="8"/>
      <c r="G762" s="9">
        <f>H762*(1-15%)*(1-F762)</f>
        <v>169.91499999999999</v>
      </c>
      <c r="H762" s="9">
        <v>199.90000000000001</v>
      </c>
      <c r="I762" s="9">
        <f>H762-G762</f>
        <v>29.985000000000014</v>
      </c>
    </row>
    <row r="763" ht="14.25">
      <c r="A763" s="5">
        <v>30326</v>
      </c>
      <c r="B763" s="6" t="s">
        <v>812</v>
      </c>
      <c r="C763" s="7" t="s">
        <v>38</v>
      </c>
      <c r="D763" s="7" t="s">
        <v>103</v>
      </c>
      <c r="E763" s="5" t="s">
        <v>39</v>
      </c>
      <c r="F763" s="8"/>
      <c r="G763" s="9">
        <f>H763*(1-15%)*(1-F763)</f>
        <v>42.414999999999999</v>
      </c>
      <c r="H763" s="9">
        <v>49.899999999999999</v>
      </c>
      <c r="I763" s="9">
        <f>H763-G763</f>
        <v>7.4849999999999994</v>
      </c>
    </row>
    <row r="764" ht="14.25">
      <c r="A764" s="5">
        <v>50125</v>
      </c>
      <c r="B764" s="6" t="s">
        <v>813</v>
      </c>
      <c r="C764" s="7" t="s">
        <v>10</v>
      </c>
      <c r="D764" s="7" t="s">
        <v>71</v>
      </c>
      <c r="E764" s="5" t="s">
        <v>39</v>
      </c>
      <c r="F764" s="8"/>
      <c r="G764" s="9">
        <f>H764*(1-15%)*(1-F764)</f>
        <v>42.414999999999999</v>
      </c>
      <c r="H764" s="9">
        <v>49.899999999999999</v>
      </c>
      <c r="I764" s="9">
        <f>H764-G764</f>
        <v>7.4849999999999994</v>
      </c>
    </row>
    <row r="765" ht="14.25">
      <c r="A765" s="5">
        <v>49380</v>
      </c>
      <c r="B765" s="6" t="s">
        <v>814</v>
      </c>
      <c r="C765" s="7" t="s">
        <v>271</v>
      </c>
      <c r="D765" s="7" t="s">
        <v>110</v>
      </c>
      <c r="E765" s="5" t="s">
        <v>43</v>
      </c>
      <c r="F765" s="8"/>
      <c r="G765" s="9">
        <f>H765*(1-15%)*(1-F765)</f>
        <v>29.664999999999999</v>
      </c>
      <c r="H765" s="9">
        <v>34.899999999999999</v>
      </c>
      <c r="I765" s="9">
        <f>H765-G765</f>
        <v>5.2349999999999994</v>
      </c>
    </row>
    <row r="766" ht="14.25">
      <c r="A766" s="5">
        <v>49381</v>
      </c>
      <c r="B766" s="6" t="s">
        <v>815</v>
      </c>
      <c r="C766" s="7" t="s">
        <v>271</v>
      </c>
      <c r="D766" s="7" t="s">
        <v>110</v>
      </c>
      <c r="E766" s="5" t="s">
        <v>43</v>
      </c>
      <c r="F766" s="8"/>
      <c r="G766" s="9">
        <f>H766*(1-15%)*(1-F766)</f>
        <v>29.664999999999999</v>
      </c>
      <c r="H766" s="9">
        <v>34.899999999999999</v>
      </c>
      <c r="I766" s="9">
        <f>H766-G766</f>
        <v>5.2349999999999994</v>
      </c>
    </row>
    <row r="767" ht="14.25">
      <c r="A767" s="5">
        <v>49382</v>
      </c>
      <c r="B767" s="6" t="s">
        <v>816</v>
      </c>
      <c r="C767" s="7" t="s">
        <v>271</v>
      </c>
      <c r="D767" s="7" t="s">
        <v>110</v>
      </c>
      <c r="E767" s="5" t="s">
        <v>68</v>
      </c>
      <c r="F767" s="8"/>
      <c r="G767" s="9">
        <f>H767*(1-15%)*(1-F767)</f>
        <v>29.664999999999999</v>
      </c>
      <c r="H767" s="9">
        <v>34.899999999999999</v>
      </c>
      <c r="I767" s="9">
        <f>H767-G767</f>
        <v>5.2349999999999994</v>
      </c>
    </row>
    <row r="768" ht="14.25">
      <c r="A768" s="5">
        <v>49383</v>
      </c>
      <c r="B768" s="6" t="s">
        <v>817</v>
      </c>
      <c r="C768" s="7" t="s">
        <v>271</v>
      </c>
      <c r="D768" s="7" t="s">
        <v>110</v>
      </c>
      <c r="E768" s="5" t="s">
        <v>68</v>
      </c>
      <c r="F768" s="8"/>
      <c r="G768" s="9">
        <f>H768*(1-15%)*(1-F768)</f>
        <v>29.664999999999999</v>
      </c>
      <c r="H768" s="9">
        <v>34.899999999999999</v>
      </c>
      <c r="I768" s="9">
        <f>H768-G768</f>
        <v>5.2349999999999994</v>
      </c>
    </row>
    <row r="769" ht="14.25">
      <c r="A769" s="5">
        <v>49384</v>
      </c>
      <c r="B769" s="6" t="s">
        <v>818</v>
      </c>
      <c r="C769" s="7" t="s">
        <v>271</v>
      </c>
      <c r="D769" s="7" t="s">
        <v>110</v>
      </c>
      <c r="E769" s="5" t="s">
        <v>43</v>
      </c>
      <c r="F769" s="8"/>
      <c r="G769" s="9">
        <f>H769*(1-15%)*(1-F769)</f>
        <v>29.664999999999999</v>
      </c>
      <c r="H769" s="9">
        <v>34.899999999999999</v>
      </c>
      <c r="I769" s="9">
        <f>H769-G769</f>
        <v>5.2349999999999994</v>
      </c>
    </row>
    <row r="770" ht="14.25">
      <c r="A770" s="5">
        <v>47412</v>
      </c>
      <c r="B770" s="6" t="s">
        <v>819</v>
      </c>
      <c r="C770" s="7" t="s">
        <v>271</v>
      </c>
      <c r="D770" s="7" t="s">
        <v>183</v>
      </c>
      <c r="E770" s="5" t="s">
        <v>15</v>
      </c>
      <c r="F770" s="8"/>
      <c r="G770" s="9">
        <f>H770*(1-15%)*(1-F770)</f>
        <v>49.214999999999996</v>
      </c>
      <c r="H770" s="9">
        <v>57.899999999999999</v>
      </c>
      <c r="I770" s="9">
        <f>H770-G770</f>
        <v>8.6850000000000023</v>
      </c>
    </row>
    <row r="771" ht="14.25">
      <c r="A771" s="5">
        <v>49365</v>
      </c>
      <c r="B771" s="6" t="s">
        <v>820</v>
      </c>
      <c r="C771" s="7" t="s">
        <v>201</v>
      </c>
      <c r="D771" s="7" t="s">
        <v>183</v>
      </c>
      <c r="E771" s="5" t="s">
        <v>15</v>
      </c>
      <c r="F771" s="8"/>
      <c r="G771" s="9">
        <f>H771*(1-15%)*(1-F771)</f>
        <v>50.914999999999999</v>
      </c>
      <c r="H771" s="9">
        <v>59.899999999999999</v>
      </c>
      <c r="I771" s="9">
        <f>H771-G771</f>
        <v>8.9849999999999994</v>
      </c>
    </row>
    <row r="772" ht="14.25">
      <c r="A772" s="5">
        <v>49366</v>
      </c>
      <c r="B772" s="6" t="s">
        <v>821</v>
      </c>
      <c r="C772" s="7" t="s">
        <v>201</v>
      </c>
      <c r="D772" s="7" t="s">
        <v>183</v>
      </c>
      <c r="E772" s="5" t="s">
        <v>43</v>
      </c>
      <c r="F772" s="8"/>
      <c r="G772" s="9">
        <f>H772*(1-15%)*(1-F772)</f>
        <v>80.665000000000006</v>
      </c>
      <c r="H772" s="9">
        <v>94.900000000000006</v>
      </c>
      <c r="I772" s="9">
        <f>H772-G772</f>
        <v>14.234999999999999</v>
      </c>
    </row>
    <row r="773" ht="14.25">
      <c r="A773" s="5">
        <v>49368</v>
      </c>
      <c r="B773" s="6" t="s">
        <v>822</v>
      </c>
      <c r="C773" s="7" t="s">
        <v>201</v>
      </c>
      <c r="D773" s="7" t="s">
        <v>183</v>
      </c>
      <c r="E773" s="5" t="s">
        <v>15</v>
      </c>
      <c r="F773" s="8"/>
      <c r="G773" s="9">
        <f>H773*(1-15%)*(1-F773)</f>
        <v>25.414999999999999</v>
      </c>
      <c r="H773" s="9">
        <v>29.899999999999999</v>
      </c>
      <c r="I773" s="9">
        <f>H773-G773</f>
        <v>4.4849999999999994</v>
      </c>
    </row>
    <row r="774" ht="14.25">
      <c r="A774" s="5">
        <v>50119</v>
      </c>
      <c r="B774" s="6" t="s">
        <v>823</v>
      </c>
      <c r="C774" s="7" t="s">
        <v>10</v>
      </c>
      <c r="D774" s="7" t="s">
        <v>11</v>
      </c>
      <c r="E774" s="5" t="s">
        <v>12</v>
      </c>
      <c r="F774" s="8"/>
      <c r="G774" s="9">
        <f>H774*(1-15%)*(1-F774)</f>
        <v>186.91499999999999</v>
      </c>
      <c r="H774" s="9">
        <v>219.90000000000001</v>
      </c>
      <c r="I774" s="9">
        <f>H774-G774</f>
        <v>32.985000000000014</v>
      </c>
    </row>
    <row r="775" ht="14.25">
      <c r="A775" s="5">
        <v>4443</v>
      </c>
      <c r="B775" s="6" t="s">
        <v>824</v>
      </c>
      <c r="C775" s="7" t="s">
        <v>426</v>
      </c>
      <c r="D775" s="7" t="s">
        <v>219</v>
      </c>
      <c r="E775" s="5" t="s">
        <v>68</v>
      </c>
      <c r="F775" s="8"/>
      <c r="G775" s="9">
        <f>H775*(1-15%)*(1-F775)</f>
        <v>106.16500000000001</v>
      </c>
      <c r="H775" s="9">
        <v>124.90000000000001</v>
      </c>
      <c r="I775" s="9">
        <f>H775-G775</f>
        <v>18.734999999999999</v>
      </c>
    </row>
    <row r="776" ht="14.25">
      <c r="A776" s="5">
        <v>4472</v>
      </c>
      <c r="B776" s="6" t="s">
        <v>825</v>
      </c>
      <c r="C776" s="7" t="s">
        <v>426</v>
      </c>
      <c r="D776" s="7" t="s">
        <v>219</v>
      </c>
      <c r="E776" s="5" t="s">
        <v>26</v>
      </c>
      <c r="F776" s="8"/>
      <c r="G776" s="9">
        <f>H776*(1-15%)*(1-F776)</f>
        <v>66.215000000000003</v>
      </c>
      <c r="H776" s="9">
        <v>77.900000000000006</v>
      </c>
      <c r="I776" s="9">
        <f>H776-G776</f>
        <v>11.685000000000002</v>
      </c>
    </row>
    <row r="777" ht="14.25">
      <c r="A777" s="5">
        <v>4473</v>
      </c>
      <c r="B777" s="6" t="s">
        <v>826</v>
      </c>
      <c r="C777" s="7" t="s">
        <v>426</v>
      </c>
      <c r="D777" s="7" t="s">
        <v>219</v>
      </c>
      <c r="E777" s="5" t="s">
        <v>68</v>
      </c>
      <c r="F777" s="8"/>
      <c r="G777" s="9">
        <f>H777*(1-15%)*(1-F777)</f>
        <v>61.965000000000003</v>
      </c>
      <c r="H777" s="9">
        <v>72.900000000000006</v>
      </c>
      <c r="I777" s="9">
        <f>H777-G777</f>
        <v>10.935000000000002</v>
      </c>
    </row>
    <row r="778" ht="14.25">
      <c r="A778" s="5">
        <v>33424</v>
      </c>
      <c r="B778" s="6" t="s">
        <v>827</v>
      </c>
      <c r="C778" s="7" t="s">
        <v>17</v>
      </c>
      <c r="D778" s="7" t="s">
        <v>61</v>
      </c>
      <c r="E778" s="5" t="s">
        <v>39</v>
      </c>
      <c r="F778" s="8"/>
      <c r="G778" s="9">
        <f>H778*(1-15%)*(1-F778)</f>
        <v>174.16499999999999</v>
      </c>
      <c r="H778" s="9">
        <v>204.90000000000001</v>
      </c>
      <c r="I778" s="9">
        <f>H778-G778</f>
        <v>30.735000000000014</v>
      </c>
    </row>
    <row r="779" ht="14.25">
      <c r="A779" s="5">
        <v>36485</v>
      </c>
      <c r="B779" s="6" t="s">
        <v>828</v>
      </c>
      <c r="C779" s="7" t="s">
        <v>21</v>
      </c>
      <c r="D779" s="7" t="s">
        <v>61</v>
      </c>
      <c r="E779" s="5" t="s">
        <v>26</v>
      </c>
      <c r="F779" s="8"/>
      <c r="G779" s="9">
        <f>H779*(1-15%)*(1-F779)</f>
        <v>127.41500000000001</v>
      </c>
      <c r="H779" s="9">
        <v>149.90000000000001</v>
      </c>
      <c r="I779" s="9">
        <f>H779-G779</f>
        <v>22.484999999999999</v>
      </c>
    </row>
    <row r="780" ht="14.25">
      <c r="A780" s="5">
        <v>36486</v>
      </c>
      <c r="B780" s="6" t="s">
        <v>829</v>
      </c>
      <c r="C780" s="7" t="s">
        <v>17</v>
      </c>
      <c r="D780" s="7" t="s">
        <v>61</v>
      </c>
      <c r="E780" s="5" t="s">
        <v>68</v>
      </c>
      <c r="F780" s="8"/>
      <c r="G780" s="9">
        <f>H780*(1-15%)*(1-F780)</f>
        <v>114.66500000000001</v>
      </c>
      <c r="H780" s="9">
        <v>134.90000000000001</v>
      </c>
      <c r="I780" s="9">
        <f>H780-G780</f>
        <v>20.234999999999999</v>
      </c>
    </row>
    <row r="781" ht="14.25">
      <c r="A781" s="5">
        <v>47321</v>
      </c>
      <c r="B781" s="6" t="s">
        <v>830</v>
      </c>
      <c r="C781" s="7" t="s">
        <v>426</v>
      </c>
      <c r="D781" s="7" t="s">
        <v>219</v>
      </c>
      <c r="E781" s="5" t="s">
        <v>133</v>
      </c>
      <c r="F781" s="8"/>
      <c r="G781" s="9">
        <f>H781*(1-15%)*(1-F781)</f>
        <v>169.91499999999999</v>
      </c>
      <c r="H781" s="9">
        <v>199.90000000000001</v>
      </c>
      <c r="I781" s="9">
        <f>H781-G781</f>
        <v>29.985000000000014</v>
      </c>
    </row>
    <row r="782" ht="14.25">
      <c r="A782" s="5">
        <v>47550</v>
      </c>
      <c r="B782" s="6" t="s">
        <v>831</v>
      </c>
      <c r="C782" s="7" t="s">
        <v>426</v>
      </c>
      <c r="D782" s="7" t="s">
        <v>219</v>
      </c>
      <c r="E782" s="5" t="s">
        <v>68</v>
      </c>
      <c r="F782" s="8"/>
      <c r="G782" s="9">
        <f>H782*(1-15%)*(1-F782)</f>
        <v>101.91500000000001</v>
      </c>
      <c r="H782" s="9">
        <v>119.90000000000001</v>
      </c>
      <c r="I782" s="9">
        <f>H782-G782</f>
        <v>17.984999999999999</v>
      </c>
    </row>
    <row r="783" ht="14.25">
      <c r="A783" s="5">
        <v>47729</v>
      </c>
      <c r="B783" s="6" t="s">
        <v>832</v>
      </c>
      <c r="C783" s="7" t="s">
        <v>426</v>
      </c>
      <c r="D783" s="7" t="s">
        <v>183</v>
      </c>
      <c r="E783" s="5" t="s">
        <v>68</v>
      </c>
      <c r="F783" s="8"/>
      <c r="G783" s="9">
        <f>H783*(1-15%)*(1-F783)</f>
        <v>101.91500000000001</v>
      </c>
      <c r="H783" s="9">
        <v>119.90000000000001</v>
      </c>
      <c r="I783" s="9">
        <f>H783-G783</f>
        <v>17.984999999999999</v>
      </c>
    </row>
    <row r="784" ht="14.25">
      <c r="A784" s="5">
        <v>48734</v>
      </c>
      <c r="B784" s="6" t="s">
        <v>833</v>
      </c>
      <c r="C784" s="7" t="s">
        <v>70</v>
      </c>
      <c r="D784" s="7" t="s">
        <v>11</v>
      </c>
      <c r="E784" s="5" t="s">
        <v>26</v>
      </c>
      <c r="F784" s="8"/>
      <c r="G784" s="9">
        <f>H784*(1-15%)*(1-F784)</f>
        <v>288.91499999999996</v>
      </c>
      <c r="H784" s="9">
        <v>339.89999999999998</v>
      </c>
      <c r="I784" s="9">
        <f>H784-G784</f>
        <v>50.985000000000014</v>
      </c>
    </row>
    <row r="785" ht="14.25">
      <c r="A785" s="5">
        <v>49288</v>
      </c>
      <c r="B785" s="6" t="s">
        <v>834</v>
      </c>
      <c r="C785" s="7" t="s">
        <v>705</v>
      </c>
      <c r="D785" s="7" t="s">
        <v>61</v>
      </c>
      <c r="E785" s="5" t="s">
        <v>133</v>
      </c>
      <c r="F785" s="8"/>
      <c r="G785" s="9">
        <f>H785*(1-15%)*(1-F785)</f>
        <v>106.16500000000001</v>
      </c>
      <c r="H785" s="9">
        <v>124.90000000000001</v>
      </c>
      <c r="I785" s="9">
        <f>H785-G785</f>
        <v>18.734999999999999</v>
      </c>
    </row>
    <row r="786" ht="14.25">
      <c r="A786" s="5">
        <v>50615</v>
      </c>
      <c r="B786" s="6" t="s">
        <v>835</v>
      </c>
      <c r="C786" s="7" t="s">
        <v>271</v>
      </c>
      <c r="D786" s="7" t="s">
        <v>110</v>
      </c>
      <c r="E786" s="5" t="s">
        <v>703</v>
      </c>
      <c r="F786" s="8"/>
      <c r="G786" s="9">
        <f>H786*(1-15%)*(1-F786)</f>
        <v>40.714999999999996</v>
      </c>
      <c r="H786" s="9">
        <v>47.899999999999999</v>
      </c>
      <c r="I786" s="9">
        <f>H786-G786</f>
        <v>7.1850000000000023</v>
      </c>
    </row>
    <row r="787" ht="14.25">
      <c r="A787" s="5">
        <v>50644</v>
      </c>
      <c r="B787" s="6" t="s">
        <v>836</v>
      </c>
      <c r="C787" s="7" t="s">
        <v>82</v>
      </c>
      <c r="D787" s="7" t="s">
        <v>45</v>
      </c>
      <c r="E787" s="5" t="s">
        <v>703</v>
      </c>
      <c r="F787" s="8"/>
      <c r="G787" s="9">
        <f>H787*(1-15%)*(1-F787)</f>
        <v>47.515000000000001</v>
      </c>
      <c r="H787" s="9">
        <v>55.899999999999999</v>
      </c>
      <c r="I787" s="9">
        <f>H787-G787</f>
        <v>8.384999999999998</v>
      </c>
    </row>
    <row r="788" ht="14.25">
      <c r="A788" s="5">
        <v>50645</v>
      </c>
      <c r="B788" s="6" t="s">
        <v>837</v>
      </c>
      <c r="C788" s="7" t="s">
        <v>82</v>
      </c>
      <c r="D788" s="7" t="s">
        <v>45</v>
      </c>
      <c r="E788" s="5" t="s">
        <v>703</v>
      </c>
      <c r="F788" s="8"/>
      <c r="G788" s="9">
        <f>H788*(1-15%)*(1-F788)</f>
        <v>47.515000000000001</v>
      </c>
      <c r="H788" s="9">
        <v>55.899999999999999</v>
      </c>
      <c r="I788" s="9">
        <f>H788-G788</f>
        <v>8.384999999999998</v>
      </c>
    </row>
    <row r="789" ht="14.25">
      <c r="A789" s="5">
        <v>50666</v>
      </c>
      <c r="B789" s="6" t="s">
        <v>838</v>
      </c>
      <c r="C789" s="7" t="s">
        <v>271</v>
      </c>
      <c r="D789" s="7" t="s">
        <v>110</v>
      </c>
      <c r="E789" s="5" t="s">
        <v>703</v>
      </c>
      <c r="F789" s="8"/>
      <c r="G789" s="9">
        <f>H789*(1-15%)*(1-F789)</f>
        <v>40.714999999999996</v>
      </c>
      <c r="H789" s="9">
        <v>47.899999999999999</v>
      </c>
      <c r="I789" s="9">
        <f>H789-G789</f>
        <v>7.1850000000000023</v>
      </c>
    </row>
    <row r="790" ht="14.25">
      <c r="A790" s="5">
        <v>77989</v>
      </c>
      <c r="B790" s="6" t="s">
        <v>839</v>
      </c>
      <c r="C790" s="7" t="s">
        <v>70</v>
      </c>
      <c r="D790" s="7" t="s">
        <v>11</v>
      </c>
      <c r="E790" s="5" t="s">
        <v>39</v>
      </c>
      <c r="F790" s="8"/>
      <c r="G790" s="9">
        <f>H790*(1-15%)*(1-F790)</f>
        <v>271.91499999999996</v>
      </c>
      <c r="H790" s="9">
        <v>319.89999999999998</v>
      </c>
      <c r="I790" s="9">
        <f>H790-G790</f>
        <v>47.985000000000014</v>
      </c>
    </row>
    <row r="791" ht="14.25">
      <c r="A791" s="5">
        <v>77990</v>
      </c>
      <c r="B791" s="6" t="s">
        <v>840</v>
      </c>
      <c r="C791" s="7" t="s">
        <v>70</v>
      </c>
      <c r="D791" s="7" t="s">
        <v>45</v>
      </c>
      <c r="E791" s="5" t="s">
        <v>26</v>
      </c>
      <c r="F791" s="8"/>
      <c r="G791" s="9">
        <f>H791*(1-15%)*(1-F791)</f>
        <v>123.16500000000001</v>
      </c>
      <c r="H791" s="9">
        <v>144.90000000000001</v>
      </c>
      <c r="I791" s="9">
        <f>H791-G791</f>
        <v>21.734999999999999</v>
      </c>
    </row>
    <row r="792" ht="14.25">
      <c r="A792" s="5">
        <v>80849</v>
      </c>
      <c r="B792" s="6" t="s">
        <v>841</v>
      </c>
      <c r="C792" s="7" t="s">
        <v>70</v>
      </c>
      <c r="D792" s="7" t="s">
        <v>45</v>
      </c>
      <c r="E792" s="5" t="s">
        <v>26</v>
      </c>
      <c r="F792" s="8"/>
      <c r="G792" s="9">
        <f>H792*(1-15%)*(1-F792)</f>
        <v>84.915000000000006</v>
      </c>
      <c r="H792" s="9">
        <v>99.900000000000006</v>
      </c>
      <c r="I792" s="9">
        <f>H792-G792</f>
        <v>14.984999999999999</v>
      </c>
    </row>
    <row r="793" ht="14.25">
      <c r="A793" s="5">
        <v>83068</v>
      </c>
      <c r="B793" s="6" t="s">
        <v>842</v>
      </c>
      <c r="C793" s="7" t="s">
        <v>70</v>
      </c>
      <c r="D793" s="7" t="s">
        <v>11</v>
      </c>
      <c r="E793" s="5" t="s">
        <v>43</v>
      </c>
      <c r="F793" s="8"/>
      <c r="G793" s="9">
        <f>H793*(1-15%)*(1-F793)</f>
        <v>157.16499999999999</v>
      </c>
      <c r="H793" s="9">
        <v>184.90000000000001</v>
      </c>
      <c r="I793" s="9">
        <f>H793-G793</f>
        <v>27.735000000000014</v>
      </c>
    </row>
    <row r="794" ht="14.25">
      <c r="A794" s="5">
        <v>47869</v>
      </c>
      <c r="B794" s="6" t="s">
        <v>843</v>
      </c>
      <c r="C794" s="7" t="s">
        <v>94</v>
      </c>
      <c r="D794" s="7" t="s">
        <v>95</v>
      </c>
      <c r="E794" s="5" t="s">
        <v>26</v>
      </c>
      <c r="F794" s="8"/>
      <c r="G794" s="9">
        <f>H794*(1-15%)*(1-F794)</f>
        <v>46.664999999999999</v>
      </c>
      <c r="H794" s="9">
        <v>54.899999999999999</v>
      </c>
      <c r="I794" s="9">
        <f>H794-G794</f>
        <v>8.2349999999999994</v>
      </c>
    </row>
    <row r="795" ht="14.25">
      <c r="A795" s="5">
        <v>48151</v>
      </c>
      <c r="B795" s="6" t="s">
        <v>844</v>
      </c>
      <c r="C795" s="7" t="s">
        <v>94</v>
      </c>
      <c r="D795" s="7" t="s">
        <v>95</v>
      </c>
      <c r="E795" s="5" t="s">
        <v>26</v>
      </c>
      <c r="F795" s="8"/>
      <c r="G795" s="9">
        <f>H795*(1-15%)*(1-F795)</f>
        <v>25.414999999999999</v>
      </c>
      <c r="H795" s="9">
        <v>29.899999999999999</v>
      </c>
      <c r="I795" s="9">
        <f>H795-G795</f>
        <v>4.4849999999999994</v>
      </c>
    </row>
    <row r="796" ht="14.25">
      <c r="A796" s="5">
        <v>49402</v>
      </c>
      <c r="B796" s="6" t="s">
        <v>845</v>
      </c>
      <c r="C796" s="7" t="s">
        <v>94</v>
      </c>
      <c r="D796" s="7" t="s">
        <v>95</v>
      </c>
      <c r="E796" s="5" t="s">
        <v>43</v>
      </c>
      <c r="F796" s="8"/>
      <c r="G796" s="9">
        <f>H796*(1-15%)*(1-F796)</f>
        <v>59.415000000000006</v>
      </c>
      <c r="H796" s="9">
        <v>69.900000000000006</v>
      </c>
      <c r="I796" s="9">
        <f>H796-G796</f>
        <v>10.484999999999999</v>
      </c>
    </row>
    <row r="797" ht="14.25">
      <c r="A797" s="5">
        <v>82827</v>
      </c>
      <c r="B797" s="6" t="s">
        <v>846</v>
      </c>
      <c r="C797" s="7" t="s">
        <v>94</v>
      </c>
      <c r="D797" s="7" t="s">
        <v>95</v>
      </c>
      <c r="E797" s="5" t="s">
        <v>15</v>
      </c>
      <c r="F797" s="8"/>
      <c r="G797" s="9">
        <f>H797*(1-15%)*(1-F797)</f>
        <v>40.714999999999996</v>
      </c>
      <c r="H797" s="9">
        <v>47.899999999999999</v>
      </c>
      <c r="I797" s="9">
        <f>H797-G797</f>
        <v>7.1850000000000023</v>
      </c>
    </row>
    <row r="798" ht="14.25">
      <c r="A798" s="5">
        <v>82839</v>
      </c>
      <c r="B798" s="6" t="s">
        <v>847</v>
      </c>
      <c r="C798" s="7" t="s">
        <v>94</v>
      </c>
      <c r="D798" s="7" t="s">
        <v>95</v>
      </c>
      <c r="E798" s="5" t="s">
        <v>68</v>
      </c>
      <c r="F798" s="8"/>
      <c r="G798" s="9">
        <f>H798*(1-15%)*(1-F798)</f>
        <v>42.414999999999999</v>
      </c>
      <c r="H798" s="9">
        <v>49.899999999999999</v>
      </c>
      <c r="I798" s="9">
        <f>H798-G798</f>
        <v>7.4849999999999994</v>
      </c>
    </row>
    <row r="799" ht="14.25">
      <c r="A799" s="5">
        <v>4510</v>
      </c>
      <c r="B799" s="6" t="s">
        <v>848</v>
      </c>
      <c r="C799" s="7" t="s">
        <v>426</v>
      </c>
      <c r="D799" s="7" t="s">
        <v>219</v>
      </c>
      <c r="E799" s="5" t="s">
        <v>133</v>
      </c>
      <c r="F799" s="8"/>
      <c r="G799" s="9">
        <f>H799*(1-15%)*(1-F799)</f>
        <v>110.41500000000001</v>
      </c>
      <c r="H799" s="9">
        <v>129.90000000000001</v>
      </c>
      <c r="I799" s="9">
        <f>H799-G799</f>
        <v>19.484999999999999</v>
      </c>
    </row>
    <row r="800" ht="14.25">
      <c r="A800" s="5">
        <v>4520</v>
      </c>
      <c r="B800" s="6" t="s">
        <v>849</v>
      </c>
      <c r="C800" s="7" t="s">
        <v>426</v>
      </c>
      <c r="D800" s="7" t="s">
        <v>219</v>
      </c>
      <c r="E800" s="5" t="s">
        <v>39</v>
      </c>
      <c r="F800" s="8"/>
      <c r="G800" s="9">
        <f>H800*(1-15%)*(1-F800)</f>
        <v>148.66499999999999</v>
      </c>
      <c r="H800" s="9">
        <v>174.90000000000001</v>
      </c>
      <c r="I800" s="9">
        <f>H800-G800</f>
        <v>26.235000000000014</v>
      </c>
    </row>
    <row r="801" ht="14.25">
      <c r="A801" s="5">
        <v>4522</v>
      </c>
      <c r="B801" s="6" t="s">
        <v>850</v>
      </c>
      <c r="C801" s="7" t="s">
        <v>426</v>
      </c>
      <c r="D801" s="7" t="s">
        <v>219</v>
      </c>
      <c r="E801" s="5" t="s">
        <v>39</v>
      </c>
      <c r="F801" s="8"/>
      <c r="G801" s="9">
        <f>H801*(1-15%)*(1-F801)</f>
        <v>110.41500000000001</v>
      </c>
      <c r="H801" s="9">
        <v>129.90000000000001</v>
      </c>
      <c r="I801" s="9">
        <f>H801-G801</f>
        <v>19.484999999999999</v>
      </c>
    </row>
    <row r="802" ht="14.25">
      <c r="A802" s="5">
        <v>4539</v>
      </c>
      <c r="B802" s="6" t="s">
        <v>851</v>
      </c>
      <c r="C802" s="7" t="s">
        <v>426</v>
      </c>
      <c r="D802" s="7" t="s">
        <v>219</v>
      </c>
      <c r="E802" s="5" t="s">
        <v>68</v>
      </c>
      <c r="F802" s="8"/>
      <c r="G802" s="9">
        <f>H802*(1-15%)*(1-F802)</f>
        <v>148.66499999999999</v>
      </c>
      <c r="H802" s="9">
        <v>174.90000000000001</v>
      </c>
      <c r="I802" s="9">
        <f>H802-G802</f>
        <v>26.235000000000014</v>
      </c>
    </row>
    <row r="803" ht="14.25">
      <c r="A803" s="5">
        <v>5009</v>
      </c>
      <c r="B803" s="6" t="s">
        <v>852</v>
      </c>
      <c r="C803" s="7" t="s">
        <v>853</v>
      </c>
      <c r="D803" s="7" t="s">
        <v>52</v>
      </c>
      <c r="E803" s="5" t="s">
        <v>68</v>
      </c>
      <c r="F803" s="8"/>
      <c r="G803" s="9">
        <f>H803*(1-15%)*(1-F803)</f>
        <v>127.41500000000001</v>
      </c>
      <c r="H803" s="9">
        <v>149.90000000000001</v>
      </c>
      <c r="I803" s="9">
        <f>H803-G803</f>
        <v>22.484999999999999</v>
      </c>
    </row>
    <row r="804" ht="14.25">
      <c r="A804" s="5">
        <v>5125</v>
      </c>
      <c r="B804" s="6" t="s">
        <v>854</v>
      </c>
      <c r="C804" s="7" t="s">
        <v>853</v>
      </c>
      <c r="D804" s="7" t="s">
        <v>52</v>
      </c>
      <c r="E804" s="5" t="s">
        <v>68</v>
      </c>
      <c r="F804" s="8"/>
      <c r="G804" s="9">
        <f>H804*(1-15%)*(1-F804)</f>
        <v>50.914999999999999</v>
      </c>
      <c r="H804" s="9">
        <v>59.899999999999999</v>
      </c>
      <c r="I804" s="9">
        <f>H804-G804</f>
        <v>8.9849999999999994</v>
      </c>
    </row>
    <row r="805" ht="14.25">
      <c r="A805" s="5">
        <v>40220</v>
      </c>
      <c r="B805" s="6" t="s">
        <v>855</v>
      </c>
      <c r="C805" s="7" t="s">
        <v>82</v>
      </c>
      <c r="D805" s="7" t="s">
        <v>61</v>
      </c>
      <c r="E805" s="5" t="s">
        <v>68</v>
      </c>
      <c r="F805" s="8"/>
      <c r="G805" s="9">
        <f>H805*(1-15%)*(1-F805)</f>
        <v>95.965000000000003</v>
      </c>
      <c r="H805" s="9">
        <v>112.90000000000001</v>
      </c>
      <c r="I805" s="9">
        <f>H805-G805</f>
        <v>16.935000000000002</v>
      </c>
    </row>
    <row r="806" ht="14.25">
      <c r="A806" s="5">
        <v>40268</v>
      </c>
      <c r="B806" s="6" t="s">
        <v>856</v>
      </c>
      <c r="C806" s="7" t="s">
        <v>75</v>
      </c>
      <c r="D806" s="7" t="s">
        <v>61</v>
      </c>
      <c r="E806" s="5" t="s">
        <v>15</v>
      </c>
      <c r="F806" s="8"/>
      <c r="G806" s="9">
        <f>H806*(1-15%)*(1-F806)</f>
        <v>101.91500000000001</v>
      </c>
      <c r="H806" s="9">
        <v>119.90000000000001</v>
      </c>
      <c r="I806" s="9">
        <f>H806-G806</f>
        <v>17.984999999999999</v>
      </c>
    </row>
    <row r="807" ht="14.25">
      <c r="A807" s="5">
        <v>46931</v>
      </c>
      <c r="B807" s="6" t="s">
        <v>857</v>
      </c>
      <c r="C807" s="7" t="s">
        <v>38</v>
      </c>
      <c r="D807" s="7" t="s">
        <v>61</v>
      </c>
      <c r="E807" s="5" t="s">
        <v>26</v>
      </c>
      <c r="F807" s="8"/>
      <c r="G807" s="9">
        <f>H807*(1-15%)*(1-F807)</f>
        <v>178.41499999999999</v>
      </c>
      <c r="H807" s="9">
        <v>209.90000000000001</v>
      </c>
      <c r="I807" s="9">
        <f>H807-G807</f>
        <v>31.485000000000014</v>
      </c>
    </row>
    <row r="808" ht="14.25">
      <c r="A808" s="5">
        <v>47411</v>
      </c>
      <c r="B808" s="6" t="s">
        <v>858</v>
      </c>
      <c r="C808" s="7" t="s">
        <v>705</v>
      </c>
      <c r="D808" s="7" t="s">
        <v>183</v>
      </c>
      <c r="E808" s="5" t="s">
        <v>68</v>
      </c>
      <c r="F808" s="8"/>
      <c r="G808" s="9">
        <f>H808*(1-15%)*(1-F808)</f>
        <v>53.464999999999996</v>
      </c>
      <c r="H808" s="9">
        <v>62.899999999999999</v>
      </c>
      <c r="I808" s="9">
        <f>H808-G808</f>
        <v>9.4350000000000023</v>
      </c>
    </row>
    <row r="809" ht="14.25">
      <c r="A809" s="5">
        <v>47851</v>
      </c>
      <c r="B809" s="6" t="s">
        <v>859</v>
      </c>
      <c r="C809" s="7" t="s">
        <v>705</v>
      </c>
      <c r="D809" s="7" t="s">
        <v>11</v>
      </c>
      <c r="E809" s="5" t="s">
        <v>68</v>
      </c>
      <c r="F809" s="8"/>
      <c r="G809" s="9">
        <f>H809*(1-15%)*(1-F809)</f>
        <v>152.91499999999999</v>
      </c>
      <c r="H809" s="9">
        <v>179.90000000000001</v>
      </c>
      <c r="I809" s="9">
        <f>H809-G809</f>
        <v>26.985000000000014</v>
      </c>
    </row>
    <row r="810" ht="14.25">
      <c r="A810" s="5">
        <v>47852</v>
      </c>
      <c r="B810" s="6" t="s">
        <v>860</v>
      </c>
      <c r="C810" s="7" t="s">
        <v>705</v>
      </c>
      <c r="D810" s="7" t="s">
        <v>71</v>
      </c>
      <c r="E810" s="5" t="s">
        <v>15</v>
      </c>
      <c r="F810" s="8"/>
      <c r="G810" s="9">
        <f>H810*(1-15%)*(1-F810)</f>
        <v>42.414999999999999</v>
      </c>
      <c r="H810" s="9">
        <v>49.899999999999999</v>
      </c>
      <c r="I810" s="9">
        <f>H810-G810</f>
        <v>7.4849999999999994</v>
      </c>
    </row>
    <row r="811" ht="14.25">
      <c r="A811" s="5">
        <v>47853</v>
      </c>
      <c r="B811" s="6" t="s">
        <v>861</v>
      </c>
      <c r="C811" s="7" t="s">
        <v>705</v>
      </c>
      <c r="D811" s="7" t="s">
        <v>71</v>
      </c>
      <c r="E811" s="5" t="s">
        <v>15</v>
      </c>
      <c r="F811" s="8"/>
      <c r="G811" s="9">
        <f>H811*(1-15%)*(1-F811)</f>
        <v>32.214999999999996</v>
      </c>
      <c r="H811" s="9">
        <v>37.899999999999999</v>
      </c>
      <c r="I811" s="9">
        <f>H811-G811</f>
        <v>5.6850000000000023</v>
      </c>
    </row>
    <row r="812" ht="14.25">
      <c r="A812" s="5">
        <v>47881</v>
      </c>
      <c r="B812" s="6" t="s">
        <v>862</v>
      </c>
      <c r="C812" s="7" t="s">
        <v>705</v>
      </c>
      <c r="D812" s="7" t="s">
        <v>11</v>
      </c>
      <c r="E812" s="5" t="s">
        <v>68</v>
      </c>
      <c r="F812" s="8"/>
      <c r="G812" s="9">
        <f>H812*(1-15%)*(1-F812)</f>
        <v>110.41500000000001</v>
      </c>
      <c r="H812" s="9">
        <v>129.90000000000001</v>
      </c>
      <c r="I812" s="9">
        <f>H812-G812</f>
        <v>19.484999999999999</v>
      </c>
    </row>
    <row r="813" ht="14.25">
      <c r="A813" s="5">
        <v>50931</v>
      </c>
      <c r="B813" s="6" t="s">
        <v>863</v>
      </c>
      <c r="C813" s="7" t="s">
        <v>75</v>
      </c>
      <c r="D813" s="7" t="s">
        <v>61</v>
      </c>
      <c r="E813" s="5" t="s">
        <v>68</v>
      </c>
      <c r="F813" s="8"/>
      <c r="G813" s="9">
        <f>H813*(1-15%)*(1-F813)</f>
        <v>83.215000000000003</v>
      </c>
      <c r="H813" s="9">
        <v>97.900000000000006</v>
      </c>
      <c r="I813" s="9">
        <f>H813-G813</f>
        <v>14.685000000000002</v>
      </c>
    </row>
    <row r="814" ht="14.25">
      <c r="A814" s="5">
        <v>50932</v>
      </c>
      <c r="B814" s="6" t="s">
        <v>864</v>
      </c>
      <c r="C814" s="7" t="s">
        <v>82</v>
      </c>
      <c r="D814" s="7" t="s">
        <v>61</v>
      </c>
      <c r="E814" s="5" t="s">
        <v>39</v>
      </c>
      <c r="F814" s="8"/>
      <c r="G814" s="9">
        <f>H814*(1-15%)*(1-F814)</f>
        <v>50.914999999999999</v>
      </c>
      <c r="H814" s="9">
        <v>59.899999999999999</v>
      </c>
      <c r="I814" s="9">
        <f>H814-G814</f>
        <v>8.9849999999999994</v>
      </c>
    </row>
    <row r="815" ht="14.25">
      <c r="A815" s="5">
        <v>81054</v>
      </c>
      <c r="B815" s="6" t="s">
        <v>865</v>
      </c>
      <c r="C815" s="7" t="s">
        <v>705</v>
      </c>
      <c r="D815" s="7" t="s">
        <v>11</v>
      </c>
      <c r="E815" s="5" t="s">
        <v>39</v>
      </c>
      <c r="F815" s="8"/>
      <c r="G815" s="9">
        <f>H815*(1-15%)*(1-F815)</f>
        <v>110.41500000000001</v>
      </c>
      <c r="H815" s="9">
        <v>129.90000000000001</v>
      </c>
      <c r="I815" s="9">
        <f>H815-G815</f>
        <v>19.484999999999999</v>
      </c>
    </row>
    <row r="816" ht="14.25">
      <c r="A816" s="5">
        <v>83211</v>
      </c>
      <c r="B816" s="6" t="s">
        <v>866</v>
      </c>
      <c r="C816" s="7" t="s">
        <v>694</v>
      </c>
      <c r="D816" s="7" t="s">
        <v>11</v>
      </c>
      <c r="E816" s="5" t="s">
        <v>26</v>
      </c>
      <c r="F816" s="8"/>
      <c r="G816" s="9">
        <f>H816*(1-15%)*(1-F816)</f>
        <v>70.465000000000003</v>
      </c>
      <c r="H816" s="9">
        <v>82.900000000000006</v>
      </c>
      <c r="I816" s="9">
        <f>H816-G816</f>
        <v>12.435000000000002</v>
      </c>
    </row>
    <row r="817" ht="14.25">
      <c r="A817" s="5">
        <v>83212</v>
      </c>
      <c r="B817" s="6" t="s">
        <v>867</v>
      </c>
      <c r="C817" s="7" t="s">
        <v>694</v>
      </c>
      <c r="D817" s="7" t="s">
        <v>11</v>
      </c>
      <c r="E817" s="5" t="s">
        <v>26</v>
      </c>
      <c r="F817" s="8"/>
      <c r="G817" s="9">
        <f>H817*(1-15%)*(1-F817)</f>
        <v>70.465000000000003</v>
      </c>
      <c r="H817" s="9">
        <v>82.900000000000006</v>
      </c>
      <c r="I817" s="9">
        <f>H817-G817</f>
        <v>12.435000000000002</v>
      </c>
    </row>
    <row r="818" ht="14.25">
      <c r="A818" s="5">
        <v>1786</v>
      </c>
      <c r="B818" s="6" t="s">
        <v>868</v>
      </c>
      <c r="C818" s="7" t="s">
        <v>109</v>
      </c>
      <c r="D818" s="7" t="s">
        <v>110</v>
      </c>
      <c r="E818" s="5" t="s">
        <v>39</v>
      </c>
      <c r="F818" s="8"/>
      <c r="G818" s="9">
        <f>H818*(1-15%)*(1-F818)</f>
        <v>80.665000000000006</v>
      </c>
      <c r="H818" s="9">
        <v>94.900000000000006</v>
      </c>
      <c r="I818" s="9">
        <f>H818-G818</f>
        <v>14.234999999999999</v>
      </c>
    </row>
    <row r="819" ht="14.25">
      <c r="A819" s="5">
        <v>1787</v>
      </c>
      <c r="B819" s="6" t="s">
        <v>869</v>
      </c>
      <c r="C819" s="7" t="s">
        <v>109</v>
      </c>
      <c r="D819" s="7" t="s">
        <v>110</v>
      </c>
      <c r="E819" s="5" t="s">
        <v>39</v>
      </c>
      <c r="F819" s="8"/>
      <c r="G819" s="9">
        <f>H819*(1-15%)*(1-F819)</f>
        <v>80.665000000000006</v>
      </c>
      <c r="H819" s="9">
        <v>94.900000000000006</v>
      </c>
      <c r="I819" s="9">
        <f>H819-G819</f>
        <v>14.234999999999999</v>
      </c>
    </row>
    <row r="820" ht="14.25">
      <c r="A820" s="5">
        <v>1788</v>
      </c>
      <c r="B820" s="6" t="s">
        <v>870</v>
      </c>
      <c r="C820" s="7" t="s">
        <v>109</v>
      </c>
      <c r="D820" s="7" t="s">
        <v>110</v>
      </c>
      <c r="E820" s="5" t="s">
        <v>39</v>
      </c>
      <c r="F820" s="8"/>
      <c r="G820" s="9">
        <f>H820*(1-15%)*(1-F820)</f>
        <v>80.665000000000006</v>
      </c>
      <c r="H820" s="9">
        <v>94.900000000000006</v>
      </c>
      <c r="I820" s="9">
        <f>H820-G820</f>
        <v>14.234999999999999</v>
      </c>
    </row>
    <row r="821" ht="14.25">
      <c r="A821" s="5">
        <v>1789</v>
      </c>
      <c r="B821" s="6" t="s">
        <v>871</v>
      </c>
      <c r="C821" s="7" t="s">
        <v>109</v>
      </c>
      <c r="D821" s="7" t="s">
        <v>110</v>
      </c>
      <c r="E821" s="5" t="s">
        <v>39</v>
      </c>
      <c r="F821" s="8"/>
      <c r="G821" s="9">
        <f>H821*(1-15%)*(1-F821)</f>
        <v>80.665000000000006</v>
      </c>
      <c r="H821" s="9">
        <v>94.900000000000006</v>
      </c>
      <c r="I821" s="9">
        <f>H821-G821</f>
        <v>14.234999999999999</v>
      </c>
    </row>
    <row r="822" ht="14.25">
      <c r="A822" s="5">
        <v>1790</v>
      </c>
      <c r="B822" s="6" t="s">
        <v>872</v>
      </c>
      <c r="C822" s="7" t="s">
        <v>109</v>
      </c>
      <c r="D822" s="7" t="s">
        <v>110</v>
      </c>
      <c r="E822" s="5" t="s">
        <v>39</v>
      </c>
      <c r="F822" s="8"/>
      <c r="G822" s="9">
        <f>H822*(1-15%)*(1-F822)</f>
        <v>80.665000000000006</v>
      </c>
      <c r="H822" s="9">
        <v>94.900000000000006</v>
      </c>
      <c r="I822" s="9">
        <f>H822-G822</f>
        <v>14.234999999999999</v>
      </c>
    </row>
    <row r="823" ht="14.25">
      <c r="A823" s="5">
        <v>1806</v>
      </c>
      <c r="B823" s="6" t="s">
        <v>873</v>
      </c>
      <c r="C823" s="7" t="s">
        <v>109</v>
      </c>
      <c r="D823" s="7" t="s">
        <v>110</v>
      </c>
      <c r="E823" s="5" t="s">
        <v>39</v>
      </c>
      <c r="F823" s="8"/>
      <c r="G823" s="9">
        <f>H823*(1-15%)*(1-F823)</f>
        <v>80.665000000000006</v>
      </c>
      <c r="H823" s="9">
        <v>94.900000000000006</v>
      </c>
      <c r="I823" s="9">
        <f>H823-G823</f>
        <v>14.234999999999999</v>
      </c>
    </row>
    <row r="824" ht="14.25">
      <c r="A824" s="5">
        <v>1808</v>
      </c>
      <c r="B824" s="6" t="s">
        <v>874</v>
      </c>
      <c r="C824" s="7" t="s">
        <v>109</v>
      </c>
      <c r="D824" s="7" t="s">
        <v>110</v>
      </c>
      <c r="E824" s="5" t="s">
        <v>39</v>
      </c>
      <c r="F824" s="8"/>
      <c r="G824" s="9">
        <f>H824*(1-15%)*(1-F824)</f>
        <v>80.665000000000006</v>
      </c>
      <c r="H824" s="9">
        <v>94.900000000000006</v>
      </c>
      <c r="I824" s="9">
        <f>H824-G824</f>
        <v>14.234999999999999</v>
      </c>
    </row>
    <row r="825" ht="14.25">
      <c r="A825" s="5">
        <v>1861</v>
      </c>
      <c r="B825" s="6" t="s">
        <v>875</v>
      </c>
      <c r="C825" s="7" t="s">
        <v>109</v>
      </c>
      <c r="D825" s="7" t="s">
        <v>110</v>
      </c>
      <c r="E825" s="5" t="s">
        <v>39</v>
      </c>
      <c r="F825" s="8"/>
      <c r="G825" s="9">
        <f>H825*(1-15%)*(1-F825)</f>
        <v>80.665000000000006</v>
      </c>
      <c r="H825" s="9">
        <v>94.900000000000006</v>
      </c>
      <c r="I825" s="9">
        <f>H825-G825</f>
        <v>14.234999999999999</v>
      </c>
    </row>
    <row r="826" ht="14.25">
      <c r="A826" s="5">
        <v>1862</v>
      </c>
      <c r="B826" s="6" t="s">
        <v>876</v>
      </c>
      <c r="C826" s="7" t="s">
        <v>109</v>
      </c>
      <c r="D826" s="7" t="s">
        <v>110</v>
      </c>
      <c r="E826" s="5" t="s">
        <v>39</v>
      </c>
      <c r="F826" s="8"/>
      <c r="G826" s="9">
        <f>H826*(1-15%)*(1-F826)</f>
        <v>80.665000000000006</v>
      </c>
      <c r="H826" s="9">
        <v>94.900000000000006</v>
      </c>
      <c r="I826" s="9">
        <f>H826-G826</f>
        <v>14.234999999999999</v>
      </c>
    </row>
    <row r="827" ht="14.25">
      <c r="A827" s="5">
        <v>1863</v>
      </c>
      <c r="B827" s="6" t="s">
        <v>877</v>
      </c>
      <c r="C827" s="7" t="s">
        <v>109</v>
      </c>
      <c r="D827" s="7" t="s">
        <v>110</v>
      </c>
      <c r="E827" s="5" t="s">
        <v>39</v>
      </c>
      <c r="F827" s="8"/>
      <c r="G827" s="9">
        <f>H827*(1-15%)*(1-F827)</f>
        <v>80.665000000000006</v>
      </c>
      <c r="H827" s="9">
        <v>94.900000000000006</v>
      </c>
      <c r="I827" s="9">
        <f>H827-G827</f>
        <v>14.234999999999999</v>
      </c>
    </row>
    <row r="828" ht="14.25">
      <c r="A828" s="5">
        <v>46373</v>
      </c>
      <c r="B828" s="6" t="s">
        <v>878</v>
      </c>
      <c r="C828" s="7" t="s">
        <v>109</v>
      </c>
      <c r="D828" s="7" t="s">
        <v>183</v>
      </c>
      <c r="E828" s="5" t="s">
        <v>15</v>
      </c>
      <c r="F828" s="8"/>
      <c r="G828" s="9">
        <f>H828*(1-15%)*(1-F828)</f>
        <v>178.41499999999999</v>
      </c>
      <c r="H828" s="9">
        <v>209.90000000000001</v>
      </c>
      <c r="I828" s="9">
        <f>H828-G828</f>
        <v>31.485000000000014</v>
      </c>
    </row>
    <row r="829" ht="14.25">
      <c r="A829" s="5">
        <v>49387</v>
      </c>
      <c r="B829" s="6" t="s">
        <v>879</v>
      </c>
      <c r="C829" s="7" t="s">
        <v>10</v>
      </c>
      <c r="D829" s="7" t="s">
        <v>95</v>
      </c>
      <c r="E829" s="5" t="s">
        <v>26</v>
      </c>
      <c r="F829" s="8"/>
      <c r="G829" s="9">
        <f>H829*(1-15%)*(1-F829)</f>
        <v>47.515000000000001</v>
      </c>
      <c r="H829" s="9">
        <v>55.899999999999999</v>
      </c>
      <c r="I829" s="9">
        <f>H829-G829</f>
        <v>8.384999999999998</v>
      </c>
    </row>
    <row r="830" ht="14.25">
      <c r="A830" s="5">
        <v>49389</v>
      </c>
      <c r="B830" s="6" t="s">
        <v>880</v>
      </c>
      <c r="C830" s="7" t="s">
        <v>10</v>
      </c>
      <c r="D830" s="7" t="s">
        <v>95</v>
      </c>
      <c r="E830" s="5" t="s">
        <v>26</v>
      </c>
      <c r="F830" s="8"/>
      <c r="G830" s="9">
        <f>H830*(1-15%)*(1-F830)</f>
        <v>57.715000000000003</v>
      </c>
      <c r="H830" s="9">
        <v>67.900000000000006</v>
      </c>
      <c r="I830" s="9">
        <f>H830-G830</f>
        <v>10.185000000000002</v>
      </c>
    </row>
    <row r="831" ht="14.25">
      <c r="A831" s="5">
        <v>49390</v>
      </c>
      <c r="B831" s="6" t="s">
        <v>881</v>
      </c>
      <c r="C831" s="7" t="s">
        <v>10</v>
      </c>
      <c r="D831" s="7" t="s">
        <v>95</v>
      </c>
      <c r="E831" s="5" t="s">
        <v>26</v>
      </c>
      <c r="F831" s="8"/>
      <c r="G831" s="9">
        <f>H831*(1-15%)*(1-F831)</f>
        <v>49.214999999999996</v>
      </c>
      <c r="H831" s="9">
        <v>57.899999999999999</v>
      </c>
      <c r="I831" s="9">
        <f>H831-G831</f>
        <v>8.6850000000000023</v>
      </c>
    </row>
    <row r="832" ht="14.25">
      <c r="A832" s="5">
        <v>49398</v>
      </c>
      <c r="B832" s="6" t="s">
        <v>882</v>
      </c>
      <c r="C832" s="7" t="s">
        <v>84</v>
      </c>
      <c r="D832" s="7" t="s">
        <v>52</v>
      </c>
      <c r="E832" s="5" t="s">
        <v>15</v>
      </c>
      <c r="F832" s="8"/>
      <c r="G832" s="9">
        <f>H832*(1-15%)*(1-F832)</f>
        <v>84.915000000000006</v>
      </c>
      <c r="H832" s="9">
        <v>99.900000000000006</v>
      </c>
      <c r="I832" s="9">
        <f>H832-G832</f>
        <v>14.984999999999999</v>
      </c>
    </row>
    <row r="833" ht="14.25">
      <c r="A833" s="5">
        <v>49917</v>
      </c>
      <c r="B833" s="6" t="s">
        <v>883</v>
      </c>
      <c r="C833" s="7" t="s">
        <v>79</v>
      </c>
      <c r="D833" s="7" t="s">
        <v>183</v>
      </c>
      <c r="E833" s="5" t="s">
        <v>15</v>
      </c>
      <c r="F833" s="8"/>
      <c r="G833" s="9">
        <f>H833*(1-15%)*(1-F833)</f>
        <v>38.164999999999999</v>
      </c>
      <c r="H833" s="9">
        <v>44.899999999999999</v>
      </c>
      <c r="I833" s="9">
        <f>H833-G833</f>
        <v>6.7349999999999994</v>
      </c>
    </row>
    <row r="834" ht="14.25">
      <c r="A834" s="5">
        <v>49992</v>
      </c>
      <c r="B834" s="6" t="s">
        <v>884</v>
      </c>
      <c r="C834" s="7" t="s">
        <v>82</v>
      </c>
      <c r="D834" s="7" t="s">
        <v>95</v>
      </c>
      <c r="E834" s="5" t="s">
        <v>26</v>
      </c>
      <c r="F834" s="8"/>
      <c r="G834" s="9">
        <f>H834*(1-15%)*(1-F834)</f>
        <v>46.664999999999999</v>
      </c>
      <c r="H834" s="9">
        <v>54.899999999999999</v>
      </c>
      <c r="I834" s="9">
        <f>H834-G834</f>
        <v>8.2349999999999994</v>
      </c>
    </row>
    <row r="835" ht="14.25">
      <c r="A835" s="5">
        <v>50021</v>
      </c>
      <c r="B835" s="6" t="s">
        <v>885</v>
      </c>
      <c r="C835" s="7" t="s">
        <v>36</v>
      </c>
      <c r="D835" s="7" t="s">
        <v>71</v>
      </c>
      <c r="E835" s="5" t="s">
        <v>15</v>
      </c>
      <c r="F835" s="8"/>
      <c r="G835" s="9">
        <f>H835*(1-15%)*(1-F835)</f>
        <v>39.015000000000001</v>
      </c>
      <c r="H835" s="9">
        <v>45.899999999999999</v>
      </c>
      <c r="I835" s="9">
        <f>H835-G835</f>
        <v>6.884999999999998</v>
      </c>
    </row>
    <row r="836" ht="14.25">
      <c r="A836" s="5">
        <v>50026</v>
      </c>
      <c r="B836" s="6" t="s">
        <v>886</v>
      </c>
      <c r="C836" s="7" t="s">
        <v>17</v>
      </c>
      <c r="D836" s="7" t="s">
        <v>71</v>
      </c>
      <c r="E836" s="5" t="s">
        <v>15</v>
      </c>
      <c r="F836" s="8"/>
      <c r="G836" s="9">
        <f>H836*(1-15%)*(1-F836)</f>
        <v>39.015000000000001</v>
      </c>
      <c r="H836" s="9">
        <v>45.899999999999999</v>
      </c>
      <c r="I836" s="9">
        <f>H836-G836</f>
        <v>6.884999999999998</v>
      </c>
    </row>
    <row r="837" ht="14.25">
      <c r="A837" s="5">
        <v>51595</v>
      </c>
      <c r="B837" s="6" t="s">
        <v>887</v>
      </c>
      <c r="C837" s="7" t="s">
        <v>109</v>
      </c>
      <c r="D837" s="7" t="s">
        <v>183</v>
      </c>
      <c r="E837" s="5" t="s">
        <v>39</v>
      </c>
      <c r="F837" s="8"/>
      <c r="G837" s="9">
        <f>H837*(1-15%)*(1-F837)</f>
        <v>76.415000000000006</v>
      </c>
      <c r="H837" s="9">
        <v>89.900000000000006</v>
      </c>
      <c r="I837" s="9">
        <f>H837-G837</f>
        <v>13.484999999999999</v>
      </c>
    </row>
    <row r="838" ht="14.25">
      <c r="A838" s="5">
        <v>82540</v>
      </c>
      <c r="B838" s="6" t="s">
        <v>888</v>
      </c>
      <c r="C838" s="7" t="s">
        <v>109</v>
      </c>
      <c r="D838" s="7" t="s">
        <v>110</v>
      </c>
      <c r="E838" s="5" t="s">
        <v>39</v>
      </c>
      <c r="F838" s="8"/>
      <c r="G838" s="9">
        <f>H838*(1-15%)*(1-F838)</f>
        <v>80.665000000000006</v>
      </c>
      <c r="H838" s="9">
        <v>94.900000000000006</v>
      </c>
      <c r="I838" s="9">
        <f>H838-G838</f>
        <v>14.234999999999999</v>
      </c>
    </row>
    <row r="839" ht="14.25">
      <c r="A839" s="5">
        <v>82541</v>
      </c>
      <c r="B839" s="6" t="s">
        <v>889</v>
      </c>
      <c r="C839" s="7" t="s">
        <v>109</v>
      </c>
      <c r="D839" s="7" t="s">
        <v>110</v>
      </c>
      <c r="E839" s="5" t="s">
        <v>39</v>
      </c>
      <c r="F839" s="8"/>
      <c r="G839" s="9">
        <f>H839*(1-15%)*(1-F839)</f>
        <v>80.665000000000006</v>
      </c>
      <c r="H839" s="9">
        <v>94.900000000000006</v>
      </c>
      <c r="I839" s="9">
        <f>H839-G839</f>
        <v>14.234999999999999</v>
      </c>
    </row>
    <row r="840" ht="14.25">
      <c r="A840" s="5">
        <v>82542</v>
      </c>
      <c r="B840" s="6" t="s">
        <v>890</v>
      </c>
      <c r="C840" s="7" t="s">
        <v>109</v>
      </c>
      <c r="D840" s="7" t="s">
        <v>110</v>
      </c>
      <c r="E840" s="5" t="s">
        <v>39</v>
      </c>
      <c r="F840" s="8"/>
      <c r="G840" s="9">
        <f>H840*(1-15%)*(1-F840)</f>
        <v>80.665000000000006</v>
      </c>
      <c r="H840" s="9">
        <v>94.900000000000006</v>
      </c>
      <c r="I840" s="9">
        <f>H840-G840</f>
        <v>14.234999999999999</v>
      </c>
    </row>
    <row r="841" ht="14.25">
      <c r="A841" s="5">
        <v>82543</v>
      </c>
      <c r="B841" s="6" t="s">
        <v>891</v>
      </c>
      <c r="C841" s="7" t="s">
        <v>109</v>
      </c>
      <c r="D841" s="7" t="s">
        <v>110</v>
      </c>
      <c r="E841" s="5" t="s">
        <v>39</v>
      </c>
      <c r="F841" s="8"/>
      <c r="G841" s="9">
        <f>H841*(1-15%)*(1-F841)</f>
        <v>80.665000000000006</v>
      </c>
      <c r="H841" s="9">
        <v>94.900000000000006</v>
      </c>
      <c r="I841" s="9">
        <f>H841-G841</f>
        <v>14.234999999999999</v>
      </c>
    </row>
    <row r="842" ht="14.25">
      <c r="A842" s="5">
        <v>82544</v>
      </c>
      <c r="B842" s="6" t="s">
        <v>892</v>
      </c>
      <c r="C842" s="7" t="s">
        <v>109</v>
      </c>
      <c r="D842" s="7" t="s">
        <v>110</v>
      </c>
      <c r="E842" s="5" t="s">
        <v>39</v>
      </c>
      <c r="F842" s="8"/>
      <c r="G842" s="9">
        <f>H842*(1-15%)*(1-F842)</f>
        <v>80.665000000000006</v>
      </c>
      <c r="H842" s="9">
        <v>94.900000000000006</v>
      </c>
      <c r="I842" s="9">
        <f>H842-G842</f>
        <v>14.234999999999999</v>
      </c>
    </row>
    <row r="843" ht="14.25">
      <c r="A843" s="5">
        <v>82545</v>
      </c>
      <c r="B843" s="6" t="s">
        <v>893</v>
      </c>
      <c r="C843" s="7" t="s">
        <v>109</v>
      </c>
      <c r="D843" s="7" t="s">
        <v>110</v>
      </c>
      <c r="E843" s="5" t="s">
        <v>39</v>
      </c>
      <c r="F843" s="8"/>
      <c r="G843" s="9">
        <f>H843*(1-15%)*(1-F843)</f>
        <v>80.665000000000006</v>
      </c>
      <c r="H843" s="9">
        <v>94.900000000000006</v>
      </c>
      <c r="I843" s="9">
        <f>H843-G843</f>
        <v>14.234999999999999</v>
      </c>
    </row>
    <row r="844" ht="14.25">
      <c r="A844" s="5">
        <v>82546</v>
      </c>
      <c r="B844" s="6" t="s">
        <v>894</v>
      </c>
      <c r="C844" s="7" t="s">
        <v>109</v>
      </c>
      <c r="D844" s="7" t="s">
        <v>110</v>
      </c>
      <c r="E844" s="5" t="s">
        <v>39</v>
      </c>
      <c r="F844" s="8"/>
      <c r="G844" s="9">
        <f>H844*(1-15%)*(1-F844)</f>
        <v>80.665000000000006</v>
      </c>
      <c r="H844" s="9">
        <v>94.900000000000006</v>
      </c>
      <c r="I844" s="9">
        <f>H844-G844</f>
        <v>14.234999999999999</v>
      </c>
    </row>
    <row r="845" ht="14.25">
      <c r="A845" s="5">
        <v>82547</v>
      </c>
      <c r="B845" s="6" t="s">
        <v>895</v>
      </c>
      <c r="C845" s="7" t="s">
        <v>109</v>
      </c>
      <c r="D845" s="7" t="s">
        <v>110</v>
      </c>
      <c r="E845" s="5" t="s">
        <v>39</v>
      </c>
      <c r="F845" s="8"/>
      <c r="G845" s="9">
        <f>H845*(1-15%)*(1-F845)</f>
        <v>80.665000000000006</v>
      </c>
      <c r="H845" s="9">
        <v>94.900000000000006</v>
      </c>
      <c r="I845" s="9">
        <f>H845-G845</f>
        <v>14.234999999999999</v>
      </c>
    </row>
    <row r="846" ht="14.25">
      <c r="A846" s="5">
        <v>82548</v>
      </c>
      <c r="B846" s="6" t="s">
        <v>896</v>
      </c>
      <c r="C846" s="7" t="s">
        <v>109</v>
      </c>
      <c r="D846" s="7" t="s">
        <v>110</v>
      </c>
      <c r="E846" s="5" t="s">
        <v>39</v>
      </c>
      <c r="F846" s="8"/>
      <c r="G846" s="9">
        <f>H846*(1-15%)*(1-F846)</f>
        <v>80.665000000000006</v>
      </c>
      <c r="H846" s="9">
        <v>94.900000000000006</v>
      </c>
      <c r="I846" s="9">
        <f>H846-G846</f>
        <v>14.234999999999999</v>
      </c>
    </row>
    <row r="847" ht="14.25">
      <c r="A847" s="5">
        <v>82549</v>
      </c>
      <c r="B847" s="6" t="s">
        <v>897</v>
      </c>
      <c r="C847" s="7" t="s">
        <v>109</v>
      </c>
      <c r="D847" s="7" t="s">
        <v>110</v>
      </c>
      <c r="E847" s="5" t="s">
        <v>39</v>
      </c>
      <c r="F847" s="8"/>
      <c r="G847" s="9">
        <f>H847*(1-15%)*(1-F847)</f>
        <v>80.665000000000006</v>
      </c>
      <c r="H847" s="9">
        <v>94.900000000000006</v>
      </c>
      <c r="I847" s="9">
        <f>H847-G847</f>
        <v>14.234999999999999</v>
      </c>
    </row>
    <row r="848" ht="14.25">
      <c r="A848" s="5">
        <v>82550</v>
      </c>
      <c r="B848" s="6" t="s">
        <v>898</v>
      </c>
      <c r="C848" s="7" t="s">
        <v>109</v>
      </c>
      <c r="D848" s="7" t="s">
        <v>110</v>
      </c>
      <c r="E848" s="5" t="s">
        <v>39</v>
      </c>
      <c r="F848" s="8"/>
      <c r="G848" s="9">
        <f>H848*(1-15%)*(1-F848)</f>
        <v>80.665000000000006</v>
      </c>
      <c r="H848" s="9">
        <v>94.900000000000006</v>
      </c>
      <c r="I848" s="9">
        <f>H848-G848</f>
        <v>14.234999999999999</v>
      </c>
    </row>
    <row r="849" ht="14.25">
      <c r="A849" s="5">
        <v>82551</v>
      </c>
      <c r="B849" s="6" t="s">
        <v>899</v>
      </c>
      <c r="C849" s="7" t="s">
        <v>109</v>
      </c>
      <c r="D849" s="7" t="s">
        <v>110</v>
      </c>
      <c r="E849" s="5" t="s">
        <v>39</v>
      </c>
      <c r="F849" s="8"/>
      <c r="G849" s="9">
        <f>H849*(1-15%)*(1-F849)</f>
        <v>80.665000000000006</v>
      </c>
      <c r="H849" s="9">
        <v>94.900000000000006</v>
      </c>
      <c r="I849" s="9">
        <f>H849-G849</f>
        <v>14.234999999999999</v>
      </c>
    </row>
    <row r="850" ht="14.25">
      <c r="A850" s="5">
        <v>82552</v>
      </c>
      <c r="B850" s="6" t="s">
        <v>900</v>
      </c>
      <c r="C850" s="7" t="s">
        <v>109</v>
      </c>
      <c r="D850" s="7" t="s">
        <v>110</v>
      </c>
      <c r="E850" s="5" t="s">
        <v>39</v>
      </c>
      <c r="F850" s="8"/>
      <c r="G850" s="9">
        <f>H850*(1-15%)*(1-F850)</f>
        <v>80.665000000000006</v>
      </c>
      <c r="H850" s="9">
        <v>94.900000000000006</v>
      </c>
      <c r="I850" s="9">
        <f>H850-G850</f>
        <v>14.234999999999999</v>
      </c>
    </row>
    <row r="851" ht="14.25">
      <c r="A851" s="5">
        <v>82553</v>
      </c>
      <c r="B851" s="6" t="s">
        <v>901</v>
      </c>
      <c r="C851" s="7" t="s">
        <v>109</v>
      </c>
      <c r="D851" s="7" t="s">
        <v>110</v>
      </c>
      <c r="E851" s="5" t="s">
        <v>39</v>
      </c>
      <c r="F851" s="8"/>
      <c r="G851" s="9">
        <f>H851*(1-15%)*(1-F851)</f>
        <v>80.665000000000006</v>
      </c>
      <c r="H851" s="9">
        <v>94.900000000000006</v>
      </c>
      <c r="I851" s="9">
        <f>H851-G851</f>
        <v>14.234999999999999</v>
      </c>
    </row>
    <row r="852" ht="14.25">
      <c r="A852" s="5">
        <v>82788</v>
      </c>
      <c r="B852" s="6" t="s">
        <v>902</v>
      </c>
      <c r="C852" s="7" t="s">
        <v>82</v>
      </c>
      <c r="D852" s="7" t="s">
        <v>95</v>
      </c>
      <c r="E852" s="5" t="s">
        <v>26</v>
      </c>
      <c r="F852" s="8"/>
      <c r="G852" s="9">
        <f>H852*(1-15%)*(1-F852)</f>
        <v>29.664999999999999</v>
      </c>
      <c r="H852" s="9">
        <v>34.899999999999999</v>
      </c>
      <c r="I852" s="9">
        <f>H852-G852</f>
        <v>5.2349999999999994</v>
      </c>
    </row>
    <row r="853" ht="14.25">
      <c r="A853" s="5">
        <v>82792</v>
      </c>
      <c r="B853" s="6" t="s">
        <v>903</v>
      </c>
      <c r="C853" s="7" t="s">
        <v>82</v>
      </c>
      <c r="D853" s="7" t="s">
        <v>95</v>
      </c>
      <c r="E853" s="5" t="s">
        <v>26</v>
      </c>
      <c r="F853" s="8"/>
      <c r="G853" s="9">
        <f>H853*(1-15%)*(1-F853)</f>
        <v>29.664999999999999</v>
      </c>
      <c r="H853" s="9">
        <v>34.899999999999999</v>
      </c>
      <c r="I853" s="9">
        <f>H853-G853</f>
        <v>5.2349999999999994</v>
      </c>
    </row>
    <row r="854" ht="14.25">
      <c r="A854" s="5">
        <v>82794</v>
      </c>
      <c r="B854" s="6" t="s">
        <v>904</v>
      </c>
      <c r="C854" s="7" t="s">
        <v>82</v>
      </c>
      <c r="D854" s="7" t="s">
        <v>95</v>
      </c>
      <c r="E854" s="5" t="s">
        <v>26</v>
      </c>
      <c r="F854" s="8"/>
      <c r="G854" s="9">
        <f>H854*(1-15%)*(1-F854)</f>
        <v>31.364999999999998</v>
      </c>
      <c r="H854" s="9">
        <v>36.899999999999999</v>
      </c>
      <c r="I854" s="9">
        <f>H854-G854</f>
        <v>5.5350000000000001</v>
      </c>
    </row>
    <row r="855" ht="14.25">
      <c r="A855" s="5">
        <v>82798</v>
      </c>
      <c r="B855" s="6" t="s">
        <v>905</v>
      </c>
      <c r="C855" s="7" t="s">
        <v>82</v>
      </c>
      <c r="D855" s="7" t="s">
        <v>95</v>
      </c>
      <c r="E855" s="5" t="s">
        <v>26</v>
      </c>
      <c r="F855" s="8"/>
      <c r="G855" s="9">
        <f>H855*(1-15%)*(1-F855)</f>
        <v>31.364999999999998</v>
      </c>
      <c r="H855" s="9">
        <v>36.899999999999999</v>
      </c>
      <c r="I855" s="9">
        <f>H855-G855</f>
        <v>5.5350000000000001</v>
      </c>
    </row>
    <row r="856" ht="14.25">
      <c r="A856" s="5">
        <v>83726</v>
      </c>
      <c r="B856" s="6" t="s">
        <v>906</v>
      </c>
      <c r="C856" s="7" t="s">
        <v>82</v>
      </c>
      <c r="D856" s="7" t="s">
        <v>95</v>
      </c>
      <c r="E856" s="5" t="s">
        <v>26</v>
      </c>
      <c r="F856" s="8"/>
      <c r="G856" s="9">
        <f>H856*(1-15%)*(1-F856)</f>
        <v>46.664999999999999</v>
      </c>
      <c r="H856" s="9">
        <v>54.899999999999999</v>
      </c>
      <c r="I856" s="9">
        <f>H856-G856</f>
        <v>8.2349999999999994</v>
      </c>
    </row>
    <row r="857" ht="14.25">
      <c r="A857" s="5">
        <v>5546</v>
      </c>
      <c r="B857" s="6" t="s">
        <v>907</v>
      </c>
      <c r="C857" s="7" t="s">
        <v>109</v>
      </c>
      <c r="D857" s="7" t="s">
        <v>110</v>
      </c>
      <c r="E857" s="5" t="s">
        <v>39</v>
      </c>
      <c r="F857" s="8"/>
      <c r="G857" s="9">
        <f>H857*(1-15%)*(1-F857)</f>
        <v>74.715000000000003</v>
      </c>
      <c r="H857" s="9">
        <v>87.900000000000006</v>
      </c>
      <c r="I857" s="9">
        <f>H857-G857</f>
        <v>13.185000000000002</v>
      </c>
    </row>
    <row r="858" ht="14.25">
      <c r="A858" s="5">
        <v>51383</v>
      </c>
      <c r="B858" s="6" t="s">
        <v>908</v>
      </c>
      <c r="C858" s="7" t="s">
        <v>109</v>
      </c>
      <c r="D858" s="7" t="s">
        <v>110</v>
      </c>
      <c r="E858" s="5" t="s">
        <v>43</v>
      </c>
      <c r="F858" s="8"/>
      <c r="G858" s="9">
        <f>H858*(1-15%)*(1-F858)</f>
        <v>40.714999999999996</v>
      </c>
      <c r="H858" s="9">
        <v>47.899999999999999</v>
      </c>
      <c r="I858" s="9">
        <f>H858-G858</f>
        <v>7.1850000000000023</v>
      </c>
    </row>
    <row r="859" ht="14.25">
      <c r="A859" s="5">
        <v>51502</v>
      </c>
      <c r="B859" s="6" t="s">
        <v>909</v>
      </c>
      <c r="C859" s="7" t="s">
        <v>109</v>
      </c>
      <c r="D859" s="7" t="s">
        <v>110</v>
      </c>
      <c r="E859" s="5" t="s">
        <v>43</v>
      </c>
      <c r="F859" s="8"/>
      <c r="G859" s="9">
        <f>H859*(1-15%)*(1-F859)</f>
        <v>40.714999999999996</v>
      </c>
      <c r="H859" s="9">
        <v>47.899999999999999</v>
      </c>
      <c r="I859" s="9">
        <f>H859-G859</f>
        <v>7.1850000000000023</v>
      </c>
    </row>
    <row r="860" ht="14.25">
      <c r="A860" s="5">
        <v>81602</v>
      </c>
      <c r="B860" s="6" t="s">
        <v>910</v>
      </c>
      <c r="C860" s="7" t="s">
        <v>109</v>
      </c>
      <c r="D860" s="7" t="s">
        <v>110</v>
      </c>
      <c r="E860" s="5" t="s">
        <v>43</v>
      </c>
      <c r="F860" s="8"/>
      <c r="G860" s="9">
        <f>H860*(1-15%)*(1-F860)</f>
        <v>55.165000000000006</v>
      </c>
      <c r="H860" s="9">
        <v>64.900000000000006</v>
      </c>
      <c r="I860" s="9">
        <f>H860-G860</f>
        <v>9.7349999999999994</v>
      </c>
    </row>
    <row r="861" ht="14.25">
      <c r="A861" s="5">
        <v>81605</v>
      </c>
      <c r="B861" s="6" t="s">
        <v>911</v>
      </c>
      <c r="C861" s="7" t="s">
        <v>109</v>
      </c>
      <c r="D861" s="7" t="s">
        <v>110</v>
      </c>
      <c r="E861" s="5" t="s">
        <v>43</v>
      </c>
      <c r="F861" s="8"/>
      <c r="G861" s="9">
        <f>H861*(1-15%)*(1-F861)</f>
        <v>55.165000000000006</v>
      </c>
      <c r="H861" s="9">
        <v>64.900000000000006</v>
      </c>
      <c r="I861" s="9">
        <f>H861-G861</f>
        <v>9.7349999999999994</v>
      </c>
    </row>
    <row r="862" ht="14.25">
      <c r="A862" s="5">
        <v>81608</v>
      </c>
      <c r="B862" s="6" t="s">
        <v>912</v>
      </c>
      <c r="C862" s="7" t="s">
        <v>109</v>
      </c>
      <c r="D862" s="7" t="s">
        <v>110</v>
      </c>
      <c r="E862" s="5" t="s">
        <v>43</v>
      </c>
      <c r="F862" s="8"/>
      <c r="G862" s="9">
        <f>H862*(1-15%)*(1-F862)</f>
        <v>55.165000000000006</v>
      </c>
      <c r="H862" s="9">
        <v>64.900000000000006</v>
      </c>
      <c r="I862" s="9">
        <f>H862-G862</f>
        <v>9.7349999999999994</v>
      </c>
    </row>
    <row r="863" ht="14.25">
      <c r="A863" s="5">
        <v>81610</v>
      </c>
      <c r="B863" s="6" t="s">
        <v>913</v>
      </c>
      <c r="C863" s="7" t="s">
        <v>109</v>
      </c>
      <c r="D863" s="7" t="s">
        <v>110</v>
      </c>
      <c r="E863" s="5" t="s">
        <v>43</v>
      </c>
      <c r="F863" s="8"/>
      <c r="G863" s="9">
        <f>H863*(1-15%)*(1-F863)</f>
        <v>55.165000000000006</v>
      </c>
      <c r="H863" s="9">
        <v>64.900000000000006</v>
      </c>
      <c r="I863" s="9">
        <f>H863-G863</f>
        <v>9.7349999999999994</v>
      </c>
    </row>
    <row r="864" ht="14.25">
      <c r="A864" s="5">
        <v>81612</v>
      </c>
      <c r="B864" s="6" t="s">
        <v>914</v>
      </c>
      <c r="C864" s="7" t="s">
        <v>109</v>
      </c>
      <c r="D864" s="7" t="s">
        <v>110</v>
      </c>
      <c r="E864" s="5" t="s">
        <v>43</v>
      </c>
      <c r="F864" s="8"/>
      <c r="G864" s="9">
        <f>H864*(1-15%)*(1-F864)</f>
        <v>55.165000000000006</v>
      </c>
      <c r="H864" s="9">
        <v>64.900000000000006</v>
      </c>
      <c r="I864" s="9">
        <f>H864-G864</f>
        <v>9.7349999999999994</v>
      </c>
    </row>
    <row r="865" ht="14.25">
      <c r="A865" s="5">
        <v>81613</v>
      </c>
      <c r="B865" s="6" t="s">
        <v>915</v>
      </c>
      <c r="C865" s="7" t="s">
        <v>109</v>
      </c>
      <c r="D865" s="7" t="s">
        <v>110</v>
      </c>
      <c r="E865" s="5" t="s">
        <v>43</v>
      </c>
      <c r="F865" s="8"/>
      <c r="G865" s="9">
        <f>H865*(1-15%)*(1-F865)</f>
        <v>55.165000000000006</v>
      </c>
      <c r="H865" s="9">
        <v>64.900000000000006</v>
      </c>
      <c r="I865" s="9">
        <f>H865-G865</f>
        <v>9.7349999999999994</v>
      </c>
    </row>
    <row r="866" ht="14.25">
      <c r="A866" s="5">
        <v>81614</v>
      </c>
      <c r="B866" s="6" t="s">
        <v>916</v>
      </c>
      <c r="C866" s="7" t="s">
        <v>109</v>
      </c>
      <c r="D866" s="7" t="s">
        <v>110</v>
      </c>
      <c r="E866" s="5" t="s">
        <v>43</v>
      </c>
      <c r="F866" s="8"/>
      <c r="G866" s="9">
        <f>H866*(1-15%)*(1-F866)</f>
        <v>55.165000000000006</v>
      </c>
      <c r="H866" s="9">
        <v>64.900000000000006</v>
      </c>
      <c r="I866" s="9">
        <f>H866-G866</f>
        <v>9.7349999999999994</v>
      </c>
    </row>
    <row r="867" ht="14.25">
      <c r="A867" s="5">
        <v>81618</v>
      </c>
      <c r="B867" s="6" t="s">
        <v>917</v>
      </c>
      <c r="C867" s="7" t="s">
        <v>109</v>
      </c>
      <c r="D867" s="7" t="s">
        <v>110</v>
      </c>
      <c r="E867" s="5" t="s">
        <v>43</v>
      </c>
      <c r="F867" s="8"/>
      <c r="G867" s="9">
        <f>H867*(1-15%)*(1-F867)</f>
        <v>55.165000000000006</v>
      </c>
      <c r="H867" s="9">
        <v>64.900000000000006</v>
      </c>
      <c r="I867" s="9">
        <f>H867-G867</f>
        <v>9.7349999999999994</v>
      </c>
    </row>
    <row r="868" ht="14.25">
      <c r="A868" s="5">
        <v>81621</v>
      </c>
      <c r="B868" s="6" t="s">
        <v>918</v>
      </c>
      <c r="C868" s="7" t="s">
        <v>109</v>
      </c>
      <c r="D868" s="7" t="s">
        <v>110</v>
      </c>
      <c r="E868" s="5" t="s">
        <v>43</v>
      </c>
      <c r="F868" s="8"/>
      <c r="G868" s="9">
        <f>H868*(1-15%)*(1-F868)</f>
        <v>55.165000000000006</v>
      </c>
      <c r="H868" s="9">
        <v>64.900000000000006</v>
      </c>
      <c r="I868" s="9">
        <f>H868-G868</f>
        <v>9.7349999999999994</v>
      </c>
    </row>
    <row r="869" ht="14.25">
      <c r="A869" s="5">
        <v>81623</v>
      </c>
      <c r="B869" s="6" t="s">
        <v>919</v>
      </c>
      <c r="C869" s="7" t="s">
        <v>109</v>
      </c>
      <c r="D869" s="7" t="s">
        <v>110</v>
      </c>
      <c r="E869" s="5" t="s">
        <v>43</v>
      </c>
      <c r="F869" s="8"/>
      <c r="G869" s="9">
        <f>H869*(1-15%)*(1-F869)</f>
        <v>55.165000000000006</v>
      </c>
      <c r="H869" s="9">
        <v>64.900000000000006</v>
      </c>
      <c r="I869" s="9">
        <f>H869-G869</f>
        <v>9.7349999999999994</v>
      </c>
    </row>
    <row r="870" ht="14.25">
      <c r="A870" s="5">
        <v>81624</v>
      </c>
      <c r="B870" s="6" t="s">
        <v>920</v>
      </c>
      <c r="C870" s="7" t="s">
        <v>109</v>
      </c>
      <c r="D870" s="7" t="s">
        <v>110</v>
      </c>
      <c r="E870" s="5" t="s">
        <v>43</v>
      </c>
      <c r="F870" s="8"/>
      <c r="G870" s="9">
        <f>H870*(1-15%)*(1-F870)</f>
        <v>55.165000000000006</v>
      </c>
      <c r="H870" s="9">
        <v>64.900000000000006</v>
      </c>
      <c r="I870" s="9">
        <f>H870-G870</f>
        <v>9.7349999999999994</v>
      </c>
    </row>
    <row r="871" ht="14.25">
      <c r="A871" s="5">
        <v>81626</v>
      </c>
      <c r="B871" s="6" t="s">
        <v>921</v>
      </c>
      <c r="C871" s="7" t="s">
        <v>109</v>
      </c>
      <c r="D871" s="7" t="s">
        <v>110</v>
      </c>
      <c r="E871" s="5" t="s">
        <v>43</v>
      </c>
      <c r="F871" s="8"/>
      <c r="G871" s="9">
        <f>H871*(1-15%)*(1-F871)</f>
        <v>55.165000000000006</v>
      </c>
      <c r="H871" s="9">
        <v>64.900000000000006</v>
      </c>
      <c r="I871" s="9">
        <f>H871-G871</f>
        <v>9.7349999999999994</v>
      </c>
    </row>
    <row r="872" ht="14.25">
      <c r="A872" s="5">
        <v>81628</v>
      </c>
      <c r="B872" s="6" t="s">
        <v>922</v>
      </c>
      <c r="C872" s="7" t="s">
        <v>109</v>
      </c>
      <c r="D872" s="7" t="s">
        <v>110</v>
      </c>
      <c r="E872" s="5" t="s">
        <v>43</v>
      </c>
      <c r="F872" s="8"/>
      <c r="G872" s="9">
        <f>H872*(1-15%)*(1-F872)</f>
        <v>55.165000000000006</v>
      </c>
      <c r="H872" s="9">
        <v>64.900000000000006</v>
      </c>
      <c r="I872" s="9">
        <f>H872-G872</f>
        <v>9.7349999999999994</v>
      </c>
    </row>
    <row r="873" ht="14.25">
      <c r="A873" s="5">
        <v>81629</v>
      </c>
      <c r="B873" s="6" t="s">
        <v>923</v>
      </c>
      <c r="C873" s="7" t="s">
        <v>109</v>
      </c>
      <c r="D873" s="7" t="s">
        <v>110</v>
      </c>
      <c r="E873" s="5" t="s">
        <v>43</v>
      </c>
      <c r="F873" s="8"/>
      <c r="G873" s="9">
        <f>H873*(1-15%)*(1-F873)</f>
        <v>55.165000000000006</v>
      </c>
      <c r="H873" s="9">
        <v>64.900000000000006</v>
      </c>
      <c r="I873" s="9">
        <f>H873-G873</f>
        <v>9.7349999999999994</v>
      </c>
    </row>
    <row r="874" ht="14.25">
      <c r="A874" s="5">
        <v>81631</v>
      </c>
      <c r="B874" s="6" t="s">
        <v>924</v>
      </c>
      <c r="C874" s="7" t="s">
        <v>109</v>
      </c>
      <c r="D874" s="7" t="s">
        <v>110</v>
      </c>
      <c r="E874" s="5" t="s">
        <v>43</v>
      </c>
      <c r="F874" s="8"/>
      <c r="G874" s="9">
        <f>H874*(1-15%)*(1-F874)</f>
        <v>55.165000000000006</v>
      </c>
      <c r="H874" s="9">
        <v>64.900000000000006</v>
      </c>
      <c r="I874" s="9">
        <f>H874-G874</f>
        <v>9.7349999999999994</v>
      </c>
    </row>
    <row r="875" ht="14.25">
      <c r="A875" s="5">
        <v>82491</v>
      </c>
      <c r="B875" s="6" t="s">
        <v>925</v>
      </c>
      <c r="C875" s="7" t="s">
        <v>109</v>
      </c>
      <c r="D875" s="7" t="s">
        <v>110</v>
      </c>
      <c r="E875" s="5" t="s">
        <v>15</v>
      </c>
      <c r="F875" s="8"/>
      <c r="G875" s="9">
        <f>H875*(1-15%)*(1-F875)</f>
        <v>40.714999999999996</v>
      </c>
      <c r="H875" s="9">
        <v>47.899999999999999</v>
      </c>
      <c r="I875" s="9">
        <f>H875-G875</f>
        <v>7.1850000000000023</v>
      </c>
    </row>
    <row r="876" ht="14.25">
      <c r="A876" s="5">
        <v>82492</v>
      </c>
      <c r="B876" s="6" t="s">
        <v>926</v>
      </c>
      <c r="C876" s="7" t="s">
        <v>109</v>
      </c>
      <c r="D876" s="7" t="s">
        <v>110</v>
      </c>
      <c r="E876" s="5" t="s">
        <v>43</v>
      </c>
      <c r="F876" s="8"/>
      <c r="G876" s="9">
        <f>H876*(1-15%)*(1-F876)</f>
        <v>40.714999999999996</v>
      </c>
      <c r="H876" s="9">
        <v>47.899999999999999</v>
      </c>
      <c r="I876" s="9">
        <f>H876-G876</f>
        <v>7.1850000000000023</v>
      </c>
    </row>
    <row r="877" ht="14.25">
      <c r="A877" s="5">
        <v>82493</v>
      </c>
      <c r="B877" s="6" t="s">
        <v>927</v>
      </c>
      <c r="C877" s="7" t="s">
        <v>109</v>
      </c>
      <c r="D877" s="7" t="s">
        <v>110</v>
      </c>
      <c r="E877" s="5" t="s">
        <v>15</v>
      </c>
      <c r="F877" s="8"/>
      <c r="G877" s="9">
        <f>H877*(1-15%)*(1-F877)</f>
        <v>40.714999999999996</v>
      </c>
      <c r="H877" s="9">
        <v>47.899999999999999</v>
      </c>
      <c r="I877" s="9">
        <f>H877-G877</f>
        <v>7.1850000000000023</v>
      </c>
    </row>
    <row r="878" ht="14.25">
      <c r="A878" s="5">
        <v>82494</v>
      </c>
      <c r="B878" s="6" t="s">
        <v>928</v>
      </c>
      <c r="C878" s="7" t="s">
        <v>109</v>
      </c>
      <c r="D878" s="7" t="s">
        <v>110</v>
      </c>
      <c r="E878" s="5" t="s">
        <v>39</v>
      </c>
      <c r="F878" s="8"/>
      <c r="G878" s="9">
        <f>H878*(1-15%)*(1-F878)</f>
        <v>40.714999999999996</v>
      </c>
      <c r="H878" s="9">
        <v>47.899999999999999</v>
      </c>
      <c r="I878" s="9">
        <f>H878-G878</f>
        <v>7.1850000000000023</v>
      </c>
    </row>
    <row r="879" ht="14.25">
      <c r="A879" s="5">
        <v>82495</v>
      </c>
      <c r="B879" s="6" t="s">
        <v>929</v>
      </c>
      <c r="C879" s="7" t="s">
        <v>109</v>
      </c>
      <c r="D879" s="7" t="s">
        <v>110</v>
      </c>
      <c r="E879" s="5" t="s">
        <v>43</v>
      </c>
      <c r="F879" s="8"/>
      <c r="G879" s="9">
        <f>H879*(1-15%)*(1-F879)</f>
        <v>40.714999999999996</v>
      </c>
      <c r="H879" s="9">
        <v>47.899999999999999</v>
      </c>
      <c r="I879" s="9">
        <f>H879-G879</f>
        <v>7.1850000000000023</v>
      </c>
    </row>
    <row r="880" ht="14.25">
      <c r="A880" s="5">
        <v>40387</v>
      </c>
      <c r="B880" s="6" t="s">
        <v>930</v>
      </c>
      <c r="C880" s="7" t="s">
        <v>10</v>
      </c>
      <c r="D880" s="7" t="s">
        <v>61</v>
      </c>
      <c r="E880" s="5" t="s">
        <v>15</v>
      </c>
      <c r="F880" s="8"/>
      <c r="G880" s="9">
        <f>H880*(1-15%)*(1-F880)</f>
        <v>110.41500000000001</v>
      </c>
      <c r="H880" s="9">
        <v>129.90000000000001</v>
      </c>
      <c r="I880" s="9">
        <f>H880-G880</f>
        <v>19.484999999999999</v>
      </c>
    </row>
    <row r="881" ht="14.25">
      <c r="A881" s="5">
        <v>49919</v>
      </c>
      <c r="B881" s="6" t="s">
        <v>931</v>
      </c>
      <c r="C881" s="7" t="s">
        <v>201</v>
      </c>
      <c r="D881" s="7" t="s">
        <v>183</v>
      </c>
      <c r="E881" s="5" t="s">
        <v>15</v>
      </c>
      <c r="F881" s="8"/>
      <c r="G881" s="9">
        <f>H881*(1-15%)*(1-F881)</f>
        <v>42.414999999999999</v>
      </c>
      <c r="H881" s="9">
        <v>49.899999999999999</v>
      </c>
      <c r="I881" s="9">
        <f>H881-G881</f>
        <v>7.4849999999999994</v>
      </c>
    </row>
    <row r="882" ht="14.25">
      <c r="A882" s="5">
        <v>50170</v>
      </c>
      <c r="B882" s="6" t="s">
        <v>932</v>
      </c>
      <c r="C882" s="7" t="s">
        <v>251</v>
      </c>
      <c r="D882" s="7" t="s">
        <v>103</v>
      </c>
      <c r="E882" s="5" t="s">
        <v>15</v>
      </c>
      <c r="F882" s="8"/>
      <c r="G882" s="9">
        <f>H882*(1-15%)*(1-F882)</f>
        <v>40.714999999999996</v>
      </c>
      <c r="H882" s="9">
        <v>47.899999999999999</v>
      </c>
      <c r="I882" s="9">
        <f>H882-G882</f>
        <v>7.1850000000000023</v>
      </c>
    </row>
    <row r="883" ht="14.25">
      <c r="A883" s="5">
        <v>47779</v>
      </c>
      <c r="B883" s="6" t="s">
        <v>933</v>
      </c>
      <c r="C883" s="7" t="s">
        <v>226</v>
      </c>
      <c r="D883" s="7" t="s">
        <v>52</v>
      </c>
      <c r="E883" s="5" t="s">
        <v>68</v>
      </c>
      <c r="F883" s="8"/>
      <c r="G883" s="9">
        <f>H883*(1-15%)*(1-F883)</f>
        <v>44.964999999999996</v>
      </c>
      <c r="H883" s="9">
        <v>52.899999999999999</v>
      </c>
      <c r="I883" s="9">
        <f>H883-G883</f>
        <v>7.9350000000000023</v>
      </c>
    </row>
    <row r="884" ht="14.25">
      <c r="A884" s="5">
        <v>50042</v>
      </c>
      <c r="B884" s="6" t="s">
        <v>934</v>
      </c>
      <c r="C884" s="7" t="s">
        <v>397</v>
      </c>
      <c r="D884" s="7" t="s">
        <v>45</v>
      </c>
      <c r="E884" s="5" t="s">
        <v>15</v>
      </c>
      <c r="F884" s="8"/>
      <c r="G884" s="9">
        <f>H884*(1-15%)*(1-F884)</f>
        <v>63.665000000000006</v>
      </c>
      <c r="H884" s="9">
        <v>74.900000000000006</v>
      </c>
      <c r="I884" s="9">
        <f>H884-G884</f>
        <v>11.234999999999999</v>
      </c>
    </row>
    <row r="885" ht="14.25">
      <c r="A885" s="5">
        <v>50044</v>
      </c>
      <c r="B885" s="6" t="s">
        <v>935</v>
      </c>
      <c r="C885" s="7" t="s">
        <v>251</v>
      </c>
      <c r="D885" s="7" t="s">
        <v>45</v>
      </c>
      <c r="E885" s="5" t="s">
        <v>15</v>
      </c>
      <c r="F885" s="8"/>
      <c r="G885" s="9">
        <f>H885*(1-15%)*(1-F885)</f>
        <v>53.464999999999996</v>
      </c>
      <c r="H885" s="9">
        <v>62.899999999999999</v>
      </c>
      <c r="I885" s="9">
        <f>H885-G885</f>
        <v>9.4350000000000023</v>
      </c>
    </row>
    <row r="886" ht="14.25">
      <c r="A886" s="5">
        <v>83196</v>
      </c>
      <c r="B886" s="6" t="s">
        <v>936</v>
      </c>
      <c r="C886" s="7" t="s">
        <v>109</v>
      </c>
      <c r="D886" s="7" t="s">
        <v>110</v>
      </c>
      <c r="E886" s="5" t="s">
        <v>39</v>
      </c>
      <c r="F886" s="8"/>
      <c r="G886" s="9">
        <f>H886*(1-15%)*(1-F886)</f>
        <v>70.465000000000003</v>
      </c>
      <c r="H886" s="9">
        <v>82.900000000000006</v>
      </c>
      <c r="I886" s="9">
        <f>H886-G886</f>
        <v>12.435000000000002</v>
      </c>
    </row>
    <row r="887" ht="14.25">
      <c r="A887" s="5">
        <v>83198</v>
      </c>
      <c r="B887" s="6" t="s">
        <v>937</v>
      </c>
      <c r="C887" s="7" t="s">
        <v>109</v>
      </c>
      <c r="D887" s="7" t="s">
        <v>110</v>
      </c>
      <c r="E887" s="5" t="s">
        <v>133</v>
      </c>
      <c r="F887" s="8"/>
      <c r="G887" s="9">
        <f>H887*(1-15%)*(1-F887)</f>
        <v>70.465000000000003</v>
      </c>
      <c r="H887" s="9">
        <v>82.900000000000006</v>
      </c>
      <c r="I887" s="9">
        <f>H887-G887</f>
        <v>12.435000000000002</v>
      </c>
    </row>
    <row r="888" ht="14.25">
      <c r="A888" s="5">
        <v>83199</v>
      </c>
      <c r="B888" s="6" t="s">
        <v>938</v>
      </c>
      <c r="C888" s="7" t="s">
        <v>109</v>
      </c>
      <c r="D888" s="7" t="s">
        <v>110</v>
      </c>
      <c r="E888" s="5" t="s">
        <v>39</v>
      </c>
      <c r="F888" s="8"/>
      <c r="G888" s="9">
        <f>H888*(1-15%)*(1-F888)</f>
        <v>70.465000000000003</v>
      </c>
      <c r="H888" s="9">
        <v>82.900000000000006</v>
      </c>
      <c r="I888" s="9">
        <f>H888-G888</f>
        <v>12.435000000000002</v>
      </c>
    </row>
    <row r="889" ht="14.25">
      <c r="A889" s="5">
        <v>84195</v>
      </c>
      <c r="B889" s="6" t="s">
        <v>939</v>
      </c>
      <c r="C889" s="7" t="s">
        <v>109</v>
      </c>
      <c r="D889" s="7" t="s">
        <v>110</v>
      </c>
      <c r="E889" s="5" t="s">
        <v>39</v>
      </c>
      <c r="F889" s="8"/>
      <c r="G889" s="9">
        <f>H889*(1-15%)*(1-F889)</f>
        <v>70.465000000000003</v>
      </c>
      <c r="H889" s="9">
        <v>82.900000000000006</v>
      </c>
      <c r="I889" s="9">
        <f>H889-G889</f>
        <v>12.435000000000002</v>
      </c>
    </row>
    <row r="890" ht="14.25">
      <c r="A890" s="5">
        <v>47399</v>
      </c>
      <c r="B890" s="6" t="s">
        <v>940</v>
      </c>
      <c r="C890" s="7" t="s">
        <v>109</v>
      </c>
      <c r="D890" s="7" t="s">
        <v>110</v>
      </c>
      <c r="E890" s="5" t="s">
        <v>15</v>
      </c>
      <c r="F890" s="8"/>
      <c r="G890" s="9">
        <f>H890*(1-15%)*(1-F890)</f>
        <v>271.91499999999996</v>
      </c>
      <c r="H890" s="9">
        <v>319.89999999999998</v>
      </c>
      <c r="I890" s="9">
        <f>H890-G890</f>
        <v>47.985000000000014</v>
      </c>
    </row>
    <row r="891" ht="14.25">
      <c r="A891" s="5">
        <v>1676</v>
      </c>
      <c r="B891" s="6" t="s">
        <v>941</v>
      </c>
      <c r="C891" s="7" t="s">
        <v>75</v>
      </c>
      <c r="D891" s="7" t="s">
        <v>583</v>
      </c>
      <c r="E891" s="5" t="s">
        <v>39</v>
      </c>
      <c r="F891" s="8"/>
      <c r="G891" s="9">
        <f>H891*(1-15%)*(1-F891)</f>
        <v>121.465</v>
      </c>
      <c r="H891" s="9">
        <v>142.90000000000001</v>
      </c>
      <c r="I891" s="9">
        <f>H891-G891</f>
        <v>21.435000000000002</v>
      </c>
    </row>
    <row r="892" ht="14.25">
      <c r="A892" s="5">
        <v>1680</v>
      </c>
      <c r="B892" s="6" t="s">
        <v>942</v>
      </c>
      <c r="C892" s="7" t="s">
        <v>75</v>
      </c>
      <c r="D892" s="7" t="s">
        <v>583</v>
      </c>
      <c r="E892" s="5" t="s">
        <v>26</v>
      </c>
      <c r="F892" s="8"/>
      <c r="G892" s="9">
        <f>H892*(1-15%)*(1-F892)</f>
        <v>121.465</v>
      </c>
      <c r="H892" s="9">
        <v>142.90000000000001</v>
      </c>
      <c r="I892" s="9">
        <f>H892-G892</f>
        <v>21.435000000000002</v>
      </c>
    </row>
    <row r="893" ht="14.25">
      <c r="A893" s="5">
        <v>1697</v>
      </c>
      <c r="B893" s="6" t="s">
        <v>943</v>
      </c>
      <c r="C893" s="7" t="s">
        <v>75</v>
      </c>
      <c r="D893" s="7" t="s">
        <v>583</v>
      </c>
      <c r="E893" s="5" t="s">
        <v>39</v>
      </c>
      <c r="F893" s="8"/>
      <c r="G893" s="9">
        <f>H893*(1-15%)*(1-F893)</f>
        <v>121.465</v>
      </c>
      <c r="H893" s="9">
        <v>142.90000000000001</v>
      </c>
      <c r="I893" s="9">
        <f>H893-G893</f>
        <v>21.435000000000002</v>
      </c>
    </row>
    <row r="894" ht="14.25">
      <c r="A894" s="5">
        <v>46442</v>
      </c>
      <c r="B894" s="6" t="s">
        <v>944</v>
      </c>
      <c r="C894" s="7" t="s">
        <v>201</v>
      </c>
      <c r="D894" s="7" t="s">
        <v>183</v>
      </c>
      <c r="E894" s="5" t="s">
        <v>26</v>
      </c>
      <c r="F894" s="8"/>
      <c r="G894" s="9">
        <f>H894*(1-15%)*(1-F894)</f>
        <v>110.41500000000001</v>
      </c>
      <c r="H894" s="9">
        <v>129.90000000000001</v>
      </c>
      <c r="I894" s="9">
        <f>H894-G894</f>
        <v>19.484999999999999</v>
      </c>
    </row>
    <row r="895" ht="14.25">
      <c r="A895" s="5">
        <v>50929</v>
      </c>
      <c r="B895" s="6" t="s">
        <v>945</v>
      </c>
      <c r="C895" s="7" t="s">
        <v>201</v>
      </c>
      <c r="D895" s="7" t="s">
        <v>183</v>
      </c>
      <c r="E895" s="5" t="s">
        <v>15</v>
      </c>
      <c r="F895" s="8"/>
      <c r="G895" s="9">
        <f>H895*(1-15%)*(1-F895)</f>
        <v>56.015000000000001</v>
      </c>
      <c r="H895" s="9">
        <v>65.900000000000006</v>
      </c>
      <c r="I895" s="9">
        <f>H895-G895</f>
        <v>9.8850000000000051</v>
      </c>
    </row>
    <row r="896" ht="14.25">
      <c r="A896" s="5">
        <v>47782</v>
      </c>
      <c r="B896" s="6" t="s">
        <v>946</v>
      </c>
      <c r="C896" s="7" t="s">
        <v>226</v>
      </c>
      <c r="D896" s="7" t="s">
        <v>52</v>
      </c>
      <c r="E896" s="5" t="s">
        <v>15</v>
      </c>
      <c r="F896" s="8"/>
      <c r="G896" s="9">
        <f>H896*(1-15%)*(1-F896)</f>
        <v>81.515000000000001</v>
      </c>
      <c r="H896" s="9">
        <v>95.900000000000006</v>
      </c>
      <c r="I896" s="9">
        <f>H896-G896</f>
        <v>14.385000000000005</v>
      </c>
    </row>
    <row r="897" ht="14.25">
      <c r="A897" s="5">
        <v>84255</v>
      </c>
      <c r="B897" s="6" t="s">
        <v>947</v>
      </c>
      <c r="C897" s="7" t="s">
        <v>251</v>
      </c>
      <c r="D897" s="7" t="s">
        <v>11</v>
      </c>
      <c r="E897" s="5" t="s">
        <v>39</v>
      </c>
      <c r="F897" s="8"/>
      <c r="G897" s="9">
        <f>H897*(1-15%)*(1-F897)</f>
        <v>118.91500000000001</v>
      </c>
      <c r="H897" s="9">
        <v>139.90000000000001</v>
      </c>
      <c r="I897" s="9">
        <f>H897-G897</f>
        <v>20.984999999999999</v>
      </c>
    </row>
    <row r="898" ht="14.25">
      <c r="A898" s="5">
        <v>84260</v>
      </c>
      <c r="B898" s="6" t="s">
        <v>948</v>
      </c>
      <c r="C898" s="7" t="s">
        <v>251</v>
      </c>
      <c r="D898" s="7" t="s">
        <v>11</v>
      </c>
      <c r="E898" s="5" t="s">
        <v>26</v>
      </c>
      <c r="F898" s="8"/>
      <c r="G898" s="9">
        <f>H898*(1-15%)*(1-F898)</f>
        <v>118.91500000000001</v>
      </c>
      <c r="H898" s="9">
        <v>139.90000000000001</v>
      </c>
      <c r="I898" s="9">
        <f>H898-G898</f>
        <v>20.984999999999999</v>
      </c>
    </row>
    <row r="899" ht="14.25">
      <c r="A899" s="5">
        <v>46898</v>
      </c>
      <c r="B899" s="6" t="s">
        <v>949</v>
      </c>
      <c r="C899" s="7" t="s">
        <v>624</v>
      </c>
      <c r="D899" s="7" t="s">
        <v>11</v>
      </c>
      <c r="E899" s="5" t="s">
        <v>43</v>
      </c>
      <c r="F899" s="8"/>
      <c r="G899" s="9">
        <f>H899*(1-15%)*(1-F899)</f>
        <v>280.41499999999996</v>
      </c>
      <c r="H899" s="9">
        <v>329.89999999999998</v>
      </c>
      <c r="I899" s="9">
        <f>H899-G899</f>
        <v>49.485000000000014</v>
      </c>
    </row>
    <row r="900" ht="14.25">
      <c r="A900" s="5">
        <v>47235</v>
      </c>
      <c r="B900" s="6" t="s">
        <v>950</v>
      </c>
      <c r="C900" s="7" t="s">
        <v>951</v>
      </c>
      <c r="D900" s="7" t="s">
        <v>199</v>
      </c>
      <c r="E900" s="5" t="s">
        <v>39</v>
      </c>
      <c r="F900" s="8"/>
      <c r="G900" s="9">
        <f>H900*(1-15%)*(1-F900)</f>
        <v>76.415000000000006</v>
      </c>
      <c r="H900" s="9">
        <v>89.900000000000006</v>
      </c>
      <c r="I900" s="9">
        <f>H900-G900</f>
        <v>13.484999999999999</v>
      </c>
    </row>
    <row r="901" ht="14.25">
      <c r="A901" s="5">
        <v>47594</v>
      </c>
      <c r="B901" s="6" t="s">
        <v>952</v>
      </c>
      <c r="C901" s="7" t="s">
        <v>951</v>
      </c>
      <c r="D901" s="7" t="s">
        <v>199</v>
      </c>
      <c r="E901" s="5" t="s">
        <v>39</v>
      </c>
      <c r="F901" s="8"/>
      <c r="G901" s="9">
        <f>H901*(1-15%)*(1-F901)</f>
        <v>93.415000000000006</v>
      </c>
      <c r="H901" s="9">
        <v>109.90000000000001</v>
      </c>
      <c r="I901" s="9">
        <f>H901-G901</f>
        <v>16.484999999999999</v>
      </c>
    </row>
    <row r="902" ht="14.25">
      <c r="A902" s="5">
        <v>47595</v>
      </c>
      <c r="B902" s="6" t="s">
        <v>953</v>
      </c>
      <c r="C902" s="7" t="s">
        <v>951</v>
      </c>
      <c r="D902" s="7" t="s">
        <v>199</v>
      </c>
      <c r="E902" s="5" t="s">
        <v>39</v>
      </c>
      <c r="F902" s="8"/>
      <c r="G902" s="9">
        <f>H902*(1-15%)*(1-F902)</f>
        <v>101.91500000000001</v>
      </c>
      <c r="H902" s="9">
        <v>119.90000000000001</v>
      </c>
      <c r="I902" s="9">
        <f>H902-G902</f>
        <v>17.984999999999999</v>
      </c>
    </row>
    <row r="903" ht="14.25">
      <c r="A903" s="5">
        <v>47960</v>
      </c>
      <c r="B903" s="6" t="s">
        <v>954</v>
      </c>
      <c r="C903" s="7" t="s">
        <v>951</v>
      </c>
      <c r="D903" s="7" t="s">
        <v>199</v>
      </c>
      <c r="E903" s="5" t="s">
        <v>68</v>
      </c>
      <c r="F903" s="8"/>
      <c r="G903" s="9">
        <f>H903*(1-15%)*(1-F903)</f>
        <v>93.415000000000006</v>
      </c>
      <c r="H903" s="9">
        <v>109.90000000000001</v>
      </c>
      <c r="I903" s="9">
        <f>H903-G903</f>
        <v>16.484999999999999</v>
      </c>
    </row>
    <row r="904" ht="14.25">
      <c r="A904" s="5">
        <v>47598</v>
      </c>
      <c r="B904" s="6" t="s">
        <v>955</v>
      </c>
      <c r="C904" s="7" t="s">
        <v>951</v>
      </c>
      <c r="D904" s="7" t="s">
        <v>199</v>
      </c>
      <c r="E904" s="5" t="s">
        <v>43</v>
      </c>
      <c r="F904" s="8"/>
      <c r="G904" s="9">
        <f>H904*(1-15%)*(1-F904)</f>
        <v>65.365000000000009</v>
      </c>
      <c r="H904" s="9">
        <v>76.900000000000006</v>
      </c>
      <c r="I904" s="9">
        <f>H904-G904</f>
        <v>11.534999999999997</v>
      </c>
    </row>
    <row r="905" ht="14.25">
      <c r="A905" s="5">
        <v>47599</v>
      </c>
      <c r="B905" s="6" t="s">
        <v>956</v>
      </c>
      <c r="C905" s="7" t="s">
        <v>951</v>
      </c>
      <c r="D905" s="7" t="s">
        <v>199</v>
      </c>
      <c r="E905" s="5" t="s">
        <v>39</v>
      </c>
      <c r="F905" s="8"/>
      <c r="G905" s="9">
        <f>H905*(1-15%)*(1-F905)</f>
        <v>67.915000000000006</v>
      </c>
      <c r="H905" s="9">
        <v>79.900000000000006</v>
      </c>
      <c r="I905" s="9">
        <f>H905-G905</f>
        <v>11.984999999999999</v>
      </c>
    </row>
    <row r="906" ht="14.25">
      <c r="A906" s="5">
        <v>47600</v>
      </c>
      <c r="B906" s="6" t="s">
        <v>957</v>
      </c>
      <c r="C906" s="7" t="s">
        <v>951</v>
      </c>
      <c r="D906" s="7" t="s">
        <v>199</v>
      </c>
      <c r="E906" s="5" t="s">
        <v>39</v>
      </c>
      <c r="F906" s="8"/>
      <c r="G906" s="9">
        <f>H906*(1-15%)*(1-F906)</f>
        <v>65.365000000000009</v>
      </c>
      <c r="H906" s="9">
        <v>76.900000000000006</v>
      </c>
      <c r="I906" s="9">
        <f>H906-G906</f>
        <v>11.534999999999997</v>
      </c>
    </row>
    <row r="907" ht="14.25">
      <c r="A907" s="5">
        <v>47602</v>
      </c>
      <c r="B907" s="6" t="s">
        <v>958</v>
      </c>
      <c r="C907" s="7" t="s">
        <v>951</v>
      </c>
      <c r="D907" s="7" t="s">
        <v>199</v>
      </c>
      <c r="E907" s="5" t="s">
        <v>39</v>
      </c>
      <c r="F907" s="8"/>
      <c r="G907" s="9">
        <f>H907*(1-15%)*(1-F907)</f>
        <v>67.915000000000006</v>
      </c>
      <c r="H907" s="9">
        <v>79.900000000000006</v>
      </c>
      <c r="I907" s="9">
        <f>H907-G907</f>
        <v>11.984999999999999</v>
      </c>
    </row>
    <row r="908" ht="14.25">
      <c r="A908" s="5">
        <v>47777</v>
      </c>
      <c r="B908" s="6" t="s">
        <v>959</v>
      </c>
      <c r="C908" s="7" t="s">
        <v>226</v>
      </c>
      <c r="D908" s="7" t="s">
        <v>52</v>
      </c>
      <c r="E908" s="5" t="s">
        <v>15</v>
      </c>
      <c r="F908" s="8"/>
      <c r="G908" s="9">
        <f>H908*(1-15%)*(1-F908)</f>
        <v>46.664999999999999</v>
      </c>
      <c r="H908" s="9">
        <v>54.899999999999999</v>
      </c>
      <c r="I908" s="9">
        <f>H908-G908</f>
        <v>8.2349999999999994</v>
      </c>
    </row>
    <row r="909" ht="14.25">
      <c r="A909" s="5">
        <v>33427</v>
      </c>
      <c r="B909" s="6" t="s">
        <v>960</v>
      </c>
      <c r="C909" s="7" t="s">
        <v>70</v>
      </c>
      <c r="D909" s="7" t="s">
        <v>45</v>
      </c>
      <c r="E909" s="5" t="s">
        <v>43</v>
      </c>
      <c r="F909" s="8"/>
      <c r="G909" s="9">
        <f>H909*(1-15%)*(1-F909)</f>
        <v>161.41499999999999</v>
      </c>
      <c r="H909" s="9">
        <v>189.90000000000001</v>
      </c>
      <c r="I909" s="9">
        <f>H909-G909</f>
        <v>28.485000000000014</v>
      </c>
    </row>
    <row r="910" ht="14.25">
      <c r="A910" s="5">
        <v>47593</v>
      </c>
      <c r="B910" s="6" t="s">
        <v>961</v>
      </c>
      <c r="C910" s="7" t="s">
        <v>109</v>
      </c>
      <c r="D910" s="7" t="s">
        <v>183</v>
      </c>
      <c r="E910" s="5" t="s">
        <v>15</v>
      </c>
      <c r="F910" s="8"/>
      <c r="G910" s="9">
        <f>H910*(1-15%)*(1-F910)</f>
        <v>61.965000000000003</v>
      </c>
      <c r="H910" s="9">
        <v>72.900000000000006</v>
      </c>
      <c r="I910" s="9">
        <f>H910-G910</f>
        <v>10.935000000000002</v>
      </c>
    </row>
    <row r="911" ht="14.25">
      <c r="A911" s="5">
        <v>47803</v>
      </c>
      <c r="B911" s="6" t="s">
        <v>962</v>
      </c>
      <c r="C911" s="7" t="s">
        <v>82</v>
      </c>
      <c r="D911" s="7" t="s">
        <v>347</v>
      </c>
      <c r="E911" s="5" t="s">
        <v>703</v>
      </c>
      <c r="F911" s="8"/>
      <c r="G911" s="9">
        <f>H911*(1-15%)*(1-F911)</f>
        <v>39.015000000000001</v>
      </c>
      <c r="H911" s="9">
        <v>45.899999999999999</v>
      </c>
      <c r="I911" s="9">
        <f>H911-G911</f>
        <v>6.884999999999998</v>
      </c>
    </row>
    <row r="912" ht="14.25">
      <c r="A912" s="5">
        <v>49362</v>
      </c>
      <c r="B912" s="6" t="s">
        <v>963</v>
      </c>
      <c r="C912" s="7" t="s">
        <v>10</v>
      </c>
      <c r="D912" s="7" t="s">
        <v>71</v>
      </c>
      <c r="E912" s="5" t="s">
        <v>43</v>
      </c>
      <c r="F912" s="8"/>
      <c r="G912" s="9">
        <f>H912*(1-15%)*(1-F912)</f>
        <v>33.914999999999999</v>
      </c>
      <c r="H912" s="9">
        <v>39.899999999999999</v>
      </c>
      <c r="I912" s="9">
        <f>H912-G912</f>
        <v>5.9849999999999994</v>
      </c>
    </row>
    <row r="913" ht="14.25">
      <c r="A913" s="5">
        <v>48621</v>
      </c>
      <c r="B913" s="6" t="s">
        <v>964</v>
      </c>
      <c r="C913" s="7" t="s">
        <v>17</v>
      </c>
      <c r="D913" s="7" t="s">
        <v>11</v>
      </c>
      <c r="E913" s="5" t="s">
        <v>133</v>
      </c>
      <c r="F913" s="8"/>
      <c r="G913" s="9">
        <f>H913*(1-15%)*(1-F913)</f>
        <v>186.91499999999999</v>
      </c>
      <c r="H913" s="9">
        <v>219.90000000000001</v>
      </c>
      <c r="I913" s="9">
        <f>H913-G913</f>
        <v>32.985000000000014</v>
      </c>
    </row>
    <row r="914" ht="14.25">
      <c r="A914" s="5">
        <v>48625</v>
      </c>
      <c r="B914" s="6" t="s">
        <v>965</v>
      </c>
      <c r="C914" s="7" t="s">
        <v>17</v>
      </c>
      <c r="D914" s="7" t="s">
        <v>45</v>
      </c>
      <c r="E914" s="5" t="s">
        <v>26</v>
      </c>
      <c r="F914" s="8"/>
      <c r="G914" s="9">
        <f>H914*(1-15%)*(1-F914)</f>
        <v>53.464999999999996</v>
      </c>
      <c r="H914" s="9">
        <v>62.899999999999999</v>
      </c>
      <c r="I914" s="9">
        <f>H914-G914</f>
        <v>9.4350000000000023</v>
      </c>
    </row>
    <row r="915" ht="14.25">
      <c r="A915" s="5">
        <v>50297</v>
      </c>
      <c r="B915" s="6" t="s">
        <v>966</v>
      </c>
      <c r="C915" s="7" t="s">
        <v>70</v>
      </c>
      <c r="D915" s="7" t="s">
        <v>61</v>
      </c>
      <c r="E915" s="5" t="s">
        <v>39</v>
      </c>
      <c r="F915" s="8"/>
      <c r="G915" s="9">
        <f>H915*(1-15%)*(1-F915)</f>
        <v>50.914999999999999</v>
      </c>
      <c r="H915" s="9">
        <v>59.899999999999999</v>
      </c>
      <c r="I915" s="9">
        <f>H915-G915</f>
        <v>8.9849999999999994</v>
      </c>
    </row>
    <row r="916" ht="14.25">
      <c r="A916" s="5">
        <v>49547</v>
      </c>
      <c r="B916" s="6" t="s">
        <v>967</v>
      </c>
      <c r="C916" s="7" t="s">
        <v>271</v>
      </c>
      <c r="D916" s="7" t="s">
        <v>110</v>
      </c>
      <c r="E916" s="5" t="s">
        <v>15</v>
      </c>
      <c r="F916" s="8"/>
      <c r="G916" s="9">
        <f>H916*(1-15%)*(1-F916)</f>
        <v>32.214999999999996</v>
      </c>
      <c r="H916" s="9">
        <v>37.899999999999999</v>
      </c>
      <c r="I916" s="9">
        <f>H916-G916</f>
        <v>5.6850000000000023</v>
      </c>
    </row>
    <row r="917" ht="14.25">
      <c r="A917" s="5">
        <v>49548</v>
      </c>
      <c r="B917" s="6" t="s">
        <v>968</v>
      </c>
      <c r="C917" s="7" t="s">
        <v>271</v>
      </c>
      <c r="D917" s="7" t="s">
        <v>110</v>
      </c>
      <c r="E917" s="5" t="s">
        <v>15</v>
      </c>
      <c r="F917" s="8"/>
      <c r="G917" s="9">
        <f>H917*(1-15%)*(1-F917)</f>
        <v>27.964999999999996</v>
      </c>
      <c r="H917" s="9">
        <v>32.899999999999999</v>
      </c>
      <c r="I917" s="9">
        <f>H917-G917</f>
        <v>4.9350000000000023</v>
      </c>
    </row>
    <row r="918" ht="14.25">
      <c r="A918" s="5">
        <v>49546</v>
      </c>
      <c r="B918" s="6" t="s">
        <v>969</v>
      </c>
      <c r="C918" s="7" t="s">
        <v>271</v>
      </c>
      <c r="D918" s="7" t="s">
        <v>110</v>
      </c>
      <c r="E918" s="5" t="s">
        <v>15</v>
      </c>
      <c r="F918" s="8"/>
      <c r="G918" s="9">
        <f>H918*(1-15%)*(1-F918)</f>
        <v>27.964999999999996</v>
      </c>
      <c r="H918" s="9">
        <v>32.899999999999999</v>
      </c>
      <c r="I918" s="9">
        <f>H918-G918</f>
        <v>4.9350000000000023</v>
      </c>
    </row>
    <row r="919" ht="14.25">
      <c r="A919" s="5">
        <v>50456</v>
      </c>
      <c r="B919" s="6" t="s">
        <v>970</v>
      </c>
      <c r="C919" s="7" t="s">
        <v>14</v>
      </c>
      <c r="D919" s="7" t="s">
        <v>11</v>
      </c>
      <c r="E919" s="5" t="s">
        <v>15</v>
      </c>
      <c r="F919" s="8"/>
      <c r="G919" s="9">
        <f>H919*(1-15%)*(1-F919)</f>
        <v>135.91499999999999</v>
      </c>
      <c r="H919" s="9">
        <v>159.90000000000001</v>
      </c>
      <c r="I919" s="9">
        <f>H919-G919</f>
        <v>23.985000000000014</v>
      </c>
    </row>
    <row r="920" ht="14.25">
      <c r="A920" s="5">
        <v>1685</v>
      </c>
      <c r="B920" s="6" t="s">
        <v>971</v>
      </c>
      <c r="C920" s="7" t="s">
        <v>75</v>
      </c>
      <c r="D920" s="7" t="s">
        <v>583</v>
      </c>
      <c r="E920" s="5" t="s">
        <v>15</v>
      </c>
      <c r="F920" s="8"/>
      <c r="G920" s="9">
        <f>H920*(1-15%)*(1-F920)</f>
        <v>121.465</v>
      </c>
      <c r="H920" s="9">
        <v>142.90000000000001</v>
      </c>
      <c r="I920" s="9">
        <f>H920-G920</f>
        <v>21.435000000000002</v>
      </c>
    </row>
    <row r="921" ht="14.25">
      <c r="A921" s="5">
        <v>1703</v>
      </c>
      <c r="B921" s="6" t="s">
        <v>972</v>
      </c>
      <c r="C921" s="7" t="s">
        <v>75</v>
      </c>
      <c r="D921" s="7" t="s">
        <v>583</v>
      </c>
      <c r="E921" s="5" t="s">
        <v>15</v>
      </c>
      <c r="F921" s="8"/>
      <c r="G921" s="9">
        <f>H921*(1-15%)*(1-F921)</f>
        <v>121.465</v>
      </c>
      <c r="H921" s="9">
        <v>142.90000000000001</v>
      </c>
      <c r="I921" s="9">
        <f>H921-G921</f>
        <v>21.435000000000002</v>
      </c>
    </row>
    <row r="922" ht="14.25">
      <c r="A922" s="5">
        <v>49970</v>
      </c>
      <c r="B922" s="6" t="s">
        <v>973</v>
      </c>
      <c r="C922" s="7" t="s">
        <v>17</v>
      </c>
      <c r="D922" s="7" t="s">
        <v>11</v>
      </c>
      <c r="E922" s="5" t="s">
        <v>68</v>
      </c>
      <c r="F922" s="8"/>
      <c r="G922" s="9">
        <f>H922*(1-15%)*(1-F922)</f>
        <v>83.215000000000003</v>
      </c>
      <c r="H922" s="9">
        <v>97.900000000000006</v>
      </c>
      <c r="I922" s="9">
        <f>H922-G922</f>
        <v>14.685000000000002</v>
      </c>
    </row>
    <row r="923" ht="14.25">
      <c r="A923" s="5">
        <v>51734</v>
      </c>
      <c r="B923" s="6" t="s">
        <v>974</v>
      </c>
      <c r="C923" s="7" t="s">
        <v>75</v>
      </c>
      <c r="D923" s="7" t="s">
        <v>95</v>
      </c>
      <c r="E923" s="5" t="s">
        <v>26</v>
      </c>
      <c r="F923" s="8"/>
      <c r="G923" s="9">
        <f>H923*(1-15%)*(1-F923)</f>
        <v>36.464999999999996</v>
      </c>
      <c r="H923" s="9">
        <v>42.899999999999999</v>
      </c>
      <c r="I923" s="9">
        <f>H923-G923</f>
        <v>6.4350000000000023</v>
      </c>
    </row>
    <row r="924" ht="14.25">
      <c r="A924" s="5">
        <v>51739</v>
      </c>
      <c r="B924" s="6" t="s">
        <v>975</v>
      </c>
      <c r="C924" s="7" t="s">
        <v>75</v>
      </c>
      <c r="D924" s="7" t="s">
        <v>95</v>
      </c>
      <c r="E924" s="5" t="s">
        <v>26</v>
      </c>
      <c r="F924" s="8"/>
      <c r="G924" s="9">
        <f>H924*(1-15%)*(1-F924)</f>
        <v>38.164999999999999</v>
      </c>
      <c r="H924" s="9">
        <v>44.899999999999999</v>
      </c>
      <c r="I924" s="9">
        <f>H924-G924</f>
        <v>6.7349999999999994</v>
      </c>
    </row>
    <row r="925" ht="14.25">
      <c r="A925" s="5">
        <v>52763</v>
      </c>
      <c r="B925" s="6" t="s">
        <v>976</v>
      </c>
      <c r="C925" s="7" t="s">
        <v>75</v>
      </c>
      <c r="D925" s="7" t="s">
        <v>95</v>
      </c>
      <c r="E925" s="5" t="s">
        <v>26</v>
      </c>
      <c r="F925" s="8"/>
      <c r="G925" s="9">
        <f>H925*(1-15%)*(1-F925)</f>
        <v>38.164999999999999</v>
      </c>
      <c r="H925" s="9">
        <v>44.899999999999999</v>
      </c>
      <c r="I925" s="9">
        <f>H925-G925</f>
        <v>6.7349999999999994</v>
      </c>
    </row>
    <row r="926" ht="14.25">
      <c r="A926" s="5">
        <v>52411</v>
      </c>
      <c r="B926" s="6" t="s">
        <v>977</v>
      </c>
      <c r="C926" s="7" t="s">
        <v>14</v>
      </c>
      <c r="D926" s="7" t="s">
        <v>11</v>
      </c>
      <c r="E926" s="5" t="s">
        <v>15</v>
      </c>
      <c r="F926" s="8"/>
      <c r="G926" s="9">
        <f>H926*(1-15%)*(1-F926)</f>
        <v>135.91499999999999</v>
      </c>
      <c r="H926" s="9">
        <v>159.90000000000001</v>
      </c>
      <c r="I926" s="9">
        <f>H926-G926</f>
        <v>23.985000000000014</v>
      </c>
    </row>
    <row r="927" ht="14.25">
      <c r="A927" s="5">
        <v>82916</v>
      </c>
      <c r="B927" s="6" t="s">
        <v>978</v>
      </c>
      <c r="C927" s="7" t="s">
        <v>14</v>
      </c>
      <c r="D927" s="7" t="s">
        <v>11</v>
      </c>
      <c r="E927" s="5" t="s">
        <v>15</v>
      </c>
      <c r="F927" s="8"/>
      <c r="G927" s="9">
        <f>H927*(1-15%)*(1-F927)</f>
        <v>135.91499999999999</v>
      </c>
      <c r="H927" s="9">
        <v>159.90000000000001</v>
      </c>
      <c r="I927" s="9">
        <f>H927-G927</f>
        <v>23.985000000000014</v>
      </c>
    </row>
    <row r="928" ht="14.25">
      <c r="A928" s="5">
        <v>50651</v>
      </c>
      <c r="B928" s="6" t="s">
        <v>979</v>
      </c>
      <c r="C928" s="7" t="s">
        <v>705</v>
      </c>
      <c r="D928" s="7" t="s">
        <v>11</v>
      </c>
      <c r="E928" s="5" t="s">
        <v>133</v>
      </c>
      <c r="F928" s="8"/>
      <c r="G928" s="9">
        <f>H928*(1-15%)*(1-F928)</f>
        <v>161.41499999999999</v>
      </c>
      <c r="H928" s="9">
        <v>189.90000000000001</v>
      </c>
      <c r="I928" s="9">
        <f>H928-G928</f>
        <v>28.485000000000014</v>
      </c>
    </row>
    <row r="929" ht="14.25">
      <c r="A929" s="5">
        <v>50653</v>
      </c>
      <c r="B929" s="6" t="s">
        <v>980</v>
      </c>
      <c r="C929" s="7" t="s">
        <v>705</v>
      </c>
      <c r="D929" s="7" t="s">
        <v>11</v>
      </c>
      <c r="E929" s="5" t="s">
        <v>68</v>
      </c>
      <c r="F929" s="8"/>
      <c r="G929" s="9">
        <f>H929*(1-15%)*(1-F929)</f>
        <v>110.41500000000001</v>
      </c>
      <c r="H929" s="9">
        <v>129.90000000000001</v>
      </c>
      <c r="I929" s="9">
        <f>H929-G929</f>
        <v>19.484999999999999</v>
      </c>
    </row>
    <row r="930" ht="14.25">
      <c r="A930" s="5">
        <v>50655</v>
      </c>
      <c r="B930" s="6" t="s">
        <v>981</v>
      </c>
      <c r="C930" s="7" t="s">
        <v>705</v>
      </c>
      <c r="D930" s="7" t="s">
        <v>71</v>
      </c>
      <c r="E930" s="5" t="s">
        <v>15</v>
      </c>
      <c r="F930" s="8"/>
      <c r="G930" s="9">
        <f>H930*(1-15%)*(1-F930)</f>
        <v>42.414999999999999</v>
      </c>
      <c r="H930" s="9">
        <v>49.899999999999999</v>
      </c>
      <c r="I930" s="9">
        <f>H930-G930</f>
        <v>7.4849999999999994</v>
      </c>
    </row>
    <row r="931" ht="14.25">
      <c r="A931" s="5">
        <v>83052</v>
      </c>
      <c r="B931" s="6" t="s">
        <v>982</v>
      </c>
      <c r="C931" s="7" t="s">
        <v>82</v>
      </c>
      <c r="D931" s="7" t="s">
        <v>45</v>
      </c>
      <c r="E931" s="5" t="s">
        <v>39</v>
      </c>
      <c r="F931" s="8"/>
      <c r="G931" s="9">
        <f>H931*(1-15%)*(1-F931)</f>
        <v>63.665000000000006</v>
      </c>
      <c r="H931" s="9">
        <v>74.900000000000006</v>
      </c>
      <c r="I931" s="9">
        <f>H931-G931</f>
        <v>11.234999999999999</v>
      </c>
    </row>
    <row r="932" ht="14.25">
      <c r="A932" s="5">
        <v>83053</v>
      </c>
      <c r="B932" s="6" t="s">
        <v>983</v>
      </c>
      <c r="C932" s="7" t="s">
        <v>82</v>
      </c>
      <c r="D932" s="7" t="s">
        <v>45</v>
      </c>
      <c r="E932" s="5" t="s">
        <v>39</v>
      </c>
      <c r="F932" s="8"/>
      <c r="G932" s="9">
        <f>H932*(1-15%)*(1-F932)</f>
        <v>46.664999999999999</v>
      </c>
      <c r="H932" s="9">
        <v>54.899999999999999</v>
      </c>
      <c r="I932" s="9">
        <f>H932-G932</f>
        <v>8.2349999999999994</v>
      </c>
    </row>
    <row r="933" ht="14.25">
      <c r="A933" s="5">
        <v>83055</v>
      </c>
      <c r="B933" s="6" t="s">
        <v>984</v>
      </c>
      <c r="C933" s="7" t="s">
        <v>82</v>
      </c>
      <c r="D933" s="7" t="s">
        <v>45</v>
      </c>
      <c r="E933" s="5" t="s">
        <v>39</v>
      </c>
      <c r="F933" s="8"/>
      <c r="G933" s="9">
        <f>H933*(1-15%)*(1-F933)</f>
        <v>40.714999999999996</v>
      </c>
      <c r="H933" s="9">
        <v>47.899999999999999</v>
      </c>
      <c r="I933" s="9">
        <f>H933-G933</f>
        <v>7.1850000000000023</v>
      </c>
    </row>
    <row r="934" ht="14.25">
      <c r="A934" s="5">
        <v>83056</v>
      </c>
      <c r="B934" s="6" t="s">
        <v>985</v>
      </c>
      <c r="C934" s="7" t="s">
        <v>82</v>
      </c>
      <c r="D934" s="7" t="s">
        <v>103</v>
      </c>
      <c r="E934" s="5" t="s">
        <v>39</v>
      </c>
      <c r="F934" s="8"/>
      <c r="G934" s="9">
        <f>H934*(1-15%)*(1-F934)</f>
        <v>40.714999999999996</v>
      </c>
      <c r="H934" s="9">
        <v>47.899999999999999</v>
      </c>
      <c r="I934" s="9">
        <f>H934-G934</f>
        <v>7.1850000000000023</v>
      </c>
    </row>
    <row r="935" ht="14.25">
      <c r="A935" s="5">
        <v>83057</v>
      </c>
      <c r="B935" s="6" t="s">
        <v>986</v>
      </c>
      <c r="C935" s="7" t="s">
        <v>82</v>
      </c>
      <c r="D935" s="7" t="s">
        <v>103</v>
      </c>
      <c r="E935" s="5" t="s">
        <v>39</v>
      </c>
      <c r="F935" s="8"/>
      <c r="G935" s="9">
        <f>H935*(1-15%)*(1-F935)</f>
        <v>20.314999999999998</v>
      </c>
      <c r="H935" s="9">
        <v>23.899999999999999</v>
      </c>
      <c r="I935" s="9">
        <f>H935-G935</f>
        <v>3.5850000000000009</v>
      </c>
    </row>
    <row r="936" ht="14.25">
      <c r="A936" s="5">
        <v>83058</v>
      </c>
      <c r="B936" s="6" t="s">
        <v>987</v>
      </c>
      <c r="C936" s="7" t="s">
        <v>82</v>
      </c>
      <c r="D936" s="7" t="s">
        <v>45</v>
      </c>
      <c r="E936" s="5" t="s">
        <v>15</v>
      </c>
      <c r="F936" s="8"/>
      <c r="G936" s="9">
        <f>H936*(1-15%)*(1-F936)</f>
        <v>36.464999999999996</v>
      </c>
      <c r="H936" s="9">
        <v>42.899999999999999</v>
      </c>
      <c r="I936" s="9">
        <f>H936-G936</f>
        <v>6.4350000000000023</v>
      </c>
    </row>
    <row r="937" ht="14.25">
      <c r="A937" s="5">
        <v>36226</v>
      </c>
      <c r="B937" s="6" t="s">
        <v>988</v>
      </c>
      <c r="C937" s="7" t="s">
        <v>251</v>
      </c>
      <c r="D937" s="7" t="s">
        <v>61</v>
      </c>
      <c r="E937" s="5" t="s">
        <v>133</v>
      </c>
      <c r="F937" s="8"/>
      <c r="G937" s="9">
        <f>H937*(1-15%)*(1-F937)</f>
        <v>118.91500000000001</v>
      </c>
      <c r="H937" s="9">
        <v>139.90000000000001</v>
      </c>
      <c r="I937" s="9">
        <f>H937-G937</f>
        <v>20.984999999999999</v>
      </c>
    </row>
    <row r="938" ht="14.25">
      <c r="A938" s="5">
        <v>49973</v>
      </c>
      <c r="B938" s="6" t="s">
        <v>989</v>
      </c>
      <c r="C938" s="7" t="s">
        <v>17</v>
      </c>
      <c r="D938" s="7" t="s">
        <v>11</v>
      </c>
      <c r="E938" s="5" t="s">
        <v>12</v>
      </c>
      <c r="F938" s="8"/>
      <c r="G938" s="9">
        <f>H938*(1-15%)*(1-F938)</f>
        <v>140.16499999999999</v>
      </c>
      <c r="H938" s="9">
        <v>164.90000000000001</v>
      </c>
      <c r="I938" s="9">
        <f>H938-G938</f>
        <v>24.735000000000014</v>
      </c>
    </row>
    <row r="939" ht="14.25">
      <c r="A939" s="5">
        <v>50680</v>
      </c>
      <c r="B939" s="6" t="s">
        <v>990</v>
      </c>
      <c r="C939" s="7" t="s">
        <v>109</v>
      </c>
      <c r="D939" s="7" t="s">
        <v>110</v>
      </c>
      <c r="E939" s="5" t="s">
        <v>26</v>
      </c>
      <c r="F939" s="8"/>
      <c r="G939" s="9">
        <f>H939*(1-15%)*(1-F939)</f>
        <v>57.715000000000003</v>
      </c>
      <c r="H939" s="9">
        <v>67.900000000000006</v>
      </c>
      <c r="I939" s="9">
        <f>H939-G939</f>
        <v>10.185000000000002</v>
      </c>
    </row>
    <row r="940" ht="14.25">
      <c r="A940" s="5">
        <v>51172</v>
      </c>
      <c r="B940" s="6" t="s">
        <v>991</v>
      </c>
      <c r="C940" s="7" t="s">
        <v>109</v>
      </c>
      <c r="D940" s="7" t="s">
        <v>110</v>
      </c>
      <c r="E940" s="5" t="s">
        <v>26</v>
      </c>
      <c r="F940" s="8"/>
      <c r="G940" s="9">
        <f>H940*(1-15%)*(1-F940)</f>
        <v>57.715000000000003</v>
      </c>
      <c r="H940" s="9">
        <v>67.900000000000006</v>
      </c>
      <c r="I940" s="9">
        <f>H940-G940</f>
        <v>10.185000000000002</v>
      </c>
    </row>
    <row r="941" ht="14.25">
      <c r="A941" s="5">
        <v>51173</v>
      </c>
      <c r="B941" s="6" t="s">
        <v>992</v>
      </c>
      <c r="C941" s="7" t="s">
        <v>109</v>
      </c>
      <c r="D941" s="7" t="s">
        <v>110</v>
      </c>
      <c r="E941" s="5" t="s">
        <v>15</v>
      </c>
      <c r="F941" s="8"/>
      <c r="G941" s="9">
        <f>H941*(1-15%)*(1-F941)</f>
        <v>56.015000000000001</v>
      </c>
      <c r="H941" s="9">
        <v>65.900000000000006</v>
      </c>
      <c r="I941" s="9">
        <f>H941-G941</f>
        <v>9.8850000000000051</v>
      </c>
    </row>
    <row r="942" ht="14.25">
      <c r="A942" s="5">
        <v>51174</v>
      </c>
      <c r="B942" s="6" t="s">
        <v>993</v>
      </c>
      <c r="C942" s="7" t="s">
        <v>109</v>
      </c>
      <c r="D942" s="7" t="s">
        <v>110</v>
      </c>
      <c r="E942" s="5" t="s">
        <v>26</v>
      </c>
      <c r="F942" s="8"/>
      <c r="G942" s="9">
        <f>H942*(1-15%)*(1-F942)</f>
        <v>57.715000000000003</v>
      </c>
      <c r="H942" s="9">
        <v>67.900000000000006</v>
      </c>
      <c r="I942" s="9">
        <f>H942-G942</f>
        <v>10.185000000000002</v>
      </c>
    </row>
    <row r="943" ht="14.25">
      <c r="A943" s="5">
        <v>51175</v>
      </c>
      <c r="B943" s="6" t="s">
        <v>994</v>
      </c>
      <c r="C943" s="7" t="s">
        <v>109</v>
      </c>
      <c r="D943" s="7" t="s">
        <v>110</v>
      </c>
      <c r="E943" s="5" t="s">
        <v>26</v>
      </c>
      <c r="F943" s="8"/>
      <c r="G943" s="9">
        <f>H943*(1-15%)*(1-F943)</f>
        <v>57.715000000000003</v>
      </c>
      <c r="H943" s="9">
        <v>67.900000000000006</v>
      </c>
      <c r="I943" s="9">
        <f>H943-G943</f>
        <v>10.185000000000002</v>
      </c>
    </row>
    <row r="944" ht="14.25">
      <c r="A944" s="5">
        <v>51176</v>
      </c>
      <c r="B944" s="6" t="s">
        <v>995</v>
      </c>
      <c r="C944" s="7" t="s">
        <v>109</v>
      </c>
      <c r="D944" s="7" t="s">
        <v>110</v>
      </c>
      <c r="E944" s="5" t="s">
        <v>39</v>
      </c>
      <c r="F944" s="8"/>
      <c r="G944" s="9">
        <f>H944*(1-15%)*(1-F944)</f>
        <v>55.165000000000006</v>
      </c>
      <c r="H944" s="9">
        <v>64.900000000000006</v>
      </c>
      <c r="I944" s="9">
        <f>H944-G944</f>
        <v>9.7349999999999994</v>
      </c>
    </row>
    <row r="945" ht="14.25">
      <c r="A945" s="5">
        <v>51177</v>
      </c>
      <c r="B945" s="6" t="s">
        <v>996</v>
      </c>
      <c r="C945" s="7" t="s">
        <v>109</v>
      </c>
      <c r="D945" s="7" t="s">
        <v>110</v>
      </c>
      <c r="E945" s="5" t="s">
        <v>26</v>
      </c>
      <c r="F945" s="8"/>
      <c r="G945" s="9">
        <f>H945*(1-15%)*(1-F945)</f>
        <v>57.715000000000003</v>
      </c>
      <c r="H945" s="9">
        <v>67.900000000000006</v>
      </c>
      <c r="I945" s="9">
        <f>H945-G945</f>
        <v>10.185000000000002</v>
      </c>
    </row>
    <row r="946" ht="14.25">
      <c r="A946" s="5">
        <v>51178</v>
      </c>
      <c r="B946" s="6" t="s">
        <v>997</v>
      </c>
      <c r="C946" s="7" t="s">
        <v>109</v>
      </c>
      <c r="D946" s="7" t="s">
        <v>110</v>
      </c>
      <c r="E946" s="5" t="s">
        <v>26</v>
      </c>
      <c r="F946" s="8"/>
      <c r="G946" s="9">
        <f>H946*(1-15%)*(1-F946)</f>
        <v>57.715000000000003</v>
      </c>
      <c r="H946" s="9">
        <v>67.900000000000006</v>
      </c>
      <c r="I946" s="9">
        <f>H946-G946</f>
        <v>10.185000000000002</v>
      </c>
    </row>
    <row r="947" ht="14.25">
      <c r="A947" s="5">
        <v>51180</v>
      </c>
      <c r="B947" s="6" t="s">
        <v>998</v>
      </c>
      <c r="C947" s="7" t="s">
        <v>109</v>
      </c>
      <c r="D947" s="7" t="s">
        <v>110</v>
      </c>
      <c r="E947" s="5" t="s">
        <v>15</v>
      </c>
      <c r="F947" s="8"/>
      <c r="G947" s="9">
        <f>H947*(1-15%)*(1-F947)</f>
        <v>56.015000000000001</v>
      </c>
      <c r="H947" s="9">
        <v>65.900000000000006</v>
      </c>
      <c r="I947" s="9">
        <f>H947-G947</f>
        <v>9.8850000000000051</v>
      </c>
    </row>
    <row r="948" ht="14.25">
      <c r="A948" s="5">
        <v>51181</v>
      </c>
      <c r="B948" s="6" t="s">
        <v>999</v>
      </c>
      <c r="C948" s="7" t="s">
        <v>109</v>
      </c>
      <c r="D948" s="7" t="s">
        <v>110</v>
      </c>
      <c r="E948" s="5" t="s">
        <v>26</v>
      </c>
      <c r="F948" s="8"/>
      <c r="G948" s="9">
        <f>H948*(1-15%)*(1-F948)</f>
        <v>57.715000000000003</v>
      </c>
      <c r="H948" s="9">
        <v>67.900000000000006</v>
      </c>
      <c r="I948" s="9">
        <f>H948-G948</f>
        <v>10.185000000000002</v>
      </c>
    </row>
    <row r="949" ht="14.25">
      <c r="A949" s="5">
        <v>51182</v>
      </c>
      <c r="B949" s="6" t="s">
        <v>1000</v>
      </c>
      <c r="C949" s="7" t="s">
        <v>109</v>
      </c>
      <c r="D949" s="7" t="s">
        <v>110</v>
      </c>
      <c r="E949" s="5" t="s">
        <v>26</v>
      </c>
      <c r="F949" s="8"/>
      <c r="G949" s="9">
        <f>H949*(1-15%)*(1-F949)</f>
        <v>57.715000000000003</v>
      </c>
      <c r="H949" s="9">
        <v>67.900000000000006</v>
      </c>
      <c r="I949" s="9">
        <f>H949-G949</f>
        <v>10.185000000000002</v>
      </c>
    </row>
    <row r="950" ht="14.25">
      <c r="A950" s="5">
        <v>51183</v>
      </c>
      <c r="B950" s="6" t="s">
        <v>1001</v>
      </c>
      <c r="C950" s="7" t="s">
        <v>109</v>
      </c>
      <c r="D950" s="7" t="s">
        <v>110</v>
      </c>
      <c r="E950" s="5" t="s">
        <v>15</v>
      </c>
      <c r="F950" s="8"/>
      <c r="G950" s="9">
        <f>H950*(1-15%)*(1-F950)</f>
        <v>56.015000000000001</v>
      </c>
      <c r="H950" s="9">
        <v>65.900000000000006</v>
      </c>
      <c r="I950" s="9">
        <f>H950-G950</f>
        <v>9.8850000000000051</v>
      </c>
    </row>
    <row r="951" ht="14.25">
      <c r="A951" s="5">
        <v>51184</v>
      </c>
      <c r="B951" s="6" t="s">
        <v>1002</v>
      </c>
      <c r="C951" s="7" t="s">
        <v>109</v>
      </c>
      <c r="D951" s="7" t="s">
        <v>110</v>
      </c>
      <c r="E951" s="5" t="s">
        <v>39</v>
      </c>
      <c r="F951" s="8"/>
      <c r="G951" s="9">
        <f>H951*(1-15%)*(1-F951)</f>
        <v>55.165000000000006</v>
      </c>
      <c r="H951" s="9">
        <v>64.900000000000006</v>
      </c>
      <c r="I951" s="9">
        <f>H951-G951</f>
        <v>9.7349999999999994</v>
      </c>
    </row>
    <row r="952" ht="14.25">
      <c r="A952" s="5">
        <v>51185</v>
      </c>
      <c r="B952" s="6" t="s">
        <v>1003</v>
      </c>
      <c r="C952" s="7" t="s">
        <v>109</v>
      </c>
      <c r="D952" s="7" t="s">
        <v>110</v>
      </c>
      <c r="E952" s="5" t="s">
        <v>39</v>
      </c>
      <c r="F952" s="8"/>
      <c r="G952" s="9">
        <f>H952*(1-15%)*(1-F952)</f>
        <v>55.165000000000006</v>
      </c>
      <c r="H952" s="9">
        <v>64.900000000000006</v>
      </c>
      <c r="I952" s="9">
        <f>H952-G952</f>
        <v>9.7349999999999994</v>
      </c>
    </row>
    <row r="953" ht="14.25">
      <c r="A953" s="5">
        <v>51740</v>
      </c>
      <c r="B953" s="6" t="s">
        <v>1004</v>
      </c>
      <c r="C953" s="7" t="s">
        <v>75</v>
      </c>
      <c r="D953" s="7" t="s">
        <v>95</v>
      </c>
      <c r="E953" s="5" t="s">
        <v>26</v>
      </c>
      <c r="F953" s="8"/>
      <c r="G953" s="9">
        <f>H953*(1-15%)*(1-F953)</f>
        <v>36.464999999999996</v>
      </c>
      <c r="H953" s="9">
        <v>42.899999999999999</v>
      </c>
      <c r="I953" s="9">
        <f>H953-G953</f>
        <v>6.4350000000000023</v>
      </c>
    </row>
    <row r="954" ht="14.25">
      <c r="A954" s="5">
        <v>51741</v>
      </c>
      <c r="B954" s="6" t="s">
        <v>1005</v>
      </c>
      <c r="C954" s="7" t="s">
        <v>75</v>
      </c>
      <c r="D954" s="7" t="s">
        <v>95</v>
      </c>
      <c r="E954" s="5" t="s">
        <v>26</v>
      </c>
      <c r="F954" s="8"/>
      <c r="G954" s="9">
        <f>H954*(1-15%)*(1-F954)</f>
        <v>38.164999999999999</v>
      </c>
      <c r="H954" s="9">
        <v>44.899999999999999</v>
      </c>
      <c r="I954" s="9">
        <f>H954-G954</f>
        <v>6.7349999999999994</v>
      </c>
    </row>
    <row r="955" ht="14.25">
      <c r="A955" s="5">
        <v>52589</v>
      </c>
      <c r="B955" s="6" t="s">
        <v>1006</v>
      </c>
      <c r="C955" s="7" t="s">
        <v>33</v>
      </c>
      <c r="D955" s="7" t="s">
        <v>45</v>
      </c>
      <c r="E955" s="5" t="s">
        <v>39</v>
      </c>
      <c r="F955" s="8"/>
      <c r="G955" s="9">
        <f>H955*(1-15%)*(1-F955)</f>
        <v>84.915000000000006</v>
      </c>
      <c r="H955" s="9">
        <v>99.900000000000006</v>
      </c>
      <c r="I955" s="9">
        <f>H955-G955</f>
        <v>14.984999999999999</v>
      </c>
    </row>
    <row r="956" ht="14.25">
      <c r="A956" s="5">
        <v>52591</v>
      </c>
      <c r="B956" s="6" t="s">
        <v>1007</v>
      </c>
      <c r="C956" s="7" t="s">
        <v>33</v>
      </c>
      <c r="D956" s="7" t="s">
        <v>45</v>
      </c>
      <c r="E956" s="5" t="s">
        <v>68</v>
      </c>
      <c r="F956" s="8"/>
      <c r="G956" s="9">
        <f>H956*(1-15%)*(1-F956)</f>
        <v>84.915000000000006</v>
      </c>
      <c r="H956" s="9">
        <v>99.900000000000006</v>
      </c>
      <c r="I956" s="9">
        <f>H956-G956</f>
        <v>14.984999999999999</v>
      </c>
    </row>
    <row r="957" ht="14.25">
      <c r="A957" s="5">
        <v>52867</v>
      </c>
      <c r="B957" s="6" t="s">
        <v>1008</v>
      </c>
      <c r="C957" s="7" t="s">
        <v>109</v>
      </c>
      <c r="D957" s="7" t="s">
        <v>110</v>
      </c>
      <c r="E957" s="5" t="s">
        <v>15</v>
      </c>
      <c r="F957" s="8"/>
      <c r="G957" s="9">
        <f>H957*(1-15%)*(1-F957)</f>
        <v>56.015000000000001</v>
      </c>
      <c r="H957" s="9">
        <v>65.900000000000006</v>
      </c>
      <c r="I957" s="9">
        <f>H957-G957</f>
        <v>9.8850000000000051</v>
      </c>
    </row>
    <row r="958" ht="14.25">
      <c r="A958" s="5">
        <v>53753</v>
      </c>
      <c r="B958" s="6" t="s">
        <v>1009</v>
      </c>
      <c r="C958" s="7" t="s">
        <v>17</v>
      </c>
      <c r="D958" s="7" t="s">
        <v>183</v>
      </c>
      <c r="E958" s="5" t="s">
        <v>15</v>
      </c>
      <c r="F958" s="8"/>
      <c r="G958" s="9">
        <f>H958*(1-15%)*(1-F958)</f>
        <v>46.664999999999999</v>
      </c>
      <c r="H958" s="9">
        <v>54.899999999999999</v>
      </c>
      <c r="I958" s="9">
        <f>H958-G958</f>
        <v>8.2349999999999994</v>
      </c>
    </row>
    <row r="959" ht="14.25">
      <c r="A959" s="5">
        <v>52616</v>
      </c>
      <c r="B959" s="6" t="s">
        <v>1010</v>
      </c>
      <c r="C959" s="7" t="s">
        <v>75</v>
      </c>
      <c r="D959" s="7" t="s">
        <v>95</v>
      </c>
      <c r="E959" s="5" t="s">
        <v>26</v>
      </c>
      <c r="F959" s="8"/>
      <c r="G959" s="9">
        <f>H959*(1-15%)*(1-F959)</f>
        <v>46.664999999999999</v>
      </c>
      <c r="H959" s="9">
        <v>54.899999999999999</v>
      </c>
      <c r="I959" s="9">
        <f>H959-G959</f>
        <v>8.2349999999999994</v>
      </c>
    </row>
    <row r="960" ht="14.25">
      <c r="A960" s="5">
        <v>52613</v>
      </c>
      <c r="B960" s="6" t="s">
        <v>1011</v>
      </c>
      <c r="C960" s="7" t="s">
        <v>75</v>
      </c>
      <c r="D960" s="7" t="s">
        <v>95</v>
      </c>
      <c r="E960" s="5" t="s">
        <v>26</v>
      </c>
      <c r="F960" s="8"/>
      <c r="G960" s="9">
        <f>H960*(1-15%)*(1-F960)</f>
        <v>44.964999999999996</v>
      </c>
      <c r="H960" s="9">
        <v>52.899999999999999</v>
      </c>
      <c r="I960" s="9">
        <f>H960-G960</f>
        <v>7.9350000000000023</v>
      </c>
    </row>
    <row r="961" ht="14.25">
      <c r="A961" s="5">
        <v>84049</v>
      </c>
      <c r="B961" s="6" t="s">
        <v>1012</v>
      </c>
      <c r="C961" s="7" t="s">
        <v>82</v>
      </c>
      <c r="D961" s="7" t="s">
        <v>61</v>
      </c>
      <c r="E961" s="5" t="s">
        <v>26</v>
      </c>
      <c r="F961" s="8"/>
      <c r="G961" s="9">
        <f>H961*(1-15%)*(1-F961)</f>
        <v>41.564999999999998</v>
      </c>
      <c r="H961" s="9">
        <v>48.899999999999999</v>
      </c>
      <c r="I961" s="9">
        <f>H961-G961</f>
        <v>7.3350000000000009</v>
      </c>
    </row>
    <row r="962" ht="14.25">
      <c r="A962" s="5">
        <v>2094</v>
      </c>
      <c r="B962" s="6" t="s">
        <v>1013</v>
      </c>
      <c r="C962" s="7" t="s">
        <v>271</v>
      </c>
      <c r="D962" s="7" t="s">
        <v>110</v>
      </c>
      <c r="E962" s="5" t="s">
        <v>68</v>
      </c>
      <c r="F962" s="8"/>
      <c r="G962" s="9">
        <f>H962*(1-15%)*(1-F962)</f>
        <v>16.064999999999998</v>
      </c>
      <c r="H962" s="9">
        <v>18.899999999999999</v>
      </c>
      <c r="I962" s="9">
        <f>H962-G962</f>
        <v>2.8350000000000009</v>
      </c>
    </row>
    <row r="963" ht="14.25">
      <c r="A963" s="5">
        <v>2100</v>
      </c>
      <c r="B963" s="6" t="s">
        <v>1014</v>
      </c>
      <c r="C963" s="7" t="s">
        <v>271</v>
      </c>
      <c r="D963" s="7" t="s">
        <v>110</v>
      </c>
      <c r="E963" s="5" t="s">
        <v>68</v>
      </c>
      <c r="F963" s="8"/>
      <c r="G963" s="9">
        <f>H963*(1-15%)*(1-F963)</f>
        <v>16.064999999999998</v>
      </c>
      <c r="H963" s="9">
        <v>18.899999999999999</v>
      </c>
      <c r="I963" s="9">
        <f>H963-G963</f>
        <v>2.8350000000000009</v>
      </c>
    </row>
    <row r="964" ht="14.25">
      <c r="A964" s="5">
        <v>2150</v>
      </c>
      <c r="B964" s="6" t="s">
        <v>1015</v>
      </c>
      <c r="C964" s="7" t="s">
        <v>271</v>
      </c>
      <c r="D964" s="7" t="s">
        <v>110</v>
      </c>
      <c r="E964" s="5" t="s">
        <v>68</v>
      </c>
      <c r="F964" s="8"/>
      <c r="G964" s="9">
        <f>H964*(1-15%)*(1-F964)</f>
        <v>16.064999999999998</v>
      </c>
      <c r="H964" s="9">
        <v>18.899999999999999</v>
      </c>
      <c r="I964" s="9">
        <f>H964-G964</f>
        <v>2.8350000000000009</v>
      </c>
    </row>
    <row r="965" ht="14.25">
      <c r="A965" s="5">
        <v>2186</v>
      </c>
      <c r="B965" s="6" t="s">
        <v>1016</v>
      </c>
      <c r="C965" s="7" t="s">
        <v>271</v>
      </c>
      <c r="D965" s="7" t="s">
        <v>110</v>
      </c>
      <c r="E965" s="5" t="s">
        <v>68</v>
      </c>
      <c r="F965" s="8"/>
      <c r="G965" s="9">
        <f>H965*(1-15%)*(1-F965)</f>
        <v>16.064999999999998</v>
      </c>
      <c r="H965" s="9">
        <v>18.899999999999999</v>
      </c>
      <c r="I965" s="9">
        <f>H965-G965</f>
        <v>2.8350000000000009</v>
      </c>
    </row>
    <row r="966" ht="14.25">
      <c r="A966" s="5">
        <v>2192</v>
      </c>
      <c r="B966" s="6" t="s">
        <v>1017</v>
      </c>
      <c r="C966" s="7" t="s">
        <v>271</v>
      </c>
      <c r="D966" s="7" t="s">
        <v>110</v>
      </c>
      <c r="E966" s="5" t="s">
        <v>68</v>
      </c>
      <c r="F966" s="8"/>
      <c r="G966" s="9">
        <f>H966*(1-15%)*(1-F966)</f>
        <v>16.064999999999998</v>
      </c>
      <c r="H966" s="9">
        <v>18.899999999999999</v>
      </c>
      <c r="I966" s="9">
        <f>H966-G966</f>
        <v>2.8350000000000009</v>
      </c>
    </row>
    <row r="967" ht="14.25">
      <c r="A967" s="5">
        <v>2215</v>
      </c>
      <c r="B967" s="6" t="s">
        <v>1018</v>
      </c>
      <c r="C967" s="7" t="s">
        <v>271</v>
      </c>
      <c r="D967" s="7" t="s">
        <v>110</v>
      </c>
      <c r="E967" s="5" t="s">
        <v>68</v>
      </c>
      <c r="F967" s="8"/>
      <c r="G967" s="9">
        <f>H967*(1-15%)*(1-F967)</f>
        <v>16.064999999999998</v>
      </c>
      <c r="H967" s="9">
        <v>18.899999999999999</v>
      </c>
      <c r="I967" s="9">
        <f>H967-G967</f>
        <v>2.8350000000000009</v>
      </c>
    </row>
    <row r="968" ht="14.25">
      <c r="A968" s="5">
        <v>2239</v>
      </c>
      <c r="B968" s="6" t="s">
        <v>1019</v>
      </c>
      <c r="C968" s="7" t="s">
        <v>271</v>
      </c>
      <c r="D968" s="7" t="s">
        <v>110</v>
      </c>
      <c r="E968" s="5" t="s">
        <v>68</v>
      </c>
      <c r="F968" s="8"/>
      <c r="G968" s="9">
        <f>H968*(1-15%)*(1-F968)</f>
        <v>29.664999999999999</v>
      </c>
      <c r="H968" s="9">
        <v>34.899999999999999</v>
      </c>
      <c r="I968" s="9">
        <f>H968-G968</f>
        <v>5.2349999999999994</v>
      </c>
    </row>
    <row r="969" ht="14.25">
      <c r="A969" s="5">
        <v>2240</v>
      </c>
      <c r="B969" s="6" t="s">
        <v>1020</v>
      </c>
      <c r="C969" s="7" t="s">
        <v>271</v>
      </c>
      <c r="D969" s="7" t="s">
        <v>110</v>
      </c>
      <c r="E969" s="5" t="s">
        <v>68</v>
      </c>
      <c r="F969" s="8"/>
      <c r="G969" s="9">
        <f>H969*(1-15%)*(1-F969)</f>
        <v>29.664999999999999</v>
      </c>
      <c r="H969" s="9">
        <v>34.899999999999999</v>
      </c>
      <c r="I969" s="9">
        <f>H969-G969</f>
        <v>5.2349999999999994</v>
      </c>
    </row>
    <row r="970" ht="14.25">
      <c r="A970" s="5">
        <v>2252</v>
      </c>
      <c r="B970" s="6" t="s">
        <v>1021</v>
      </c>
      <c r="C970" s="7" t="s">
        <v>271</v>
      </c>
      <c r="D970" s="7" t="s">
        <v>110</v>
      </c>
      <c r="E970" s="5" t="s">
        <v>68</v>
      </c>
      <c r="F970" s="8"/>
      <c r="G970" s="9">
        <f>H970*(1-15%)*(1-F970)</f>
        <v>29.664999999999999</v>
      </c>
      <c r="H970" s="9">
        <v>34.899999999999999</v>
      </c>
      <c r="I970" s="9">
        <f>H970-G970</f>
        <v>5.2349999999999994</v>
      </c>
    </row>
    <row r="971" ht="14.25">
      <c r="A971" s="5">
        <v>2256</v>
      </c>
      <c r="B971" s="6" t="s">
        <v>1022</v>
      </c>
      <c r="C971" s="7" t="s">
        <v>271</v>
      </c>
      <c r="D971" s="7" t="s">
        <v>110</v>
      </c>
      <c r="E971" s="5" t="s">
        <v>68</v>
      </c>
      <c r="F971" s="8"/>
      <c r="G971" s="9">
        <f>H971*(1-15%)*(1-F971)</f>
        <v>29.664999999999999</v>
      </c>
      <c r="H971" s="9">
        <v>34.899999999999999</v>
      </c>
      <c r="I971" s="9">
        <f>H971-G971</f>
        <v>5.2349999999999994</v>
      </c>
    </row>
    <row r="972" ht="14.25">
      <c r="A972" s="5">
        <v>2257</v>
      </c>
      <c r="B972" s="6" t="s">
        <v>1023</v>
      </c>
      <c r="C972" s="7" t="s">
        <v>271</v>
      </c>
      <c r="D972" s="7" t="s">
        <v>110</v>
      </c>
      <c r="E972" s="5" t="s">
        <v>68</v>
      </c>
      <c r="F972" s="8"/>
      <c r="G972" s="9">
        <f>H972*(1-15%)*(1-F972)</f>
        <v>29.664999999999999</v>
      </c>
      <c r="H972" s="9">
        <v>34.899999999999999</v>
      </c>
      <c r="I972" s="9">
        <f>H972-G972</f>
        <v>5.2349999999999994</v>
      </c>
    </row>
    <row r="973" ht="14.25">
      <c r="A973" s="5">
        <v>2258</v>
      </c>
      <c r="B973" s="6" t="s">
        <v>1024</v>
      </c>
      <c r="C973" s="7" t="s">
        <v>271</v>
      </c>
      <c r="D973" s="7" t="s">
        <v>110</v>
      </c>
      <c r="E973" s="5" t="s">
        <v>68</v>
      </c>
      <c r="F973" s="8"/>
      <c r="G973" s="9">
        <f>H973*(1-15%)*(1-F973)</f>
        <v>29.664999999999999</v>
      </c>
      <c r="H973" s="9">
        <v>34.899999999999999</v>
      </c>
      <c r="I973" s="9">
        <f>H973-G973</f>
        <v>5.2349999999999994</v>
      </c>
    </row>
    <row r="974" ht="14.25">
      <c r="A974" s="5">
        <v>2259</v>
      </c>
      <c r="B974" s="6" t="s">
        <v>1025</v>
      </c>
      <c r="C974" s="7" t="s">
        <v>271</v>
      </c>
      <c r="D974" s="7" t="s">
        <v>110</v>
      </c>
      <c r="E974" s="5" t="s">
        <v>68</v>
      </c>
      <c r="F974" s="8"/>
      <c r="G974" s="9">
        <f>H974*(1-15%)*(1-F974)</f>
        <v>29.664999999999999</v>
      </c>
      <c r="H974" s="9">
        <v>34.899999999999999</v>
      </c>
      <c r="I974" s="9">
        <f>H974-G974</f>
        <v>5.2349999999999994</v>
      </c>
    </row>
    <row r="975" ht="14.25">
      <c r="A975" s="5">
        <v>2260</v>
      </c>
      <c r="B975" s="6" t="s">
        <v>1026</v>
      </c>
      <c r="C975" s="7" t="s">
        <v>271</v>
      </c>
      <c r="D975" s="7" t="s">
        <v>110</v>
      </c>
      <c r="E975" s="5" t="s">
        <v>68</v>
      </c>
      <c r="F975" s="8"/>
      <c r="G975" s="9">
        <f>H975*(1-15%)*(1-F975)</f>
        <v>29.664999999999999</v>
      </c>
      <c r="H975" s="9">
        <v>34.899999999999999</v>
      </c>
      <c r="I975" s="9">
        <f>H975-G975</f>
        <v>5.2349999999999994</v>
      </c>
    </row>
    <row r="976" ht="14.25">
      <c r="A976" s="5">
        <v>2274</v>
      </c>
      <c r="B976" s="6" t="s">
        <v>1027</v>
      </c>
      <c r="C976" s="7" t="s">
        <v>271</v>
      </c>
      <c r="D976" s="7" t="s">
        <v>110</v>
      </c>
      <c r="E976" s="5" t="s">
        <v>68</v>
      </c>
      <c r="F976" s="8"/>
      <c r="G976" s="9">
        <f>H976*(1-15%)*(1-F976)</f>
        <v>29.664999999999999</v>
      </c>
      <c r="H976" s="9">
        <v>34.899999999999999</v>
      </c>
      <c r="I976" s="9">
        <f>H976-G976</f>
        <v>5.2349999999999994</v>
      </c>
    </row>
    <row r="977" ht="14.25">
      <c r="A977" s="5">
        <v>2276</v>
      </c>
      <c r="B977" s="6" t="s">
        <v>1028</v>
      </c>
      <c r="C977" s="7" t="s">
        <v>271</v>
      </c>
      <c r="D977" s="7" t="s">
        <v>110</v>
      </c>
      <c r="E977" s="5" t="s">
        <v>68</v>
      </c>
      <c r="F977" s="8"/>
      <c r="G977" s="9">
        <f>H977*(1-15%)*(1-F977)</f>
        <v>29.664999999999999</v>
      </c>
      <c r="H977" s="9">
        <v>34.899999999999999</v>
      </c>
      <c r="I977" s="9">
        <f>H977-G977</f>
        <v>5.2349999999999994</v>
      </c>
    </row>
    <row r="978" ht="14.25">
      <c r="A978" s="5">
        <v>2285</v>
      </c>
      <c r="B978" s="6" t="s">
        <v>1029</v>
      </c>
      <c r="C978" s="7" t="s">
        <v>271</v>
      </c>
      <c r="D978" s="7" t="s">
        <v>110</v>
      </c>
      <c r="E978" s="5" t="s">
        <v>68</v>
      </c>
      <c r="F978" s="8"/>
      <c r="G978" s="9">
        <f>H978*(1-15%)*(1-F978)</f>
        <v>29.664999999999999</v>
      </c>
      <c r="H978" s="9">
        <v>34.899999999999999</v>
      </c>
      <c r="I978" s="9">
        <f>H978-G978</f>
        <v>5.2349999999999994</v>
      </c>
    </row>
    <row r="979" ht="14.25">
      <c r="A979" s="5">
        <v>2286</v>
      </c>
      <c r="B979" s="6" t="s">
        <v>1030</v>
      </c>
      <c r="C979" s="7" t="s">
        <v>271</v>
      </c>
      <c r="D979" s="7" t="s">
        <v>110</v>
      </c>
      <c r="E979" s="5" t="s">
        <v>68</v>
      </c>
      <c r="F979" s="8"/>
      <c r="G979" s="9">
        <f>H979*(1-15%)*(1-F979)</f>
        <v>29.664999999999999</v>
      </c>
      <c r="H979" s="9">
        <v>34.899999999999999</v>
      </c>
      <c r="I979" s="9">
        <f>H979-G979</f>
        <v>5.2349999999999994</v>
      </c>
    </row>
    <row r="980" ht="14.25">
      <c r="A980" s="5">
        <v>2483</v>
      </c>
      <c r="B980" s="6" t="s">
        <v>1031</v>
      </c>
      <c r="C980" s="7" t="s">
        <v>271</v>
      </c>
      <c r="D980" s="7" t="s">
        <v>110</v>
      </c>
      <c r="E980" s="5" t="s">
        <v>68</v>
      </c>
      <c r="F980" s="8"/>
      <c r="G980" s="9">
        <f>H980*(1-15%)*(1-F980)</f>
        <v>15.214999999999998</v>
      </c>
      <c r="H980" s="9">
        <v>17.899999999999999</v>
      </c>
      <c r="I980" s="9">
        <f>H980-G980</f>
        <v>2.6850000000000005</v>
      </c>
    </row>
    <row r="981" ht="14.25">
      <c r="A981" s="5">
        <v>5128</v>
      </c>
      <c r="B981" s="6" t="s">
        <v>1032</v>
      </c>
      <c r="C981" s="7" t="s">
        <v>94</v>
      </c>
      <c r="D981" s="7" t="s">
        <v>95</v>
      </c>
      <c r="E981" s="5" t="s">
        <v>26</v>
      </c>
      <c r="F981" s="8"/>
      <c r="G981" s="9">
        <f>H981*(1-15%)*(1-F981)</f>
        <v>46.664999999999999</v>
      </c>
      <c r="H981" s="9">
        <v>54.899999999999999</v>
      </c>
      <c r="I981" s="9">
        <f>H981-G981</f>
        <v>8.2349999999999994</v>
      </c>
    </row>
    <row r="982" ht="14.25">
      <c r="A982" s="5">
        <v>50902</v>
      </c>
      <c r="B982" s="6" t="s">
        <v>1033</v>
      </c>
      <c r="C982" s="7" t="s">
        <v>94</v>
      </c>
      <c r="D982" s="7" t="s">
        <v>95</v>
      </c>
      <c r="E982" s="5" t="s">
        <v>43</v>
      </c>
      <c r="F982" s="8"/>
      <c r="G982" s="9">
        <f>H982*(1-15%)*(1-F982)</f>
        <v>59.415000000000006</v>
      </c>
      <c r="H982" s="9">
        <v>69.900000000000006</v>
      </c>
      <c r="I982" s="9">
        <f>H982-G982</f>
        <v>10.484999999999999</v>
      </c>
    </row>
    <row r="983" ht="14.25">
      <c r="A983" s="5">
        <v>51953</v>
      </c>
      <c r="B983" s="6" t="s">
        <v>1034</v>
      </c>
      <c r="C983" s="7" t="s">
        <v>271</v>
      </c>
      <c r="D983" s="7" t="s">
        <v>110</v>
      </c>
      <c r="E983" s="5" t="s">
        <v>68</v>
      </c>
      <c r="F983" s="8"/>
      <c r="G983" s="9">
        <f>H983*(1-15%)*(1-F983)</f>
        <v>29.664999999999999</v>
      </c>
      <c r="H983" s="9">
        <v>34.899999999999999</v>
      </c>
      <c r="I983" s="9">
        <f>H983-G983</f>
        <v>5.2349999999999994</v>
      </c>
    </row>
    <row r="984" ht="14.25">
      <c r="A984" s="5">
        <v>53074</v>
      </c>
      <c r="B984" s="6" t="s">
        <v>1035</v>
      </c>
      <c r="C984" s="7" t="s">
        <v>10</v>
      </c>
      <c r="D984" s="7" t="s">
        <v>71</v>
      </c>
      <c r="E984" s="5" t="s">
        <v>26</v>
      </c>
      <c r="F984" s="8"/>
      <c r="G984" s="9">
        <f>H984*(1-15%)*(1-F984)</f>
        <v>33.914999999999999</v>
      </c>
      <c r="H984" s="9">
        <v>39.899999999999999</v>
      </c>
      <c r="I984" s="9">
        <f>H984-G984</f>
        <v>5.9849999999999994</v>
      </c>
    </row>
    <row r="985" ht="14.25">
      <c r="A985" s="5">
        <v>82859</v>
      </c>
      <c r="B985" s="6" t="s">
        <v>1036</v>
      </c>
      <c r="C985" s="7" t="s">
        <v>94</v>
      </c>
      <c r="D985" s="7" t="s">
        <v>95</v>
      </c>
      <c r="E985" s="5" t="s">
        <v>26</v>
      </c>
      <c r="F985" s="8"/>
      <c r="G985" s="9">
        <f>H985*(1-15%)*(1-F985)</f>
        <v>40.714999999999996</v>
      </c>
      <c r="H985" s="9">
        <v>47.899999999999999</v>
      </c>
      <c r="I985" s="9">
        <f>H985-G985</f>
        <v>7.1850000000000023</v>
      </c>
    </row>
    <row r="986" ht="14.25">
      <c r="A986" s="5">
        <v>82873</v>
      </c>
      <c r="B986" s="6" t="s">
        <v>1037</v>
      </c>
      <c r="C986" s="7" t="s">
        <v>94</v>
      </c>
      <c r="D986" s="7" t="s">
        <v>95</v>
      </c>
      <c r="E986" s="5" t="s">
        <v>43</v>
      </c>
      <c r="F986" s="8"/>
      <c r="G986" s="9">
        <f>H986*(1-15%)*(1-F986)</f>
        <v>42.414999999999999</v>
      </c>
      <c r="H986" s="9">
        <v>49.899999999999999</v>
      </c>
      <c r="I986" s="9">
        <f>H986-G986</f>
        <v>7.4849999999999994</v>
      </c>
    </row>
    <row r="987" ht="14.25">
      <c r="A987" s="5">
        <v>82874</v>
      </c>
      <c r="B987" s="6" t="s">
        <v>1038</v>
      </c>
      <c r="C987" s="7" t="s">
        <v>94</v>
      </c>
      <c r="D987" s="7" t="s">
        <v>95</v>
      </c>
      <c r="E987" s="5" t="s">
        <v>68</v>
      </c>
      <c r="F987" s="8"/>
      <c r="G987" s="9">
        <f>H987*(1-15%)*(1-F987)</f>
        <v>49.214999999999996</v>
      </c>
      <c r="H987" s="9">
        <v>57.899999999999999</v>
      </c>
      <c r="I987" s="9">
        <f>H987-G987</f>
        <v>8.6850000000000023</v>
      </c>
    </row>
    <row r="988" ht="14.25">
      <c r="A988" s="5">
        <v>49957</v>
      </c>
      <c r="B988" s="6" t="s">
        <v>1039</v>
      </c>
      <c r="C988" s="7" t="s">
        <v>75</v>
      </c>
      <c r="D988" s="7" t="s">
        <v>45</v>
      </c>
      <c r="E988" s="5" t="s">
        <v>39</v>
      </c>
      <c r="F988" s="8"/>
      <c r="G988" s="9">
        <f>H988*(1-15%)*(1-F988)</f>
        <v>57.715000000000003</v>
      </c>
      <c r="H988" s="9">
        <v>67.900000000000006</v>
      </c>
      <c r="I988" s="9">
        <f>H988-G988</f>
        <v>10.185000000000002</v>
      </c>
    </row>
    <row r="989" ht="14.25">
      <c r="A989" s="5">
        <v>49958</v>
      </c>
      <c r="B989" s="6" t="s">
        <v>1040</v>
      </c>
      <c r="C989" s="7" t="s">
        <v>75</v>
      </c>
      <c r="D989" s="7" t="s">
        <v>45</v>
      </c>
      <c r="E989" s="5" t="s">
        <v>133</v>
      </c>
      <c r="F989" s="8"/>
      <c r="G989" s="9">
        <f>H989*(1-15%)*(1-F989)</f>
        <v>73.865000000000009</v>
      </c>
      <c r="H989" s="9">
        <v>86.900000000000006</v>
      </c>
      <c r="I989" s="9">
        <f>H989-G989</f>
        <v>13.034999999999997</v>
      </c>
    </row>
    <row r="990" ht="14.25">
      <c r="A990" s="5">
        <v>49959</v>
      </c>
      <c r="B990" s="6" t="s">
        <v>1041</v>
      </c>
      <c r="C990" s="7" t="s">
        <v>75</v>
      </c>
      <c r="D990" s="7" t="s">
        <v>45</v>
      </c>
      <c r="E990" s="5" t="s">
        <v>39</v>
      </c>
      <c r="F990" s="8"/>
      <c r="G990" s="9">
        <f>H990*(1-15%)*(1-F990)</f>
        <v>55.165000000000006</v>
      </c>
      <c r="H990" s="9">
        <v>64.900000000000006</v>
      </c>
      <c r="I990" s="9">
        <f>H990-G990</f>
        <v>9.7349999999999994</v>
      </c>
    </row>
    <row r="991" ht="14.25">
      <c r="A991" s="5">
        <v>49963</v>
      </c>
      <c r="B991" s="6" t="s">
        <v>1042</v>
      </c>
      <c r="C991" s="7" t="s">
        <v>75</v>
      </c>
      <c r="D991" s="7" t="s">
        <v>103</v>
      </c>
      <c r="E991" s="5" t="s">
        <v>68</v>
      </c>
      <c r="F991" s="8"/>
      <c r="G991" s="9">
        <f>H991*(1-15%)*(1-F991)</f>
        <v>49.214999999999996</v>
      </c>
      <c r="H991" s="9">
        <v>57.899999999999999</v>
      </c>
      <c r="I991" s="9">
        <f>H991-G991</f>
        <v>8.6850000000000023</v>
      </c>
    </row>
    <row r="992" ht="14.25">
      <c r="A992" s="5">
        <v>49964</v>
      </c>
      <c r="B992" s="6" t="s">
        <v>1043</v>
      </c>
      <c r="C992" s="7" t="s">
        <v>75</v>
      </c>
      <c r="D992" s="7" t="s">
        <v>45</v>
      </c>
      <c r="E992" s="5" t="s">
        <v>15</v>
      </c>
      <c r="F992" s="8"/>
      <c r="G992" s="9">
        <f>H992*(1-15%)*(1-F992)</f>
        <v>74.715000000000003</v>
      </c>
      <c r="H992" s="9">
        <v>87.900000000000006</v>
      </c>
      <c r="I992" s="9">
        <f>H992-G992</f>
        <v>13.185000000000002</v>
      </c>
    </row>
    <row r="993" ht="14.25">
      <c r="A993" s="5">
        <v>50446</v>
      </c>
      <c r="B993" s="6" t="s">
        <v>1044</v>
      </c>
      <c r="C993" s="7" t="s">
        <v>271</v>
      </c>
      <c r="D993" s="7" t="s">
        <v>110</v>
      </c>
      <c r="E993" s="5" t="s">
        <v>68</v>
      </c>
      <c r="F993" s="8"/>
      <c r="G993" s="9">
        <f>H993*(1-15%)*(1-F993)</f>
        <v>33.914999999999999</v>
      </c>
      <c r="H993" s="9">
        <v>39.899999999999999</v>
      </c>
      <c r="I993" s="9">
        <f>H993-G993</f>
        <v>5.9849999999999994</v>
      </c>
    </row>
    <row r="994" ht="14.25">
      <c r="A994" s="5">
        <v>50447</v>
      </c>
      <c r="B994" s="6" t="s">
        <v>1045</v>
      </c>
      <c r="C994" s="7" t="s">
        <v>271</v>
      </c>
      <c r="D994" s="7" t="s">
        <v>110</v>
      </c>
      <c r="E994" s="5" t="s">
        <v>68</v>
      </c>
      <c r="F994" s="8"/>
      <c r="G994" s="9">
        <f>H994*(1-15%)*(1-F994)</f>
        <v>33.914999999999999</v>
      </c>
      <c r="H994" s="9">
        <v>39.899999999999999</v>
      </c>
      <c r="I994" s="9">
        <f>H994-G994</f>
        <v>5.9849999999999994</v>
      </c>
    </row>
    <row r="995" ht="14.25">
      <c r="A995" s="5">
        <v>50448</v>
      </c>
      <c r="B995" s="6" t="s">
        <v>1046</v>
      </c>
      <c r="C995" s="7" t="s">
        <v>271</v>
      </c>
      <c r="D995" s="7" t="s">
        <v>110</v>
      </c>
      <c r="E995" s="5" t="s">
        <v>68</v>
      </c>
      <c r="F995" s="8"/>
      <c r="G995" s="9">
        <f>H995*(1-15%)*(1-F995)</f>
        <v>33.914999999999999</v>
      </c>
      <c r="H995" s="9">
        <v>39.899999999999999</v>
      </c>
      <c r="I995" s="9">
        <f>H995-G995</f>
        <v>5.9849999999999994</v>
      </c>
    </row>
    <row r="996" ht="14.25">
      <c r="A996" s="5">
        <v>50449</v>
      </c>
      <c r="B996" s="6" t="s">
        <v>1047</v>
      </c>
      <c r="C996" s="7" t="s">
        <v>271</v>
      </c>
      <c r="D996" s="7" t="s">
        <v>110</v>
      </c>
      <c r="E996" s="5" t="s">
        <v>68</v>
      </c>
      <c r="F996" s="8"/>
      <c r="G996" s="9">
        <f>H996*(1-15%)*(1-F996)</f>
        <v>33.914999999999999</v>
      </c>
      <c r="H996" s="9">
        <v>39.899999999999999</v>
      </c>
      <c r="I996" s="9">
        <f>H996-G996</f>
        <v>5.9849999999999994</v>
      </c>
    </row>
    <row r="997" ht="14.25">
      <c r="A997" s="5">
        <v>51869</v>
      </c>
      <c r="B997" s="6" t="s">
        <v>1048</v>
      </c>
      <c r="C997" s="7" t="s">
        <v>75</v>
      </c>
      <c r="D997" s="7" t="s">
        <v>583</v>
      </c>
      <c r="E997" s="5" t="s">
        <v>15</v>
      </c>
      <c r="F997" s="8"/>
      <c r="G997" s="9">
        <f>H997*(1-15%)*(1-F997)</f>
        <v>80.665000000000006</v>
      </c>
      <c r="H997" s="9">
        <v>94.900000000000006</v>
      </c>
      <c r="I997" s="9">
        <f>H997-G997</f>
        <v>14.234999999999999</v>
      </c>
    </row>
    <row r="998" ht="14.25">
      <c r="A998" s="5">
        <v>52296</v>
      </c>
      <c r="B998" s="6" t="s">
        <v>1049</v>
      </c>
      <c r="C998" s="7" t="s">
        <v>75</v>
      </c>
      <c r="D998" s="7" t="s">
        <v>45</v>
      </c>
      <c r="E998" s="5" t="s">
        <v>15</v>
      </c>
      <c r="F998" s="8"/>
      <c r="G998" s="9">
        <f>H998*(1-15%)*(1-F998)</f>
        <v>55.165000000000006</v>
      </c>
      <c r="H998" s="9">
        <v>64.900000000000006</v>
      </c>
      <c r="I998" s="9">
        <f>H998-G998</f>
        <v>9.7349999999999994</v>
      </c>
    </row>
    <row r="999" ht="14.25">
      <c r="A999" s="5">
        <v>52852</v>
      </c>
      <c r="B999" s="6" t="s">
        <v>1050</v>
      </c>
      <c r="C999" s="7" t="s">
        <v>853</v>
      </c>
      <c r="D999" s="7" t="s">
        <v>52</v>
      </c>
      <c r="E999" s="5" t="s">
        <v>15</v>
      </c>
      <c r="F999" s="8"/>
      <c r="G999" s="9">
        <f>H999*(1-15%)*(1-F999)</f>
        <v>127.41500000000001</v>
      </c>
      <c r="H999" s="9">
        <v>149.90000000000001</v>
      </c>
      <c r="I999" s="9">
        <f>H999-G999</f>
        <v>22.484999999999999</v>
      </c>
    </row>
    <row r="1000" ht="14.25">
      <c r="A1000" s="5">
        <v>52853</v>
      </c>
      <c r="B1000" s="6" t="s">
        <v>1051</v>
      </c>
      <c r="C1000" s="7" t="s">
        <v>853</v>
      </c>
      <c r="D1000" s="7" t="s">
        <v>52</v>
      </c>
      <c r="E1000" s="5" t="s">
        <v>15</v>
      </c>
      <c r="F1000" s="8"/>
      <c r="G1000" s="9">
        <f>H1000*(1-15%)*(1-F1000)</f>
        <v>127.41500000000001</v>
      </c>
      <c r="H1000" s="9">
        <v>149.90000000000001</v>
      </c>
      <c r="I1000" s="9">
        <f>H1000-G1000</f>
        <v>22.484999999999999</v>
      </c>
    </row>
    <row r="1001" ht="14.25">
      <c r="A1001" s="5">
        <v>52856</v>
      </c>
      <c r="B1001" s="6" t="s">
        <v>1052</v>
      </c>
      <c r="C1001" s="7" t="s">
        <v>853</v>
      </c>
      <c r="D1001" s="7" t="s">
        <v>52</v>
      </c>
      <c r="E1001" s="5" t="s">
        <v>68</v>
      </c>
      <c r="F1001" s="8"/>
      <c r="G1001" s="9">
        <f>H1001*(1-15%)*(1-F1001)</f>
        <v>50.914999999999999</v>
      </c>
      <c r="H1001" s="9">
        <v>59.899999999999999</v>
      </c>
      <c r="I1001" s="9">
        <f>H1001-G1001</f>
        <v>8.9849999999999994</v>
      </c>
    </row>
    <row r="1002" ht="14.25">
      <c r="A1002" s="5">
        <v>52857</v>
      </c>
      <c r="B1002" s="6" t="s">
        <v>1053</v>
      </c>
      <c r="C1002" s="7" t="s">
        <v>853</v>
      </c>
      <c r="D1002" s="7" t="s">
        <v>52</v>
      </c>
      <c r="E1002" s="5" t="s">
        <v>15</v>
      </c>
      <c r="F1002" s="8"/>
      <c r="G1002" s="9">
        <f>H1002*(1-15%)*(1-F1002)</f>
        <v>50.914999999999999</v>
      </c>
      <c r="H1002" s="9">
        <v>59.899999999999999</v>
      </c>
      <c r="I1002" s="9">
        <f>H1002-G1002</f>
        <v>8.9849999999999994</v>
      </c>
    </row>
    <row r="1003" ht="14.25">
      <c r="A1003" s="5">
        <v>49925</v>
      </c>
      <c r="B1003" s="6" t="s">
        <v>1054</v>
      </c>
      <c r="C1003" s="7" t="s">
        <v>75</v>
      </c>
      <c r="D1003" s="7" t="s">
        <v>183</v>
      </c>
      <c r="E1003" s="5" t="s">
        <v>15</v>
      </c>
      <c r="F1003" s="8"/>
      <c r="G1003" s="9">
        <f>H1003*(1-15%)*(1-F1003)</f>
        <v>42.414999999999999</v>
      </c>
      <c r="H1003" s="9">
        <v>49.899999999999999</v>
      </c>
      <c r="I1003" s="9">
        <f>H1003-G1003</f>
        <v>7.4849999999999994</v>
      </c>
    </row>
    <row r="1004" ht="14.25">
      <c r="A1004" s="5">
        <v>47299</v>
      </c>
      <c r="B1004" s="6" t="s">
        <v>1055</v>
      </c>
      <c r="C1004" s="7" t="s">
        <v>75</v>
      </c>
      <c r="D1004" s="7" t="s">
        <v>95</v>
      </c>
      <c r="E1004" s="5" t="s">
        <v>26</v>
      </c>
      <c r="F1004" s="8"/>
      <c r="G1004" s="9">
        <f>H1004*(1-15%)*(1-F1004)</f>
        <v>44.964999999999996</v>
      </c>
      <c r="H1004" s="9">
        <v>52.899999999999999</v>
      </c>
      <c r="I1004" s="9">
        <f>H1004-G1004</f>
        <v>7.9350000000000023</v>
      </c>
    </row>
    <row r="1005" ht="14.25">
      <c r="A1005" s="5">
        <v>84487</v>
      </c>
      <c r="B1005" s="6" t="s">
        <v>1056</v>
      </c>
      <c r="C1005" s="7" t="s">
        <v>19</v>
      </c>
      <c r="D1005" s="7" t="s">
        <v>45</v>
      </c>
      <c r="E1005" s="5" t="s">
        <v>68</v>
      </c>
      <c r="F1005" s="8"/>
      <c r="G1005" s="9">
        <f>H1005*(1-15%)*(1-F1005)</f>
        <v>56.865000000000002</v>
      </c>
      <c r="H1005" s="9">
        <v>66.900000000000006</v>
      </c>
      <c r="I1005" s="9">
        <f>H1005-G1005</f>
        <v>10.035000000000004</v>
      </c>
    </row>
    <row r="1006" ht="14.25">
      <c r="A1006" s="5">
        <v>52627</v>
      </c>
      <c r="B1006" s="6" t="s">
        <v>1057</v>
      </c>
      <c r="C1006" s="7" t="s">
        <v>426</v>
      </c>
      <c r="D1006" s="7" t="s">
        <v>219</v>
      </c>
      <c r="E1006" s="5" t="s">
        <v>68</v>
      </c>
      <c r="F1006" s="8"/>
      <c r="G1006" s="9">
        <f>H1006*(1-15%)*(1-F1006)</f>
        <v>40.714999999999996</v>
      </c>
      <c r="H1006" s="9">
        <v>47.899999999999999</v>
      </c>
      <c r="I1006" s="9">
        <f>H1006-G1006</f>
        <v>7.1850000000000023</v>
      </c>
    </row>
    <row r="1007" ht="14.25">
      <c r="A1007" s="5">
        <v>52628</v>
      </c>
      <c r="B1007" s="6" t="s">
        <v>1058</v>
      </c>
      <c r="C1007" s="7" t="s">
        <v>426</v>
      </c>
      <c r="D1007" s="7" t="s">
        <v>219</v>
      </c>
      <c r="E1007" s="5" t="s">
        <v>43</v>
      </c>
      <c r="F1007" s="8"/>
      <c r="G1007" s="9">
        <f>H1007*(1-15%)*(1-F1007)</f>
        <v>106.16500000000001</v>
      </c>
      <c r="H1007" s="9">
        <v>124.90000000000001</v>
      </c>
      <c r="I1007" s="9">
        <f>H1007-G1007</f>
        <v>18.734999999999999</v>
      </c>
    </row>
    <row r="1008" ht="14.25">
      <c r="A1008" s="5">
        <v>52629</v>
      </c>
      <c r="B1008" s="6" t="s">
        <v>1059</v>
      </c>
      <c r="C1008" s="7" t="s">
        <v>426</v>
      </c>
      <c r="D1008" s="7" t="s">
        <v>219</v>
      </c>
      <c r="E1008" s="5" t="s">
        <v>68</v>
      </c>
      <c r="F1008" s="8"/>
      <c r="G1008" s="9">
        <f>H1008*(1-15%)*(1-F1008)</f>
        <v>83.215000000000003</v>
      </c>
      <c r="H1008" s="9">
        <v>97.900000000000006</v>
      </c>
      <c r="I1008" s="9">
        <f>H1008-G1008</f>
        <v>14.685000000000002</v>
      </c>
    </row>
    <row r="1009" ht="14.25">
      <c r="A1009" s="5">
        <v>53615</v>
      </c>
      <c r="B1009" s="6" t="s">
        <v>1060</v>
      </c>
      <c r="C1009" s="7" t="s">
        <v>201</v>
      </c>
      <c r="D1009" s="7" t="s">
        <v>183</v>
      </c>
      <c r="E1009" s="5" t="s">
        <v>15</v>
      </c>
      <c r="F1009" s="8"/>
      <c r="G1009" s="9">
        <f>H1009*(1-15%)*(1-F1009)</f>
        <v>33.914999999999999</v>
      </c>
      <c r="H1009" s="9">
        <v>39.899999999999999</v>
      </c>
      <c r="I1009" s="9">
        <f>H1009-G1009</f>
        <v>5.9849999999999994</v>
      </c>
    </row>
    <row r="1010" ht="14.25">
      <c r="A1010" s="5">
        <v>49960</v>
      </c>
      <c r="B1010" s="6" t="s">
        <v>1061</v>
      </c>
      <c r="C1010" s="7" t="s">
        <v>75</v>
      </c>
      <c r="D1010" s="7" t="s">
        <v>11</v>
      </c>
      <c r="E1010" s="5" t="s">
        <v>39</v>
      </c>
      <c r="F1010" s="8"/>
      <c r="G1010" s="9">
        <f>H1010*(1-15%)*(1-F1010)</f>
        <v>84.915000000000006</v>
      </c>
      <c r="H1010" s="9">
        <v>99.900000000000006</v>
      </c>
      <c r="I1010" s="9">
        <f>H1010-G1010</f>
        <v>14.984999999999999</v>
      </c>
    </row>
    <row r="1011" ht="14.25">
      <c r="A1011" s="5">
        <v>81756</v>
      </c>
      <c r="B1011" s="6" t="s">
        <v>1062</v>
      </c>
      <c r="C1011" s="7" t="s">
        <v>19</v>
      </c>
      <c r="D1011" s="7" t="s">
        <v>11</v>
      </c>
      <c r="E1011" s="5" t="s">
        <v>26</v>
      </c>
      <c r="F1011" s="8"/>
      <c r="G1011" s="9">
        <f>H1011*(1-15%)*(1-F1011)</f>
        <v>178.41499999999999</v>
      </c>
      <c r="H1011" s="9">
        <v>209.90000000000001</v>
      </c>
      <c r="I1011" s="9">
        <f>H1011-G1011</f>
        <v>31.485000000000014</v>
      </c>
    </row>
    <row r="1012" ht="14.25">
      <c r="A1012" s="5">
        <v>47300</v>
      </c>
      <c r="B1012" s="6" t="s">
        <v>1063</v>
      </c>
      <c r="C1012" s="7" t="s">
        <v>75</v>
      </c>
      <c r="D1012" s="7" t="s">
        <v>95</v>
      </c>
      <c r="E1012" s="5" t="s">
        <v>26</v>
      </c>
      <c r="F1012" s="8"/>
      <c r="G1012" s="9">
        <f>H1012*(1-15%)*(1-F1012)</f>
        <v>40.714999999999996</v>
      </c>
      <c r="H1012" s="9">
        <v>47.899999999999999</v>
      </c>
      <c r="I1012" s="9">
        <f>H1012-G1012</f>
        <v>7.1850000000000023</v>
      </c>
    </row>
    <row r="1013" ht="14.25">
      <c r="A1013" s="5">
        <v>52562</v>
      </c>
      <c r="B1013" s="6" t="s">
        <v>1064</v>
      </c>
      <c r="C1013" s="7" t="s">
        <v>399</v>
      </c>
      <c r="D1013" s="7" t="s">
        <v>45</v>
      </c>
      <c r="E1013" s="5" t="s">
        <v>15</v>
      </c>
      <c r="F1013" s="8"/>
      <c r="G1013" s="9">
        <f>H1013*(1-15%)*(1-F1013)</f>
        <v>50.914999999999999</v>
      </c>
      <c r="H1013" s="9">
        <v>59.899999999999999</v>
      </c>
      <c r="I1013" s="9">
        <f>H1013-G1013</f>
        <v>8.9849999999999994</v>
      </c>
    </row>
    <row r="1014" ht="14.25">
      <c r="A1014" s="5">
        <v>47144</v>
      </c>
      <c r="B1014" s="6" t="s">
        <v>1065</v>
      </c>
      <c r="C1014" s="7" t="s">
        <v>82</v>
      </c>
      <c r="D1014" s="7" t="s">
        <v>71</v>
      </c>
      <c r="E1014" s="5" t="s">
        <v>68</v>
      </c>
      <c r="F1014" s="8"/>
      <c r="G1014" s="9">
        <f>H1014*(1-15%)*(1-F1014)</f>
        <v>32.214999999999996</v>
      </c>
      <c r="H1014" s="9">
        <v>37.899999999999999</v>
      </c>
      <c r="I1014" s="9">
        <f>H1014-G1014</f>
        <v>5.6850000000000023</v>
      </c>
    </row>
    <row r="1015" ht="14.25">
      <c r="A1015" s="5">
        <v>47145</v>
      </c>
      <c r="B1015" s="6" t="s">
        <v>1066</v>
      </c>
      <c r="C1015" s="7" t="s">
        <v>82</v>
      </c>
      <c r="D1015" s="7" t="s">
        <v>71</v>
      </c>
      <c r="E1015" s="5" t="s">
        <v>43</v>
      </c>
      <c r="F1015" s="8"/>
      <c r="G1015" s="9">
        <f>H1015*(1-15%)*(1-F1015)</f>
        <v>23.715</v>
      </c>
      <c r="H1015" s="9">
        <v>27.899999999999999</v>
      </c>
      <c r="I1015" s="9">
        <f>H1015-G1015</f>
        <v>4.1849999999999987</v>
      </c>
    </row>
    <row r="1016" ht="14.25">
      <c r="A1016" s="5">
        <v>47148</v>
      </c>
      <c r="B1016" s="6" t="s">
        <v>1067</v>
      </c>
      <c r="C1016" s="7" t="s">
        <v>82</v>
      </c>
      <c r="D1016" s="7" t="s">
        <v>71</v>
      </c>
      <c r="E1016" s="5" t="s">
        <v>133</v>
      </c>
      <c r="F1016" s="8"/>
      <c r="G1016" s="9">
        <f>H1016*(1-15%)*(1-F1016)</f>
        <v>33.914999999999999</v>
      </c>
      <c r="H1016" s="9">
        <v>39.899999999999999</v>
      </c>
      <c r="I1016" s="9">
        <f>H1016-G1016</f>
        <v>5.9849999999999994</v>
      </c>
    </row>
    <row r="1017" ht="14.25">
      <c r="A1017" s="5">
        <v>47165</v>
      </c>
      <c r="B1017" s="6" t="s">
        <v>1068</v>
      </c>
      <c r="C1017" s="7" t="s">
        <v>82</v>
      </c>
      <c r="D1017" s="7" t="s">
        <v>71</v>
      </c>
      <c r="E1017" s="5" t="s">
        <v>68</v>
      </c>
      <c r="F1017" s="8"/>
      <c r="G1017" s="9">
        <f>H1017*(1-15%)*(1-F1017)</f>
        <v>29.664999999999999</v>
      </c>
      <c r="H1017" s="9">
        <v>34.899999999999999</v>
      </c>
      <c r="I1017" s="9">
        <f>H1017-G1017</f>
        <v>5.2349999999999994</v>
      </c>
    </row>
    <row r="1018" ht="14.25">
      <c r="A1018" s="5">
        <v>47149</v>
      </c>
      <c r="B1018" s="6" t="s">
        <v>1069</v>
      </c>
      <c r="C1018" s="7" t="s">
        <v>65</v>
      </c>
      <c r="D1018" s="7" t="s">
        <v>71</v>
      </c>
      <c r="E1018" s="5" t="s">
        <v>26</v>
      </c>
      <c r="F1018" s="8"/>
      <c r="G1018" s="9">
        <f>H1018*(1-15%)*(1-F1018)</f>
        <v>33.914999999999999</v>
      </c>
      <c r="H1018" s="9">
        <v>39.899999999999999</v>
      </c>
      <c r="I1018" s="9">
        <f>H1018-G1018</f>
        <v>5.9849999999999994</v>
      </c>
    </row>
    <row r="1019" ht="14.25">
      <c r="A1019" s="5">
        <v>47150</v>
      </c>
      <c r="B1019" s="6" t="s">
        <v>1070</v>
      </c>
      <c r="C1019" s="7" t="s">
        <v>65</v>
      </c>
      <c r="D1019" s="7" t="s">
        <v>71</v>
      </c>
      <c r="E1019" s="5" t="s">
        <v>68</v>
      </c>
      <c r="F1019" s="8"/>
      <c r="G1019" s="9">
        <f>H1019*(1-15%)*(1-F1019)</f>
        <v>32.214999999999996</v>
      </c>
      <c r="H1019" s="9">
        <v>37.899999999999999</v>
      </c>
      <c r="I1019" s="9">
        <f>H1019-G1019</f>
        <v>5.6850000000000023</v>
      </c>
    </row>
    <row r="1020" ht="14.25">
      <c r="A1020" s="5">
        <v>47166</v>
      </c>
      <c r="B1020" s="6" t="s">
        <v>1071</v>
      </c>
      <c r="C1020" s="7" t="s">
        <v>65</v>
      </c>
      <c r="D1020" s="7" t="s">
        <v>71</v>
      </c>
      <c r="E1020" s="5" t="s">
        <v>15</v>
      </c>
      <c r="F1020" s="8"/>
      <c r="G1020" s="9">
        <f>H1020*(1-15%)*(1-F1020)</f>
        <v>29.664999999999999</v>
      </c>
      <c r="H1020" s="9">
        <v>34.899999999999999</v>
      </c>
      <c r="I1020" s="9">
        <f>H1020-G1020</f>
        <v>5.2349999999999994</v>
      </c>
    </row>
    <row r="1021" ht="14.25">
      <c r="A1021" s="5">
        <v>51873</v>
      </c>
      <c r="B1021" s="6" t="s">
        <v>1072</v>
      </c>
      <c r="C1021" s="7" t="s">
        <v>624</v>
      </c>
      <c r="D1021" s="7" t="s">
        <v>71</v>
      </c>
      <c r="E1021" s="5" t="s">
        <v>15</v>
      </c>
      <c r="F1021" s="8"/>
      <c r="G1021" s="9">
        <f>H1021*(1-15%)*(1-F1021)</f>
        <v>33.914999999999999</v>
      </c>
      <c r="H1021" s="9">
        <v>39.899999999999999</v>
      </c>
      <c r="I1021" s="9">
        <f>H1021-G1021</f>
        <v>5.9849999999999994</v>
      </c>
    </row>
    <row r="1022" ht="14.25">
      <c r="A1022" s="5">
        <v>52484</v>
      </c>
      <c r="B1022" s="6" t="s">
        <v>1073</v>
      </c>
      <c r="C1022" s="7" t="s">
        <v>251</v>
      </c>
      <c r="D1022" s="7" t="s">
        <v>61</v>
      </c>
      <c r="E1022" s="5" t="s">
        <v>15</v>
      </c>
      <c r="F1022" s="8"/>
      <c r="G1022" s="9">
        <f>H1022*(1-15%)*(1-F1022)</f>
        <v>203.91499999999999</v>
      </c>
      <c r="H1022" s="9">
        <v>239.90000000000001</v>
      </c>
      <c r="I1022" s="9">
        <f>H1022-G1022</f>
        <v>35.985000000000014</v>
      </c>
    </row>
    <row r="1023" ht="14.25">
      <c r="A1023" s="5">
        <v>52547</v>
      </c>
      <c r="B1023" s="6" t="s">
        <v>1074</v>
      </c>
      <c r="C1023" s="7" t="s">
        <v>75</v>
      </c>
      <c r="D1023" s="7" t="s">
        <v>61</v>
      </c>
      <c r="E1023" s="5" t="s">
        <v>15</v>
      </c>
      <c r="F1023" s="8"/>
      <c r="G1023" s="9">
        <f>H1023*(1-15%)*(1-F1023)</f>
        <v>135.91499999999999</v>
      </c>
      <c r="H1023" s="9">
        <v>159.90000000000001</v>
      </c>
      <c r="I1023" s="9">
        <f>H1023-G1023</f>
        <v>23.985000000000014</v>
      </c>
    </row>
    <row r="1024" ht="14.25">
      <c r="A1024" s="5">
        <v>52559</v>
      </c>
      <c r="B1024" s="6" t="s">
        <v>1075</v>
      </c>
      <c r="C1024" s="7" t="s">
        <v>694</v>
      </c>
      <c r="D1024" s="7" t="s">
        <v>61</v>
      </c>
      <c r="E1024" s="5" t="s">
        <v>15</v>
      </c>
      <c r="F1024" s="8"/>
      <c r="G1024" s="9">
        <f>H1024*(1-15%)*(1-F1024)</f>
        <v>89.165000000000006</v>
      </c>
      <c r="H1024" s="9">
        <v>104.90000000000001</v>
      </c>
      <c r="I1024" s="9">
        <f>H1024-G1024</f>
        <v>15.734999999999999</v>
      </c>
    </row>
    <row r="1025" ht="14.25">
      <c r="A1025" s="5">
        <v>53427</v>
      </c>
      <c r="B1025" s="6" t="s">
        <v>1076</v>
      </c>
      <c r="C1025" s="7" t="s">
        <v>109</v>
      </c>
      <c r="D1025" s="7" t="s">
        <v>110</v>
      </c>
      <c r="E1025" s="5" t="s">
        <v>39</v>
      </c>
      <c r="F1025" s="8"/>
      <c r="G1025" s="9">
        <f>H1025*(1-15%)*(1-F1025)</f>
        <v>63.665000000000006</v>
      </c>
      <c r="H1025" s="9">
        <v>74.900000000000006</v>
      </c>
      <c r="I1025" s="9">
        <f>H1025-G1025</f>
        <v>11.234999999999999</v>
      </c>
    </row>
    <row r="1026" ht="14.25">
      <c r="A1026" s="5">
        <v>50756</v>
      </c>
      <c r="B1026" s="6" t="s">
        <v>1077</v>
      </c>
      <c r="C1026" s="7" t="s">
        <v>109</v>
      </c>
      <c r="D1026" s="7" t="s">
        <v>110</v>
      </c>
      <c r="E1026" s="5" t="s">
        <v>39</v>
      </c>
      <c r="F1026" s="8"/>
      <c r="G1026" s="9">
        <f>H1026*(1-15%)*(1-F1026)</f>
        <v>80.665000000000006</v>
      </c>
      <c r="H1026" s="9">
        <v>94.900000000000006</v>
      </c>
      <c r="I1026" s="9">
        <f>H1026-G1026</f>
        <v>14.234999999999999</v>
      </c>
    </row>
    <row r="1027" ht="14.25">
      <c r="A1027" s="5">
        <v>52618</v>
      </c>
      <c r="B1027" s="6" t="s">
        <v>1078</v>
      </c>
      <c r="C1027" s="7" t="s">
        <v>109</v>
      </c>
      <c r="D1027" s="7" t="s">
        <v>110</v>
      </c>
      <c r="E1027" s="5" t="s">
        <v>39</v>
      </c>
      <c r="F1027" s="8"/>
      <c r="G1027" s="9">
        <f>H1027*(1-15%)*(1-F1027)</f>
        <v>71.314999999999998</v>
      </c>
      <c r="H1027" s="9">
        <v>83.900000000000006</v>
      </c>
      <c r="I1027" s="9">
        <f>H1027-G1027</f>
        <v>12.585000000000008</v>
      </c>
    </row>
    <row r="1028" ht="14.25">
      <c r="A1028" s="5">
        <v>52619</v>
      </c>
      <c r="B1028" s="6" t="s">
        <v>1079</v>
      </c>
      <c r="C1028" s="7" t="s">
        <v>109</v>
      </c>
      <c r="D1028" s="7" t="s">
        <v>110</v>
      </c>
      <c r="E1028" s="5" t="s">
        <v>133</v>
      </c>
      <c r="F1028" s="8"/>
      <c r="G1028" s="9">
        <f>H1028*(1-15%)*(1-F1028)</f>
        <v>80.665000000000006</v>
      </c>
      <c r="H1028" s="9">
        <v>94.900000000000006</v>
      </c>
      <c r="I1028" s="9">
        <f>H1028-G1028</f>
        <v>14.234999999999999</v>
      </c>
    </row>
    <row r="1029" ht="14.25">
      <c r="A1029" s="5">
        <v>52620</v>
      </c>
      <c r="B1029" s="6" t="s">
        <v>1080</v>
      </c>
      <c r="C1029" s="7" t="s">
        <v>109</v>
      </c>
      <c r="D1029" s="7" t="s">
        <v>110</v>
      </c>
      <c r="E1029" s="5" t="s">
        <v>39</v>
      </c>
      <c r="F1029" s="8"/>
      <c r="G1029" s="9">
        <f>H1029*(1-15%)*(1-F1029)</f>
        <v>84.915000000000006</v>
      </c>
      <c r="H1029" s="9">
        <v>99.900000000000006</v>
      </c>
      <c r="I1029" s="9">
        <f>H1029-G1029</f>
        <v>14.984999999999999</v>
      </c>
    </row>
    <row r="1030" ht="14.25">
      <c r="A1030" s="5">
        <v>52638</v>
      </c>
      <c r="B1030" s="6" t="s">
        <v>1081</v>
      </c>
      <c r="C1030" s="7" t="s">
        <v>109</v>
      </c>
      <c r="D1030" s="7" t="s">
        <v>110</v>
      </c>
      <c r="E1030" s="5" t="s">
        <v>133</v>
      </c>
      <c r="F1030" s="8"/>
      <c r="G1030" s="9">
        <f>H1030*(1-15%)*(1-F1030)</f>
        <v>80.665000000000006</v>
      </c>
      <c r="H1030" s="9">
        <v>94.900000000000006</v>
      </c>
      <c r="I1030" s="9">
        <f>H1030-G1030</f>
        <v>14.234999999999999</v>
      </c>
    </row>
    <row r="1031" ht="14.25">
      <c r="A1031" s="5">
        <v>50888</v>
      </c>
      <c r="B1031" s="6" t="s">
        <v>1082</v>
      </c>
      <c r="C1031" s="7" t="s">
        <v>109</v>
      </c>
      <c r="D1031" s="7" t="s">
        <v>110</v>
      </c>
      <c r="E1031" s="5" t="s">
        <v>26</v>
      </c>
      <c r="F1031" s="8"/>
      <c r="G1031" s="9">
        <f>H1031*(1-15%)*(1-F1031)</f>
        <v>53.464999999999996</v>
      </c>
      <c r="H1031" s="9">
        <v>62.899999999999999</v>
      </c>
      <c r="I1031" s="9">
        <f>H1031-G1031</f>
        <v>9.4350000000000023</v>
      </c>
    </row>
    <row r="1032" ht="14.25">
      <c r="A1032" s="5">
        <v>52568</v>
      </c>
      <c r="B1032" s="6" t="s">
        <v>1083</v>
      </c>
      <c r="C1032" s="7" t="s">
        <v>694</v>
      </c>
      <c r="D1032" s="7" t="s">
        <v>103</v>
      </c>
      <c r="E1032" s="5" t="s">
        <v>15</v>
      </c>
      <c r="F1032" s="8"/>
      <c r="G1032" s="9">
        <f>H1032*(1-15%)*(1-F1032)</f>
        <v>39.015000000000001</v>
      </c>
      <c r="H1032" s="9">
        <v>45.899999999999999</v>
      </c>
      <c r="I1032" s="9">
        <f>H1032-G1032</f>
        <v>6.884999999999998</v>
      </c>
    </row>
    <row r="1033" ht="14.25">
      <c r="A1033" s="5">
        <v>52563</v>
      </c>
      <c r="B1033" s="6" t="s">
        <v>1084</v>
      </c>
      <c r="C1033" s="7" t="s">
        <v>201</v>
      </c>
      <c r="D1033" s="7" t="s">
        <v>183</v>
      </c>
      <c r="E1033" s="5" t="s">
        <v>15</v>
      </c>
      <c r="F1033" s="8"/>
      <c r="G1033" s="9">
        <f>H1033*(1-15%)*(1-F1033)</f>
        <v>42.414999999999999</v>
      </c>
      <c r="H1033" s="9">
        <v>49.899999999999999</v>
      </c>
      <c r="I1033" s="9">
        <f>H1033-G1033</f>
        <v>7.4849999999999994</v>
      </c>
    </row>
    <row r="1034" ht="14.25">
      <c r="A1034" s="5">
        <v>51874</v>
      </c>
      <c r="B1034" s="6" t="s">
        <v>1085</v>
      </c>
      <c r="C1034" s="7" t="s">
        <v>624</v>
      </c>
      <c r="D1034" s="7" t="s">
        <v>11</v>
      </c>
      <c r="E1034" s="5" t="s">
        <v>26</v>
      </c>
      <c r="F1034" s="8"/>
      <c r="G1034" s="9">
        <f>H1034*(1-15%)*(1-F1034)</f>
        <v>280.41499999999996</v>
      </c>
      <c r="H1034" s="9">
        <v>329.89999999999998</v>
      </c>
      <c r="I1034" s="9">
        <f>H1034-G1034</f>
        <v>49.485000000000014</v>
      </c>
    </row>
    <row r="1035" ht="14.25">
      <c r="A1035" s="5">
        <v>48100</v>
      </c>
      <c r="B1035" s="6" t="s">
        <v>1086</v>
      </c>
      <c r="C1035" s="7" t="s">
        <v>82</v>
      </c>
      <c r="D1035" s="7" t="s">
        <v>95</v>
      </c>
      <c r="E1035" s="5" t="s">
        <v>26</v>
      </c>
      <c r="F1035" s="8"/>
      <c r="G1035" s="9">
        <f>H1035*(1-15%)*(1-F1035)</f>
        <v>25.414999999999999</v>
      </c>
      <c r="H1035" s="9">
        <v>29.899999999999999</v>
      </c>
      <c r="I1035" s="9">
        <f>H1035-G1035</f>
        <v>4.4849999999999994</v>
      </c>
    </row>
    <row r="1036" ht="14.25">
      <c r="A1036" s="5">
        <v>54500</v>
      </c>
      <c r="B1036" s="6" t="s">
        <v>1087</v>
      </c>
      <c r="C1036" s="7" t="s">
        <v>75</v>
      </c>
      <c r="D1036" s="7" t="s">
        <v>95</v>
      </c>
      <c r="E1036" s="5" t="s">
        <v>26</v>
      </c>
      <c r="F1036" s="8"/>
      <c r="G1036" s="9">
        <f>H1036*(1-15%)*(1-F1036)</f>
        <v>46.664999999999999</v>
      </c>
      <c r="H1036" s="9">
        <v>54.899999999999999</v>
      </c>
      <c r="I1036" s="9">
        <f>H1036-G1036</f>
        <v>8.2349999999999994</v>
      </c>
    </row>
    <row r="1037" ht="14.25">
      <c r="A1037" s="5">
        <v>51939</v>
      </c>
      <c r="B1037" s="6" t="s">
        <v>1088</v>
      </c>
      <c r="C1037" s="7" t="s">
        <v>21</v>
      </c>
      <c r="D1037" s="7" t="s">
        <v>45</v>
      </c>
      <c r="E1037" s="5" t="s">
        <v>15</v>
      </c>
      <c r="F1037" s="8"/>
      <c r="G1037" s="9">
        <f>H1037*(1-15%)*(1-F1037)</f>
        <v>49.214999999999996</v>
      </c>
      <c r="H1037" s="9">
        <v>57.899999999999999</v>
      </c>
      <c r="I1037" s="9">
        <f>H1037-G1037</f>
        <v>8.6850000000000023</v>
      </c>
    </row>
    <row r="1038" ht="14.25">
      <c r="A1038" s="5">
        <v>47146</v>
      </c>
      <c r="B1038" s="6" t="s">
        <v>1089</v>
      </c>
      <c r="C1038" s="7" t="s">
        <v>82</v>
      </c>
      <c r="D1038" s="7" t="s">
        <v>71</v>
      </c>
      <c r="E1038" s="5" t="s">
        <v>43</v>
      </c>
      <c r="F1038" s="8"/>
      <c r="G1038" s="9">
        <f>H1038*(1-15%)*(1-F1038)</f>
        <v>32.214999999999996</v>
      </c>
      <c r="H1038" s="9">
        <v>37.899999999999999</v>
      </c>
      <c r="I1038" s="9">
        <f>H1038-G1038</f>
        <v>5.6850000000000023</v>
      </c>
    </row>
    <row r="1039" ht="14.25">
      <c r="A1039" s="5">
        <v>47147</v>
      </c>
      <c r="B1039" s="6" t="s">
        <v>1090</v>
      </c>
      <c r="C1039" s="7" t="s">
        <v>82</v>
      </c>
      <c r="D1039" s="7" t="s">
        <v>71</v>
      </c>
      <c r="E1039" s="5" t="s">
        <v>68</v>
      </c>
      <c r="F1039" s="8"/>
      <c r="G1039" s="9">
        <f>H1039*(1-15%)*(1-F1039)</f>
        <v>23.715</v>
      </c>
      <c r="H1039" s="9">
        <v>27.899999999999999</v>
      </c>
      <c r="I1039" s="9">
        <f>H1039-G1039</f>
        <v>4.1849999999999987</v>
      </c>
    </row>
    <row r="1040" ht="14.25">
      <c r="A1040" s="5">
        <v>47151</v>
      </c>
      <c r="B1040" s="6" t="s">
        <v>1091</v>
      </c>
      <c r="C1040" s="7" t="s">
        <v>82</v>
      </c>
      <c r="D1040" s="7" t="s">
        <v>71</v>
      </c>
      <c r="E1040" s="5" t="s">
        <v>43</v>
      </c>
      <c r="F1040" s="8"/>
      <c r="G1040" s="9">
        <f>H1040*(1-15%)*(1-F1040)</f>
        <v>33.914999999999999</v>
      </c>
      <c r="H1040" s="9">
        <v>39.899999999999999</v>
      </c>
      <c r="I1040" s="9">
        <f>H1040-G1040</f>
        <v>5.9849999999999994</v>
      </c>
    </row>
    <row r="1041" ht="14.25">
      <c r="A1041" s="5">
        <v>47154</v>
      </c>
      <c r="B1041" s="6" t="s">
        <v>1092</v>
      </c>
      <c r="C1041" s="7" t="s">
        <v>82</v>
      </c>
      <c r="D1041" s="7" t="s">
        <v>71</v>
      </c>
      <c r="E1041" s="5" t="s">
        <v>39</v>
      </c>
      <c r="F1041" s="8"/>
      <c r="G1041" s="9">
        <f>H1041*(1-15%)*(1-F1041)</f>
        <v>23.715</v>
      </c>
      <c r="H1041" s="9">
        <v>27.899999999999999</v>
      </c>
      <c r="I1041" s="9">
        <f>H1041-G1041</f>
        <v>4.1849999999999987</v>
      </c>
    </row>
    <row r="1042" ht="14.25">
      <c r="A1042" s="5">
        <v>47152</v>
      </c>
      <c r="B1042" s="6" t="s">
        <v>1093</v>
      </c>
      <c r="C1042" s="7" t="s">
        <v>65</v>
      </c>
      <c r="D1042" s="7" t="s">
        <v>71</v>
      </c>
      <c r="E1042" s="5" t="s">
        <v>39</v>
      </c>
      <c r="F1042" s="8"/>
      <c r="G1042" s="9">
        <f>H1042*(1-15%)*(1-F1042)</f>
        <v>32.214999999999996</v>
      </c>
      <c r="H1042" s="9">
        <v>37.899999999999999</v>
      </c>
      <c r="I1042" s="9">
        <f>H1042-G1042</f>
        <v>5.6850000000000023</v>
      </c>
    </row>
    <row r="1043" ht="14.25">
      <c r="A1043" s="5">
        <v>53236</v>
      </c>
      <c r="B1043" s="6" t="s">
        <v>1094</v>
      </c>
      <c r="C1043" s="7" t="s">
        <v>21</v>
      </c>
      <c r="D1043" s="7" t="s">
        <v>71</v>
      </c>
      <c r="E1043" s="5" t="s">
        <v>15</v>
      </c>
      <c r="F1043" s="8"/>
      <c r="G1043" s="9">
        <f>H1043*(1-15%)*(1-F1043)</f>
        <v>33.914999999999999</v>
      </c>
      <c r="H1043" s="9">
        <v>39.899999999999999</v>
      </c>
      <c r="I1043" s="9">
        <f>H1043-G1043</f>
        <v>5.9849999999999994</v>
      </c>
    </row>
    <row r="1044" ht="14.25">
      <c r="A1044" s="5">
        <v>52792</v>
      </c>
      <c r="B1044" s="6" t="s">
        <v>1095</v>
      </c>
      <c r="C1044" s="7" t="s">
        <v>75</v>
      </c>
      <c r="D1044" s="7" t="s">
        <v>61</v>
      </c>
      <c r="E1044" s="5" t="s">
        <v>15</v>
      </c>
      <c r="F1044" s="8"/>
      <c r="G1044" s="9">
        <f>H1044*(1-15%)*(1-F1044)</f>
        <v>33.914999999999999</v>
      </c>
      <c r="H1044" s="9">
        <v>39.899999999999999</v>
      </c>
      <c r="I1044" s="9">
        <f>H1044-G1044</f>
        <v>5.9849999999999994</v>
      </c>
    </row>
    <row r="1045" ht="14.25">
      <c r="A1045" s="5">
        <v>53619</v>
      </c>
      <c r="B1045" s="6" t="s">
        <v>1096</v>
      </c>
      <c r="C1045" s="7" t="s">
        <v>201</v>
      </c>
      <c r="D1045" s="7" t="s">
        <v>183</v>
      </c>
      <c r="E1045" s="5" t="s">
        <v>68</v>
      </c>
      <c r="F1045" s="8"/>
      <c r="G1045" s="9">
        <f>H1045*(1-15%)*(1-F1045)</f>
        <v>33.914999999999999</v>
      </c>
      <c r="H1045" s="9">
        <v>39.899999999999999</v>
      </c>
      <c r="I1045" s="9">
        <f>H1045-G1045</f>
        <v>5.9849999999999994</v>
      </c>
    </row>
    <row r="1046" ht="14.25">
      <c r="A1046" s="5">
        <v>51923</v>
      </c>
      <c r="B1046" s="6" t="s">
        <v>1097</v>
      </c>
      <c r="C1046" s="7" t="s">
        <v>21</v>
      </c>
      <c r="D1046" s="7" t="s">
        <v>11</v>
      </c>
      <c r="E1046" s="5" t="s">
        <v>15</v>
      </c>
      <c r="F1046" s="8"/>
      <c r="G1046" s="9">
        <f>H1046*(1-15%)*(1-F1046)</f>
        <v>178.41499999999999</v>
      </c>
      <c r="H1046" s="9">
        <v>209.90000000000001</v>
      </c>
      <c r="I1046" s="9">
        <f>H1046-G1046</f>
        <v>31.485000000000014</v>
      </c>
    </row>
    <row r="1047" ht="14.25">
      <c r="A1047" s="5">
        <v>51941</v>
      </c>
      <c r="B1047" s="6" t="s">
        <v>1098</v>
      </c>
      <c r="C1047" s="7" t="s">
        <v>21</v>
      </c>
      <c r="D1047" s="7" t="s">
        <v>11</v>
      </c>
      <c r="E1047" s="5" t="s">
        <v>15</v>
      </c>
      <c r="F1047" s="8"/>
      <c r="G1047" s="9">
        <f>H1047*(1-15%)*(1-F1047)</f>
        <v>178.41499999999999</v>
      </c>
      <c r="H1047" s="9">
        <v>209.90000000000001</v>
      </c>
      <c r="I1047" s="9">
        <f>H1047-G1047</f>
        <v>31.485000000000014</v>
      </c>
    </row>
    <row r="1048" ht="14.25">
      <c r="A1048" s="5">
        <v>54499</v>
      </c>
      <c r="B1048" s="6" t="s">
        <v>1099</v>
      </c>
      <c r="C1048" s="7" t="s">
        <v>75</v>
      </c>
      <c r="D1048" s="7" t="s">
        <v>95</v>
      </c>
      <c r="E1048" s="5" t="s">
        <v>26</v>
      </c>
      <c r="F1048" s="8"/>
      <c r="G1048" s="9">
        <f>H1048*(1-15%)*(1-F1048)</f>
        <v>44.964999999999996</v>
      </c>
      <c r="H1048" s="9">
        <v>52.899999999999999</v>
      </c>
      <c r="I1048" s="9">
        <f>H1048-G1048</f>
        <v>7.9350000000000023</v>
      </c>
    </row>
    <row r="1049" ht="14.25">
      <c r="A1049" s="5">
        <v>53967</v>
      </c>
      <c r="B1049" s="6" t="s">
        <v>1100</v>
      </c>
      <c r="C1049" s="7" t="s">
        <v>82</v>
      </c>
      <c r="D1049" s="7" t="s">
        <v>95</v>
      </c>
      <c r="E1049" s="5" t="s">
        <v>68</v>
      </c>
      <c r="F1049" s="8"/>
      <c r="G1049" s="9">
        <f>H1049*(1-15%)*(1-F1049)</f>
        <v>15.214999999999998</v>
      </c>
      <c r="H1049" s="9">
        <v>17.899999999999999</v>
      </c>
      <c r="I1049" s="9">
        <f>H1049-G1049</f>
        <v>2.6850000000000005</v>
      </c>
    </row>
    <row r="1050" ht="14.25">
      <c r="A1050" s="5">
        <v>53971</v>
      </c>
      <c r="B1050" s="6" t="s">
        <v>1101</v>
      </c>
      <c r="C1050" s="7" t="s">
        <v>82</v>
      </c>
      <c r="D1050" s="7" t="s">
        <v>95</v>
      </c>
      <c r="E1050" s="5" t="s">
        <v>43</v>
      </c>
      <c r="F1050" s="8"/>
      <c r="G1050" s="9">
        <f>H1050*(1-15%)*(1-F1050)</f>
        <v>15.214999999999998</v>
      </c>
      <c r="H1050" s="9">
        <v>17.899999999999999</v>
      </c>
      <c r="I1050" s="9">
        <f>H1050-G1050</f>
        <v>2.6850000000000005</v>
      </c>
    </row>
    <row r="1051" ht="14.25">
      <c r="A1051" s="5">
        <v>54501</v>
      </c>
      <c r="B1051" s="6" t="s">
        <v>1102</v>
      </c>
      <c r="C1051" s="7" t="s">
        <v>75</v>
      </c>
      <c r="D1051" s="7" t="s">
        <v>95</v>
      </c>
      <c r="E1051" s="5" t="s">
        <v>26</v>
      </c>
      <c r="F1051" s="8"/>
      <c r="G1051" s="9">
        <f>H1051*(1-15%)*(1-F1051)</f>
        <v>57.715000000000003</v>
      </c>
      <c r="H1051" s="9">
        <v>67.900000000000006</v>
      </c>
      <c r="I1051" s="9">
        <f>H1051-G1051</f>
        <v>10.185000000000002</v>
      </c>
    </row>
    <row r="1052" ht="14.25">
      <c r="A1052" s="5">
        <v>48508</v>
      </c>
      <c r="B1052" s="6" t="s">
        <v>1103</v>
      </c>
      <c r="C1052" s="7" t="s">
        <v>70</v>
      </c>
      <c r="D1052" s="7" t="s">
        <v>45</v>
      </c>
      <c r="E1052" s="5" t="s">
        <v>26</v>
      </c>
      <c r="F1052" s="8"/>
      <c r="G1052" s="9">
        <f>H1052*(1-15%)*(1-F1052)</f>
        <v>121.465</v>
      </c>
      <c r="H1052" s="9">
        <v>142.90000000000001</v>
      </c>
      <c r="I1052" s="9">
        <f>H1052-G1052</f>
        <v>21.435000000000002</v>
      </c>
    </row>
    <row r="1053" ht="14.25">
      <c r="A1053" s="5">
        <v>48510</v>
      </c>
      <c r="B1053" s="6" t="s">
        <v>1104</v>
      </c>
      <c r="C1053" s="7" t="s">
        <v>70</v>
      </c>
      <c r="D1053" s="7" t="s">
        <v>45</v>
      </c>
      <c r="E1053" s="5" t="s">
        <v>26</v>
      </c>
      <c r="F1053" s="8"/>
      <c r="G1053" s="9">
        <f>H1053*(1-15%)*(1-F1053)</f>
        <v>42.414999999999999</v>
      </c>
      <c r="H1053" s="9">
        <v>49.899999999999999</v>
      </c>
      <c r="I1053" s="9">
        <f>H1053-G1053</f>
        <v>7.4849999999999994</v>
      </c>
    </row>
    <row r="1054" ht="14.25">
      <c r="A1054" s="5">
        <v>48511</v>
      </c>
      <c r="B1054" s="6" t="s">
        <v>1105</v>
      </c>
      <c r="C1054" s="7" t="s">
        <v>70</v>
      </c>
      <c r="D1054" s="7" t="s">
        <v>95</v>
      </c>
      <c r="E1054" s="5" t="s">
        <v>26</v>
      </c>
      <c r="F1054" s="8"/>
      <c r="G1054" s="9">
        <f>H1054*(1-15%)*(1-F1054)</f>
        <v>53.464999999999996</v>
      </c>
      <c r="H1054" s="9">
        <v>62.899999999999999</v>
      </c>
      <c r="I1054" s="9">
        <f>H1054-G1054</f>
        <v>9.4350000000000023</v>
      </c>
    </row>
    <row r="1055" ht="14.25">
      <c r="A1055" s="5">
        <v>48513</v>
      </c>
      <c r="B1055" s="6" t="s">
        <v>1106</v>
      </c>
      <c r="C1055" s="7" t="s">
        <v>70</v>
      </c>
      <c r="D1055" s="7" t="s">
        <v>103</v>
      </c>
      <c r="E1055" s="5" t="s">
        <v>15</v>
      </c>
      <c r="F1055" s="8"/>
      <c r="G1055" s="9">
        <f>H1055*(1-15%)*(1-F1055)</f>
        <v>72.165000000000006</v>
      </c>
      <c r="H1055" s="9">
        <v>84.900000000000006</v>
      </c>
      <c r="I1055" s="9">
        <f>H1055-G1055</f>
        <v>12.734999999999999</v>
      </c>
    </row>
    <row r="1056" ht="14.25">
      <c r="A1056" s="5">
        <v>48514</v>
      </c>
      <c r="B1056" s="6" t="s">
        <v>1107</v>
      </c>
      <c r="C1056" s="7" t="s">
        <v>70</v>
      </c>
      <c r="D1056" s="7" t="s">
        <v>95</v>
      </c>
      <c r="E1056" s="5" t="s">
        <v>26</v>
      </c>
      <c r="F1056" s="8"/>
      <c r="G1056" s="9">
        <f>H1056*(1-15%)*(1-F1056)</f>
        <v>59.415000000000006</v>
      </c>
      <c r="H1056" s="9">
        <v>69.900000000000006</v>
      </c>
      <c r="I1056" s="9">
        <f>H1056-G1056</f>
        <v>10.484999999999999</v>
      </c>
    </row>
    <row r="1057" ht="14.25">
      <c r="A1057" s="5">
        <v>50017</v>
      </c>
      <c r="B1057" s="6" t="s">
        <v>1108</v>
      </c>
      <c r="C1057" s="7" t="s">
        <v>70</v>
      </c>
      <c r="D1057" s="7" t="s">
        <v>95</v>
      </c>
      <c r="E1057" s="5" t="s">
        <v>26</v>
      </c>
      <c r="F1057" s="8"/>
      <c r="G1057" s="9">
        <f>H1057*(1-15%)*(1-F1057)</f>
        <v>61.965000000000003</v>
      </c>
      <c r="H1057" s="9">
        <v>72.900000000000006</v>
      </c>
      <c r="I1057" s="9">
        <f>H1057-G1057</f>
        <v>10.935000000000002</v>
      </c>
    </row>
    <row r="1058" ht="14.25">
      <c r="A1058" s="5">
        <v>50704</v>
      </c>
      <c r="B1058" s="6" t="s">
        <v>1109</v>
      </c>
      <c r="C1058" s="7" t="s">
        <v>109</v>
      </c>
      <c r="D1058" s="7" t="s">
        <v>110</v>
      </c>
      <c r="E1058" s="5" t="s">
        <v>26</v>
      </c>
      <c r="F1058" s="8"/>
      <c r="G1058" s="9">
        <f>H1058*(1-15%)*(1-F1058)</f>
        <v>76.415000000000006</v>
      </c>
      <c r="H1058" s="9">
        <v>89.900000000000006</v>
      </c>
      <c r="I1058" s="9">
        <f>H1058-G1058</f>
        <v>13.484999999999999</v>
      </c>
    </row>
    <row r="1059" ht="14.25">
      <c r="A1059" s="5">
        <v>50705</v>
      </c>
      <c r="B1059" s="6" t="s">
        <v>1110</v>
      </c>
      <c r="C1059" s="7" t="s">
        <v>109</v>
      </c>
      <c r="D1059" s="7" t="s">
        <v>110</v>
      </c>
      <c r="E1059" s="5" t="s">
        <v>26</v>
      </c>
      <c r="F1059" s="8"/>
      <c r="G1059" s="9">
        <f>H1059*(1-15%)*(1-F1059)</f>
        <v>76.415000000000006</v>
      </c>
      <c r="H1059" s="9">
        <v>89.900000000000006</v>
      </c>
      <c r="I1059" s="9">
        <f>H1059-G1059</f>
        <v>13.484999999999999</v>
      </c>
    </row>
    <row r="1060" ht="14.25">
      <c r="A1060" s="5">
        <v>50706</v>
      </c>
      <c r="B1060" s="6" t="s">
        <v>1111</v>
      </c>
      <c r="C1060" s="7" t="s">
        <v>109</v>
      </c>
      <c r="D1060" s="7" t="s">
        <v>110</v>
      </c>
      <c r="E1060" s="5" t="s">
        <v>26</v>
      </c>
      <c r="F1060" s="8"/>
      <c r="G1060" s="9">
        <f>H1060*(1-15%)*(1-F1060)</f>
        <v>76.415000000000006</v>
      </c>
      <c r="H1060" s="9">
        <v>89.900000000000006</v>
      </c>
      <c r="I1060" s="9">
        <f>H1060-G1060</f>
        <v>13.484999999999999</v>
      </c>
    </row>
    <row r="1061" ht="14.25">
      <c r="A1061" s="5">
        <v>51179</v>
      </c>
      <c r="B1061" s="6" t="s">
        <v>1112</v>
      </c>
      <c r="C1061" s="7" t="s">
        <v>109</v>
      </c>
      <c r="D1061" s="7" t="s">
        <v>110</v>
      </c>
      <c r="E1061" s="5" t="s">
        <v>26</v>
      </c>
      <c r="F1061" s="8"/>
      <c r="G1061" s="9">
        <f>H1061*(1-15%)*(1-F1061)</f>
        <v>76.415000000000006</v>
      </c>
      <c r="H1061" s="9">
        <v>89.900000000000006</v>
      </c>
      <c r="I1061" s="9">
        <f>H1061-G1061</f>
        <v>13.484999999999999</v>
      </c>
    </row>
    <row r="1062" ht="14.25">
      <c r="A1062" s="5">
        <v>51190</v>
      </c>
      <c r="B1062" s="6" t="s">
        <v>1113</v>
      </c>
      <c r="C1062" s="7" t="s">
        <v>109</v>
      </c>
      <c r="D1062" s="7" t="s">
        <v>110</v>
      </c>
      <c r="E1062" s="5" t="s">
        <v>26</v>
      </c>
      <c r="F1062" s="8"/>
      <c r="G1062" s="9">
        <f>H1062*(1-15%)*(1-F1062)</f>
        <v>53.464999999999996</v>
      </c>
      <c r="H1062" s="9">
        <v>62.899999999999999</v>
      </c>
      <c r="I1062" s="9">
        <f>H1062-G1062</f>
        <v>9.4350000000000023</v>
      </c>
    </row>
    <row r="1063" ht="14.25">
      <c r="A1063" s="5">
        <v>51191</v>
      </c>
      <c r="B1063" s="6" t="s">
        <v>1114</v>
      </c>
      <c r="C1063" s="7" t="s">
        <v>109</v>
      </c>
      <c r="D1063" s="7" t="s">
        <v>110</v>
      </c>
      <c r="E1063" s="5" t="s">
        <v>26</v>
      </c>
      <c r="F1063" s="8"/>
      <c r="G1063" s="9">
        <f>H1063*(1-15%)*(1-F1063)</f>
        <v>53.464999999999996</v>
      </c>
      <c r="H1063" s="9">
        <v>62.899999999999999</v>
      </c>
      <c r="I1063" s="9">
        <f>H1063-G1063</f>
        <v>9.4350000000000023</v>
      </c>
    </row>
    <row r="1064" ht="14.25">
      <c r="A1064" s="5">
        <v>51268</v>
      </c>
      <c r="B1064" s="6" t="s">
        <v>1115</v>
      </c>
      <c r="C1064" s="7" t="s">
        <v>109</v>
      </c>
      <c r="D1064" s="7" t="s">
        <v>110</v>
      </c>
      <c r="E1064" s="5" t="s">
        <v>43</v>
      </c>
      <c r="F1064" s="8"/>
      <c r="G1064" s="9">
        <f>H1064*(1-15%)*(1-F1064)</f>
        <v>106.16500000000001</v>
      </c>
      <c r="H1064" s="9">
        <v>124.90000000000001</v>
      </c>
      <c r="I1064" s="9">
        <f>H1064-G1064</f>
        <v>18.734999999999999</v>
      </c>
    </row>
    <row r="1065" ht="14.25">
      <c r="A1065" s="5">
        <v>51269</v>
      </c>
      <c r="B1065" s="6" t="s">
        <v>1116</v>
      </c>
      <c r="C1065" s="7" t="s">
        <v>109</v>
      </c>
      <c r="D1065" s="7" t="s">
        <v>110</v>
      </c>
      <c r="E1065" s="5" t="s">
        <v>43</v>
      </c>
      <c r="F1065" s="8"/>
      <c r="G1065" s="9">
        <f>H1065*(1-15%)*(1-F1065)</f>
        <v>106.16500000000001</v>
      </c>
      <c r="H1065" s="9">
        <v>124.90000000000001</v>
      </c>
      <c r="I1065" s="9">
        <f>H1065-G1065</f>
        <v>18.734999999999999</v>
      </c>
    </row>
    <row r="1066" ht="14.25">
      <c r="A1066" s="5">
        <v>51270</v>
      </c>
      <c r="B1066" s="6" t="s">
        <v>1117</v>
      </c>
      <c r="C1066" s="7" t="s">
        <v>109</v>
      </c>
      <c r="D1066" s="7" t="s">
        <v>110</v>
      </c>
      <c r="E1066" s="5" t="s">
        <v>43</v>
      </c>
      <c r="F1066" s="8"/>
      <c r="G1066" s="9">
        <f>H1066*(1-15%)*(1-F1066)</f>
        <v>106.16500000000001</v>
      </c>
      <c r="H1066" s="9">
        <v>124.90000000000001</v>
      </c>
      <c r="I1066" s="9">
        <f>H1066-G1066</f>
        <v>18.734999999999999</v>
      </c>
    </row>
    <row r="1067" ht="14.25">
      <c r="A1067" s="5">
        <v>51271</v>
      </c>
      <c r="B1067" s="6" t="s">
        <v>1118</v>
      </c>
      <c r="C1067" s="7" t="s">
        <v>109</v>
      </c>
      <c r="D1067" s="7" t="s">
        <v>110</v>
      </c>
      <c r="E1067" s="5" t="s">
        <v>43</v>
      </c>
      <c r="F1067" s="8"/>
      <c r="G1067" s="9">
        <f>H1067*(1-15%)*(1-F1067)</f>
        <v>106.16500000000001</v>
      </c>
      <c r="H1067" s="9">
        <v>124.90000000000001</v>
      </c>
      <c r="I1067" s="9">
        <f>H1067-G1067</f>
        <v>18.734999999999999</v>
      </c>
    </row>
    <row r="1068" ht="14.25">
      <c r="A1068" s="5">
        <v>51272</v>
      </c>
      <c r="B1068" s="6" t="s">
        <v>1119</v>
      </c>
      <c r="C1068" s="7" t="s">
        <v>109</v>
      </c>
      <c r="D1068" s="7" t="s">
        <v>110</v>
      </c>
      <c r="E1068" s="5" t="s">
        <v>43</v>
      </c>
      <c r="F1068" s="8"/>
      <c r="G1068" s="9">
        <f>H1068*(1-15%)*(1-F1068)</f>
        <v>106.16500000000001</v>
      </c>
      <c r="H1068" s="9">
        <v>124.90000000000001</v>
      </c>
      <c r="I1068" s="9">
        <f>H1068-G1068</f>
        <v>18.734999999999999</v>
      </c>
    </row>
    <row r="1069" ht="14.25">
      <c r="A1069" s="5">
        <v>51273</v>
      </c>
      <c r="B1069" s="6" t="s">
        <v>1120</v>
      </c>
      <c r="C1069" s="7" t="s">
        <v>109</v>
      </c>
      <c r="D1069" s="7" t="s">
        <v>110</v>
      </c>
      <c r="E1069" s="5" t="s">
        <v>43</v>
      </c>
      <c r="F1069" s="8"/>
      <c r="G1069" s="9">
        <f>H1069*(1-15%)*(1-F1069)</f>
        <v>106.16500000000001</v>
      </c>
      <c r="H1069" s="9">
        <v>124.90000000000001</v>
      </c>
      <c r="I1069" s="9">
        <f>H1069-G1069</f>
        <v>18.734999999999999</v>
      </c>
    </row>
    <row r="1070" ht="14.25">
      <c r="A1070" s="5">
        <v>51274</v>
      </c>
      <c r="B1070" s="6" t="s">
        <v>1121</v>
      </c>
      <c r="C1070" s="7" t="s">
        <v>109</v>
      </c>
      <c r="D1070" s="7" t="s">
        <v>110</v>
      </c>
      <c r="E1070" s="5" t="s">
        <v>43</v>
      </c>
      <c r="F1070" s="8"/>
      <c r="G1070" s="9">
        <f>H1070*(1-15%)*(1-F1070)</f>
        <v>106.16500000000001</v>
      </c>
      <c r="H1070" s="9">
        <v>124.90000000000001</v>
      </c>
      <c r="I1070" s="9">
        <f>H1070-G1070</f>
        <v>18.734999999999999</v>
      </c>
    </row>
    <row r="1071" ht="14.25">
      <c r="A1071" s="5">
        <v>51275</v>
      </c>
      <c r="B1071" s="6" t="s">
        <v>1122</v>
      </c>
      <c r="C1071" s="7" t="s">
        <v>109</v>
      </c>
      <c r="D1071" s="7" t="s">
        <v>110</v>
      </c>
      <c r="E1071" s="5" t="s">
        <v>43</v>
      </c>
      <c r="F1071" s="8"/>
      <c r="G1071" s="9">
        <f>H1071*(1-15%)*(1-F1071)</f>
        <v>106.16500000000001</v>
      </c>
      <c r="H1071" s="9">
        <v>124.90000000000001</v>
      </c>
      <c r="I1071" s="9">
        <f>H1071-G1071</f>
        <v>18.734999999999999</v>
      </c>
    </row>
    <row r="1072" ht="14.25">
      <c r="A1072" s="5">
        <v>51276</v>
      </c>
      <c r="B1072" s="6" t="s">
        <v>1123</v>
      </c>
      <c r="C1072" s="7" t="s">
        <v>109</v>
      </c>
      <c r="D1072" s="7" t="s">
        <v>110</v>
      </c>
      <c r="E1072" s="5" t="s">
        <v>43</v>
      </c>
      <c r="F1072" s="8"/>
      <c r="G1072" s="9">
        <f>H1072*(1-15%)*(1-F1072)</f>
        <v>106.16500000000001</v>
      </c>
      <c r="H1072" s="9">
        <v>124.90000000000001</v>
      </c>
      <c r="I1072" s="9">
        <f>H1072-G1072</f>
        <v>18.734999999999999</v>
      </c>
    </row>
    <row r="1073" ht="14.25">
      <c r="A1073" s="5">
        <v>51278</v>
      </c>
      <c r="B1073" s="6" t="s">
        <v>1124</v>
      </c>
      <c r="C1073" s="7" t="s">
        <v>109</v>
      </c>
      <c r="D1073" s="7" t="s">
        <v>110</v>
      </c>
      <c r="E1073" s="5" t="s">
        <v>43</v>
      </c>
      <c r="F1073" s="8"/>
      <c r="G1073" s="9">
        <f>H1073*(1-15%)*(1-F1073)</f>
        <v>106.16500000000001</v>
      </c>
      <c r="H1073" s="9">
        <v>124.90000000000001</v>
      </c>
      <c r="I1073" s="9">
        <f>H1073-G1073</f>
        <v>18.734999999999999</v>
      </c>
    </row>
    <row r="1074" ht="14.25">
      <c r="A1074" s="5">
        <v>51279</v>
      </c>
      <c r="B1074" s="6" t="s">
        <v>1125</v>
      </c>
      <c r="C1074" s="7" t="s">
        <v>109</v>
      </c>
      <c r="D1074" s="7" t="s">
        <v>110</v>
      </c>
      <c r="E1074" s="5" t="s">
        <v>43</v>
      </c>
      <c r="F1074" s="8"/>
      <c r="G1074" s="9">
        <f>H1074*(1-15%)*(1-F1074)</f>
        <v>106.16500000000001</v>
      </c>
      <c r="H1074" s="9">
        <v>124.90000000000001</v>
      </c>
      <c r="I1074" s="9">
        <f>H1074-G1074</f>
        <v>18.734999999999999</v>
      </c>
    </row>
    <row r="1075" ht="14.25">
      <c r="A1075" s="5">
        <v>51280</v>
      </c>
      <c r="B1075" s="6" t="s">
        <v>1126</v>
      </c>
      <c r="C1075" s="7" t="s">
        <v>109</v>
      </c>
      <c r="D1075" s="7" t="s">
        <v>110</v>
      </c>
      <c r="E1075" s="5" t="s">
        <v>43</v>
      </c>
      <c r="F1075" s="8"/>
      <c r="G1075" s="9">
        <f>H1075*(1-15%)*(1-F1075)</f>
        <v>106.16500000000001</v>
      </c>
      <c r="H1075" s="9">
        <v>124.90000000000001</v>
      </c>
      <c r="I1075" s="9">
        <f>H1075-G1075</f>
        <v>18.734999999999999</v>
      </c>
    </row>
    <row r="1076" ht="14.25">
      <c r="A1076" s="5">
        <v>51281</v>
      </c>
      <c r="B1076" s="6" t="s">
        <v>1127</v>
      </c>
      <c r="C1076" s="7" t="s">
        <v>109</v>
      </c>
      <c r="D1076" s="7" t="s">
        <v>110</v>
      </c>
      <c r="E1076" s="5" t="s">
        <v>43</v>
      </c>
      <c r="F1076" s="8"/>
      <c r="G1076" s="9">
        <f>H1076*(1-15%)*(1-F1076)</f>
        <v>106.16500000000001</v>
      </c>
      <c r="H1076" s="9">
        <v>124.90000000000001</v>
      </c>
      <c r="I1076" s="9">
        <f>H1076-G1076</f>
        <v>18.734999999999999</v>
      </c>
    </row>
    <row r="1077" ht="14.25">
      <c r="A1077" s="5">
        <v>51282</v>
      </c>
      <c r="B1077" s="6" t="s">
        <v>1128</v>
      </c>
      <c r="C1077" s="7" t="s">
        <v>109</v>
      </c>
      <c r="D1077" s="7" t="s">
        <v>110</v>
      </c>
      <c r="E1077" s="5" t="s">
        <v>43</v>
      </c>
      <c r="F1077" s="8"/>
      <c r="G1077" s="9">
        <f>H1077*(1-15%)*(1-F1077)</f>
        <v>106.16500000000001</v>
      </c>
      <c r="H1077" s="9">
        <v>124.90000000000001</v>
      </c>
      <c r="I1077" s="9">
        <f>H1077-G1077</f>
        <v>18.734999999999999</v>
      </c>
    </row>
    <row r="1078" ht="14.25">
      <c r="A1078" s="5">
        <v>52044</v>
      </c>
      <c r="B1078" s="6" t="s">
        <v>1129</v>
      </c>
      <c r="C1078" s="7" t="s">
        <v>694</v>
      </c>
      <c r="D1078" s="7" t="s">
        <v>11</v>
      </c>
      <c r="E1078" s="5" t="s">
        <v>39</v>
      </c>
      <c r="F1078" s="8"/>
      <c r="G1078" s="9">
        <f>H1078*(1-15%)*(1-F1078)</f>
        <v>101.91500000000001</v>
      </c>
      <c r="H1078" s="9">
        <v>119.90000000000001</v>
      </c>
      <c r="I1078" s="9">
        <f>H1078-G1078</f>
        <v>17.984999999999999</v>
      </c>
    </row>
    <row r="1079" ht="14.25">
      <c r="A1079" s="5">
        <v>52050</v>
      </c>
      <c r="B1079" s="6" t="s">
        <v>1130</v>
      </c>
      <c r="C1079" s="7" t="s">
        <v>694</v>
      </c>
      <c r="D1079" s="7" t="s">
        <v>45</v>
      </c>
      <c r="E1079" s="5" t="s">
        <v>68</v>
      </c>
      <c r="F1079" s="8"/>
      <c r="G1079" s="9">
        <f>H1079*(1-15%)*(1-F1079)</f>
        <v>36.464999999999996</v>
      </c>
      <c r="H1079" s="9">
        <v>42.899999999999999</v>
      </c>
      <c r="I1079" s="9">
        <f>H1079-G1079</f>
        <v>6.4350000000000023</v>
      </c>
    </row>
    <row r="1080" ht="14.25">
      <c r="A1080" s="5">
        <v>52052</v>
      </c>
      <c r="B1080" s="6" t="s">
        <v>1131</v>
      </c>
      <c r="C1080" s="7" t="s">
        <v>694</v>
      </c>
      <c r="D1080" s="7" t="s">
        <v>11</v>
      </c>
      <c r="E1080" s="5" t="s">
        <v>39</v>
      </c>
      <c r="F1080" s="8"/>
      <c r="G1080" s="9">
        <f>H1080*(1-15%)*(1-F1080)</f>
        <v>101.91500000000001</v>
      </c>
      <c r="H1080" s="9">
        <v>119.90000000000001</v>
      </c>
      <c r="I1080" s="9">
        <f>H1080-G1080</f>
        <v>17.984999999999999</v>
      </c>
    </row>
    <row r="1081" ht="14.25">
      <c r="A1081" s="5">
        <v>52057</v>
      </c>
      <c r="B1081" s="6" t="s">
        <v>1132</v>
      </c>
      <c r="C1081" s="7" t="s">
        <v>694</v>
      </c>
      <c r="D1081" s="7" t="s">
        <v>71</v>
      </c>
      <c r="E1081" s="5" t="s">
        <v>15</v>
      </c>
      <c r="F1081" s="8"/>
      <c r="G1081" s="9">
        <f>H1081*(1-15%)*(1-F1081)</f>
        <v>25.414999999999999</v>
      </c>
      <c r="H1081" s="9">
        <v>29.899999999999999</v>
      </c>
      <c r="I1081" s="9">
        <f>H1081-G1081</f>
        <v>4.4849999999999994</v>
      </c>
    </row>
    <row r="1082" ht="14.25">
      <c r="A1082" s="5">
        <v>53729</v>
      </c>
      <c r="B1082" s="6" t="s">
        <v>1133</v>
      </c>
      <c r="C1082" s="7" t="s">
        <v>109</v>
      </c>
      <c r="D1082" s="7" t="s">
        <v>183</v>
      </c>
      <c r="E1082" s="5" t="s">
        <v>15</v>
      </c>
      <c r="F1082" s="8"/>
      <c r="G1082" s="9">
        <f>H1082*(1-15%)*(1-F1082)</f>
        <v>36.464999999999996</v>
      </c>
      <c r="H1082" s="9">
        <v>42.899999999999999</v>
      </c>
      <c r="I1082" s="9">
        <f>H1082-G1082</f>
        <v>6.4350000000000023</v>
      </c>
    </row>
    <row r="1083" ht="14.25">
      <c r="A1083" s="5">
        <v>54896</v>
      </c>
      <c r="B1083" s="6" t="s">
        <v>1134</v>
      </c>
      <c r="C1083" s="7" t="s">
        <v>70</v>
      </c>
      <c r="D1083" s="7" t="s">
        <v>45</v>
      </c>
      <c r="E1083" s="5" t="s">
        <v>26</v>
      </c>
      <c r="F1083" s="8"/>
      <c r="G1083" s="9">
        <f>H1083*(1-15%)*(1-F1083)</f>
        <v>89.165000000000006</v>
      </c>
      <c r="H1083" s="9">
        <v>104.90000000000001</v>
      </c>
      <c r="I1083" s="9">
        <f>H1083-G1083</f>
        <v>15.734999999999999</v>
      </c>
    </row>
    <row r="1084" ht="14.25">
      <c r="A1084" s="5">
        <v>74043</v>
      </c>
      <c r="B1084" s="6" t="s">
        <v>1135</v>
      </c>
      <c r="C1084" s="7" t="s">
        <v>19</v>
      </c>
      <c r="D1084" s="7" t="s">
        <v>11</v>
      </c>
      <c r="E1084" s="5" t="s">
        <v>12</v>
      </c>
      <c r="F1084" s="8"/>
      <c r="G1084" s="9">
        <f>H1084*(1-15%)*(1-F1084)</f>
        <v>178.41499999999999</v>
      </c>
      <c r="H1084" s="9">
        <v>209.90000000000001</v>
      </c>
      <c r="I1084" s="9">
        <f>H1084-G1084</f>
        <v>31.485000000000014</v>
      </c>
    </row>
    <row r="1085" ht="14.25">
      <c r="A1085" s="5">
        <v>81754</v>
      </c>
      <c r="B1085" s="6" t="s">
        <v>1136</v>
      </c>
      <c r="C1085" s="7" t="s">
        <v>19</v>
      </c>
      <c r="D1085" s="7" t="s">
        <v>71</v>
      </c>
      <c r="E1085" s="5" t="s">
        <v>15</v>
      </c>
      <c r="F1085" s="8"/>
      <c r="G1085" s="9">
        <f>H1085*(1-15%)*(1-F1085)</f>
        <v>33.914999999999999</v>
      </c>
      <c r="H1085" s="9">
        <v>39.899999999999999</v>
      </c>
      <c r="I1085" s="9">
        <f>H1085-G1085</f>
        <v>5.9849999999999994</v>
      </c>
    </row>
    <row r="1086" ht="14.25">
      <c r="A1086" s="5">
        <v>81849</v>
      </c>
      <c r="B1086" s="6" t="s">
        <v>1137</v>
      </c>
      <c r="C1086" s="7" t="s">
        <v>19</v>
      </c>
      <c r="D1086" s="7" t="s">
        <v>11</v>
      </c>
      <c r="E1086" s="5" t="s">
        <v>26</v>
      </c>
      <c r="F1086" s="8"/>
      <c r="G1086" s="9">
        <f>H1086*(1-15%)*(1-F1086)</f>
        <v>178.41499999999999</v>
      </c>
      <c r="H1086" s="9">
        <v>209.90000000000001</v>
      </c>
      <c r="I1086" s="9">
        <f>H1086-G1086</f>
        <v>31.485000000000014</v>
      </c>
    </row>
    <row r="1087" ht="14.25">
      <c r="A1087" s="5">
        <v>84488</v>
      </c>
      <c r="B1087" s="6" t="s">
        <v>1138</v>
      </c>
      <c r="C1087" s="7" t="s">
        <v>19</v>
      </c>
      <c r="D1087" s="7" t="s">
        <v>45</v>
      </c>
      <c r="E1087" s="5" t="s">
        <v>15</v>
      </c>
      <c r="F1087" s="8"/>
      <c r="G1087" s="9">
        <f>H1087*(1-15%)*(1-F1087)</f>
        <v>56.865000000000002</v>
      </c>
      <c r="H1087" s="9">
        <v>66.900000000000006</v>
      </c>
      <c r="I1087" s="9">
        <f>H1087-G1087</f>
        <v>10.035000000000004</v>
      </c>
    </row>
    <row r="1088" ht="14.25">
      <c r="A1088" s="5">
        <v>49090</v>
      </c>
      <c r="B1088" s="6" t="s">
        <v>1139</v>
      </c>
      <c r="C1088" s="7" t="s">
        <v>94</v>
      </c>
      <c r="D1088" s="7" t="s">
        <v>95</v>
      </c>
      <c r="E1088" s="5" t="s">
        <v>43</v>
      </c>
      <c r="F1088" s="8"/>
      <c r="G1088" s="9">
        <f>H1088*(1-15%)*(1-F1088)</f>
        <v>40.714999999999996</v>
      </c>
      <c r="H1088" s="9">
        <v>47.899999999999999</v>
      </c>
      <c r="I1088" s="9">
        <f>H1088-G1088</f>
        <v>7.1850000000000023</v>
      </c>
    </row>
    <row r="1089" ht="14.25">
      <c r="A1089" s="5">
        <v>82701</v>
      </c>
      <c r="B1089" s="6" t="s">
        <v>1140</v>
      </c>
      <c r="C1089" s="7" t="s">
        <v>94</v>
      </c>
      <c r="D1089" s="7" t="s">
        <v>95</v>
      </c>
      <c r="E1089" s="5" t="s">
        <v>43</v>
      </c>
      <c r="F1089" s="8"/>
      <c r="G1089" s="9">
        <f>H1089*(1-15%)*(1-F1089)</f>
        <v>40.714999999999996</v>
      </c>
      <c r="H1089" s="9">
        <v>47.899999999999999</v>
      </c>
      <c r="I1089" s="9">
        <f>H1089-G1089</f>
        <v>7.1850000000000023</v>
      </c>
    </row>
    <row r="1090" ht="14.25">
      <c r="A1090" s="5">
        <v>82705</v>
      </c>
      <c r="B1090" s="6" t="s">
        <v>1141</v>
      </c>
      <c r="C1090" s="7" t="s">
        <v>94</v>
      </c>
      <c r="D1090" s="7" t="s">
        <v>95</v>
      </c>
      <c r="E1090" s="5" t="s">
        <v>43</v>
      </c>
      <c r="F1090" s="8"/>
      <c r="G1090" s="9">
        <f>H1090*(1-15%)*(1-F1090)</f>
        <v>40.714999999999996</v>
      </c>
      <c r="H1090" s="9">
        <v>47.899999999999999</v>
      </c>
      <c r="I1090" s="9">
        <f>H1090-G1090</f>
        <v>7.1850000000000023</v>
      </c>
    </row>
    <row r="1091" ht="14.25">
      <c r="A1091" s="5">
        <v>82825</v>
      </c>
      <c r="B1091" s="6" t="s">
        <v>1142</v>
      </c>
      <c r="C1091" s="7" t="s">
        <v>94</v>
      </c>
      <c r="D1091" s="7" t="s">
        <v>95</v>
      </c>
      <c r="E1091" s="5" t="s">
        <v>39</v>
      </c>
      <c r="F1091" s="8"/>
      <c r="G1091" s="9">
        <f>H1091*(1-15%)*(1-F1091)</f>
        <v>40.714999999999996</v>
      </c>
      <c r="H1091" s="9">
        <v>47.899999999999999</v>
      </c>
      <c r="I1091" s="9">
        <f>H1091-G1091</f>
        <v>7.1850000000000023</v>
      </c>
    </row>
    <row r="1092" ht="14.25">
      <c r="A1092" s="5">
        <v>82845</v>
      </c>
      <c r="B1092" s="6" t="s">
        <v>1143</v>
      </c>
      <c r="C1092" s="7" t="s">
        <v>94</v>
      </c>
      <c r="D1092" s="7" t="s">
        <v>95</v>
      </c>
      <c r="E1092" s="5" t="s">
        <v>39</v>
      </c>
      <c r="F1092" s="8"/>
      <c r="G1092" s="9">
        <f>H1092*(1-15%)*(1-F1092)</f>
        <v>40.714999999999996</v>
      </c>
      <c r="H1092" s="9">
        <v>47.899999999999999</v>
      </c>
      <c r="I1092" s="9">
        <f>H1092-G1092</f>
        <v>7.1850000000000023</v>
      </c>
    </row>
    <row r="1093" ht="14.25">
      <c r="A1093" s="5">
        <v>82888</v>
      </c>
      <c r="B1093" s="6" t="s">
        <v>1144</v>
      </c>
      <c r="C1093" s="7" t="s">
        <v>94</v>
      </c>
      <c r="D1093" s="7" t="s">
        <v>95</v>
      </c>
      <c r="E1093" s="5" t="s">
        <v>26</v>
      </c>
      <c r="F1093" s="8"/>
      <c r="G1093" s="9">
        <f>H1093*(1-15%)*(1-F1093)</f>
        <v>40.714999999999996</v>
      </c>
      <c r="H1093" s="9">
        <v>47.899999999999999</v>
      </c>
      <c r="I1093" s="9">
        <f>H1093-G1093</f>
        <v>7.1850000000000023</v>
      </c>
    </row>
    <row r="1094" ht="14.25">
      <c r="A1094" s="5">
        <v>83699</v>
      </c>
      <c r="B1094" s="6" t="s">
        <v>1145</v>
      </c>
      <c r="C1094" s="7" t="s">
        <v>94</v>
      </c>
      <c r="D1094" s="7" t="s">
        <v>95</v>
      </c>
      <c r="E1094" s="5" t="s">
        <v>43</v>
      </c>
      <c r="F1094" s="8"/>
      <c r="G1094" s="9">
        <f>H1094*(1-15%)*(1-F1094)</f>
        <v>40.714999999999996</v>
      </c>
      <c r="H1094" s="9">
        <v>47.899999999999999</v>
      </c>
      <c r="I1094" s="9">
        <f>H1094-G1094</f>
        <v>7.1850000000000023</v>
      </c>
    </row>
    <row r="1095" ht="14.25">
      <c r="A1095" s="5">
        <v>53105</v>
      </c>
      <c r="B1095" s="6" t="s">
        <v>1146</v>
      </c>
      <c r="C1095" s="7" t="s">
        <v>82</v>
      </c>
      <c r="D1095" s="7" t="s">
        <v>103</v>
      </c>
      <c r="E1095" s="5" t="s">
        <v>15</v>
      </c>
      <c r="F1095" s="8"/>
      <c r="G1095" s="9">
        <f>H1095*(1-15%)*(1-F1095)</f>
        <v>38.164999999999999</v>
      </c>
      <c r="H1095" s="9">
        <v>44.899999999999999</v>
      </c>
      <c r="I1095" s="9">
        <f>H1095-G1095</f>
        <v>6.7349999999999994</v>
      </c>
    </row>
    <row r="1096" ht="14.25">
      <c r="A1096" s="5">
        <v>53100</v>
      </c>
      <c r="B1096" s="6" t="s">
        <v>1147</v>
      </c>
      <c r="C1096" s="7" t="s">
        <v>82</v>
      </c>
      <c r="D1096" s="7" t="s">
        <v>45</v>
      </c>
      <c r="E1096" s="5" t="s">
        <v>15</v>
      </c>
      <c r="F1096" s="8"/>
      <c r="G1096" s="9">
        <f>H1096*(1-15%)*(1-F1096)</f>
        <v>25.414999999999999</v>
      </c>
      <c r="H1096" s="9">
        <v>29.899999999999999</v>
      </c>
      <c r="I1096" s="9">
        <f>H1096-G1096</f>
        <v>4.4849999999999994</v>
      </c>
    </row>
    <row r="1097" ht="14.25">
      <c r="A1097" s="5">
        <v>53079</v>
      </c>
      <c r="B1097" s="6" t="s">
        <v>1148</v>
      </c>
      <c r="C1097" s="7" t="s">
        <v>82</v>
      </c>
      <c r="D1097" s="7" t="s">
        <v>45</v>
      </c>
      <c r="E1097" s="5" t="s">
        <v>15</v>
      </c>
      <c r="F1097" s="8"/>
      <c r="G1097" s="9">
        <f>H1097*(1-15%)*(1-F1097)</f>
        <v>46.664999999999999</v>
      </c>
      <c r="H1097" s="9">
        <v>54.899999999999999</v>
      </c>
      <c r="I1097" s="9">
        <f>H1097-G1097</f>
        <v>8.2349999999999994</v>
      </c>
    </row>
    <row r="1098" ht="14.25">
      <c r="A1098" s="5">
        <v>53099</v>
      </c>
      <c r="B1098" s="6" t="s">
        <v>1149</v>
      </c>
      <c r="C1098" s="7" t="s">
        <v>82</v>
      </c>
      <c r="D1098" s="7" t="s">
        <v>45</v>
      </c>
      <c r="E1098" s="5" t="s">
        <v>15</v>
      </c>
      <c r="F1098" s="8"/>
      <c r="G1098" s="9">
        <f>H1098*(1-15%)*(1-F1098)</f>
        <v>63.665000000000006</v>
      </c>
      <c r="H1098" s="9">
        <v>74.900000000000006</v>
      </c>
      <c r="I1098" s="9">
        <f>H1098-G1098</f>
        <v>11.234999999999999</v>
      </c>
    </row>
    <row r="1099" ht="14.25">
      <c r="A1099" s="5">
        <v>54184</v>
      </c>
      <c r="B1099" s="6" t="s">
        <v>1150</v>
      </c>
      <c r="C1099" s="7" t="s">
        <v>82</v>
      </c>
      <c r="D1099" s="7" t="s">
        <v>45</v>
      </c>
      <c r="E1099" s="5" t="s">
        <v>39</v>
      </c>
      <c r="F1099" s="8"/>
      <c r="G1099" s="9">
        <f>H1099*(1-15%)*(1-F1099)</f>
        <v>50.914999999999999</v>
      </c>
      <c r="H1099" s="9">
        <v>59.899999999999999</v>
      </c>
      <c r="I1099" s="9">
        <f>H1099-G1099</f>
        <v>8.9849999999999994</v>
      </c>
    </row>
    <row r="1100" ht="14.25">
      <c r="A1100" s="5">
        <v>51753</v>
      </c>
      <c r="B1100" s="6" t="s">
        <v>1151</v>
      </c>
      <c r="C1100" s="7" t="s">
        <v>251</v>
      </c>
      <c r="D1100" s="7" t="s">
        <v>71</v>
      </c>
      <c r="E1100" s="5" t="s">
        <v>43</v>
      </c>
      <c r="F1100" s="8"/>
      <c r="G1100" s="9">
        <f>H1100*(1-15%)*(1-F1100)</f>
        <v>42.414999999999999</v>
      </c>
      <c r="H1100" s="9">
        <v>49.899999999999999</v>
      </c>
      <c r="I1100" s="9">
        <f>H1100-G1100</f>
        <v>7.4849999999999994</v>
      </c>
    </row>
    <row r="1101" ht="14.25">
      <c r="A1101" s="5">
        <v>53069</v>
      </c>
      <c r="B1101" s="6" t="s">
        <v>1152</v>
      </c>
      <c r="C1101" s="7" t="s">
        <v>10</v>
      </c>
      <c r="D1101" s="7" t="s">
        <v>61</v>
      </c>
      <c r="E1101" s="5" t="s">
        <v>15</v>
      </c>
      <c r="F1101" s="8"/>
      <c r="G1101" s="9">
        <f>H1101*(1-15%)*(1-F1101)</f>
        <v>259.16499999999996</v>
      </c>
      <c r="H1101" s="9">
        <v>304.89999999999998</v>
      </c>
      <c r="I1101" s="9">
        <f>H1101-G1101</f>
        <v>45.735000000000014</v>
      </c>
    </row>
    <row r="1102" ht="14.25">
      <c r="A1102" s="5">
        <v>53070</v>
      </c>
      <c r="B1102" s="6" t="s">
        <v>1153</v>
      </c>
      <c r="C1102" s="7" t="s">
        <v>21</v>
      </c>
      <c r="D1102" s="7" t="s">
        <v>61</v>
      </c>
      <c r="E1102" s="5" t="s">
        <v>15</v>
      </c>
      <c r="F1102" s="8"/>
      <c r="G1102" s="9">
        <f>H1102*(1-15%)*(1-F1102)</f>
        <v>201.36500000000001</v>
      </c>
      <c r="H1102" s="9">
        <v>236.90000000000001</v>
      </c>
      <c r="I1102" s="9">
        <f>H1102-G1102</f>
        <v>35.534999999999997</v>
      </c>
    </row>
    <row r="1103" ht="14.25">
      <c r="A1103" s="5">
        <v>53109</v>
      </c>
      <c r="B1103" s="6" t="s">
        <v>1154</v>
      </c>
      <c r="C1103" s="7" t="s">
        <v>38</v>
      </c>
      <c r="D1103" s="7" t="s">
        <v>61</v>
      </c>
      <c r="E1103" s="5" t="s">
        <v>15</v>
      </c>
      <c r="F1103" s="8"/>
      <c r="G1103" s="9">
        <f>H1103*(1-15%)*(1-F1103)</f>
        <v>121.465</v>
      </c>
      <c r="H1103" s="9">
        <v>142.90000000000001</v>
      </c>
      <c r="I1103" s="9">
        <f>H1103-G1103</f>
        <v>21.435000000000002</v>
      </c>
    </row>
    <row r="1104" ht="14.25">
      <c r="A1104" s="5">
        <v>53112</v>
      </c>
      <c r="B1104" s="6" t="s">
        <v>1155</v>
      </c>
      <c r="C1104" s="7" t="s">
        <v>25</v>
      </c>
      <c r="D1104" s="7" t="s">
        <v>61</v>
      </c>
      <c r="E1104" s="5" t="s">
        <v>15</v>
      </c>
      <c r="F1104" s="8"/>
      <c r="G1104" s="9">
        <f>H1104*(1-15%)*(1-F1104)</f>
        <v>158.86500000000001</v>
      </c>
      <c r="H1104" s="9">
        <v>186.90000000000001</v>
      </c>
      <c r="I1104" s="9">
        <f>H1104-G1104</f>
        <v>28.034999999999997</v>
      </c>
    </row>
    <row r="1105" ht="14.25">
      <c r="A1105" s="5">
        <v>53113</v>
      </c>
      <c r="B1105" s="6" t="s">
        <v>1156</v>
      </c>
      <c r="C1105" s="7" t="s">
        <v>36</v>
      </c>
      <c r="D1105" s="7" t="s">
        <v>61</v>
      </c>
      <c r="E1105" s="5" t="s">
        <v>15</v>
      </c>
      <c r="F1105" s="8"/>
      <c r="G1105" s="9">
        <f>H1105*(1-15%)*(1-F1105)</f>
        <v>127.41500000000001</v>
      </c>
      <c r="H1105" s="9">
        <v>149.90000000000001</v>
      </c>
      <c r="I1105" s="9">
        <f>H1105-G1105</f>
        <v>22.484999999999999</v>
      </c>
    </row>
    <row r="1106" ht="14.25">
      <c r="A1106" s="5">
        <v>53126</v>
      </c>
      <c r="B1106" s="6" t="s">
        <v>1157</v>
      </c>
      <c r="C1106" s="7" t="s">
        <v>10</v>
      </c>
      <c r="D1106" s="7" t="s">
        <v>61</v>
      </c>
      <c r="E1106" s="5" t="s">
        <v>15</v>
      </c>
      <c r="F1106" s="8"/>
      <c r="G1106" s="9">
        <f>H1106*(1-15%)*(1-F1106)</f>
        <v>314.41499999999996</v>
      </c>
      <c r="H1106" s="9">
        <v>369.89999999999998</v>
      </c>
      <c r="I1106" s="9">
        <f>H1106-G1106</f>
        <v>55.485000000000014</v>
      </c>
    </row>
    <row r="1107" ht="14.25">
      <c r="A1107" s="5">
        <v>47968</v>
      </c>
      <c r="B1107" s="6" t="s">
        <v>1158</v>
      </c>
      <c r="C1107" s="7" t="s">
        <v>94</v>
      </c>
      <c r="D1107" s="7" t="s">
        <v>95</v>
      </c>
      <c r="E1107" s="5" t="s">
        <v>43</v>
      </c>
      <c r="F1107" s="8"/>
      <c r="G1107" s="9">
        <f>H1107*(1-15%)*(1-F1107)</f>
        <v>46.664999999999999</v>
      </c>
      <c r="H1107" s="9">
        <v>54.899999999999999</v>
      </c>
      <c r="I1107" s="9">
        <f>H1107-G1107</f>
        <v>8.2349999999999994</v>
      </c>
    </row>
    <row r="1108" ht="14.25">
      <c r="A1108" s="5">
        <v>49092</v>
      </c>
      <c r="B1108" s="6" t="s">
        <v>1159</v>
      </c>
      <c r="C1108" s="7" t="s">
        <v>94</v>
      </c>
      <c r="D1108" s="7" t="s">
        <v>95</v>
      </c>
      <c r="E1108" s="5" t="s">
        <v>68</v>
      </c>
      <c r="F1108" s="8"/>
      <c r="G1108" s="9">
        <f>H1108*(1-15%)*(1-F1108)</f>
        <v>70.465000000000003</v>
      </c>
      <c r="H1108" s="9">
        <v>82.900000000000006</v>
      </c>
      <c r="I1108" s="9">
        <f>H1108-G1108</f>
        <v>12.435000000000002</v>
      </c>
    </row>
    <row r="1109" ht="14.25">
      <c r="A1109" s="5">
        <v>49139</v>
      </c>
      <c r="B1109" s="6" t="s">
        <v>1160</v>
      </c>
      <c r="C1109" s="7" t="s">
        <v>94</v>
      </c>
      <c r="D1109" s="7" t="s">
        <v>95</v>
      </c>
      <c r="E1109" s="5" t="s">
        <v>68</v>
      </c>
      <c r="F1109" s="8"/>
      <c r="G1109" s="9">
        <f>H1109*(1-15%)*(1-F1109)</f>
        <v>42.414999999999999</v>
      </c>
      <c r="H1109" s="9">
        <v>49.899999999999999</v>
      </c>
      <c r="I1109" s="9">
        <f>H1109-G1109</f>
        <v>7.4849999999999994</v>
      </c>
    </row>
    <row r="1110" ht="14.25">
      <c r="A1110" s="5">
        <v>49144</v>
      </c>
      <c r="B1110" s="6" t="s">
        <v>1161</v>
      </c>
      <c r="C1110" s="7" t="s">
        <v>94</v>
      </c>
      <c r="D1110" s="7" t="s">
        <v>95</v>
      </c>
      <c r="E1110" s="5" t="s">
        <v>43</v>
      </c>
      <c r="F1110" s="8"/>
      <c r="G1110" s="9">
        <f>H1110*(1-15%)*(1-F1110)</f>
        <v>46.664999999999999</v>
      </c>
      <c r="H1110" s="9">
        <v>54.899999999999999</v>
      </c>
      <c r="I1110" s="9">
        <f>H1110-G1110</f>
        <v>8.2349999999999994</v>
      </c>
    </row>
    <row r="1111" ht="14.25">
      <c r="A1111" s="5">
        <v>82707</v>
      </c>
      <c r="B1111" s="6" t="s">
        <v>1162</v>
      </c>
      <c r="C1111" s="7" t="s">
        <v>94</v>
      </c>
      <c r="D1111" s="7" t="s">
        <v>95</v>
      </c>
      <c r="E1111" s="5" t="s">
        <v>68</v>
      </c>
      <c r="F1111" s="8"/>
      <c r="G1111" s="9">
        <f>H1111*(1-15%)*(1-F1111)</f>
        <v>46.664999999999999</v>
      </c>
      <c r="H1111" s="9">
        <v>54.899999999999999</v>
      </c>
      <c r="I1111" s="9">
        <f>H1111-G1111</f>
        <v>8.2349999999999994</v>
      </c>
    </row>
    <row r="1112" ht="14.25">
      <c r="A1112" s="5">
        <v>82709</v>
      </c>
      <c r="B1112" s="6" t="s">
        <v>1163</v>
      </c>
      <c r="C1112" s="7" t="s">
        <v>94</v>
      </c>
      <c r="D1112" s="7" t="s">
        <v>95</v>
      </c>
      <c r="E1112" s="5" t="s">
        <v>43</v>
      </c>
      <c r="F1112" s="8"/>
      <c r="G1112" s="9">
        <f>H1112*(1-15%)*(1-F1112)</f>
        <v>70.465000000000003</v>
      </c>
      <c r="H1112" s="9">
        <v>82.900000000000006</v>
      </c>
      <c r="I1112" s="9">
        <f>H1112-G1112</f>
        <v>12.435000000000002</v>
      </c>
    </row>
    <row r="1113" ht="14.25">
      <c r="A1113" s="5">
        <v>82890</v>
      </c>
      <c r="B1113" s="6" t="s">
        <v>1164</v>
      </c>
      <c r="C1113" s="7" t="s">
        <v>94</v>
      </c>
      <c r="D1113" s="7" t="s">
        <v>95</v>
      </c>
      <c r="E1113" s="5" t="s">
        <v>68</v>
      </c>
      <c r="F1113" s="8"/>
      <c r="G1113" s="9">
        <f>H1113*(1-15%)*(1-F1113)</f>
        <v>50.914999999999999</v>
      </c>
      <c r="H1113" s="9">
        <v>59.899999999999999</v>
      </c>
      <c r="I1113" s="9">
        <f>H1113-G1113</f>
        <v>8.9849999999999994</v>
      </c>
    </row>
    <row r="1114" ht="14.25">
      <c r="A1114" s="5">
        <v>82899</v>
      </c>
      <c r="B1114" s="6" t="s">
        <v>1165</v>
      </c>
      <c r="C1114" s="7" t="s">
        <v>94</v>
      </c>
      <c r="D1114" s="7" t="s">
        <v>95</v>
      </c>
      <c r="E1114" s="5" t="s">
        <v>68</v>
      </c>
      <c r="F1114" s="8"/>
      <c r="G1114" s="9">
        <f>H1114*(1-15%)*(1-F1114)</f>
        <v>46.664999999999999</v>
      </c>
      <c r="H1114" s="9">
        <v>54.899999999999999</v>
      </c>
      <c r="I1114" s="9">
        <f>H1114-G1114</f>
        <v>8.2349999999999994</v>
      </c>
    </row>
    <row r="1115" ht="14.25">
      <c r="A1115" s="5">
        <v>53103</v>
      </c>
      <c r="B1115" s="6" t="s">
        <v>1166</v>
      </c>
      <c r="C1115" s="7" t="s">
        <v>82</v>
      </c>
      <c r="D1115" s="7" t="s">
        <v>219</v>
      </c>
      <c r="E1115" s="5" t="s">
        <v>26</v>
      </c>
      <c r="F1115" s="8"/>
      <c r="G1115" s="9">
        <f>H1115*(1-15%)*(1-F1115)</f>
        <v>29.664999999999999</v>
      </c>
      <c r="H1115" s="9">
        <v>34.899999999999999</v>
      </c>
      <c r="I1115" s="9">
        <f>H1115-G1115</f>
        <v>5.2349999999999994</v>
      </c>
    </row>
    <row r="1116" ht="14.25">
      <c r="A1116" s="5">
        <v>52828</v>
      </c>
      <c r="B1116" s="6" t="s">
        <v>1167</v>
      </c>
      <c r="C1116" s="7" t="s">
        <v>271</v>
      </c>
      <c r="D1116" s="7" t="s">
        <v>110</v>
      </c>
      <c r="E1116" s="5" t="s">
        <v>15</v>
      </c>
      <c r="F1116" s="8"/>
      <c r="G1116" s="9">
        <f>H1116*(1-15%)*(1-F1116)</f>
        <v>29.664999999999999</v>
      </c>
      <c r="H1116" s="9">
        <v>34.899999999999999</v>
      </c>
      <c r="I1116" s="9">
        <f>H1116-G1116</f>
        <v>5.2349999999999994</v>
      </c>
    </row>
    <row r="1117" ht="14.25">
      <c r="A1117" s="5">
        <v>52829</v>
      </c>
      <c r="B1117" s="6" t="s">
        <v>1168</v>
      </c>
      <c r="C1117" s="7" t="s">
        <v>271</v>
      </c>
      <c r="D1117" s="7" t="s">
        <v>110</v>
      </c>
      <c r="E1117" s="5" t="s">
        <v>15</v>
      </c>
      <c r="F1117" s="8"/>
      <c r="G1117" s="9">
        <f>H1117*(1-15%)*(1-F1117)</f>
        <v>40.714999999999996</v>
      </c>
      <c r="H1117" s="9">
        <v>47.899999999999999</v>
      </c>
      <c r="I1117" s="9">
        <f>H1117-G1117</f>
        <v>7.1850000000000023</v>
      </c>
    </row>
    <row r="1118" ht="14.25">
      <c r="A1118" s="5">
        <v>54235</v>
      </c>
      <c r="B1118" s="6" t="s">
        <v>1169</v>
      </c>
      <c r="C1118" s="7" t="s">
        <v>271</v>
      </c>
      <c r="D1118" s="7" t="s">
        <v>110</v>
      </c>
      <c r="E1118" s="5" t="s">
        <v>15</v>
      </c>
      <c r="F1118" s="8"/>
      <c r="G1118" s="9">
        <f>H1118*(1-15%)*(1-F1118)</f>
        <v>39.015000000000001</v>
      </c>
      <c r="H1118" s="9">
        <v>45.899999999999999</v>
      </c>
      <c r="I1118" s="9">
        <f>H1118-G1118</f>
        <v>6.884999999999998</v>
      </c>
    </row>
    <row r="1119" ht="14.25">
      <c r="A1119" s="5">
        <v>51704</v>
      </c>
      <c r="B1119" s="6" t="s">
        <v>1170</v>
      </c>
      <c r="C1119" s="7" t="s">
        <v>251</v>
      </c>
      <c r="D1119" s="7" t="s">
        <v>11</v>
      </c>
      <c r="E1119" s="5" t="s">
        <v>68</v>
      </c>
      <c r="F1119" s="8"/>
      <c r="G1119" s="9">
        <f>H1119*(1-15%)*(1-F1119)</f>
        <v>161.41499999999999</v>
      </c>
      <c r="H1119" s="9">
        <v>189.90000000000001</v>
      </c>
      <c r="I1119" s="9">
        <f>H1119-G1119</f>
        <v>28.485000000000014</v>
      </c>
    </row>
    <row r="1120" ht="14.25">
      <c r="A1120" s="5">
        <v>53098</v>
      </c>
      <c r="B1120" s="6" t="s">
        <v>1171</v>
      </c>
      <c r="C1120" s="7" t="s">
        <v>82</v>
      </c>
      <c r="D1120" s="7" t="s">
        <v>11</v>
      </c>
      <c r="E1120" s="5" t="s">
        <v>15</v>
      </c>
      <c r="F1120" s="8"/>
      <c r="G1120" s="9">
        <f>H1120*(1-15%)*(1-F1120)</f>
        <v>78.965000000000003</v>
      </c>
      <c r="H1120" s="9">
        <v>92.900000000000006</v>
      </c>
      <c r="I1120" s="9">
        <f>H1120-G1120</f>
        <v>13.935000000000002</v>
      </c>
    </row>
    <row r="1121" ht="14.25">
      <c r="A1121" s="5">
        <v>49765</v>
      </c>
      <c r="B1121" s="6" t="s">
        <v>1172</v>
      </c>
      <c r="C1121" s="7" t="s">
        <v>25</v>
      </c>
      <c r="D1121" s="7" t="s">
        <v>11</v>
      </c>
      <c r="E1121" s="5" t="s">
        <v>26</v>
      </c>
      <c r="F1121" s="8"/>
      <c r="G1121" s="9">
        <f>H1121*(1-15%)*(1-F1121)</f>
        <v>169.91499999999999</v>
      </c>
      <c r="H1121" s="9">
        <v>199.90000000000001</v>
      </c>
      <c r="I1121" s="9">
        <f>H1121-G1121</f>
        <v>29.985000000000014</v>
      </c>
    </row>
    <row r="1122" ht="14.25">
      <c r="A1122" s="5">
        <v>49766</v>
      </c>
      <c r="B1122" s="6" t="s">
        <v>1173</v>
      </c>
      <c r="C1122" s="7" t="s">
        <v>25</v>
      </c>
      <c r="D1122" s="7" t="s">
        <v>11</v>
      </c>
      <c r="E1122" s="5" t="s">
        <v>26</v>
      </c>
      <c r="F1122" s="8"/>
      <c r="G1122" s="9">
        <f>H1122*(1-15%)*(1-F1122)</f>
        <v>169.91499999999999</v>
      </c>
      <c r="H1122" s="9">
        <v>199.90000000000001</v>
      </c>
      <c r="I1122" s="9">
        <f>H1122-G1122</f>
        <v>29.985000000000014</v>
      </c>
    </row>
    <row r="1123" ht="14.25">
      <c r="A1123" s="5">
        <v>50418</v>
      </c>
      <c r="B1123" s="6" t="s">
        <v>1174</v>
      </c>
      <c r="C1123" s="7" t="s">
        <v>25</v>
      </c>
      <c r="D1123" s="7" t="s">
        <v>11</v>
      </c>
      <c r="E1123" s="5" t="s">
        <v>39</v>
      </c>
      <c r="F1123" s="8"/>
      <c r="G1123" s="9">
        <f>H1123*(1-15%)*(1-F1123)</f>
        <v>169.91499999999999</v>
      </c>
      <c r="H1123" s="9">
        <v>199.90000000000001</v>
      </c>
      <c r="I1123" s="9">
        <f>H1123-G1123</f>
        <v>29.985000000000014</v>
      </c>
    </row>
    <row r="1124" ht="14.25">
      <c r="A1124" s="5">
        <v>49089</v>
      </c>
      <c r="B1124" s="6" t="s">
        <v>1175</v>
      </c>
      <c r="C1124" s="7" t="s">
        <v>94</v>
      </c>
      <c r="D1124" s="7" t="s">
        <v>95</v>
      </c>
      <c r="E1124" s="5" t="s">
        <v>43</v>
      </c>
      <c r="F1124" s="8"/>
      <c r="G1124" s="9">
        <f>H1124*(1-15%)*(1-F1124)</f>
        <v>39.015000000000001</v>
      </c>
      <c r="H1124" s="9">
        <v>45.899999999999999</v>
      </c>
      <c r="I1124" s="9">
        <f>H1124-G1124</f>
        <v>6.884999999999998</v>
      </c>
    </row>
    <row r="1125" ht="14.25">
      <c r="A1125" s="5">
        <v>82700</v>
      </c>
      <c r="B1125" s="6" t="s">
        <v>1176</v>
      </c>
      <c r="C1125" s="7" t="s">
        <v>94</v>
      </c>
      <c r="D1125" s="7" t="s">
        <v>95</v>
      </c>
      <c r="E1125" s="5" t="s">
        <v>43</v>
      </c>
      <c r="F1125" s="8"/>
      <c r="G1125" s="9">
        <f>H1125*(1-15%)*(1-F1125)</f>
        <v>39.015000000000001</v>
      </c>
      <c r="H1125" s="9">
        <v>45.899999999999999</v>
      </c>
      <c r="I1125" s="9">
        <f>H1125-G1125</f>
        <v>6.884999999999998</v>
      </c>
    </row>
    <row r="1126" ht="14.25">
      <c r="A1126" s="5">
        <v>82704</v>
      </c>
      <c r="B1126" s="6" t="s">
        <v>1177</v>
      </c>
      <c r="C1126" s="7" t="s">
        <v>94</v>
      </c>
      <c r="D1126" s="7" t="s">
        <v>95</v>
      </c>
      <c r="E1126" s="5" t="s">
        <v>43</v>
      </c>
      <c r="F1126" s="8"/>
      <c r="G1126" s="9">
        <f>H1126*(1-15%)*(1-F1126)</f>
        <v>39.015000000000001</v>
      </c>
      <c r="H1126" s="9">
        <v>45.899999999999999</v>
      </c>
      <c r="I1126" s="9">
        <f>H1126-G1126</f>
        <v>6.884999999999998</v>
      </c>
    </row>
    <row r="1127" ht="14.25">
      <c r="A1127" s="5">
        <v>82824</v>
      </c>
      <c r="B1127" s="6" t="s">
        <v>1178</v>
      </c>
      <c r="C1127" s="7" t="s">
        <v>94</v>
      </c>
      <c r="D1127" s="7" t="s">
        <v>95</v>
      </c>
      <c r="E1127" s="5" t="s">
        <v>39</v>
      </c>
      <c r="F1127" s="8"/>
      <c r="G1127" s="9">
        <f>H1127*(1-15%)*(1-F1127)</f>
        <v>39.015000000000001</v>
      </c>
      <c r="H1127" s="9">
        <v>45.899999999999999</v>
      </c>
      <c r="I1127" s="9">
        <f>H1127-G1127</f>
        <v>6.884999999999998</v>
      </c>
    </row>
    <row r="1128" ht="14.25">
      <c r="A1128" s="5">
        <v>82844</v>
      </c>
      <c r="B1128" s="6" t="s">
        <v>1179</v>
      </c>
      <c r="C1128" s="7" t="s">
        <v>94</v>
      </c>
      <c r="D1128" s="7" t="s">
        <v>95</v>
      </c>
      <c r="E1128" s="5" t="s">
        <v>39</v>
      </c>
      <c r="F1128" s="8"/>
      <c r="G1128" s="9">
        <f>H1128*(1-15%)*(1-F1128)</f>
        <v>39.015000000000001</v>
      </c>
      <c r="H1128" s="9">
        <v>45.899999999999999</v>
      </c>
      <c r="I1128" s="9">
        <f>H1128-G1128</f>
        <v>6.884999999999998</v>
      </c>
    </row>
    <row r="1129" ht="14.25">
      <c r="A1129" s="5">
        <v>82887</v>
      </c>
      <c r="B1129" s="6" t="s">
        <v>1180</v>
      </c>
      <c r="C1129" s="7" t="s">
        <v>94</v>
      </c>
      <c r="D1129" s="7" t="s">
        <v>95</v>
      </c>
      <c r="E1129" s="5" t="s">
        <v>26</v>
      </c>
      <c r="F1129" s="8"/>
      <c r="G1129" s="9">
        <f>H1129*(1-15%)*(1-F1129)</f>
        <v>39.015000000000001</v>
      </c>
      <c r="H1129" s="9">
        <v>45.899999999999999</v>
      </c>
      <c r="I1129" s="9">
        <f>H1129-G1129</f>
        <v>6.884999999999998</v>
      </c>
    </row>
    <row r="1130" ht="14.25">
      <c r="A1130" s="5">
        <v>83697</v>
      </c>
      <c r="B1130" s="6" t="s">
        <v>1181</v>
      </c>
      <c r="C1130" s="7" t="s">
        <v>94</v>
      </c>
      <c r="D1130" s="7" t="s">
        <v>95</v>
      </c>
      <c r="E1130" s="5" t="s">
        <v>43</v>
      </c>
      <c r="F1130" s="8"/>
      <c r="G1130" s="9">
        <f>H1130*(1-15%)*(1-F1130)</f>
        <v>39.015000000000001</v>
      </c>
      <c r="H1130" s="9">
        <v>45.899999999999999</v>
      </c>
      <c r="I1130" s="9">
        <f>H1130-G1130</f>
        <v>6.884999999999998</v>
      </c>
    </row>
    <row r="1131" ht="14.25">
      <c r="A1131" s="5">
        <v>49091</v>
      </c>
      <c r="B1131" s="6" t="s">
        <v>1182</v>
      </c>
      <c r="C1131" s="7" t="s">
        <v>94</v>
      </c>
      <c r="D1131" s="7" t="s">
        <v>95</v>
      </c>
      <c r="E1131" s="5" t="s">
        <v>43</v>
      </c>
      <c r="F1131" s="8"/>
      <c r="G1131" s="9">
        <f>H1131*(1-15%)*(1-F1131)</f>
        <v>57.715000000000003</v>
      </c>
      <c r="H1131" s="9">
        <v>67.900000000000006</v>
      </c>
      <c r="I1131" s="9">
        <f>H1131-G1131</f>
        <v>10.185000000000002</v>
      </c>
    </row>
    <row r="1132" ht="14.25">
      <c r="A1132" s="5">
        <v>49150</v>
      </c>
      <c r="B1132" s="6" t="s">
        <v>1183</v>
      </c>
      <c r="C1132" s="7" t="s">
        <v>94</v>
      </c>
      <c r="D1132" s="7" t="s">
        <v>95</v>
      </c>
      <c r="E1132" s="5" t="s">
        <v>26</v>
      </c>
      <c r="F1132" s="8"/>
      <c r="G1132" s="9">
        <f>H1132*(1-15%)*(1-F1132)</f>
        <v>55.165000000000006</v>
      </c>
      <c r="H1132" s="9">
        <v>64.900000000000006</v>
      </c>
      <c r="I1132" s="9">
        <f>H1132-G1132</f>
        <v>9.7349999999999994</v>
      </c>
    </row>
    <row r="1133" ht="14.25">
      <c r="A1133" s="5">
        <v>49379</v>
      </c>
      <c r="B1133" s="6" t="s">
        <v>1184</v>
      </c>
      <c r="C1133" s="7" t="s">
        <v>94</v>
      </c>
      <c r="D1133" s="7" t="s">
        <v>95</v>
      </c>
      <c r="E1133" s="5" t="s">
        <v>43</v>
      </c>
      <c r="F1133" s="8"/>
      <c r="G1133" s="9">
        <f>H1133*(1-15%)*(1-F1133)</f>
        <v>57.715000000000003</v>
      </c>
      <c r="H1133" s="9">
        <v>67.900000000000006</v>
      </c>
      <c r="I1133" s="9">
        <f>H1133-G1133</f>
        <v>10.185000000000002</v>
      </c>
    </row>
    <row r="1134" ht="14.25">
      <c r="A1134" s="5">
        <v>82708</v>
      </c>
      <c r="B1134" s="6" t="s">
        <v>1185</v>
      </c>
      <c r="C1134" s="7" t="s">
        <v>94</v>
      </c>
      <c r="D1134" s="7" t="s">
        <v>95</v>
      </c>
      <c r="E1134" s="5" t="s">
        <v>43</v>
      </c>
      <c r="F1134" s="8"/>
      <c r="G1134" s="9">
        <f>H1134*(1-15%)*(1-F1134)</f>
        <v>57.715000000000003</v>
      </c>
      <c r="H1134" s="9">
        <v>67.900000000000006</v>
      </c>
      <c r="I1134" s="9">
        <f>H1134-G1134</f>
        <v>10.185000000000002</v>
      </c>
    </row>
    <row r="1135" ht="14.25">
      <c r="A1135" s="5">
        <v>82826</v>
      </c>
      <c r="B1135" s="6" t="s">
        <v>1186</v>
      </c>
      <c r="C1135" s="7" t="s">
        <v>94</v>
      </c>
      <c r="D1135" s="7" t="s">
        <v>95</v>
      </c>
      <c r="E1135" s="5" t="s">
        <v>68</v>
      </c>
      <c r="F1135" s="8"/>
      <c r="G1135" s="9">
        <f>H1135*(1-15%)*(1-F1135)</f>
        <v>57.715000000000003</v>
      </c>
      <c r="H1135" s="9">
        <v>67.900000000000006</v>
      </c>
      <c r="I1135" s="9">
        <f>H1135-G1135</f>
        <v>10.185000000000002</v>
      </c>
    </row>
    <row r="1136" ht="14.25">
      <c r="A1136" s="5">
        <v>82847</v>
      </c>
      <c r="B1136" s="6" t="s">
        <v>1187</v>
      </c>
      <c r="C1136" s="7" t="s">
        <v>94</v>
      </c>
      <c r="D1136" s="7" t="s">
        <v>95</v>
      </c>
      <c r="E1136" s="5" t="s">
        <v>39</v>
      </c>
      <c r="F1136" s="8"/>
      <c r="G1136" s="9">
        <f>H1136*(1-15%)*(1-F1136)</f>
        <v>57.715000000000003</v>
      </c>
      <c r="H1136" s="9">
        <v>67.900000000000006</v>
      </c>
      <c r="I1136" s="9">
        <f>H1136-G1136</f>
        <v>10.185000000000002</v>
      </c>
    </row>
    <row r="1137" ht="14.25">
      <c r="A1137" s="5">
        <v>52130</v>
      </c>
      <c r="B1137" s="6" t="s">
        <v>1188</v>
      </c>
      <c r="C1137" s="7" t="s">
        <v>65</v>
      </c>
      <c r="D1137" s="7" t="s">
        <v>95</v>
      </c>
      <c r="E1137" s="5" t="s">
        <v>26</v>
      </c>
      <c r="F1137" s="8"/>
      <c r="G1137" s="9">
        <f>H1137*(1-15%)*(1-F1137)</f>
        <v>40.714999999999996</v>
      </c>
      <c r="H1137" s="9">
        <v>47.899999999999999</v>
      </c>
      <c r="I1137" s="9">
        <f>H1137-G1137</f>
        <v>7.1850000000000023</v>
      </c>
    </row>
    <row r="1138" ht="14.25">
      <c r="A1138" s="5">
        <v>52112</v>
      </c>
      <c r="B1138" s="6" t="s">
        <v>1189</v>
      </c>
      <c r="C1138" s="7" t="s">
        <v>65</v>
      </c>
      <c r="D1138" s="7" t="s">
        <v>103</v>
      </c>
      <c r="E1138" s="5" t="s">
        <v>15</v>
      </c>
      <c r="F1138" s="8"/>
      <c r="G1138" s="9">
        <f>H1138*(1-15%)*(1-F1138)</f>
        <v>38.164999999999999</v>
      </c>
      <c r="H1138" s="9">
        <v>44.899999999999999</v>
      </c>
      <c r="I1138" s="9">
        <f>H1138-G1138</f>
        <v>6.7349999999999994</v>
      </c>
    </row>
    <row r="1139" ht="14.25">
      <c r="A1139" s="5">
        <v>53416</v>
      </c>
      <c r="B1139" s="6" t="s">
        <v>1190</v>
      </c>
      <c r="C1139" s="7" t="s">
        <v>399</v>
      </c>
      <c r="D1139" s="7" t="s">
        <v>45</v>
      </c>
      <c r="E1139" s="5" t="s">
        <v>43</v>
      </c>
      <c r="F1139" s="8"/>
      <c r="G1139" s="9">
        <f>H1139*(1-15%)*(1-F1139)</f>
        <v>63.665000000000006</v>
      </c>
      <c r="H1139" s="9">
        <v>74.900000000000006</v>
      </c>
      <c r="I1139" s="9">
        <f>H1139-G1139</f>
        <v>11.234999999999999</v>
      </c>
    </row>
    <row r="1140" ht="14.25">
      <c r="A1140" s="5">
        <v>51315</v>
      </c>
      <c r="B1140" s="6" t="s">
        <v>1191</v>
      </c>
      <c r="C1140" s="7" t="s">
        <v>10</v>
      </c>
      <c r="D1140" s="7" t="s">
        <v>71</v>
      </c>
      <c r="E1140" s="5" t="s">
        <v>15</v>
      </c>
      <c r="F1140" s="8"/>
      <c r="G1140" s="9">
        <f>H1140*(1-15%)*(1-F1140)</f>
        <v>33.914999999999999</v>
      </c>
      <c r="H1140" s="9">
        <v>39.899999999999999</v>
      </c>
      <c r="I1140" s="9">
        <f>H1140-G1140</f>
        <v>5.9849999999999994</v>
      </c>
    </row>
    <row r="1141" ht="14.25">
      <c r="A1141" s="5">
        <v>53289</v>
      </c>
      <c r="B1141" s="6" t="s">
        <v>1192</v>
      </c>
      <c r="C1141" s="7" t="s">
        <v>65</v>
      </c>
      <c r="D1141" s="7" t="s">
        <v>71</v>
      </c>
      <c r="E1141" s="5" t="s">
        <v>15</v>
      </c>
      <c r="F1141" s="8"/>
      <c r="G1141" s="9">
        <f>H1141*(1-15%)*(1-F1141)</f>
        <v>33.064999999999998</v>
      </c>
      <c r="H1141" s="9">
        <v>38.899999999999999</v>
      </c>
      <c r="I1141" s="9">
        <f>H1141-G1141</f>
        <v>5.8350000000000009</v>
      </c>
    </row>
    <row r="1142" ht="14.25">
      <c r="A1142" s="5">
        <v>50379</v>
      </c>
      <c r="B1142" s="6" t="s">
        <v>1193</v>
      </c>
      <c r="C1142" s="7" t="s">
        <v>271</v>
      </c>
      <c r="D1142" s="7" t="s">
        <v>110</v>
      </c>
      <c r="E1142" s="5" t="s">
        <v>39</v>
      </c>
      <c r="F1142" s="8"/>
      <c r="G1142" s="9">
        <f>H1142*(1-15%)*(1-F1142)</f>
        <v>40.714999999999996</v>
      </c>
      <c r="H1142" s="9">
        <v>47.899999999999999</v>
      </c>
      <c r="I1142" s="9">
        <f>H1142-G1142</f>
        <v>7.1850000000000023</v>
      </c>
    </row>
    <row r="1143" ht="14.25">
      <c r="A1143" s="5">
        <v>50380</v>
      </c>
      <c r="B1143" s="6" t="s">
        <v>1194</v>
      </c>
      <c r="C1143" s="7" t="s">
        <v>271</v>
      </c>
      <c r="D1143" s="7" t="s">
        <v>110</v>
      </c>
      <c r="E1143" s="5" t="s">
        <v>43</v>
      </c>
      <c r="F1143" s="8"/>
      <c r="G1143" s="9">
        <f>H1143*(1-15%)*(1-F1143)</f>
        <v>40.714999999999996</v>
      </c>
      <c r="H1143" s="9">
        <v>47.899999999999999</v>
      </c>
      <c r="I1143" s="9">
        <f>H1143-G1143</f>
        <v>7.1850000000000023</v>
      </c>
    </row>
    <row r="1144" ht="14.25">
      <c r="A1144" s="5">
        <v>50381</v>
      </c>
      <c r="B1144" s="6" t="s">
        <v>1195</v>
      </c>
      <c r="C1144" s="7" t="s">
        <v>271</v>
      </c>
      <c r="D1144" s="7" t="s">
        <v>110</v>
      </c>
      <c r="E1144" s="5" t="s">
        <v>39</v>
      </c>
      <c r="F1144" s="8"/>
      <c r="G1144" s="9">
        <f>H1144*(1-15%)*(1-F1144)</f>
        <v>40.714999999999996</v>
      </c>
      <c r="H1144" s="9">
        <v>47.899999999999999</v>
      </c>
      <c r="I1144" s="9">
        <f>H1144-G1144</f>
        <v>7.1850000000000023</v>
      </c>
    </row>
    <row r="1145" ht="14.25">
      <c r="A1145" s="5">
        <v>51455</v>
      </c>
      <c r="B1145" s="6" t="s">
        <v>1196</v>
      </c>
      <c r="C1145" s="7" t="s">
        <v>271</v>
      </c>
      <c r="D1145" s="7" t="s">
        <v>110</v>
      </c>
      <c r="E1145" s="5" t="s">
        <v>43</v>
      </c>
      <c r="F1145" s="8"/>
      <c r="G1145" s="9">
        <f>H1145*(1-15%)*(1-F1145)</f>
        <v>40.714999999999996</v>
      </c>
      <c r="H1145" s="9">
        <v>47.899999999999999</v>
      </c>
      <c r="I1145" s="9">
        <f>H1145-G1145</f>
        <v>7.1850000000000023</v>
      </c>
    </row>
    <row r="1146" ht="14.25">
      <c r="A1146" s="5">
        <v>52816</v>
      </c>
      <c r="B1146" s="6" t="s">
        <v>1197</v>
      </c>
      <c r="C1146" s="7" t="s">
        <v>271</v>
      </c>
      <c r="D1146" s="7" t="s">
        <v>110</v>
      </c>
      <c r="E1146" s="5" t="s">
        <v>43</v>
      </c>
      <c r="F1146" s="8"/>
      <c r="G1146" s="9">
        <f>H1146*(1-15%)*(1-F1146)</f>
        <v>39.015000000000001</v>
      </c>
      <c r="H1146" s="9">
        <v>45.899999999999999</v>
      </c>
      <c r="I1146" s="9">
        <f>H1146-G1146</f>
        <v>6.884999999999998</v>
      </c>
    </row>
    <row r="1147" ht="14.25">
      <c r="A1147" s="5">
        <v>52834</v>
      </c>
      <c r="B1147" s="6" t="s">
        <v>1198</v>
      </c>
      <c r="C1147" s="7" t="s">
        <v>271</v>
      </c>
      <c r="D1147" s="7" t="s">
        <v>110</v>
      </c>
      <c r="E1147" s="5" t="s">
        <v>15</v>
      </c>
      <c r="F1147" s="8"/>
      <c r="G1147" s="9">
        <f>H1147*(1-15%)*(1-F1147)</f>
        <v>44.964999999999996</v>
      </c>
      <c r="H1147" s="9">
        <v>52.899999999999999</v>
      </c>
      <c r="I1147" s="9">
        <f>H1147-G1147</f>
        <v>7.9350000000000023</v>
      </c>
    </row>
    <row r="1148" ht="14.25">
      <c r="A1148" s="5">
        <v>53977</v>
      </c>
      <c r="B1148" s="6" t="s">
        <v>1199</v>
      </c>
      <c r="C1148" s="7" t="s">
        <v>21</v>
      </c>
      <c r="D1148" s="7" t="s">
        <v>103</v>
      </c>
      <c r="E1148" s="5" t="s">
        <v>15</v>
      </c>
      <c r="F1148" s="8"/>
      <c r="G1148" s="9">
        <f>H1148*(1-15%)*(1-F1148)</f>
        <v>52.614999999999995</v>
      </c>
      <c r="H1148" s="9">
        <v>61.899999999999999</v>
      </c>
      <c r="I1148" s="9">
        <f>H1148-G1148</f>
        <v>9.2850000000000037</v>
      </c>
    </row>
    <row r="1149" ht="14.25">
      <c r="A1149" s="5">
        <v>53795</v>
      </c>
      <c r="B1149" s="6" t="s">
        <v>1200</v>
      </c>
      <c r="C1149" s="7" t="s">
        <v>201</v>
      </c>
      <c r="D1149" s="7" t="s">
        <v>183</v>
      </c>
      <c r="E1149" s="5" t="s">
        <v>15</v>
      </c>
      <c r="F1149" s="8"/>
      <c r="G1149" s="9">
        <f>H1149*(1-15%)*(1-F1149)</f>
        <v>50.914999999999999</v>
      </c>
      <c r="H1149" s="9">
        <v>59.899999999999999</v>
      </c>
      <c r="I1149" s="9">
        <f>H1149-G1149</f>
        <v>8.9849999999999994</v>
      </c>
    </row>
    <row r="1150" ht="14.25">
      <c r="A1150" s="5">
        <v>53796</v>
      </c>
      <c r="B1150" s="6" t="s">
        <v>1201</v>
      </c>
      <c r="C1150" s="7" t="s">
        <v>201</v>
      </c>
      <c r="D1150" s="7" t="s">
        <v>183</v>
      </c>
      <c r="E1150" s="5" t="s">
        <v>15</v>
      </c>
      <c r="F1150" s="8"/>
      <c r="G1150" s="9">
        <f>H1150*(1-15%)*(1-F1150)</f>
        <v>59.415000000000006</v>
      </c>
      <c r="H1150" s="9">
        <v>69.900000000000006</v>
      </c>
      <c r="I1150" s="9">
        <f>H1150-G1150</f>
        <v>10.484999999999999</v>
      </c>
    </row>
    <row r="1151" ht="14.25">
      <c r="A1151" s="5">
        <v>53901</v>
      </c>
      <c r="B1151" s="6" t="s">
        <v>1202</v>
      </c>
      <c r="C1151" s="7" t="s">
        <v>10</v>
      </c>
      <c r="D1151" s="7" t="s">
        <v>183</v>
      </c>
      <c r="E1151" s="5" t="s">
        <v>68</v>
      </c>
      <c r="F1151" s="8"/>
      <c r="G1151" s="9">
        <f>H1151*(1-15%)*(1-F1151)</f>
        <v>67.915000000000006</v>
      </c>
      <c r="H1151" s="9">
        <v>79.900000000000006</v>
      </c>
      <c r="I1151" s="9">
        <f>H1151-G1151</f>
        <v>11.984999999999999</v>
      </c>
    </row>
    <row r="1152" ht="14.25">
      <c r="A1152" s="5">
        <v>53983</v>
      </c>
      <c r="B1152" s="6" t="s">
        <v>1203</v>
      </c>
      <c r="C1152" s="7" t="s">
        <v>201</v>
      </c>
      <c r="D1152" s="7" t="s">
        <v>183</v>
      </c>
      <c r="E1152" s="5" t="s">
        <v>15</v>
      </c>
      <c r="F1152" s="8"/>
      <c r="G1152" s="9">
        <f>H1152*(1-15%)*(1-F1152)</f>
        <v>76.415000000000006</v>
      </c>
      <c r="H1152" s="9">
        <v>89.900000000000006</v>
      </c>
      <c r="I1152" s="9">
        <f>H1152-G1152</f>
        <v>13.484999999999999</v>
      </c>
    </row>
    <row r="1153" ht="14.25">
      <c r="A1153" s="5">
        <v>53415</v>
      </c>
      <c r="B1153" s="6" t="s">
        <v>1204</v>
      </c>
      <c r="C1153" s="7" t="s">
        <v>399</v>
      </c>
      <c r="D1153" s="7" t="s">
        <v>11</v>
      </c>
      <c r="E1153" s="5" t="s">
        <v>26</v>
      </c>
      <c r="F1153" s="8"/>
      <c r="G1153" s="9">
        <f>H1153*(1-15%)*(1-F1153)</f>
        <v>148.66499999999999</v>
      </c>
      <c r="H1153" s="9">
        <v>174.90000000000001</v>
      </c>
      <c r="I1153" s="9">
        <f>H1153-G1153</f>
        <v>26.235000000000014</v>
      </c>
    </row>
    <row r="1154" ht="14.25">
      <c r="A1154" s="5">
        <v>52058</v>
      </c>
      <c r="B1154" s="6" t="s">
        <v>1205</v>
      </c>
      <c r="C1154" s="7" t="s">
        <v>10</v>
      </c>
      <c r="D1154" s="7" t="s">
        <v>11</v>
      </c>
      <c r="E1154" s="5" t="s">
        <v>39</v>
      </c>
      <c r="F1154" s="8"/>
      <c r="G1154" s="9">
        <f>H1154*(1-15%)*(1-F1154)</f>
        <v>212.41499999999999</v>
      </c>
      <c r="H1154" s="9">
        <v>249.90000000000001</v>
      </c>
      <c r="I1154" s="9">
        <f>H1154-G1154</f>
        <v>37.485000000000014</v>
      </c>
    </row>
    <row r="1155" ht="14.25">
      <c r="A1155" s="5">
        <v>53554</v>
      </c>
      <c r="B1155" s="6" t="s">
        <v>1206</v>
      </c>
      <c r="C1155" s="7" t="s">
        <v>65</v>
      </c>
      <c r="D1155" s="7" t="s">
        <v>11</v>
      </c>
      <c r="E1155" s="5" t="s">
        <v>15</v>
      </c>
      <c r="F1155" s="8"/>
      <c r="G1155" s="9">
        <f>H1155*(1-15%)*(1-F1155)</f>
        <v>135.91499999999999</v>
      </c>
      <c r="H1155" s="9">
        <v>159.90000000000001</v>
      </c>
      <c r="I1155" s="9">
        <f>H1155-G1155</f>
        <v>23.985000000000014</v>
      </c>
    </row>
    <row r="1156" ht="14.25">
      <c r="A1156" s="5">
        <v>53976</v>
      </c>
      <c r="B1156" s="6" t="s">
        <v>1207</v>
      </c>
      <c r="C1156" s="7" t="s">
        <v>25</v>
      </c>
      <c r="D1156" s="7" t="s">
        <v>174</v>
      </c>
      <c r="E1156" s="5" t="s">
        <v>15</v>
      </c>
      <c r="F1156" s="8"/>
      <c r="G1156" s="9">
        <f>H1156*(1-15%)*(1-F1156)</f>
        <v>57.715000000000003</v>
      </c>
      <c r="H1156" s="9">
        <v>67.900000000000006</v>
      </c>
      <c r="I1156" s="9">
        <f>H1156-G1156</f>
        <v>10.185000000000002</v>
      </c>
    </row>
    <row r="1157" ht="14.25">
      <c r="A1157" s="5">
        <v>52131</v>
      </c>
      <c r="B1157" s="6" t="s">
        <v>1208</v>
      </c>
      <c r="C1157" s="7" t="s">
        <v>65</v>
      </c>
      <c r="D1157" s="7" t="s">
        <v>174</v>
      </c>
      <c r="E1157" s="5" t="s">
        <v>15</v>
      </c>
      <c r="F1157" s="8"/>
      <c r="G1157" s="9">
        <f>H1157*(1-15%)*(1-F1157)</f>
        <v>50.914999999999999</v>
      </c>
      <c r="H1157" s="9">
        <v>59.899999999999999</v>
      </c>
      <c r="I1157" s="9">
        <f>H1157-G1157</f>
        <v>8.9849999999999994</v>
      </c>
    </row>
    <row r="1158" ht="14.25">
      <c r="A1158" s="5">
        <v>52143</v>
      </c>
      <c r="B1158" s="6" t="s">
        <v>1209</v>
      </c>
      <c r="C1158" s="7" t="s">
        <v>65</v>
      </c>
      <c r="D1158" s="7" t="s">
        <v>95</v>
      </c>
      <c r="E1158" s="5" t="s">
        <v>26</v>
      </c>
      <c r="F1158" s="8"/>
      <c r="G1158" s="9">
        <f>H1158*(1-15%)*(1-F1158)</f>
        <v>49.214999999999996</v>
      </c>
      <c r="H1158" s="9">
        <v>57.899999999999999</v>
      </c>
      <c r="I1158" s="9">
        <f>H1158-G1158</f>
        <v>8.6850000000000023</v>
      </c>
    </row>
    <row r="1159" ht="14.25">
      <c r="A1159" s="5">
        <v>49936</v>
      </c>
      <c r="B1159" s="6" t="s">
        <v>1210</v>
      </c>
      <c r="C1159" s="7" t="s">
        <v>82</v>
      </c>
      <c r="D1159" s="7" t="s">
        <v>103</v>
      </c>
      <c r="E1159" s="5" t="s">
        <v>15</v>
      </c>
      <c r="F1159" s="8"/>
      <c r="G1159" s="9">
        <f>H1159*(1-15%)*(1-F1159)</f>
        <v>31.364999999999998</v>
      </c>
      <c r="H1159" s="9">
        <v>36.899999999999999</v>
      </c>
      <c r="I1159" s="9">
        <f>H1159-G1159</f>
        <v>5.5350000000000001</v>
      </c>
    </row>
    <row r="1160" ht="14.25">
      <c r="A1160" s="5">
        <v>49937</v>
      </c>
      <c r="B1160" s="6" t="s">
        <v>1211</v>
      </c>
      <c r="C1160" s="7" t="s">
        <v>82</v>
      </c>
      <c r="D1160" s="7" t="s">
        <v>11</v>
      </c>
      <c r="E1160" s="5" t="s">
        <v>43</v>
      </c>
      <c r="F1160" s="8"/>
      <c r="G1160" s="9">
        <f>H1160*(1-15%)*(1-F1160)</f>
        <v>78.965000000000003</v>
      </c>
      <c r="H1160" s="9">
        <v>92.900000000000006</v>
      </c>
      <c r="I1160" s="9">
        <f>H1160-G1160</f>
        <v>13.935000000000002</v>
      </c>
    </row>
    <row r="1161" ht="14.25">
      <c r="A1161" s="5">
        <v>49938</v>
      </c>
      <c r="B1161" s="6" t="s">
        <v>1212</v>
      </c>
      <c r="C1161" s="7" t="s">
        <v>82</v>
      </c>
      <c r="D1161" s="7" t="s">
        <v>45</v>
      </c>
      <c r="E1161" s="5" t="s">
        <v>15</v>
      </c>
      <c r="F1161" s="8"/>
      <c r="G1161" s="9">
        <f>H1161*(1-15%)*(1-F1161)</f>
        <v>63.665000000000006</v>
      </c>
      <c r="H1161" s="9">
        <v>74.900000000000006</v>
      </c>
      <c r="I1161" s="9">
        <f>H1161-G1161</f>
        <v>11.234999999999999</v>
      </c>
    </row>
    <row r="1162" ht="14.25">
      <c r="A1162" s="5">
        <v>49939</v>
      </c>
      <c r="B1162" s="6" t="s">
        <v>1213</v>
      </c>
      <c r="C1162" s="7" t="s">
        <v>82</v>
      </c>
      <c r="D1162" s="7" t="s">
        <v>45</v>
      </c>
      <c r="E1162" s="5" t="s">
        <v>15</v>
      </c>
      <c r="F1162" s="8"/>
      <c r="G1162" s="9">
        <f>H1162*(1-15%)*(1-F1162)</f>
        <v>46.664999999999999</v>
      </c>
      <c r="H1162" s="9">
        <v>54.899999999999999</v>
      </c>
      <c r="I1162" s="9">
        <f>H1162-G1162</f>
        <v>8.2349999999999994</v>
      </c>
    </row>
    <row r="1163" ht="14.25">
      <c r="A1163" s="5">
        <v>50187</v>
      </c>
      <c r="B1163" s="6" t="s">
        <v>1214</v>
      </c>
      <c r="C1163" s="7" t="s">
        <v>82</v>
      </c>
      <c r="D1163" s="7" t="s">
        <v>103</v>
      </c>
      <c r="E1163" s="5" t="s">
        <v>15</v>
      </c>
      <c r="F1163" s="8"/>
      <c r="G1163" s="9">
        <f>H1163*(1-15%)*(1-F1163)</f>
        <v>49.214999999999996</v>
      </c>
      <c r="H1163" s="9">
        <v>57.899999999999999</v>
      </c>
      <c r="I1163" s="9">
        <f>H1163-G1163</f>
        <v>8.6850000000000023</v>
      </c>
    </row>
    <row r="1164" ht="14.25">
      <c r="A1164" s="5">
        <v>50188</v>
      </c>
      <c r="B1164" s="6" t="s">
        <v>1215</v>
      </c>
      <c r="C1164" s="7" t="s">
        <v>82</v>
      </c>
      <c r="D1164" s="7" t="s">
        <v>45</v>
      </c>
      <c r="E1164" s="5" t="s">
        <v>15</v>
      </c>
      <c r="F1164" s="8"/>
      <c r="G1164" s="9">
        <f>H1164*(1-15%)*(1-F1164)</f>
        <v>38.164999999999999</v>
      </c>
      <c r="H1164" s="9">
        <v>44.899999999999999</v>
      </c>
      <c r="I1164" s="9">
        <f>H1164-G1164</f>
        <v>6.7349999999999994</v>
      </c>
    </row>
    <row r="1165" ht="14.25">
      <c r="A1165" s="5">
        <v>50192</v>
      </c>
      <c r="B1165" s="6" t="s">
        <v>1216</v>
      </c>
      <c r="C1165" s="7" t="s">
        <v>82</v>
      </c>
      <c r="D1165" s="7" t="s">
        <v>45</v>
      </c>
      <c r="E1165" s="5" t="s">
        <v>26</v>
      </c>
      <c r="F1165" s="8"/>
      <c r="G1165" s="9">
        <f>H1165*(1-15%)*(1-F1165)</f>
        <v>50.914999999999999</v>
      </c>
      <c r="H1165" s="9">
        <v>59.899999999999999</v>
      </c>
      <c r="I1165" s="9">
        <f>H1165-G1165</f>
        <v>8.9849999999999994</v>
      </c>
    </row>
    <row r="1166" ht="14.25">
      <c r="A1166" s="5">
        <v>51387</v>
      </c>
      <c r="B1166" s="6" t="s">
        <v>1217</v>
      </c>
      <c r="C1166" s="7" t="s">
        <v>397</v>
      </c>
      <c r="D1166" s="7" t="s">
        <v>11</v>
      </c>
      <c r="E1166" s="5" t="s">
        <v>39</v>
      </c>
      <c r="F1166" s="8"/>
      <c r="G1166" s="9">
        <f>H1166*(1-15%)*(1-F1166)</f>
        <v>203.91499999999999</v>
      </c>
      <c r="H1166" s="9">
        <v>239.90000000000001</v>
      </c>
      <c r="I1166" s="9">
        <f>H1166-G1166</f>
        <v>35.985000000000014</v>
      </c>
    </row>
    <row r="1167" ht="14.25">
      <c r="A1167" s="5">
        <v>51392</v>
      </c>
      <c r="B1167" s="6" t="s">
        <v>1218</v>
      </c>
      <c r="C1167" s="7" t="s">
        <v>397</v>
      </c>
      <c r="D1167" s="7" t="s">
        <v>45</v>
      </c>
      <c r="E1167" s="5" t="s">
        <v>15</v>
      </c>
      <c r="F1167" s="8"/>
      <c r="G1167" s="9">
        <f>H1167*(1-15%)*(1-F1167)</f>
        <v>53.464999999999996</v>
      </c>
      <c r="H1167" s="9">
        <v>62.899999999999999</v>
      </c>
      <c r="I1167" s="9">
        <f>H1167-G1167</f>
        <v>9.4350000000000023</v>
      </c>
    </row>
    <row r="1168" ht="14.25">
      <c r="A1168" s="5">
        <v>51395</v>
      </c>
      <c r="B1168" s="6" t="s">
        <v>1219</v>
      </c>
      <c r="C1168" s="7" t="s">
        <v>397</v>
      </c>
      <c r="D1168" s="7" t="s">
        <v>11</v>
      </c>
      <c r="E1168" s="5" t="s">
        <v>39</v>
      </c>
      <c r="F1168" s="8"/>
      <c r="G1168" s="9">
        <f>H1168*(1-15%)*(1-F1168)</f>
        <v>203.91499999999999</v>
      </c>
      <c r="H1168" s="9">
        <v>239.90000000000001</v>
      </c>
      <c r="I1168" s="9">
        <f>H1168-G1168</f>
        <v>35.985000000000014</v>
      </c>
    </row>
    <row r="1169" ht="14.25">
      <c r="A1169" s="5">
        <v>51402</v>
      </c>
      <c r="B1169" s="6" t="s">
        <v>1220</v>
      </c>
      <c r="C1169" s="7" t="s">
        <v>397</v>
      </c>
      <c r="D1169" s="7" t="s">
        <v>71</v>
      </c>
      <c r="E1169" s="5" t="s">
        <v>43</v>
      </c>
      <c r="F1169" s="8"/>
      <c r="G1169" s="9">
        <f>H1169*(1-15%)*(1-F1169)</f>
        <v>33.914999999999999</v>
      </c>
      <c r="H1169" s="9">
        <v>39.899999999999999</v>
      </c>
      <c r="I1169" s="9">
        <f>H1169-G1169</f>
        <v>5.9849999999999994</v>
      </c>
    </row>
    <row r="1170" ht="14.25">
      <c r="A1170" s="5">
        <v>51757</v>
      </c>
      <c r="B1170" s="6" t="s">
        <v>1221</v>
      </c>
      <c r="C1170" s="7" t="s">
        <v>82</v>
      </c>
      <c r="D1170" s="7" t="s">
        <v>103</v>
      </c>
      <c r="E1170" s="5" t="s">
        <v>15</v>
      </c>
      <c r="F1170" s="8"/>
      <c r="G1170" s="9">
        <f>H1170*(1-15%)*(1-F1170)</f>
        <v>18.614999999999998</v>
      </c>
      <c r="H1170" s="9">
        <v>21.899999999999999</v>
      </c>
      <c r="I1170" s="9">
        <f>H1170-G1170</f>
        <v>3.2850000000000001</v>
      </c>
    </row>
    <row r="1171" ht="14.25">
      <c r="A1171" s="5">
        <v>53784</v>
      </c>
      <c r="B1171" s="6" t="s">
        <v>1222</v>
      </c>
      <c r="C1171" s="7" t="s">
        <v>82</v>
      </c>
      <c r="D1171" s="7" t="s">
        <v>183</v>
      </c>
      <c r="E1171" s="5" t="s">
        <v>39</v>
      </c>
      <c r="F1171" s="8"/>
      <c r="G1171" s="9">
        <f>H1171*(1-15%)*(1-F1171)</f>
        <v>27.114999999999998</v>
      </c>
      <c r="H1171" s="9">
        <v>31.899999999999999</v>
      </c>
      <c r="I1171" s="9">
        <f>H1171-G1171</f>
        <v>4.7850000000000001</v>
      </c>
    </row>
    <row r="1172" ht="14.25">
      <c r="A1172" s="5">
        <v>53942</v>
      </c>
      <c r="B1172" s="6" t="s">
        <v>1223</v>
      </c>
      <c r="C1172" s="7" t="s">
        <v>82</v>
      </c>
      <c r="D1172" s="7" t="s">
        <v>103</v>
      </c>
      <c r="E1172" s="5" t="s">
        <v>15</v>
      </c>
      <c r="F1172" s="8"/>
      <c r="G1172" s="9">
        <f>H1172*(1-15%)*(1-F1172)</f>
        <v>20.314999999999998</v>
      </c>
      <c r="H1172" s="9">
        <v>23.899999999999999</v>
      </c>
      <c r="I1172" s="9">
        <f>H1172-G1172</f>
        <v>3.5850000000000009</v>
      </c>
    </row>
    <row r="1173" ht="14.25">
      <c r="A1173" s="5">
        <v>54496</v>
      </c>
      <c r="B1173" s="6" t="s">
        <v>1224</v>
      </c>
      <c r="C1173" s="7" t="s">
        <v>75</v>
      </c>
      <c r="D1173" s="7" t="s">
        <v>95</v>
      </c>
      <c r="E1173" s="5" t="s">
        <v>26</v>
      </c>
      <c r="F1173" s="8"/>
      <c r="G1173" s="9">
        <f>H1173*(1-15%)*(1-F1173)</f>
        <v>44.964999999999996</v>
      </c>
      <c r="H1173" s="9">
        <v>52.899999999999999</v>
      </c>
      <c r="I1173" s="9">
        <f>H1173-G1173</f>
        <v>7.9350000000000023</v>
      </c>
    </row>
    <row r="1174" ht="14.25">
      <c r="A1174" s="5">
        <v>54497</v>
      </c>
      <c r="B1174" s="6" t="s">
        <v>1225</v>
      </c>
      <c r="C1174" s="7" t="s">
        <v>75</v>
      </c>
      <c r="D1174" s="7" t="s">
        <v>95</v>
      </c>
      <c r="E1174" s="5" t="s">
        <v>26</v>
      </c>
      <c r="F1174" s="8"/>
      <c r="G1174" s="9">
        <f>H1174*(1-15%)*(1-F1174)</f>
        <v>46.664999999999999</v>
      </c>
      <c r="H1174" s="9">
        <v>54.899999999999999</v>
      </c>
      <c r="I1174" s="9">
        <f>H1174-G1174</f>
        <v>8.2349999999999994</v>
      </c>
    </row>
    <row r="1175" ht="14.25">
      <c r="A1175" s="5">
        <v>54498</v>
      </c>
      <c r="B1175" s="6" t="s">
        <v>1226</v>
      </c>
      <c r="C1175" s="7" t="s">
        <v>75</v>
      </c>
      <c r="D1175" s="7" t="s">
        <v>95</v>
      </c>
      <c r="E1175" s="5" t="s">
        <v>26</v>
      </c>
      <c r="F1175" s="8"/>
      <c r="G1175" s="9">
        <f>H1175*(1-15%)*(1-F1175)</f>
        <v>42.414999999999999</v>
      </c>
      <c r="H1175" s="9">
        <v>49.899999999999999</v>
      </c>
      <c r="I1175" s="9">
        <f>H1175-G1175</f>
        <v>7.4849999999999994</v>
      </c>
    </row>
    <row r="1176" ht="14.25">
      <c r="A1176" s="5">
        <v>51466</v>
      </c>
      <c r="B1176" s="6" t="s">
        <v>1227</v>
      </c>
      <c r="C1176" s="7" t="s">
        <v>426</v>
      </c>
      <c r="D1176" s="7" t="s">
        <v>219</v>
      </c>
      <c r="E1176" s="5" t="s">
        <v>43</v>
      </c>
      <c r="F1176" s="8"/>
      <c r="G1176" s="9">
        <f>H1176*(1-15%)*(1-F1176)</f>
        <v>80.665000000000006</v>
      </c>
      <c r="H1176" s="9">
        <v>94.900000000000006</v>
      </c>
      <c r="I1176" s="9">
        <f>H1176-G1176</f>
        <v>14.234999999999999</v>
      </c>
    </row>
    <row r="1177" ht="14.25">
      <c r="A1177" s="5">
        <v>51467</v>
      </c>
      <c r="B1177" s="6" t="s">
        <v>1228</v>
      </c>
      <c r="C1177" s="7" t="s">
        <v>426</v>
      </c>
      <c r="D1177" s="7" t="s">
        <v>219</v>
      </c>
      <c r="E1177" s="5" t="s">
        <v>26</v>
      </c>
      <c r="F1177" s="8"/>
      <c r="G1177" s="9">
        <f>H1177*(1-15%)*(1-F1177)</f>
        <v>169.91499999999999</v>
      </c>
      <c r="H1177" s="9">
        <v>199.90000000000001</v>
      </c>
      <c r="I1177" s="9">
        <f>H1177-G1177</f>
        <v>29.985000000000014</v>
      </c>
    </row>
    <row r="1178" ht="14.25">
      <c r="A1178" s="5">
        <v>51470</v>
      </c>
      <c r="B1178" s="6" t="s">
        <v>1229</v>
      </c>
      <c r="C1178" s="7" t="s">
        <v>426</v>
      </c>
      <c r="D1178" s="7" t="s">
        <v>219</v>
      </c>
      <c r="E1178" s="5" t="s">
        <v>26</v>
      </c>
      <c r="F1178" s="8"/>
      <c r="G1178" s="9">
        <f>H1178*(1-15%)*(1-F1178)</f>
        <v>72.165000000000006</v>
      </c>
      <c r="H1178" s="9">
        <v>84.900000000000006</v>
      </c>
      <c r="I1178" s="9">
        <f>H1178-G1178</f>
        <v>12.734999999999999</v>
      </c>
    </row>
    <row r="1179" ht="14.25">
      <c r="A1179" s="5">
        <v>51473</v>
      </c>
      <c r="B1179" s="6" t="s">
        <v>1230</v>
      </c>
      <c r="C1179" s="7" t="s">
        <v>426</v>
      </c>
      <c r="D1179" s="7" t="s">
        <v>61</v>
      </c>
      <c r="E1179" s="5" t="s">
        <v>68</v>
      </c>
      <c r="F1179" s="8"/>
      <c r="G1179" s="9">
        <f>H1179*(1-15%)*(1-F1179)</f>
        <v>157.16499999999999</v>
      </c>
      <c r="H1179" s="9">
        <v>184.90000000000001</v>
      </c>
      <c r="I1179" s="9">
        <f>H1179-G1179</f>
        <v>27.735000000000014</v>
      </c>
    </row>
    <row r="1180" ht="14.25">
      <c r="A1180" s="5">
        <v>51501</v>
      </c>
      <c r="B1180" s="6" t="s">
        <v>1231</v>
      </c>
      <c r="C1180" s="7" t="s">
        <v>14</v>
      </c>
      <c r="D1180" s="7" t="s">
        <v>11</v>
      </c>
      <c r="E1180" s="5" t="s">
        <v>15</v>
      </c>
      <c r="F1180" s="8"/>
      <c r="G1180" s="9">
        <f>H1180*(1-15%)*(1-F1180)</f>
        <v>135.91499999999999</v>
      </c>
      <c r="H1180" s="9">
        <v>159.90000000000001</v>
      </c>
      <c r="I1180" s="9">
        <f>H1180-G1180</f>
        <v>23.985000000000014</v>
      </c>
    </row>
    <row r="1181" ht="14.25">
      <c r="A1181" s="5">
        <v>51983</v>
      </c>
      <c r="B1181" s="6" t="s">
        <v>1232</v>
      </c>
      <c r="C1181" s="7" t="s">
        <v>14</v>
      </c>
      <c r="D1181" s="7" t="s">
        <v>45</v>
      </c>
      <c r="E1181" s="5" t="s">
        <v>15</v>
      </c>
      <c r="F1181" s="8"/>
      <c r="G1181" s="9">
        <f>H1181*(1-15%)*(1-F1181)</f>
        <v>46.664999999999999</v>
      </c>
      <c r="H1181" s="9">
        <v>54.899999999999999</v>
      </c>
      <c r="I1181" s="9">
        <f>H1181-G1181</f>
        <v>8.2349999999999994</v>
      </c>
    </row>
    <row r="1182" ht="14.25">
      <c r="A1182" s="5">
        <v>53186</v>
      </c>
      <c r="B1182" s="6" t="s">
        <v>1233</v>
      </c>
      <c r="C1182" s="7" t="s">
        <v>426</v>
      </c>
      <c r="D1182" s="7" t="s">
        <v>219</v>
      </c>
      <c r="E1182" s="5" t="s">
        <v>43</v>
      </c>
      <c r="F1182" s="8"/>
      <c r="G1182" s="9">
        <f>H1182*(1-15%)*(1-F1182)</f>
        <v>140.16499999999999</v>
      </c>
      <c r="H1182" s="9">
        <v>164.90000000000001</v>
      </c>
      <c r="I1182" s="9">
        <f>H1182-G1182</f>
        <v>24.735000000000014</v>
      </c>
    </row>
    <row r="1183" ht="14.25">
      <c r="A1183" s="5">
        <v>53669</v>
      </c>
      <c r="B1183" s="6" t="s">
        <v>1234</v>
      </c>
      <c r="C1183" s="7" t="s">
        <v>10</v>
      </c>
      <c r="D1183" s="7" t="s">
        <v>45</v>
      </c>
      <c r="E1183" s="5" t="s">
        <v>15</v>
      </c>
      <c r="F1183" s="8"/>
      <c r="G1183" s="9">
        <f>H1183*(1-15%)*(1-F1183)</f>
        <v>72.165000000000006</v>
      </c>
      <c r="H1183" s="9">
        <v>84.900000000000006</v>
      </c>
      <c r="I1183" s="9">
        <f>H1183-G1183</f>
        <v>12.734999999999999</v>
      </c>
    </row>
    <row r="1184" ht="14.25">
      <c r="A1184" s="5">
        <v>53673</v>
      </c>
      <c r="B1184" s="6" t="s">
        <v>1235</v>
      </c>
      <c r="C1184" s="7" t="s">
        <v>10</v>
      </c>
      <c r="D1184" s="7" t="s">
        <v>103</v>
      </c>
      <c r="E1184" s="5" t="s">
        <v>15</v>
      </c>
      <c r="F1184" s="8"/>
      <c r="G1184" s="9">
        <f>H1184*(1-15%)*(1-F1184)</f>
        <v>50.914999999999999</v>
      </c>
      <c r="H1184" s="9">
        <v>59.899999999999999</v>
      </c>
      <c r="I1184" s="9">
        <f>H1184-G1184</f>
        <v>8.9849999999999994</v>
      </c>
    </row>
    <row r="1185" ht="14.25">
      <c r="A1185" s="5">
        <v>53724</v>
      </c>
      <c r="B1185" s="6" t="s">
        <v>1236</v>
      </c>
      <c r="C1185" s="7" t="s">
        <v>201</v>
      </c>
      <c r="D1185" s="7" t="s">
        <v>183</v>
      </c>
      <c r="E1185" s="5" t="s">
        <v>15</v>
      </c>
      <c r="F1185" s="8"/>
      <c r="G1185" s="9">
        <f>H1185*(1-15%)*(1-F1185)</f>
        <v>33.914999999999999</v>
      </c>
      <c r="H1185" s="9">
        <v>39.899999999999999</v>
      </c>
      <c r="I1185" s="9">
        <f>H1185-G1185</f>
        <v>5.9849999999999994</v>
      </c>
    </row>
    <row r="1186" ht="14.25">
      <c r="A1186" s="5">
        <v>54354</v>
      </c>
      <c r="B1186" s="6" t="s">
        <v>1237</v>
      </c>
      <c r="C1186" s="7" t="s">
        <v>426</v>
      </c>
      <c r="D1186" s="7" t="s">
        <v>219</v>
      </c>
      <c r="E1186" s="5" t="s">
        <v>26</v>
      </c>
      <c r="F1186" s="8"/>
      <c r="G1186" s="9">
        <f>H1186*(1-15%)*(1-F1186)</f>
        <v>76.415000000000006</v>
      </c>
      <c r="H1186" s="9">
        <v>89.900000000000006</v>
      </c>
      <c r="I1186" s="9">
        <f>H1186-G1186</f>
        <v>13.484999999999999</v>
      </c>
    </row>
    <row r="1187" ht="14.25">
      <c r="A1187" s="5">
        <v>53486</v>
      </c>
      <c r="B1187" s="6" t="s">
        <v>1238</v>
      </c>
      <c r="C1187" s="7" t="s">
        <v>79</v>
      </c>
      <c r="D1187" s="7" t="s">
        <v>52</v>
      </c>
      <c r="E1187" s="5" t="s">
        <v>703</v>
      </c>
      <c r="F1187" s="8"/>
      <c r="G1187" s="9">
        <f>H1187*(1-15%)*(1-F1187)</f>
        <v>38.164999999999999</v>
      </c>
      <c r="H1187" s="9">
        <v>44.899999999999999</v>
      </c>
      <c r="I1187" s="9">
        <f>H1187-G1187</f>
        <v>6.7349999999999994</v>
      </c>
    </row>
    <row r="1188" ht="14.25">
      <c r="A1188" s="5">
        <v>53752</v>
      </c>
      <c r="B1188" s="6" t="s">
        <v>1239</v>
      </c>
      <c r="C1188" s="7" t="s">
        <v>84</v>
      </c>
      <c r="D1188" s="7" t="s">
        <v>52</v>
      </c>
      <c r="E1188" s="5" t="s">
        <v>15</v>
      </c>
      <c r="F1188" s="8"/>
      <c r="G1188" s="9">
        <f>H1188*(1-15%)*(1-F1188)</f>
        <v>40.714999999999996</v>
      </c>
      <c r="H1188" s="9">
        <v>47.899999999999999</v>
      </c>
      <c r="I1188" s="9">
        <f>H1188-G1188</f>
        <v>7.1850000000000023</v>
      </c>
    </row>
    <row r="1189" ht="14.25">
      <c r="A1189" s="5">
        <v>53835</v>
      </c>
      <c r="B1189" s="6" t="s">
        <v>1240</v>
      </c>
      <c r="C1189" s="7" t="s">
        <v>1241</v>
      </c>
      <c r="D1189" s="7" t="s">
        <v>45</v>
      </c>
      <c r="E1189" s="5" t="s">
        <v>26</v>
      </c>
      <c r="F1189" s="8"/>
      <c r="G1189" s="9">
        <f>H1189*(1-15%)*(1-F1189)</f>
        <v>57.715000000000003</v>
      </c>
      <c r="H1189" s="9">
        <v>67.900000000000006</v>
      </c>
      <c r="I1189" s="9">
        <f>H1189-G1189</f>
        <v>10.185000000000002</v>
      </c>
    </row>
    <row r="1190" ht="14.25">
      <c r="A1190" s="5">
        <v>52793</v>
      </c>
      <c r="B1190" s="6" t="s">
        <v>1242</v>
      </c>
      <c r="C1190" s="7" t="s">
        <v>109</v>
      </c>
      <c r="D1190" s="7" t="s">
        <v>110</v>
      </c>
      <c r="E1190" s="5" t="s">
        <v>15</v>
      </c>
      <c r="F1190" s="8"/>
      <c r="G1190" s="9">
        <f>H1190*(1-15%)*(1-F1190)</f>
        <v>101.91500000000001</v>
      </c>
      <c r="H1190" s="9">
        <v>119.90000000000001</v>
      </c>
      <c r="I1190" s="9">
        <f>H1190-G1190</f>
        <v>17.984999999999999</v>
      </c>
    </row>
    <row r="1191" ht="14.25">
      <c r="A1191" s="5">
        <v>53786</v>
      </c>
      <c r="B1191" s="6" t="s">
        <v>1243</v>
      </c>
      <c r="C1191" s="7" t="s">
        <v>94</v>
      </c>
      <c r="D1191" s="7" t="s">
        <v>183</v>
      </c>
      <c r="E1191" s="5" t="s">
        <v>68</v>
      </c>
      <c r="F1191" s="8"/>
      <c r="G1191" s="9">
        <f>H1191*(1-15%)*(1-F1191)</f>
        <v>49.214999999999996</v>
      </c>
      <c r="H1191" s="9">
        <v>57.899999999999999</v>
      </c>
      <c r="I1191" s="9">
        <f>H1191-G1191</f>
        <v>8.6850000000000023</v>
      </c>
    </row>
    <row r="1192" ht="14.25">
      <c r="A1192" s="5">
        <v>53950</v>
      </c>
      <c r="B1192" s="6" t="s">
        <v>1244</v>
      </c>
      <c r="C1192" s="7" t="s">
        <v>201</v>
      </c>
      <c r="D1192" s="7" t="s">
        <v>183</v>
      </c>
      <c r="E1192" s="5" t="s">
        <v>703</v>
      </c>
      <c r="F1192" s="8"/>
      <c r="G1192" s="9">
        <f>H1192*(1-15%)*(1-F1192)</f>
        <v>59.415000000000006</v>
      </c>
      <c r="H1192" s="9">
        <v>69.900000000000006</v>
      </c>
      <c r="I1192" s="9">
        <f>H1192-G1192</f>
        <v>10.484999999999999</v>
      </c>
    </row>
    <row r="1193" ht="14.25">
      <c r="A1193" s="5">
        <v>52992</v>
      </c>
      <c r="B1193" s="6" t="s">
        <v>1245</v>
      </c>
      <c r="C1193" s="7" t="s">
        <v>79</v>
      </c>
      <c r="D1193" s="7" t="s">
        <v>52</v>
      </c>
      <c r="E1193" s="5" t="s">
        <v>15</v>
      </c>
      <c r="F1193" s="8"/>
      <c r="G1193" s="9">
        <f>H1193*(1-15%)*(1-F1193)</f>
        <v>118.91500000000001</v>
      </c>
      <c r="H1193" s="9">
        <v>139.90000000000001</v>
      </c>
      <c r="I1193" s="9">
        <f>H1193-G1193</f>
        <v>20.984999999999999</v>
      </c>
    </row>
    <row r="1194" ht="14.25">
      <c r="A1194" s="5">
        <v>52994</v>
      </c>
      <c r="B1194" s="6" t="s">
        <v>1246</v>
      </c>
      <c r="C1194" s="7" t="s">
        <v>84</v>
      </c>
      <c r="D1194" s="7" t="s">
        <v>52</v>
      </c>
      <c r="E1194" s="5" t="s">
        <v>15</v>
      </c>
      <c r="F1194" s="8"/>
      <c r="G1194" s="9">
        <f>H1194*(1-15%)*(1-F1194)</f>
        <v>118.91500000000001</v>
      </c>
      <c r="H1194" s="9">
        <v>139.90000000000001</v>
      </c>
      <c r="I1194" s="9">
        <f>H1194-G1194</f>
        <v>20.984999999999999</v>
      </c>
    </row>
    <row r="1195" ht="14.25">
      <c r="A1195" s="5">
        <v>50022</v>
      </c>
      <c r="B1195" s="6" t="s">
        <v>1247</v>
      </c>
      <c r="C1195" s="7" t="s">
        <v>1241</v>
      </c>
      <c r="D1195" s="7" t="s">
        <v>11</v>
      </c>
      <c r="E1195" s="5" t="s">
        <v>12</v>
      </c>
      <c r="F1195" s="8"/>
      <c r="G1195" s="9">
        <f>H1195*(1-15%)*(1-F1195)</f>
        <v>208.16499999999999</v>
      </c>
      <c r="H1195" s="9">
        <v>244.90000000000001</v>
      </c>
      <c r="I1195" s="9">
        <f>H1195-G1195</f>
        <v>36.735000000000014</v>
      </c>
    </row>
    <row r="1196" ht="14.25">
      <c r="A1196" s="5">
        <v>52884</v>
      </c>
      <c r="B1196" s="6" t="s">
        <v>1248</v>
      </c>
      <c r="C1196" s="7" t="s">
        <v>79</v>
      </c>
      <c r="D1196" s="7" t="s">
        <v>52</v>
      </c>
      <c r="E1196" s="5" t="s">
        <v>703</v>
      </c>
      <c r="F1196" s="8"/>
      <c r="G1196" s="9">
        <f>H1196*(1-15%)*(1-F1196)</f>
        <v>39.864999999999995</v>
      </c>
      <c r="H1196" s="9">
        <v>46.899999999999999</v>
      </c>
      <c r="I1196" s="9">
        <f>H1196-G1196</f>
        <v>7.0350000000000037</v>
      </c>
    </row>
    <row r="1197" ht="14.25">
      <c r="A1197" s="5">
        <v>53487</v>
      </c>
      <c r="B1197" s="6" t="s">
        <v>1249</v>
      </c>
      <c r="C1197" s="7" t="s">
        <v>84</v>
      </c>
      <c r="D1197" s="7" t="s">
        <v>52</v>
      </c>
      <c r="E1197" s="5" t="s">
        <v>703</v>
      </c>
      <c r="F1197" s="8"/>
      <c r="G1197" s="9">
        <f>H1197*(1-15%)*(1-F1197)</f>
        <v>42.414999999999999</v>
      </c>
      <c r="H1197" s="9">
        <v>49.899999999999999</v>
      </c>
      <c r="I1197" s="9">
        <f>H1197-G1197</f>
        <v>7.4849999999999994</v>
      </c>
    </row>
    <row r="1198" ht="14.25">
      <c r="A1198" s="5">
        <v>50208</v>
      </c>
      <c r="B1198" s="6" t="s">
        <v>1250</v>
      </c>
      <c r="C1198" s="7" t="s">
        <v>10</v>
      </c>
      <c r="D1198" s="7" t="s">
        <v>95</v>
      </c>
      <c r="E1198" s="5" t="s">
        <v>26</v>
      </c>
      <c r="F1198" s="8"/>
      <c r="G1198" s="9">
        <f>H1198*(1-15%)*(1-F1198)</f>
        <v>49.214999999999996</v>
      </c>
      <c r="H1198" s="9">
        <v>57.899999999999999</v>
      </c>
      <c r="I1198" s="9">
        <f>H1198-G1198</f>
        <v>8.6850000000000023</v>
      </c>
    </row>
    <row r="1199" ht="14.25">
      <c r="A1199" s="5">
        <v>50212</v>
      </c>
      <c r="B1199" s="6" t="s">
        <v>1251</v>
      </c>
      <c r="C1199" s="7" t="s">
        <v>10</v>
      </c>
      <c r="D1199" s="7" t="s">
        <v>95</v>
      </c>
      <c r="E1199" s="5" t="s">
        <v>26</v>
      </c>
      <c r="F1199" s="8"/>
      <c r="G1199" s="9">
        <f>H1199*(1-15%)*(1-F1199)</f>
        <v>49.214999999999996</v>
      </c>
      <c r="H1199" s="9">
        <v>57.899999999999999</v>
      </c>
      <c r="I1199" s="9">
        <f>H1199-G1199</f>
        <v>8.6850000000000023</v>
      </c>
    </row>
    <row r="1200" ht="14.25">
      <c r="A1200" s="5">
        <v>50221</v>
      </c>
      <c r="B1200" s="6" t="s">
        <v>1252</v>
      </c>
      <c r="C1200" s="7" t="s">
        <v>10</v>
      </c>
      <c r="D1200" s="7" t="s">
        <v>103</v>
      </c>
      <c r="E1200" s="5" t="s">
        <v>133</v>
      </c>
      <c r="F1200" s="8"/>
      <c r="G1200" s="9">
        <f>H1200*(1-15%)*(1-F1200)</f>
        <v>53.464999999999996</v>
      </c>
      <c r="H1200" s="9">
        <v>62.899999999999999</v>
      </c>
      <c r="I1200" s="9">
        <f>H1200-G1200</f>
        <v>9.4350000000000023</v>
      </c>
    </row>
    <row r="1201" ht="14.25">
      <c r="A1201" s="5">
        <v>52034</v>
      </c>
      <c r="B1201" s="6" t="s">
        <v>1253</v>
      </c>
      <c r="C1201" s="7" t="s">
        <v>75</v>
      </c>
      <c r="D1201" s="7" t="s">
        <v>103</v>
      </c>
      <c r="E1201" s="5" t="s">
        <v>15</v>
      </c>
      <c r="F1201" s="8"/>
      <c r="G1201" s="9">
        <f>H1201*(1-15%)*(1-F1201)</f>
        <v>25.414999999999999</v>
      </c>
      <c r="H1201" s="9">
        <v>29.899999999999999</v>
      </c>
      <c r="I1201" s="9">
        <f>H1201-G1201</f>
        <v>4.4849999999999994</v>
      </c>
    </row>
    <row r="1202" ht="14.25">
      <c r="A1202" s="5">
        <v>52016</v>
      </c>
      <c r="B1202" s="6" t="s">
        <v>1254</v>
      </c>
      <c r="C1202" s="7" t="s">
        <v>75</v>
      </c>
      <c r="D1202" s="7" t="s">
        <v>45</v>
      </c>
      <c r="E1202" s="5" t="s">
        <v>15</v>
      </c>
      <c r="F1202" s="8"/>
      <c r="G1202" s="9">
        <f>H1202*(1-15%)*(1-F1202)</f>
        <v>49.214999999999996</v>
      </c>
      <c r="H1202" s="9">
        <v>57.899999999999999</v>
      </c>
      <c r="I1202" s="9">
        <f>H1202-G1202</f>
        <v>8.6850000000000023</v>
      </c>
    </row>
    <row r="1203" ht="14.25">
      <c r="A1203" s="5">
        <v>50220</v>
      </c>
      <c r="B1203" s="6" t="s">
        <v>1255</v>
      </c>
      <c r="C1203" s="7" t="s">
        <v>10</v>
      </c>
      <c r="D1203" s="7" t="s">
        <v>45</v>
      </c>
      <c r="E1203" s="5" t="s">
        <v>133</v>
      </c>
      <c r="F1203" s="8"/>
      <c r="G1203" s="9">
        <f>H1203*(1-15%)*(1-F1203)</f>
        <v>57.715000000000003</v>
      </c>
      <c r="H1203" s="9">
        <v>67.900000000000006</v>
      </c>
      <c r="I1203" s="9">
        <f>H1203-G1203</f>
        <v>10.185000000000002</v>
      </c>
    </row>
    <row r="1204" ht="14.25">
      <c r="A1204" s="5">
        <v>52004</v>
      </c>
      <c r="B1204" s="6" t="s">
        <v>1256</v>
      </c>
      <c r="C1204" s="7" t="s">
        <v>75</v>
      </c>
      <c r="D1204" s="7" t="s">
        <v>45</v>
      </c>
      <c r="E1204" s="5" t="s">
        <v>133</v>
      </c>
      <c r="F1204" s="8"/>
      <c r="G1204" s="9">
        <f>H1204*(1-15%)*(1-F1204)</f>
        <v>73.865000000000009</v>
      </c>
      <c r="H1204" s="9">
        <v>86.900000000000006</v>
      </c>
      <c r="I1204" s="9">
        <f>H1204-G1204</f>
        <v>13.034999999999997</v>
      </c>
    </row>
    <row r="1205" ht="14.25">
      <c r="A1205" s="5">
        <v>52008</v>
      </c>
      <c r="B1205" s="6" t="s">
        <v>1257</v>
      </c>
      <c r="C1205" s="7" t="s">
        <v>75</v>
      </c>
      <c r="D1205" s="7" t="s">
        <v>45</v>
      </c>
      <c r="E1205" s="5" t="s">
        <v>26</v>
      </c>
      <c r="F1205" s="8"/>
      <c r="G1205" s="9">
        <f>H1205*(1-15%)*(1-F1205)</f>
        <v>55.165000000000006</v>
      </c>
      <c r="H1205" s="9">
        <v>64.900000000000006</v>
      </c>
      <c r="I1205" s="9">
        <f>H1205-G1205</f>
        <v>9.7349999999999994</v>
      </c>
    </row>
    <row r="1206" ht="14.25">
      <c r="A1206" s="5">
        <v>52948</v>
      </c>
      <c r="B1206" s="6" t="s">
        <v>1258</v>
      </c>
      <c r="C1206" s="7" t="s">
        <v>75</v>
      </c>
      <c r="D1206" s="7" t="s">
        <v>45</v>
      </c>
      <c r="E1206" s="5" t="s">
        <v>68</v>
      </c>
      <c r="F1206" s="8"/>
      <c r="G1206" s="9">
        <f>H1206*(1-15%)*(1-F1206)</f>
        <v>67.915000000000006</v>
      </c>
      <c r="H1206" s="9">
        <v>79.900000000000006</v>
      </c>
      <c r="I1206" s="9">
        <f>H1206-G1206</f>
        <v>11.984999999999999</v>
      </c>
    </row>
    <row r="1207" ht="14.25">
      <c r="A1207" s="5">
        <v>53681</v>
      </c>
      <c r="B1207" s="6" t="s">
        <v>1259</v>
      </c>
      <c r="C1207" s="7" t="s">
        <v>75</v>
      </c>
      <c r="D1207" s="7" t="s">
        <v>45</v>
      </c>
      <c r="E1207" s="5" t="s">
        <v>15</v>
      </c>
      <c r="F1207" s="8"/>
      <c r="G1207" s="9">
        <f>H1207*(1-15%)*(1-F1207)</f>
        <v>49.214999999999996</v>
      </c>
      <c r="H1207" s="9">
        <v>57.899999999999999</v>
      </c>
      <c r="I1207" s="9">
        <f>H1207-G1207</f>
        <v>8.6850000000000023</v>
      </c>
    </row>
    <row r="1208" ht="14.25">
      <c r="A1208" s="5">
        <v>54234</v>
      </c>
      <c r="B1208" s="6" t="s">
        <v>1260</v>
      </c>
      <c r="C1208" s="7" t="s">
        <v>36</v>
      </c>
      <c r="D1208" s="7" t="s">
        <v>71</v>
      </c>
      <c r="E1208" s="5" t="s">
        <v>43</v>
      </c>
      <c r="F1208" s="8"/>
      <c r="G1208" s="9">
        <f>H1208*(1-15%)*(1-F1208)</f>
        <v>42.414999999999999</v>
      </c>
      <c r="H1208" s="9">
        <v>49.899999999999999</v>
      </c>
      <c r="I1208" s="9">
        <f>H1208-G1208</f>
        <v>7.4849999999999994</v>
      </c>
    </row>
    <row r="1209" ht="14.25">
      <c r="A1209" s="5">
        <v>52540</v>
      </c>
      <c r="B1209" s="6" t="s">
        <v>1261</v>
      </c>
      <c r="C1209" s="7" t="s">
        <v>10</v>
      </c>
      <c r="D1209" s="7" t="s">
        <v>61</v>
      </c>
      <c r="E1209" s="5" t="s">
        <v>39</v>
      </c>
      <c r="F1209" s="8"/>
      <c r="G1209" s="9">
        <f>H1209*(1-15%)*(1-F1209)</f>
        <v>152.91499999999999</v>
      </c>
      <c r="H1209" s="9">
        <v>179.90000000000001</v>
      </c>
      <c r="I1209" s="9">
        <f>H1209-G1209</f>
        <v>26.985000000000014</v>
      </c>
    </row>
    <row r="1210" ht="14.25">
      <c r="A1210" s="5">
        <v>52546</v>
      </c>
      <c r="B1210" s="6" t="s">
        <v>1262</v>
      </c>
      <c r="C1210" s="7" t="s">
        <v>10</v>
      </c>
      <c r="D1210" s="7" t="s">
        <v>61</v>
      </c>
      <c r="E1210" s="5" t="s">
        <v>39</v>
      </c>
      <c r="F1210" s="8"/>
      <c r="G1210" s="9">
        <f>H1210*(1-15%)*(1-F1210)</f>
        <v>84.915000000000006</v>
      </c>
      <c r="H1210" s="9">
        <v>99.900000000000006</v>
      </c>
      <c r="I1210" s="9">
        <f>H1210-G1210</f>
        <v>14.984999999999999</v>
      </c>
    </row>
    <row r="1211" ht="14.25">
      <c r="A1211" s="5">
        <v>52549</v>
      </c>
      <c r="B1211" s="6" t="s">
        <v>1263</v>
      </c>
      <c r="C1211" s="7" t="s">
        <v>10</v>
      </c>
      <c r="D1211" s="7" t="s">
        <v>61</v>
      </c>
      <c r="E1211" s="5" t="s">
        <v>39</v>
      </c>
      <c r="F1211" s="8"/>
      <c r="G1211" s="9">
        <f>H1211*(1-15%)*(1-F1211)</f>
        <v>110.41500000000001</v>
      </c>
      <c r="H1211" s="9">
        <v>129.90000000000001</v>
      </c>
      <c r="I1211" s="9">
        <f>H1211-G1211</f>
        <v>19.484999999999999</v>
      </c>
    </row>
    <row r="1212" ht="14.25">
      <c r="A1212" s="5">
        <v>53375</v>
      </c>
      <c r="B1212" s="6" t="s">
        <v>1264</v>
      </c>
      <c r="C1212" s="7" t="s">
        <v>75</v>
      </c>
      <c r="D1212" s="7" t="s">
        <v>95</v>
      </c>
      <c r="E1212" s="5" t="s">
        <v>26</v>
      </c>
      <c r="F1212" s="8"/>
      <c r="G1212" s="9">
        <f>H1212*(1-15%)*(1-F1212)</f>
        <v>57.715000000000003</v>
      </c>
      <c r="H1212" s="9">
        <v>67.900000000000006</v>
      </c>
      <c r="I1212" s="9">
        <f>H1212-G1212</f>
        <v>10.185000000000002</v>
      </c>
    </row>
    <row r="1213" ht="14.25">
      <c r="A1213" s="5">
        <v>4482</v>
      </c>
      <c r="B1213" s="6" t="s">
        <v>1265</v>
      </c>
      <c r="C1213" s="7" t="s">
        <v>426</v>
      </c>
      <c r="D1213" s="7" t="s">
        <v>219</v>
      </c>
      <c r="E1213" s="5" t="s">
        <v>68</v>
      </c>
      <c r="F1213" s="8"/>
      <c r="G1213" s="9">
        <f>H1213*(1-15%)*(1-F1213)</f>
        <v>76.415000000000006</v>
      </c>
      <c r="H1213" s="9">
        <v>89.900000000000006</v>
      </c>
      <c r="I1213" s="9">
        <f>H1213-G1213</f>
        <v>13.484999999999999</v>
      </c>
    </row>
    <row r="1214" ht="14.25">
      <c r="A1214" s="5">
        <v>50218</v>
      </c>
      <c r="B1214" s="6" t="s">
        <v>1266</v>
      </c>
      <c r="C1214" s="7" t="s">
        <v>10</v>
      </c>
      <c r="D1214" s="7" t="s">
        <v>219</v>
      </c>
      <c r="E1214" s="5" t="s">
        <v>26</v>
      </c>
      <c r="F1214" s="8"/>
      <c r="G1214" s="9">
        <f>H1214*(1-15%)*(1-F1214)</f>
        <v>93.415000000000006</v>
      </c>
      <c r="H1214" s="9">
        <v>109.90000000000001</v>
      </c>
      <c r="I1214" s="9">
        <f>H1214-G1214</f>
        <v>16.484999999999999</v>
      </c>
    </row>
    <row r="1215" ht="14.25">
      <c r="A1215" s="5">
        <v>53051</v>
      </c>
      <c r="B1215" s="6" t="s">
        <v>1267</v>
      </c>
      <c r="C1215" s="7" t="s">
        <v>426</v>
      </c>
      <c r="D1215" s="7" t="s">
        <v>219</v>
      </c>
      <c r="E1215" s="5" t="s">
        <v>26</v>
      </c>
      <c r="F1215" s="8"/>
      <c r="G1215" s="9">
        <f>H1215*(1-15%)*(1-F1215)</f>
        <v>76.415000000000006</v>
      </c>
      <c r="H1215" s="9">
        <v>89.900000000000006</v>
      </c>
      <c r="I1215" s="9">
        <f>H1215-G1215</f>
        <v>13.484999999999999</v>
      </c>
    </row>
    <row r="1216" ht="14.25">
      <c r="A1216" s="5">
        <v>53052</v>
      </c>
      <c r="B1216" s="6" t="s">
        <v>1268</v>
      </c>
      <c r="C1216" s="7" t="s">
        <v>426</v>
      </c>
      <c r="D1216" s="7" t="s">
        <v>219</v>
      </c>
      <c r="E1216" s="5" t="s">
        <v>26</v>
      </c>
      <c r="F1216" s="8"/>
      <c r="G1216" s="9">
        <f>H1216*(1-15%)*(1-F1216)</f>
        <v>76.415000000000006</v>
      </c>
      <c r="H1216" s="9">
        <v>89.900000000000006</v>
      </c>
      <c r="I1216" s="9">
        <f>H1216-G1216</f>
        <v>13.484999999999999</v>
      </c>
    </row>
    <row r="1217" ht="14.25">
      <c r="A1217" s="5">
        <v>51068</v>
      </c>
      <c r="B1217" s="6" t="s">
        <v>1269</v>
      </c>
      <c r="C1217" s="7" t="s">
        <v>426</v>
      </c>
      <c r="D1217" s="7" t="s">
        <v>219</v>
      </c>
      <c r="E1217" s="5" t="s">
        <v>68</v>
      </c>
      <c r="F1217" s="8"/>
      <c r="G1217" s="9">
        <f>H1217*(1-15%)*(1-F1217)</f>
        <v>42.414999999999999</v>
      </c>
      <c r="H1217" s="9">
        <v>49.899999999999999</v>
      </c>
      <c r="I1217" s="9">
        <f>H1217-G1217</f>
        <v>7.4849999999999994</v>
      </c>
    </row>
    <row r="1218" ht="14.25">
      <c r="A1218" s="5">
        <v>51072</v>
      </c>
      <c r="B1218" s="6" t="s">
        <v>1270</v>
      </c>
      <c r="C1218" s="7" t="s">
        <v>426</v>
      </c>
      <c r="D1218" s="7" t="s">
        <v>219</v>
      </c>
      <c r="E1218" s="5" t="s">
        <v>26</v>
      </c>
      <c r="F1218" s="8"/>
      <c r="G1218" s="9">
        <f>H1218*(1-15%)*(1-F1218)</f>
        <v>66.215000000000003</v>
      </c>
      <c r="H1218" s="9">
        <v>77.900000000000006</v>
      </c>
      <c r="I1218" s="9">
        <f>H1218-G1218</f>
        <v>11.685000000000002</v>
      </c>
    </row>
    <row r="1219" ht="14.25">
      <c r="A1219" s="5">
        <v>53342</v>
      </c>
      <c r="B1219" s="6" t="s">
        <v>1271</v>
      </c>
      <c r="C1219" s="7" t="s">
        <v>109</v>
      </c>
      <c r="D1219" s="7" t="s">
        <v>110</v>
      </c>
      <c r="E1219" s="5" t="s">
        <v>15</v>
      </c>
      <c r="F1219" s="8"/>
      <c r="G1219" s="9">
        <f>H1219*(1-15%)*(1-F1219)</f>
        <v>263.41499999999996</v>
      </c>
      <c r="H1219" s="9">
        <v>309.89999999999998</v>
      </c>
      <c r="I1219" s="9">
        <f>H1219-G1219</f>
        <v>46.485000000000014</v>
      </c>
    </row>
    <row r="1220" ht="14.25">
      <c r="A1220" s="5">
        <v>52012</v>
      </c>
      <c r="B1220" s="6" t="s">
        <v>1272</v>
      </c>
      <c r="C1220" s="7" t="s">
        <v>75</v>
      </c>
      <c r="D1220" s="7" t="s">
        <v>11</v>
      </c>
      <c r="E1220" s="5" t="s">
        <v>15</v>
      </c>
      <c r="F1220" s="8"/>
      <c r="G1220" s="9">
        <f>H1220*(1-15%)*(1-F1220)</f>
        <v>84.915000000000006</v>
      </c>
      <c r="H1220" s="9">
        <v>99.900000000000006</v>
      </c>
      <c r="I1220" s="9">
        <f>H1220-G1220</f>
        <v>14.984999999999999</v>
      </c>
    </row>
    <row r="1221" ht="14.25">
      <c r="A1221" s="5">
        <v>50662</v>
      </c>
      <c r="B1221" s="6" t="s">
        <v>1273</v>
      </c>
      <c r="C1221" s="7" t="s">
        <v>36</v>
      </c>
      <c r="D1221" s="7" t="s">
        <v>11</v>
      </c>
      <c r="E1221" s="5" t="s">
        <v>26</v>
      </c>
      <c r="F1221" s="8"/>
      <c r="G1221" s="9">
        <f>H1221*(1-15%)*(1-F1221)</f>
        <v>148.66499999999999</v>
      </c>
      <c r="H1221" s="9">
        <v>174.90000000000001</v>
      </c>
      <c r="I1221" s="9">
        <f>H1221-G1221</f>
        <v>26.235000000000014</v>
      </c>
    </row>
    <row r="1222" ht="14.25">
      <c r="A1222" s="5">
        <v>50214</v>
      </c>
      <c r="B1222" s="6" t="s">
        <v>1274</v>
      </c>
      <c r="C1222" s="7" t="s">
        <v>10</v>
      </c>
      <c r="D1222" s="7" t="s">
        <v>174</v>
      </c>
      <c r="E1222" s="5" t="s">
        <v>26</v>
      </c>
      <c r="F1222" s="8"/>
      <c r="G1222" s="9">
        <f>H1222*(1-15%)*(1-F1222)</f>
        <v>70.465000000000003</v>
      </c>
      <c r="H1222" s="9">
        <v>82.900000000000006</v>
      </c>
      <c r="I1222" s="9">
        <f>H1222-G1222</f>
        <v>12.435000000000002</v>
      </c>
    </row>
    <row r="1223" ht="14.25">
      <c r="A1223" s="5">
        <v>50215</v>
      </c>
      <c r="B1223" s="6" t="s">
        <v>1275</v>
      </c>
      <c r="C1223" s="7" t="s">
        <v>10</v>
      </c>
      <c r="D1223" s="7" t="s">
        <v>174</v>
      </c>
      <c r="E1223" s="5" t="s">
        <v>133</v>
      </c>
      <c r="F1223" s="8"/>
      <c r="G1223" s="9">
        <f>H1223*(1-15%)*(1-F1223)</f>
        <v>63.665000000000006</v>
      </c>
      <c r="H1223" s="9">
        <v>74.900000000000006</v>
      </c>
      <c r="I1223" s="9">
        <f>H1223-G1223</f>
        <v>11.234999999999999</v>
      </c>
    </row>
    <row r="1224" ht="14.25">
      <c r="A1224" s="5">
        <v>50225</v>
      </c>
      <c r="B1224" s="6" t="s">
        <v>1276</v>
      </c>
      <c r="C1224" s="7" t="s">
        <v>10</v>
      </c>
      <c r="D1224" s="7" t="s">
        <v>174</v>
      </c>
      <c r="E1224" s="5" t="s">
        <v>133</v>
      </c>
      <c r="F1224" s="8"/>
      <c r="G1224" s="9">
        <f>H1224*(1-15%)*(1-F1224)</f>
        <v>70.465000000000003</v>
      </c>
      <c r="H1224" s="9">
        <v>82.900000000000006</v>
      </c>
      <c r="I1224" s="9">
        <f>H1224-G1224</f>
        <v>12.435000000000002</v>
      </c>
    </row>
    <row r="1225" ht="14.25">
      <c r="A1225" s="5">
        <v>47596</v>
      </c>
      <c r="B1225" s="6" t="s">
        <v>1277</v>
      </c>
      <c r="C1225" s="7" t="s">
        <v>951</v>
      </c>
      <c r="D1225" s="7" t="s">
        <v>199</v>
      </c>
      <c r="E1225" s="5" t="s">
        <v>133</v>
      </c>
      <c r="F1225" s="8"/>
      <c r="G1225" s="9">
        <f>H1225*(1-15%)*(1-F1225)</f>
        <v>42.414999999999999</v>
      </c>
      <c r="H1225" s="9">
        <v>49.899999999999999</v>
      </c>
      <c r="I1225" s="9">
        <f>H1225-G1225</f>
        <v>7.4849999999999994</v>
      </c>
    </row>
    <row r="1226" ht="14.25">
      <c r="A1226" s="5">
        <v>50216</v>
      </c>
      <c r="B1226" s="6" t="s">
        <v>1278</v>
      </c>
      <c r="C1226" s="7" t="s">
        <v>10</v>
      </c>
      <c r="D1226" s="7" t="s">
        <v>174</v>
      </c>
      <c r="E1226" s="5" t="s">
        <v>133</v>
      </c>
      <c r="F1226" s="8"/>
      <c r="G1226" s="9">
        <f>H1226*(1-15%)*(1-F1226)</f>
        <v>44.114999999999995</v>
      </c>
      <c r="H1226" s="9">
        <v>51.899999999999999</v>
      </c>
      <c r="I1226" s="9">
        <f>H1226-G1226</f>
        <v>7.7850000000000037</v>
      </c>
    </row>
    <row r="1227" ht="14.25">
      <c r="A1227" s="5">
        <v>50217</v>
      </c>
      <c r="B1227" s="6" t="s">
        <v>1279</v>
      </c>
      <c r="C1227" s="7" t="s">
        <v>10</v>
      </c>
      <c r="D1227" s="7" t="s">
        <v>174</v>
      </c>
      <c r="E1227" s="5" t="s">
        <v>26</v>
      </c>
      <c r="F1227" s="8"/>
      <c r="G1227" s="9">
        <f>H1227*(1-15%)*(1-F1227)</f>
        <v>63.665000000000006</v>
      </c>
      <c r="H1227" s="9">
        <v>74.900000000000006</v>
      </c>
      <c r="I1227" s="9">
        <f>H1227-G1227</f>
        <v>11.234999999999999</v>
      </c>
    </row>
    <row r="1228" ht="14.25">
      <c r="A1228" s="5">
        <v>50223</v>
      </c>
      <c r="B1228" s="6" t="s">
        <v>1280</v>
      </c>
      <c r="C1228" s="7" t="s">
        <v>10</v>
      </c>
      <c r="D1228" s="7" t="s">
        <v>174</v>
      </c>
      <c r="E1228" s="5" t="s">
        <v>133</v>
      </c>
      <c r="F1228" s="8"/>
      <c r="G1228" s="9">
        <f>H1228*(1-15%)*(1-F1228)</f>
        <v>63.665000000000006</v>
      </c>
      <c r="H1228" s="9">
        <v>74.900000000000006</v>
      </c>
      <c r="I1228" s="9">
        <f>H1228-G1228</f>
        <v>11.234999999999999</v>
      </c>
    </row>
    <row r="1229" ht="14.25">
      <c r="A1229" s="5">
        <v>50224</v>
      </c>
      <c r="B1229" s="6" t="s">
        <v>1281</v>
      </c>
      <c r="C1229" s="7" t="s">
        <v>10</v>
      </c>
      <c r="D1229" s="7" t="s">
        <v>174</v>
      </c>
      <c r="E1229" s="5" t="s">
        <v>133</v>
      </c>
      <c r="F1229" s="8"/>
      <c r="G1229" s="9">
        <f>H1229*(1-15%)*(1-F1229)</f>
        <v>66.215000000000003</v>
      </c>
      <c r="H1229" s="9">
        <v>77.900000000000006</v>
      </c>
      <c r="I1229" s="9">
        <f>H1229-G1229</f>
        <v>11.685000000000002</v>
      </c>
    </row>
    <row r="1230" ht="14.25">
      <c r="A1230" s="5">
        <v>50193</v>
      </c>
      <c r="B1230" s="6" t="s">
        <v>1282</v>
      </c>
      <c r="C1230" s="7" t="s">
        <v>10</v>
      </c>
      <c r="D1230" s="7" t="s">
        <v>95</v>
      </c>
      <c r="E1230" s="5" t="s">
        <v>26</v>
      </c>
      <c r="F1230" s="8"/>
      <c r="G1230" s="9">
        <f>H1230*(1-15%)*(1-F1230)</f>
        <v>47.515000000000001</v>
      </c>
      <c r="H1230" s="9">
        <v>55.899999999999999</v>
      </c>
      <c r="I1230" s="9">
        <f>H1230-G1230</f>
        <v>8.384999999999998</v>
      </c>
    </row>
    <row r="1231" ht="14.25">
      <c r="A1231" s="5">
        <v>50210</v>
      </c>
      <c r="B1231" s="6" t="s">
        <v>1283</v>
      </c>
      <c r="C1231" s="7" t="s">
        <v>10</v>
      </c>
      <c r="D1231" s="7" t="s">
        <v>95</v>
      </c>
      <c r="E1231" s="5" t="s">
        <v>26</v>
      </c>
      <c r="F1231" s="8"/>
      <c r="G1231" s="9">
        <f>H1231*(1-15%)*(1-F1231)</f>
        <v>47.515000000000001</v>
      </c>
      <c r="H1231" s="9">
        <v>55.899999999999999</v>
      </c>
      <c r="I1231" s="9">
        <f>H1231-G1231</f>
        <v>8.384999999999998</v>
      </c>
    </row>
    <row r="1232" ht="14.25">
      <c r="A1232" s="5">
        <v>50211</v>
      </c>
      <c r="B1232" s="6" t="s">
        <v>1284</v>
      </c>
      <c r="C1232" s="7" t="s">
        <v>10</v>
      </c>
      <c r="D1232" s="7" t="s">
        <v>95</v>
      </c>
      <c r="E1232" s="5" t="s">
        <v>26</v>
      </c>
      <c r="F1232" s="8"/>
      <c r="G1232" s="9">
        <f>H1232*(1-15%)*(1-F1232)</f>
        <v>50.914999999999999</v>
      </c>
      <c r="H1232" s="9">
        <v>59.899999999999999</v>
      </c>
      <c r="I1232" s="9">
        <f>H1232-G1232</f>
        <v>8.9849999999999994</v>
      </c>
    </row>
    <row r="1233" ht="14.25">
      <c r="A1233" s="5">
        <v>50230</v>
      </c>
      <c r="B1233" s="6" t="s">
        <v>1285</v>
      </c>
      <c r="C1233" s="7" t="s">
        <v>10</v>
      </c>
      <c r="D1233" s="7" t="s">
        <v>95</v>
      </c>
      <c r="E1233" s="5" t="s">
        <v>26</v>
      </c>
      <c r="F1233" s="8"/>
      <c r="G1233" s="9">
        <f>H1233*(1-15%)*(1-F1233)</f>
        <v>47.515000000000001</v>
      </c>
      <c r="H1233" s="9">
        <v>55.899999999999999</v>
      </c>
      <c r="I1233" s="9">
        <f>H1233-G1233</f>
        <v>8.384999999999998</v>
      </c>
    </row>
    <row r="1234" ht="14.25">
      <c r="A1234" s="5">
        <v>53373</v>
      </c>
      <c r="B1234" s="6" t="s">
        <v>1286</v>
      </c>
      <c r="C1234" s="7" t="s">
        <v>75</v>
      </c>
      <c r="D1234" s="7" t="s">
        <v>95</v>
      </c>
      <c r="E1234" s="5" t="s">
        <v>26</v>
      </c>
      <c r="F1234" s="8"/>
      <c r="G1234" s="9">
        <f>H1234*(1-15%)*(1-F1234)</f>
        <v>44.964999999999996</v>
      </c>
      <c r="H1234" s="9">
        <v>52.899999999999999</v>
      </c>
      <c r="I1234" s="9">
        <f>H1234-G1234</f>
        <v>7.9350000000000023</v>
      </c>
    </row>
    <row r="1235" ht="14.25">
      <c r="A1235" s="5">
        <v>53775</v>
      </c>
      <c r="B1235" s="6" t="s">
        <v>1287</v>
      </c>
      <c r="C1235" s="7" t="s">
        <v>10</v>
      </c>
      <c r="D1235" s="7" t="s">
        <v>95</v>
      </c>
      <c r="E1235" s="5" t="s">
        <v>26</v>
      </c>
      <c r="F1235" s="8"/>
      <c r="G1235" s="9">
        <f>H1235*(1-15%)*(1-F1235)</f>
        <v>47.515000000000001</v>
      </c>
      <c r="H1235" s="9">
        <v>55.899999999999999</v>
      </c>
      <c r="I1235" s="9">
        <f>H1235-G1235</f>
        <v>8.384999999999998</v>
      </c>
    </row>
    <row r="1236" ht="14.25">
      <c r="A1236" s="5">
        <v>50213</v>
      </c>
      <c r="B1236" s="6" t="s">
        <v>1288</v>
      </c>
      <c r="C1236" s="7" t="s">
        <v>10</v>
      </c>
      <c r="D1236" s="7" t="s">
        <v>95</v>
      </c>
      <c r="E1236" s="5" t="s">
        <v>26</v>
      </c>
      <c r="F1236" s="8"/>
      <c r="G1236" s="9">
        <f>H1236*(1-15%)*(1-F1236)</f>
        <v>57.715000000000003</v>
      </c>
      <c r="H1236" s="9">
        <v>67.900000000000006</v>
      </c>
      <c r="I1236" s="9">
        <f>H1236-G1236</f>
        <v>10.185000000000002</v>
      </c>
    </row>
    <row r="1237" ht="14.25">
      <c r="A1237" s="5">
        <v>50207</v>
      </c>
      <c r="B1237" s="6" t="s">
        <v>1289</v>
      </c>
      <c r="C1237" s="7" t="s">
        <v>10</v>
      </c>
      <c r="D1237" s="7" t="s">
        <v>95</v>
      </c>
      <c r="E1237" s="5" t="s">
        <v>26</v>
      </c>
      <c r="F1237" s="8"/>
      <c r="G1237" s="9">
        <f>H1237*(1-15%)*(1-F1237)</f>
        <v>84.915000000000006</v>
      </c>
      <c r="H1237" s="9">
        <v>99.900000000000006</v>
      </c>
      <c r="I1237" s="9">
        <f>H1237-G1237</f>
        <v>14.984999999999999</v>
      </c>
    </row>
    <row r="1238" ht="14.25">
      <c r="A1238" s="5">
        <v>53374</v>
      </c>
      <c r="B1238" s="6" t="s">
        <v>1290</v>
      </c>
      <c r="C1238" s="7" t="s">
        <v>75</v>
      </c>
      <c r="D1238" s="7" t="s">
        <v>95</v>
      </c>
      <c r="E1238" s="5" t="s">
        <v>26</v>
      </c>
      <c r="F1238" s="8"/>
      <c r="G1238" s="9">
        <f>H1238*(1-15%)*(1-F1238)</f>
        <v>57.715000000000003</v>
      </c>
      <c r="H1238" s="9">
        <v>67.900000000000006</v>
      </c>
      <c r="I1238" s="9">
        <f>H1238-G1238</f>
        <v>10.185000000000002</v>
      </c>
    </row>
    <row r="1239" ht="14.25">
      <c r="A1239" s="5">
        <v>51803</v>
      </c>
      <c r="B1239" s="6" t="s">
        <v>1291</v>
      </c>
      <c r="C1239" s="7" t="s">
        <v>226</v>
      </c>
      <c r="D1239" s="7" t="s">
        <v>52</v>
      </c>
      <c r="E1239" s="5" t="s">
        <v>43</v>
      </c>
      <c r="F1239" s="8"/>
      <c r="G1239" s="9">
        <f>H1239*(1-15%)*(1-F1239)</f>
        <v>58.565000000000005</v>
      </c>
      <c r="H1239" s="9">
        <v>68.900000000000006</v>
      </c>
      <c r="I1239" s="9">
        <f>H1239-G1239</f>
        <v>10.335000000000001</v>
      </c>
    </row>
    <row r="1240" ht="14.25">
      <c r="A1240" s="5">
        <v>51806</v>
      </c>
      <c r="B1240" s="6" t="s">
        <v>1292</v>
      </c>
      <c r="C1240" s="7" t="s">
        <v>226</v>
      </c>
      <c r="D1240" s="7" t="s">
        <v>52</v>
      </c>
      <c r="E1240" s="5" t="s">
        <v>43</v>
      </c>
      <c r="F1240" s="8"/>
      <c r="G1240" s="9">
        <f>H1240*(1-15%)*(1-F1240)</f>
        <v>46.664999999999999</v>
      </c>
      <c r="H1240" s="9">
        <v>54.899999999999999</v>
      </c>
      <c r="I1240" s="9">
        <f>H1240-G1240</f>
        <v>8.2349999999999994</v>
      </c>
    </row>
    <row r="1241" ht="14.25">
      <c r="A1241" s="5">
        <v>51808</v>
      </c>
      <c r="B1241" s="6" t="s">
        <v>1293</v>
      </c>
      <c r="C1241" s="7" t="s">
        <v>226</v>
      </c>
      <c r="D1241" s="7" t="s">
        <v>52</v>
      </c>
      <c r="E1241" s="5" t="s">
        <v>43</v>
      </c>
      <c r="F1241" s="8"/>
      <c r="G1241" s="9">
        <f>H1241*(1-15%)*(1-F1241)</f>
        <v>39.864999999999995</v>
      </c>
      <c r="H1241" s="9">
        <v>46.899999999999999</v>
      </c>
      <c r="I1241" s="9">
        <f>H1241-G1241</f>
        <v>7.0350000000000037</v>
      </c>
    </row>
    <row r="1242" ht="14.25">
      <c r="A1242" s="5">
        <v>52018</v>
      </c>
      <c r="B1242" s="6" t="s">
        <v>1294</v>
      </c>
      <c r="C1242" s="7" t="s">
        <v>226</v>
      </c>
      <c r="D1242" s="7" t="s">
        <v>52</v>
      </c>
      <c r="E1242" s="5" t="s">
        <v>43</v>
      </c>
      <c r="F1242" s="8"/>
      <c r="G1242" s="9">
        <f>H1242*(1-15%)*(1-F1242)</f>
        <v>57.715000000000003</v>
      </c>
      <c r="H1242" s="9">
        <v>67.900000000000006</v>
      </c>
      <c r="I1242" s="9">
        <f>H1242-G1242</f>
        <v>10.185000000000002</v>
      </c>
    </row>
    <row r="1243" ht="14.25">
      <c r="A1243" s="5">
        <v>52019</v>
      </c>
      <c r="B1243" s="6" t="s">
        <v>1295</v>
      </c>
      <c r="C1243" s="7" t="s">
        <v>226</v>
      </c>
      <c r="D1243" s="7" t="s">
        <v>52</v>
      </c>
      <c r="E1243" s="5" t="s">
        <v>43</v>
      </c>
      <c r="F1243" s="8"/>
      <c r="G1243" s="9">
        <f>H1243*(1-15%)*(1-F1243)</f>
        <v>37.314999999999998</v>
      </c>
      <c r="H1243" s="9">
        <v>43.899999999999999</v>
      </c>
      <c r="I1243" s="9">
        <f>H1243-G1243</f>
        <v>6.5850000000000009</v>
      </c>
    </row>
    <row r="1244" ht="14.25">
      <c r="A1244" s="5">
        <v>52021</v>
      </c>
      <c r="B1244" s="6" t="s">
        <v>1296</v>
      </c>
      <c r="C1244" s="7" t="s">
        <v>226</v>
      </c>
      <c r="D1244" s="7" t="s">
        <v>52</v>
      </c>
      <c r="E1244" s="5" t="s">
        <v>43</v>
      </c>
      <c r="F1244" s="8"/>
      <c r="G1244" s="9">
        <f>H1244*(1-15%)*(1-F1244)</f>
        <v>44.964999999999996</v>
      </c>
      <c r="H1244" s="9">
        <v>52.899999999999999</v>
      </c>
      <c r="I1244" s="9">
        <f>H1244-G1244</f>
        <v>7.9350000000000023</v>
      </c>
    </row>
    <row r="1245" ht="14.25">
      <c r="A1245" s="5">
        <v>53365</v>
      </c>
      <c r="B1245" s="6" t="s">
        <v>1297</v>
      </c>
      <c r="C1245" s="7" t="s">
        <v>75</v>
      </c>
      <c r="D1245" s="7" t="s">
        <v>103</v>
      </c>
      <c r="E1245" s="5" t="s">
        <v>15</v>
      </c>
      <c r="F1245" s="8"/>
      <c r="G1245" s="9">
        <f>H1245*(1-15%)*(1-F1245)</f>
        <v>36.464999999999996</v>
      </c>
      <c r="H1245" s="9">
        <v>42.899999999999999</v>
      </c>
      <c r="I1245" s="9">
        <f>H1245-G1245</f>
        <v>6.4350000000000023</v>
      </c>
    </row>
    <row r="1246" ht="14.25">
      <c r="A1246" s="5">
        <v>50158</v>
      </c>
      <c r="B1246" s="6" t="s">
        <v>1298</v>
      </c>
      <c r="C1246" s="7" t="s">
        <v>201</v>
      </c>
      <c r="D1246" s="7" t="s">
        <v>183</v>
      </c>
      <c r="E1246" s="5" t="s">
        <v>68</v>
      </c>
      <c r="F1246" s="8"/>
      <c r="G1246" s="9">
        <f>H1246*(1-15%)*(1-F1246)</f>
        <v>49.214999999999996</v>
      </c>
      <c r="H1246" s="9">
        <v>57.899999999999999</v>
      </c>
      <c r="I1246" s="9">
        <f>H1246-G1246</f>
        <v>8.6850000000000023</v>
      </c>
    </row>
    <row r="1247" ht="14.25">
      <c r="A1247" s="5">
        <v>52022</v>
      </c>
      <c r="B1247" s="6" t="s">
        <v>1299</v>
      </c>
      <c r="C1247" s="7" t="s">
        <v>226</v>
      </c>
      <c r="D1247" s="7" t="s">
        <v>52</v>
      </c>
      <c r="E1247" s="5" t="s">
        <v>43</v>
      </c>
      <c r="F1247" s="8"/>
      <c r="G1247" s="9">
        <f>H1247*(1-15%)*(1-F1247)</f>
        <v>52.614999999999995</v>
      </c>
      <c r="H1247" s="9">
        <v>61.899999999999999</v>
      </c>
      <c r="I1247" s="9">
        <f>H1247-G1247</f>
        <v>9.2850000000000037</v>
      </c>
    </row>
    <row r="1248" ht="14.25">
      <c r="A1248" s="5">
        <v>52023</v>
      </c>
      <c r="B1248" s="6" t="s">
        <v>1300</v>
      </c>
      <c r="C1248" s="7" t="s">
        <v>226</v>
      </c>
      <c r="D1248" s="7" t="s">
        <v>52</v>
      </c>
      <c r="E1248" s="5" t="s">
        <v>43</v>
      </c>
      <c r="F1248" s="8"/>
      <c r="G1248" s="9">
        <f>H1248*(1-15%)*(1-F1248)</f>
        <v>73.865000000000009</v>
      </c>
      <c r="H1248" s="9">
        <v>86.900000000000006</v>
      </c>
      <c r="I1248" s="9">
        <f>H1248-G1248</f>
        <v>13.034999999999997</v>
      </c>
    </row>
    <row r="1249" ht="14.25">
      <c r="A1249" s="5">
        <v>52040</v>
      </c>
      <c r="B1249" s="6" t="s">
        <v>1301</v>
      </c>
      <c r="C1249" s="7" t="s">
        <v>226</v>
      </c>
      <c r="D1249" s="7" t="s">
        <v>52</v>
      </c>
      <c r="E1249" s="5" t="s">
        <v>43</v>
      </c>
      <c r="F1249" s="8"/>
      <c r="G1249" s="9">
        <f>H1249*(1-15%)*(1-F1249)</f>
        <v>61.115000000000002</v>
      </c>
      <c r="H1249" s="9">
        <v>71.900000000000006</v>
      </c>
      <c r="I1249" s="9">
        <f>H1249-G1249</f>
        <v>10.785000000000004</v>
      </c>
    </row>
    <row r="1250" ht="14.25">
      <c r="A1250" s="5">
        <v>53745</v>
      </c>
      <c r="B1250" s="6" t="s">
        <v>1302</v>
      </c>
      <c r="C1250" s="7" t="s">
        <v>38</v>
      </c>
      <c r="D1250" s="7" t="s">
        <v>71</v>
      </c>
      <c r="E1250" s="5" t="s">
        <v>15</v>
      </c>
      <c r="F1250" s="8"/>
      <c r="G1250" s="9">
        <f>H1250*(1-15%)*(1-F1250)</f>
        <v>33.914999999999999</v>
      </c>
      <c r="H1250" s="9">
        <v>39.899999999999999</v>
      </c>
      <c r="I1250" s="9">
        <f>H1250-G1250</f>
        <v>5.9849999999999994</v>
      </c>
    </row>
    <row r="1251" ht="14.25">
      <c r="A1251" s="5">
        <v>52742</v>
      </c>
      <c r="B1251" s="6" t="s">
        <v>1303</v>
      </c>
      <c r="C1251" s="7" t="s">
        <v>109</v>
      </c>
      <c r="D1251" s="7" t="s">
        <v>110</v>
      </c>
      <c r="E1251" s="5" t="s">
        <v>43</v>
      </c>
      <c r="F1251" s="8"/>
      <c r="G1251" s="9">
        <f>H1251*(1-15%)*(1-F1251)</f>
        <v>55.165000000000006</v>
      </c>
      <c r="H1251" s="9">
        <v>64.900000000000006</v>
      </c>
      <c r="I1251" s="9">
        <f>H1251-G1251</f>
        <v>9.7349999999999994</v>
      </c>
    </row>
    <row r="1252" ht="14.25">
      <c r="A1252" s="5">
        <v>53343</v>
      </c>
      <c r="B1252" s="6" t="s">
        <v>1304</v>
      </c>
      <c r="C1252" s="7" t="s">
        <v>271</v>
      </c>
      <c r="D1252" s="7" t="s">
        <v>110</v>
      </c>
      <c r="E1252" s="5" t="s">
        <v>43</v>
      </c>
      <c r="F1252" s="8"/>
      <c r="G1252" s="9">
        <f>H1252*(1-15%)*(1-F1252)</f>
        <v>32.214999999999996</v>
      </c>
      <c r="H1252" s="9">
        <v>37.899999999999999</v>
      </c>
      <c r="I1252" s="9">
        <f>H1252-G1252</f>
        <v>5.6850000000000023</v>
      </c>
    </row>
    <row r="1253" ht="14.25">
      <c r="A1253" s="5">
        <v>53849</v>
      </c>
      <c r="B1253" s="6" t="s">
        <v>1305</v>
      </c>
      <c r="C1253" s="7" t="s">
        <v>271</v>
      </c>
      <c r="D1253" s="7" t="s">
        <v>110</v>
      </c>
      <c r="E1253" s="5" t="s">
        <v>43</v>
      </c>
      <c r="F1253" s="8"/>
      <c r="G1253" s="9">
        <f>H1253*(1-15%)*(1-F1253)</f>
        <v>32.214999999999996</v>
      </c>
      <c r="H1253" s="9">
        <v>37.899999999999999</v>
      </c>
      <c r="I1253" s="9">
        <f>H1253-G1253</f>
        <v>5.6850000000000023</v>
      </c>
    </row>
    <row r="1254" ht="14.25">
      <c r="A1254" s="5">
        <v>53850</v>
      </c>
      <c r="B1254" s="6" t="s">
        <v>1306</v>
      </c>
      <c r="C1254" s="7" t="s">
        <v>271</v>
      </c>
      <c r="D1254" s="7" t="s">
        <v>110</v>
      </c>
      <c r="E1254" s="5" t="s">
        <v>43</v>
      </c>
      <c r="F1254" s="8"/>
      <c r="G1254" s="9">
        <f>H1254*(1-15%)*(1-F1254)</f>
        <v>32.214999999999996</v>
      </c>
      <c r="H1254" s="9">
        <v>37.899999999999999</v>
      </c>
      <c r="I1254" s="9">
        <f>H1254-G1254</f>
        <v>5.6850000000000023</v>
      </c>
    </row>
    <row r="1255" ht="14.25">
      <c r="A1255" s="5">
        <v>55490</v>
      </c>
      <c r="B1255" s="6" t="s">
        <v>1307</v>
      </c>
      <c r="C1255" s="7" t="s">
        <v>109</v>
      </c>
      <c r="D1255" s="7" t="s">
        <v>110</v>
      </c>
      <c r="E1255" s="5" t="s">
        <v>43</v>
      </c>
      <c r="F1255" s="8"/>
      <c r="G1255" s="9">
        <f>H1255*(1-15%)*(1-F1255)</f>
        <v>55.165000000000006</v>
      </c>
      <c r="H1255" s="9">
        <v>64.900000000000006</v>
      </c>
      <c r="I1255" s="9">
        <f>H1255-G1255</f>
        <v>9.7349999999999994</v>
      </c>
    </row>
    <row r="1256" ht="14.25">
      <c r="A1256" s="5">
        <v>57438</v>
      </c>
      <c r="B1256" s="6" t="s">
        <v>1308</v>
      </c>
      <c r="C1256" s="7" t="s">
        <v>109</v>
      </c>
      <c r="D1256" s="7" t="s">
        <v>110</v>
      </c>
      <c r="E1256" s="5" t="s">
        <v>15</v>
      </c>
      <c r="F1256" s="8"/>
      <c r="G1256" s="9">
        <f>H1256*(1-15%)*(1-F1256)</f>
        <v>55.165000000000006</v>
      </c>
      <c r="H1256" s="9">
        <v>64.900000000000006</v>
      </c>
      <c r="I1256" s="9">
        <f>H1256-G1256</f>
        <v>9.7349999999999994</v>
      </c>
    </row>
    <row r="1257" ht="14.25">
      <c r="A1257" s="5">
        <v>50353</v>
      </c>
      <c r="B1257" s="6" t="s">
        <v>1309</v>
      </c>
      <c r="C1257" s="7" t="s">
        <v>271</v>
      </c>
      <c r="D1257" s="7" t="s">
        <v>110</v>
      </c>
      <c r="E1257" s="5" t="s">
        <v>15</v>
      </c>
      <c r="F1257" s="8"/>
      <c r="G1257" s="9">
        <f>H1257*(1-15%)*(1-F1257)</f>
        <v>61.965000000000003</v>
      </c>
      <c r="H1257" s="9">
        <v>72.900000000000006</v>
      </c>
      <c r="I1257" s="9">
        <f>H1257-G1257</f>
        <v>10.935000000000002</v>
      </c>
    </row>
    <row r="1258" ht="14.25">
      <c r="A1258" s="5">
        <v>51802</v>
      </c>
      <c r="B1258" s="6" t="s">
        <v>1310</v>
      </c>
      <c r="C1258" s="7" t="s">
        <v>226</v>
      </c>
      <c r="D1258" s="7" t="s">
        <v>52</v>
      </c>
      <c r="E1258" s="5" t="s">
        <v>43</v>
      </c>
      <c r="F1258" s="8"/>
      <c r="G1258" s="9">
        <f>H1258*(1-15%)*(1-F1258)</f>
        <v>81.515000000000001</v>
      </c>
      <c r="H1258" s="9">
        <v>95.900000000000006</v>
      </c>
      <c r="I1258" s="9">
        <f>H1258-G1258</f>
        <v>14.385000000000005</v>
      </c>
    </row>
    <row r="1259" ht="14.25">
      <c r="A1259" s="5">
        <v>49680</v>
      </c>
      <c r="B1259" s="6" t="s">
        <v>1311</v>
      </c>
      <c r="C1259" s="7" t="s">
        <v>70</v>
      </c>
      <c r="D1259" s="7" t="s">
        <v>11</v>
      </c>
      <c r="E1259" s="5" t="s">
        <v>43</v>
      </c>
      <c r="F1259" s="8"/>
      <c r="G1259" s="9">
        <f>H1259*(1-15%)*(1-F1259)</f>
        <v>186.91499999999999</v>
      </c>
      <c r="H1259" s="9">
        <v>219.90000000000001</v>
      </c>
      <c r="I1259" s="9">
        <f>H1259-G1259</f>
        <v>32.985000000000014</v>
      </c>
    </row>
    <row r="1260" ht="14.25">
      <c r="A1260" s="5">
        <v>52029</v>
      </c>
      <c r="B1260" s="6" t="s">
        <v>1312</v>
      </c>
      <c r="C1260" s="7" t="s">
        <v>38</v>
      </c>
      <c r="D1260" s="7" t="s">
        <v>11</v>
      </c>
      <c r="E1260" s="5" t="s">
        <v>26</v>
      </c>
      <c r="F1260" s="8"/>
      <c r="G1260" s="9">
        <f>H1260*(1-15%)*(1-F1260)</f>
        <v>174.16499999999999</v>
      </c>
      <c r="H1260" s="9">
        <v>204.90000000000001</v>
      </c>
      <c r="I1260" s="9">
        <f>H1260-G1260</f>
        <v>30.735000000000014</v>
      </c>
    </row>
    <row r="1261" ht="14.25">
      <c r="A1261" s="5">
        <v>51801</v>
      </c>
      <c r="B1261" s="6" t="s">
        <v>1313</v>
      </c>
      <c r="C1261" s="7" t="s">
        <v>226</v>
      </c>
      <c r="D1261" s="7" t="s">
        <v>52</v>
      </c>
      <c r="E1261" s="5" t="s">
        <v>43</v>
      </c>
      <c r="F1261" s="8"/>
      <c r="G1261" s="9">
        <f>H1261*(1-15%)*(1-F1261)</f>
        <v>42.414999999999999</v>
      </c>
      <c r="H1261" s="9">
        <v>49.899999999999999</v>
      </c>
      <c r="I1261" s="9">
        <f>H1261-G1261</f>
        <v>7.4849999999999994</v>
      </c>
    </row>
    <row r="1262" ht="14.25">
      <c r="A1262" s="5">
        <v>52024</v>
      </c>
      <c r="B1262" s="6" t="s">
        <v>1314</v>
      </c>
      <c r="C1262" s="7" t="s">
        <v>226</v>
      </c>
      <c r="D1262" s="7" t="s">
        <v>52</v>
      </c>
      <c r="E1262" s="5" t="s">
        <v>43</v>
      </c>
      <c r="F1262" s="8"/>
      <c r="G1262" s="9">
        <f>H1262*(1-15%)*(1-F1262)</f>
        <v>50.914999999999999</v>
      </c>
      <c r="H1262" s="9">
        <v>59.899999999999999</v>
      </c>
      <c r="I1262" s="9">
        <f>H1262-G1262</f>
        <v>8.9849999999999994</v>
      </c>
    </row>
    <row r="1263" ht="14.25">
      <c r="A1263" s="5">
        <v>52025</v>
      </c>
      <c r="B1263" s="6" t="s">
        <v>1315</v>
      </c>
      <c r="C1263" s="7" t="s">
        <v>226</v>
      </c>
      <c r="D1263" s="7" t="s">
        <v>52</v>
      </c>
      <c r="E1263" s="5" t="s">
        <v>43</v>
      </c>
      <c r="F1263" s="8"/>
      <c r="G1263" s="9">
        <f>H1263*(1-15%)*(1-F1263)</f>
        <v>56.865000000000002</v>
      </c>
      <c r="H1263" s="9">
        <v>66.900000000000006</v>
      </c>
      <c r="I1263" s="9">
        <f>H1263-G1263</f>
        <v>10.035000000000004</v>
      </c>
    </row>
    <row r="1264" ht="14.25">
      <c r="A1264" s="5">
        <v>56186</v>
      </c>
      <c r="B1264" s="6" t="s">
        <v>1316</v>
      </c>
      <c r="C1264" s="7" t="s">
        <v>94</v>
      </c>
      <c r="D1264" s="7" t="s">
        <v>95</v>
      </c>
      <c r="E1264" s="5" t="s">
        <v>43</v>
      </c>
      <c r="F1264" s="8"/>
      <c r="G1264" s="9">
        <f>H1264*(1-15%)*(1-F1264)</f>
        <v>16.064999999999998</v>
      </c>
      <c r="H1264" s="9">
        <v>18.899999999999999</v>
      </c>
      <c r="I1264" s="9">
        <f>H1264-G1264</f>
        <v>2.8350000000000009</v>
      </c>
    </row>
    <row r="1265" ht="14.25">
      <c r="A1265" s="5">
        <v>56188</v>
      </c>
      <c r="B1265" s="6" t="s">
        <v>1317</v>
      </c>
      <c r="C1265" s="7" t="s">
        <v>94</v>
      </c>
      <c r="D1265" s="7" t="s">
        <v>95</v>
      </c>
      <c r="E1265" s="5" t="s">
        <v>43</v>
      </c>
      <c r="F1265" s="8"/>
      <c r="G1265" s="9">
        <f>H1265*(1-15%)*(1-F1265)</f>
        <v>29.664999999999999</v>
      </c>
      <c r="H1265" s="9">
        <v>34.899999999999999</v>
      </c>
      <c r="I1265" s="9">
        <f>H1265-G1265</f>
        <v>5.2349999999999994</v>
      </c>
    </row>
    <row r="1266" ht="14.25">
      <c r="A1266" s="5">
        <v>52163</v>
      </c>
      <c r="B1266" s="6" t="s">
        <v>1318</v>
      </c>
      <c r="C1266" s="7" t="s">
        <v>271</v>
      </c>
      <c r="D1266" s="7" t="s">
        <v>110</v>
      </c>
      <c r="E1266" s="5" t="s">
        <v>68</v>
      </c>
      <c r="F1266" s="8"/>
      <c r="G1266" s="9">
        <f>H1266*(1-15%)*(1-F1266)</f>
        <v>29.664999999999999</v>
      </c>
      <c r="H1266" s="9">
        <v>34.899999999999999</v>
      </c>
      <c r="I1266" s="9">
        <f>H1266-G1266</f>
        <v>5.2349999999999994</v>
      </c>
    </row>
    <row r="1267" ht="14.25">
      <c r="A1267" s="5">
        <v>52198</v>
      </c>
      <c r="B1267" s="6" t="s">
        <v>1319</v>
      </c>
      <c r="C1267" s="7" t="s">
        <v>271</v>
      </c>
      <c r="D1267" s="7" t="s">
        <v>110</v>
      </c>
      <c r="E1267" s="5" t="s">
        <v>43</v>
      </c>
      <c r="F1267" s="8"/>
      <c r="G1267" s="9">
        <f>H1267*(1-15%)*(1-F1267)</f>
        <v>32.214999999999996</v>
      </c>
      <c r="H1267" s="9">
        <v>37.899999999999999</v>
      </c>
      <c r="I1267" s="9">
        <f>H1267-G1267</f>
        <v>5.6850000000000023</v>
      </c>
    </row>
    <row r="1268" ht="14.25">
      <c r="A1268" s="5">
        <v>48782</v>
      </c>
      <c r="B1268" s="6" t="s">
        <v>1320</v>
      </c>
      <c r="C1268" s="7" t="s">
        <v>65</v>
      </c>
      <c r="D1268" s="7" t="s">
        <v>174</v>
      </c>
      <c r="E1268" s="5" t="s">
        <v>15</v>
      </c>
      <c r="F1268" s="8"/>
      <c r="G1268" s="9">
        <f>H1268*(1-15%)*(1-F1268)</f>
        <v>50.064999999999998</v>
      </c>
      <c r="H1268" s="9">
        <v>58.899999999999999</v>
      </c>
      <c r="I1268" s="9">
        <f>H1268-G1268</f>
        <v>8.8350000000000009</v>
      </c>
    </row>
    <row r="1269" ht="14.25">
      <c r="A1269" s="5">
        <v>48139</v>
      </c>
      <c r="B1269" s="6" t="s">
        <v>1321</v>
      </c>
      <c r="C1269" s="7" t="s">
        <v>21</v>
      </c>
      <c r="D1269" s="7" t="s">
        <v>11</v>
      </c>
      <c r="E1269" s="5" t="s">
        <v>12</v>
      </c>
      <c r="F1269" s="8"/>
      <c r="G1269" s="9">
        <f>H1269*(1-15%)*(1-F1269)</f>
        <v>178.41499999999999</v>
      </c>
      <c r="H1269" s="9">
        <v>209.90000000000001</v>
      </c>
      <c r="I1269" s="9">
        <f>H1269-G1269</f>
        <v>31.485000000000014</v>
      </c>
    </row>
    <row r="1270" ht="14.25">
      <c r="A1270" s="5">
        <v>48552</v>
      </c>
      <c r="B1270" s="6" t="s">
        <v>1322</v>
      </c>
      <c r="C1270" s="7" t="s">
        <v>82</v>
      </c>
      <c r="D1270" s="7" t="s">
        <v>71</v>
      </c>
      <c r="E1270" s="5" t="s">
        <v>68</v>
      </c>
      <c r="F1270" s="8"/>
      <c r="G1270" s="9">
        <f>H1270*(1-15%)*(1-F1270)</f>
        <v>25.414999999999999</v>
      </c>
      <c r="H1270" s="9">
        <v>29.899999999999999</v>
      </c>
      <c r="I1270" s="9">
        <f>H1270-G1270</f>
        <v>4.4849999999999994</v>
      </c>
    </row>
    <row r="1271" ht="14.25">
      <c r="A1271" s="5">
        <v>53935</v>
      </c>
      <c r="B1271" s="6" t="s">
        <v>1323</v>
      </c>
      <c r="C1271" s="7" t="s">
        <v>17</v>
      </c>
      <c r="D1271" s="7" t="s">
        <v>71</v>
      </c>
      <c r="E1271" s="5" t="s">
        <v>43</v>
      </c>
      <c r="F1271" s="8"/>
      <c r="G1271" s="9">
        <f>H1271*(1-15%)*(1-F1271)</f>
        <v>25.414999999999999</v>
      </c>
      <c r="H1271" s="9">
        <v>29.899999999999999</v>
      </c>
      <c r="I1271" s="9">
        <f>H1271-G1271</f>
        <v>4.4849999999999994</v>
      </c>
    </row>
    <row r="1272" ht="14.25">
      <c r="A1272" s="5">
        <v>51448</v>
      </c>
      <c r="B1272" s="6" t="s">
        <v>1324</v>
      </c>
      <c r="C1272" s="7" t="s">
        <v>17</v>
      </c>
      <c r="D1272" s="7" t="s">
        <v>11</v>
      </c>
      <c r="E1272" s="5" t="s">
        <v>12</v>
      </c>
      <c r="F1272" s="8"/>
      <c r="G1272" s="9">
        <f>H1272*(1-15%)*(1-F1272)</f>
        <v>140.16499999999999</v>
      </c>
      <c r="H1272" s="9">
        <v>164.90000000000001</v>
      </c>
      <c r="I1272" s="9">
        <f>H1272-G1272</f>
        <v>24.735000000000014</v>
      </c>
    </row>
    <row r="1273" ht="14.25">
      <c r="A1273" s="5">
        <v>74734</v>
      </c>
      <c r="B1273" s="6" t="s">
        <v>1325</v>
      </c>
      <c r="C1273" s="7" t="s">
        <v>251</v>
      </c>
      <c r="D1273" s="7" t="s">
        <v>583</v>
      </c>
      <c r="E1273" s="5" t="s">
        <v>43</v>
      </c>
      <c r="F1273" s="8"/>
      <c r="G1273" s="9">
        <f>H1273*(1-15%)*(1-F1273)</f>
        <v>78.965000000000003</v>
      </c>
      <c r="H1273" s="9">
        <v>92.900000000000006</v>
      </c>
      <c r="I1273" s="9">
        <f>H1273-G1273</f>
        <v>13.935000000000002</v>
      </c>
    </row>
    <row r="1274" ht="14.25">
      <c r="A1274" s="5">
        <v>48144</v>
      </c>
      <c r="B1274" s="6" t="s">
        <v>1326</v>
      </c>
      <c r="C1274" s="7" t="s">
        <v>1327</v>
      </c>
      <c r="D1274" s="7" t="s">
        <v>11</v>
      </c>
      <c r="E1274" s="5" t="s">
        <v>68</v>
      </c>
      <c r="F1274" s="8"/>
      <c r="G1274" s="9">
        <f>H1274*(1-15%)*(1-F1274)</f>
        <v>148.66499999999999</v>
      </c>
      <c r="H1274" s="9">
        <v>174.90000000000001</v>
      </c>
      <c r="I1274" s="9">
        <f>H1274-G1274</f>
        <v>26.235000000000014</v>
      </c>
    </row>
    <row r="1275" ht="14.25">
      <c r="A1275" s="5">
        <v>48060</v>
      </c>
      <c r="B1275" s="6" t="s">
        <v>1328</v>
      </c>
      <c r="C1275" s="7" t="s">
        <v>70</v>
      </c>
      <c r="D1275" s="7" t="s">
        <v>45</v>
      </c>
      <c r="E1275" s="5" t="s">
        <v>12</v>
      </c>
      <c r="F1275" s="8"/>
      <c r="G1275" s="9">
        <f>H1275*(1-15%)*(1-F1275)</f>
        <v>123.16500000000001</v>
      </c>
      <c r="H1275" s="9">
        <v>144.90000000000001</v>
      </c>
      <c r="I1275" s="9">
        <f>H1275-G1275</f>
        <v>21.734999999999999</v>
      </c>
    </row>
    <row r="1276" ht="14.25">
      <c r="A1276" s="5">
        <v>48362</v>
      </c>
      <c r="B1276" s="6" t="s">
        <v>1329</v>
      </c>
      <c r="C1276" s="7" t="s">
        <v>10</v>
      </c>
      <c r="D1276" s="7" t="s">
        <v>11</v>
      </c>
      <c r="E1276" s="5" t="s">
        <v>39</v>
      </c>
      <c r="F1276" s="8"/>
      <c r="G1276" s="9">
        <f>H1276*(1-15%)*(1-F1276)</f>
        <v>131.66499999999999</v>
      </c>
      <c r="H1276" s="9">
        <v>154.90000000000001</v>
      </c>
      <c r="I1276" s="9">
        <f>H1276-G1276</f>
        <v>23.235000000000014</v>
      </c>
    </row>
    <row r="1277" ht="14.25">
      <c r="A1277" s="5">
        <v>48381</v>
      </c>
      <c r="B1277" s="6" t="s">
        <v>1330</v>
      </c>
      <c r="C1277" s="7" t="s">
        <v>10</v>
      </c>
      <c r="D1277" s="7" t="s">
        <v>71</v>
      </c>
      <c r="E1277" s="5" t="s">
        <v>39</v>
      </c>
      <c r="F1277" s="8"/>
      <c r="G1277" s="9">
        <f>H1277*(1-15%)*(1-F1277)</f>
        <v>25.414999999999999</v>
      </c>
      <c r="H1277" s="9">
        <v>29.899999999999999</v>
      </c>
      <c r="I1277" s="9">
        <f>H1277-G1277</f>
        <v>4.4849999999999994</v>
      </c>
    </row>
    <row r="1278" ht="14.25">
      <c r="A1278" s="5">
        <v>48282</v>
      </c>
      <c r="B1278" s="6" t="s">
        <v>1331</v>
      </c>
      <c r="C1278" s="7" t="s">
        <v>75</v>
      </c>
      <c r="D1278" s="7" t="s">
        <v>45</v>
      </c>
      <c r="E1278" s="5" t="s">
        <v>12</v>
      </c>
      <c r="F1278" s="8"/>
      <c r="G1278" s="9">
        <f>H1278*(1-15%)*(1-F1278)</f>
        <v>73.865000000000009</v>
      </c>
      <c r="H1278" s="9">
        <v>86.900000000000006</v>
      </c>
      <c r="I1278" s="9">
        <f>H1278-G1278</f>
        <v>13.034999999999997</v>
      </c>
    </row>
    <row r="1279" ht="14.25">
      <c r="A1279" s="5">
        <v>52225</v>
      </c>
      <c r="B1279" s="6" t="s">
        <v>1332</v>
      </c>
      <c r="C1279" s="7" t="s">
        <v>75</v>
      </c>
      <c r="D1279" s="7" t="s">
        <v>103</v>
      </c>
      <c r="E1279" s="5" t="s">
        <v>39</v>
      </c>
      <c r="F1279" s="8"/>
      <c r="G1279" s="9">
        <f>H1279*(1-15%)*(1-F1279)</f>
        <v>13.515000000000001</v>
      </c>
      <c r="H1279" s="9">
        <v>15.9</v>
      </c>
      <c r="I1279" s="9">
        <f>H1279-G1279</f>
        <v>2.3849999999999998</v>
      </c>
    </row>
    <row r="1280" ht="14.25">
      <c r="A1280" s="5">
        <v>49408</v>
      </c>
      <c r="B1280" s="6" t="s">
        <v>1333</v>
      </c>
      <c r="C1280" s="7" t="s">
        <v>51</v>
      </c>
      <c r="D1280" s="7" t="s">
        <v>52</v>
      </c>
      <c r="E1280" s="5" t="s">
        <v>15</v>
      </c>
      <c r="F1280" s="8"/>
      <c r="G1280" s="9">
        <f>H1280*(1-15%)*(1-F1280)</f>
        <v>118.91500000000001</v>
      </c>
      <c r="H1280" s="9">
        <v>139.90000000000001</v>
      </c>
      <c r="I1280" s="9">
        <f>H1280-G1280</f>
        <v>20.984999999999999</v>
      </c>
    </row>
    <row r="1281" ht="14.25">
      <c r="A1281" s="5">
        <v>52199</v>
      </c>
      <c r="B1281" s="6" t="s">
        <v>1334</v>
      </c>
      <c r="C1281" s="7" t="s">
        <v>271</v>
      </c>
      <c r="D1281" s="7" t="s">
        <v>110</v>
      </c>
      <c r="E1281" s="5" t="s">
        <v>68</v>
      </c>
      <c r="F1281" s="8"/>
      <c r="G1281" s="9">
        <f>H1281*(1-15%)*(1-F1281)</f>
        <v>32.214999999999996</v>
      </c>
      <c r="H1281" s="9">
        <v>37.899999999999999</v>
      </c>
      <c r="I1281" s="9">
        <f>H1281-G1281</f>
        <v>5.6850000000000023</v>
      </c>
    </row>
    <row r="1282" ht="14.25">
      <c r="A1282" s="5">
        <v>84229</v>
      </c>
      <c r="B1282" s="6" t="s">
        <v>1335</v>
      </c>
      <c r="C1282" s="7" t="s">
        <v>251</v>
      </c>
      <c r="D1282" s="7" t="s">
        <v>583</v>
      </c>
      <c r="E1282" s="5" t="s">
        <v>15</v>
      </c>
      <c r="F1282" s="8"/>
      <c r="G1282" s="9">
        <f>H1282*(1-15%)*(1-F1282)</f>
        <v>78.965000000000003</v>
      </c>
      <c r="H1282" s="9">
        <v>92.900000000000006</v>
      </c>
      <c r="I1282" s="9">
        <f>H1282-G1282</f>
        <v>13.935000000000002</v>
      </c>
    </row>
    <row r="1283" ht="14.25">
      <c r="A1283" s="5">
        <v>52145</v>
      </c>
      <c r="B1283" s="6" t="s">
        <v>1336</v>
      </c>
      <c r="C1283" s="7" t="s">
        <v>271</v>
      </c>
      <c r="D1283" s="7" t="s">
        <v>110</v>
      </c>
      <c r="E1283" s="5" t="s">
        <v>43</v>
      </c>
      <c r="F1283" s="8"/>
      <c r="G1283" s="9">
        <f>H1283*(1-15%)*(1-F1283)</f>
        <v>29.664999999999999</v>
      </c>
      <c r="H1283" s="9">
        <v>34.899999999999999</v>
      </c>
      <c r="I1283" s="9">
        <f>H1283-G1283</f>
        <v>5.2349999999999994</v>
      </c>
    </row>
    <row r="1284" ht="14.25">
      <c r="A1284" s="5">
        <v>48277</v>
      </c>
      <c r="B1284" s="6" t="s">
        <v>1337</v>
      </c>
      <c r="C1284" s="7" t="s">
        <v>271</v>
      </c>
      <c r="D1284" s="7" t="s">
        <v>110</v>
      </c>
      <c r="E1284" s="5" t="s">
        <v>39</v>
      </c>
      <c r="F1284" s="8"/>
      <c r="G1284" s="9">
        <f>H1284*(1-15%)*(1-F1284)</f>
        <v>53.464999999999996</v>
      </c>
      <c r="H1284" s="9">
        <v>62.899999999999999</v>
      </c>
      <c r="I1284" s="9">
        <f>H1284-G1284</f>
        <v>9.4350000000000023</v>
      </c>
    </row>
    <row r="1285" ht="14.25">
      <c r="A1285" s="5">
        <v>48274</v>
      </c>
      <c r="B1285" s="6" t="s">
        <v>1338</v>
      </c>
      <c r="C1285" s="7" t="s">
        <v>271</v>
      </c>
      <c r="D1285" s="7" t="s">
        <v>110</v>
      </c>
      <c r="E1285" s="5" t="s">
        <v>39</v>
      </c>
      <c r="F1285" s="8"/>
      <c r="G1285" s="9">
        <f>H1285*(1-15%)*(1-F1285)</f>
        <v>53.464999999999996</v>
      </c>
      <c r="H1285" s="9">
        <v>62.899999999999999</v>
      </c>
      <c r="I1285" s="9">
        <f>H1285-G1285</f>
        <v>9.4350000000000023</v>
      </c>
    </row>
    <row r="1286" ht="14.25">
      <c r="A1286" s="5">
        <v>48271</v>
      </c>
      <c r="B1286" s="6" t="s">
        <v>1339</v>
      </c>
      <c r="C1286" s="7" t="s">
        <v>271</v>
      </c>
      <c r="D1286" s="7" t="s">
        <v>110</v>
      </c>
      <c r="E1286" s="5" t="s">
        <v>68</v>
      </c>
      <c r="F1286" s="8"/>
      <c r="G1286" s="9">
        <f>H1286*(1-15%)*(1-F1286)</f>
        <v>53.464999999999996</v>
      </c>
      <c r="H1286" s="9">
        <v>62.899999999999999</v>
      </c>
      <c r="I1286" s="9">
        <f>H1286-G1286</f>
        <v>9.4350000000000023</v>
      </c>
    </row>
    <row r="1287" ht="14.25">
      <c r="A1287" s="5">
        <v>48279</v>
      </c>
      <c r="B1287" s="6" t="s">
        <v>1340</v>
      </c>
      <c r="C1287" s="7" t="s">
        <v>271</v>
      </c>
      <c r="D1287" s="7" t="s">
        <v>110</v>
      </c>
      <c r="E1287" s="5" t="s">
        <v>39</v>
      </c>
      <c r="F1287" s="8"/>
      <c r="G1287" s="9">
        <f>H1287*(1-15%)*(1-F1287)</f>
        <v>53.464999999999996</v>
      </c>
      <c r="H1287" s="9">
        <v>62.899999999999999</v>
      </c>
      <c r="I1287" s="9">
        <f>H1287-G1287</f>
        <v>9.4350000000000023</v>
      </c>
    </row>
    <row r="1288" ht="14.25">
      <c r="A1288" s="5">
        <v>48546</v>
      </c>
      <c r="B1288" s="6" t="s">
        <v>1341</v>
      </c>
      <c r="C1288" s="7" t="s">
        <v>82</v>
      </c>
      <c r="D1288" s="7" t="s">
        <v>71</v>
      </c>
      <c r="E1288" s="5" t="s">
        <v>68</v>
      </c>
      <c r="F1288" s="8"/>
      <c r="G1288" s="9">
        <f>H1288*(1-15%)*(1-F1288)</f>
        <v>25.414999999999999</v>
      </c>
      <c r="H1288" s="9">
        <v>29.899999999999999</v>
      </c>
      <c r="I1288" s="9">
        <f>H1288-G1288</f>
        <v>4.4849999999999994</v>
      </c>
    </row>
    <row r="1289" ht="14.25">
      <c r="A1289" s="5">
        <v>48736</v>
      </c>
      <c r="B1289" s="6" t="s">
        <v>1342</v>
      </c>
      <c r="C1289" s="7" t="s">
        <v>82</v>
      </c>
      <c r="D1289" s="7" t="s">
        <v>45</v>
      </c>
      <c r="E1289" s="5" t="s">
        <v>43</v>
      </c>
      <c r="F1289" s="8"/>
      <c r="G1289" s="9">
        <f>H1289*(1-15%)*(1-F1289)</f>
        <v>31.364999999999998</v>
      </c>
      <c r="H1289" s="9">
        <v>36.899999999999999</v>
      </c>
      <c r="I1289" s="9">
        <f>H1289-G1289</f>
        <v>5.5350000000000001</v>
      </c>
    </row>
    <row r="1290" ht="14.25">
      <c r="A1290" s="5">
        <v>49048</v>
      </c>
      <c r="B1290" s="6" t="s">
        <v>1343</v>
      </c>
      <c r="C1290" s="7" t="s">
        <v>82</v>
      </c>
      <c r="D1290" s="7" t="s">
        <v>45</v>
      </c>
      <c r="E1290" s="5" t="s">
        <v>43</v>
      </c>
      <c r="F1290" s="8"/>
      <c r="G1290" s="9">
        <f>H1290*(1-15%)*(1-F1290)</f>
        <v>31.364999999999998</v>
      </c>
      <c r="H1290" s="9">
        <v>36.899999999999999</v>
      </c>
      <c r="I1290" s="9">
        <f>H1290-G1290</f>
        <v>5.5350000000000001</v>
      </c>
    </row>
    <row r="1291" ht="14.25">
      <c r="A1291" s="5">
        <v>57079</v>
      </c>
      <c r="B1291" s="6" t="s">
        <v>1344</v>
      </c>
      <c r="C1291" s="7" t="s">
        <v>87</v>
      </c>
      <c r="D1291" s="7" t="s">
        <v>52</v>
      </c>
      <c r="E1291" s="5" t="s">
        <v>15</v>
      </c>
      <c r="F1291" s="8"/>
      <c r="G1291" s="9">
        <f>H1291*(1-15%)*(1-F1291)</f>
        <v>37.314999999999998</v>
      </c>
      <c r="H1291" s="9">
        <v>43.899999999999999</v>
      </c>
      <c r="I1291" s="9">
        <f>H1291-G1291</f>
        <v>6.5850000000000009</v>
      </c>
    </row>
    <row r="1292" ht="14.25">
      <c r="A1292" s="5">
        <v>48645</v>
      </c>
      <c r="B1292" s="6" t="s">
        <v>1345</v>
      </c>
      <c r="C1292" s="7" t="s">
        <v>33</v>
      </c>
      <c r="D1292" s="7" t="s">
        <v>45</v>
      </c>
      <c r="E1292" s="5" t="s">
        <v>68</v>
      </c>
      <c r="F1292" s="8"/>
      <c r="G1292" s="9">
        <f>H1292*(1-15%)*(1-F1292)</f>
        <v>123.16500000000001</v>
      </c>
      <c r="H1292" s="9">
        <v>144.90000000000001</v>
      </c>
      <c r="I1292" s="9">
        <f>H1292-G1292</f>
        <v>21.734999999999999</v>
      </c>
    </row>
    <row r="1293" ht="14.25">
      <c r="A1293" s="5">
        <v>47948</v>
      </c>
      <c r="B1293" s="6" t="s">
        <v>1346</v>
      </c>
      <c r="C1293" s="7" t="s">
        <v>36</v>
      </c>
      <c r="D1293" s="7" t="s">
        <v>11</v>
      </c>
      <c r="E1293" s="5" t="s">
        <v>15</v>
      </c>
      <c r="F1293" s="8"/>
      <c r="G1293" s="9">
        <f>H1293*(1-15%)*(1-F1293)</f>
        <v>148.66499999999999</v>
      </c>
      <c r="H1293" s="9">
        <v>174.90000000000001</v>
      </c>
      <c r="I1293" s="9">
        <f>H1293-G1293</f>
        <v>26.235000000000014</v>
      </c>
    </row>
    <row r="1294" ht="14.25">
      <c r="A1294" s="5">
        <v>48965</v>
      </c>
      <c r="B1294" s="6" t="s">
        <v>1347</v>
      </c>
      <c r="C1294" s="7" t="s">
        <v>82</v>
      </c>
      <c r="D1294" s="7" t="s">
        <v>95</v>
      </c>
      <c r="E1294" s="5" t="s">
        <v>26</v>
      </c>
      <c r="F1294" s="8"/>
      <c r="G1294" s="9">
        <f>H1294*(1-15%)*(1-F1294)</f>
        <v>29.664999999999999</v>
      </c>
      <c r="H1294" s="9">
        <v>34.899999999999999</v>
      </c>
      <c r="I1294" s="9">
        <f>H1294-G1294</f>
        <v>5.2349999999999994</v>
      </c>
    </row>
    <row r="1295" ht="14.25">
      <c r="A1295" s="5">
        <v>48966</v>
      </c>
      <c r="B1295" s="6" t="s">
        <v>1348</v>
      </c>
      <c r="C1295" s="7" t="s">
        <v>82</v>
      </c>
      <c r="D1295" s="7" t="s">
        <v>95</v>
      </c>
      <c r="E1295" s="5" t="s">
        <v>26</v>
      </c>
      <c r="F1295" s="8"/>
      <c r="G1295" s="9">
        <f>H1295*(1-15%)*(1-F1295)</f>
        <v>31.364999999999998</v>
      </c>
      <c r="H1295" s="9">
        <v>36.899999999999999</v>
      </c>
      <c r="I1295" s="9">
        <f>H1295-G1295</f>
        <v>5.5350000000000001</v>
      </c>
    </row>
    <row r="1296" ht="14.25">
      <c r="A1296" s="5">
        <v>52202</v>
      </c>
      <c r="B1296" s="6" t="s">
        <v>1349</v>
      </c>
      <c r="C1296" s="7" t="s">
        <v>271</v>
      </c>
      <c r="D1296" s="7" t="s">
        <v>110</v>
      </c>
      <c r="E1296" s="5" t="s">
        <v>43</v>
      </c>
      <c r="F1296" s="8"/>
      <c r="G1296" s="9">
        <f>H1296*(1-15%)*(1-F1296)</f>
        <v>32.214999999999996</v>
      </c>
      <c r="H1296" s="9">
        <v>37.899999999999999</v>
      </c>
      <c r="I1296" s="9">
        <f>H1296-G1296</f>
        <v>5.6850000000000023</v>
      </c>
    </row>
    <row r="1297" ht="14.25">
      <c r="A1297" s="5">
        <v>49051</v>
      </c>
      <c r="B1297" s="6" t="s">
        <v>1350</v>
      </c>
      <c r="C1297" s="7" t="s">
        <v>82</v>
      </c>
      <c r="D1297" s="7" t="s">
        <v>45</v>
      </c>
      <c r="E1297" s="5" t="s">
        <v>43</v>
      </c>
      <c r="F1297" s="8"/>
      <c r="G1297" s="9">
        <f>H1297*(1-15%)*(1-F1297)</f>
        <v>31.364999999999998</v>
      </c>
      <c r="H1297" s="9">
        <v>36.899999999999999</v>
      </c>
      <c r="I1297" s="9">
        <f>H1297-G1297</f>
        <v>5.5350000000000001</v>
      </c>
    </row>
    <row r="1298" ht="14.25">
      <c r="A1298" s="5">
        <v>48724</v>
      </c>
      <c r="B1298" s="6" t="s">
        <v>1351</v>
      </c>
      <c r="C1298" s="7" t="s">
        <v>82</v>
      </c>
      <c r="D1298" s="7" t="s">
        <v>71</v>
      </c>
      <c r="E1298" s="5" t="s">
        <v>26</v>
      </c>
      <c r="F1298" s="8"/>
      <c r="G1298" s="9">
        <f>H1298*(1-15%)*(1-F1298)</f>
        <v>25.414999999999999</v>
      </c>
      <c r="H1298" s="9">
        <v>29.899999999999999</v>
      </c>
      <c r="I1298" s="9">
        <f>H1298-G1298</f>
        <v>4.4849999999999994</v>
      </c>
    </row>
    <row r="1299" ht="14.25">
      <c r="A1299" s="5">
        <v>48772</v>
      </c>
      <c r="B1299" s="6" t="s">
        <v>1352</v>
      </c>
      <c r="C1299" s="7" t="s">
        <v>75</v>
      </c>
      <c r="D1299" s="7" t="s">
        <v>45</v>
      </c>
      <c r="E1299" s="5" t="s">
        <v>15</v>
      </c>
      <c r="F1299" s="8"/>
      <c r="G1299" s="9">
        <f>H1299*(1-15%)*(1-F1299)</f>
        <v>73.865000000000009</v>
      </c>
      <c r="H1299" s="9">
        <v>86.900000000000006</v>
      </c>
      <c r="I1299" s="9">
        <f>H1299-G1299</f>
        <v>13.034999999999997</v>
      </c>
    </row>
    <row r="1300" ht="14.25">
      <c r="A1300" s="5">
        <v>82685</v>
      </c>
      <c r="B1300" s="6" t="s">
        <v>1353</v>
      </c>
      <c r="C1300" s="7" t="s">
        <v>14</v>
      </c>
      <c r="D1300" s="7" t="s">
        <v>11</v>
      </c>
      <c r="E1300" s="5" t="s">
        <v>12</v>
      </c>
      <c r="F1300" s="8"/>
      <c r="G1300" s="9">
        <f>H1300*(1-15%)*(1-F1300)</f>
        <v>135.91499999999999</v>
      </c>
      <c r="H1300" s="9">
        <v>159.90000000000001</v>
      </c>
      <c r="I1300" s="9">
        <f>H1300-G1300</f>
        <v>23.985000000000014</v>
      </c>
    </row>
    <row r="1301" ht="14.25">
      <c r="A1301" s="5">
        <v>76666</v>
      </c>
      <c r="B1301" s="6" t="s">
        <v>1354</v>
      </c>
      <c r="C1301" s="7" t="s">
        <v>65</v>
      </c>
      <c r="D1301" s="7" t="s">
        <v>11</v>
      </c>
      <c r="E1301" s="5" t="s">
        <v>26</v>
      </c>
      <c r="F1301" s="8"/>
      <c r="G1301" s="9">
        <f>H1301*(1-15%)*(1-F1301)</f>
        <v>140.16499999999999</v>
      </c>
      <c r="H1301" s="9">
        <v>164.90000000000001</v>
      </c>
      <c r="I1301" s="9">
        <f>H1301-G1301</f>
        <v>24.735000000000014</v>
      </c>
    </row>
    <row r="1302" ht="14.25">
      <c r="A1302" s="5">
        <v>48136</v>
      </c>
      <c r="B1302" s="6" t="s">
        <v>1355</v>
      </c>
      <c r="C1302" s="7" t="s">
        <v>17</v>
      </c>
      <c r="D1302" s="7" t="s">
        <v>11</v>
      </c>
      <c r="E1302" s="5" t="s">
        <v>12</v>
      </c>
      <c r="F1302" s="8"/>
      <c r="G1302" s="9">
        <f>H1302*(1-15%)*(1-F1302)</f>
        <v>140.16499999999999</v>
      </c>
      <c r="H1302" s="9">
        <v>164.90000000000001</v>
      </c>
      <c r="I1302" s="9">
        <f>H1302-G1302</f>
        <v>24.735000000000014</v>
      </c>
    </row>
    <row r="1303" ht="14.25">
      <c r="A1303" s="5">
        <v>48256</v>
      </c>
      <c r="B1303" s="6" t="s">
        <v>1356</v>
      </c>
      <c r="C1303" s="7" t="s">
        <v>75</v>
      </c>
      <c r="D1303" s="7" t="s">
        <v>45</v>
      </c>
      <c r="E1303" s="5" t="s">
        <v>15</v>
      </c>
      <c r="F1303" s="8"/>
      <c r="G1303" s="9">
        <f>H1303*(1-15%)*(1-F1303)</f>
        <v>73.865000000000009</v>
      </c>
      <c r="H1303" s="9">
        <v>86.900000000000006</v>
      </c>
      <c r="I1303" s="9">
        <f>H1303-G1303</f>
        <v>13.034999999999997</v>
      </c>
    </row>
    <row r="1304" ht="14.25">
      <c r="A1304" s="5">
        <v>48145</v>
      </c>
      <c r="B1304" s="6" t="s">
        <v>1357</v>
      </c>
      <c r="C1304" s="7" t="s">
        <v>38</v>
      </c>
      <c r="D1304" s="7" t="s">
        <v>11</v>
      </c>
      <c r="E1304" s="5" t="s">
        <v>43</v>
      </c>
      <c r="F1304" s="8"/>
      <c r="G1304" s="9">
        <f>H1304*(1-15%)*(1-F1304)</f>
        <v>148.66499999999999</v>
      </c>
      <c r="H1304" s="9">
        <v>174.90000000000001</v>
      </c>
      <c r="I1304" s="9">
        <f>H1304-G1304</f>
        <v>26.235000000000014</v>
      </c>
    </row>
    <row r="1305" ht="14.25">
      <c r="A1305" s="5">
        <v>49418</v>
      </c>
      <c r="B1305" s="6" t="s">
        <v>1358</v>
      </c>
      <c r="C1305" s="7" t="s">
        <v>75</v>
      </c>
      <c r="D1305" s="7" t="s">
        <v>583</v>
      </c>
      <c r="E1305" s="5" t="s">
        <v>68</v>
      </c>
      <c r="F1305" s="8"/>
      <c r="G1305" s="9">
        <f>H1305*(1-15%)*(1-F1305)</f>
        <v>80.665000000000006</v>
      </c>
      <c r="H1305" s="9">
        <v>94.900000000000006</v>
      </c>
      <c r="I1305" s="9">
        <f>H1305-G1305</f>
        <v>14.234999999999999</v>
      </c>
    </row>
    <row r="1306" ht="14.25">
      <c r="A1306" s="5">
        <v>47905</v>
      </c>
      <c r="B1306" s="6" t="s">
        <v>1359</v>
      </c>
      <c r="C1306" s="7" t="s">
        <v>38</v>
      </c>
      <c r="D1306" s="7" t="s">
        <v>11</v>
      </c>
      <c r="E1306" s="5" t="s">
        <v>43</v>
      </c>
      <c r="F1306" s="8"/>
      <c r="G1306" s="9">
        <f>H1306*(1-15%)*(1-F1306)</f>
        <v>148.66499999999999</v>
      </c>
      <c r="H1306" s="9">
        <v>174.90000000000001</v>
      </c>
      <c r="I1306" s="9">
        <f>H1306-G1306</f>
        <v>26.235000000000014</v>
      </c>
    </row>
    <row r="1307" ht="14.25">
      <c r="A1307" s="5">
        <v>48687</v>
      </c>
      <c r="B1307" s="6" t="s">
        <v>1360</v>
      </c>
      <c r="C1307" s="7" t="s">
        <v>65</v>
      </c>
      <c r="D1307" s="7" t="s">
        <v>199</v>
      </c>
      <c r="E1307" s="5" t="s">
        <v>15</v>
      </c>
      <c r="F1307" s="8"/>
      <c r="G1307" s="9">
        <f>H1307*(1-15%)*(1-F1307)</f>
        <v>70.465000000000003</v>
      </c>
      <c r="H1307" s="9">
        <v>82.900000000000006</v>
      </c>
      <c r="I1307" s="9">
        <f>H1307-G1307</f>
        <v>12.435000000000002</v>
      </c>
    </row>
    <row r="1308" ht="14.25">
      <c r="A1308" s="5">
        <v>48291</v>
      </c>
      <c r="B1308" s="6" t="s">
        <v>1361</v>
      </c>
      <c r="C1308" s="7" t="s">
        <v>75</v>
      </c>
      <c r="D1308" s="7" t="s">
        <v>11</v>
      </c>
      <c r="E1308" s="5" t="s">
        <v>15</v>
      </c>
      <c r="F1308" s="8"/>
      <c r="G1308" s="9">
        <f>H1308*(1-15%)*(1-F1308)</f>
        <v>84.915000000000006</v>
      </c>
      <c r="H1308" s="9">
        <v>99.900000000000006</v>
      </c>
      <c r="I1308" s="9">
        <f>H1308-G1308</f>
        <v>14.984999999999999</v>
      </c>
    </row>
    <row r="1309" ht="14.25">
      <c r="A1309" s="5">
        <v>48290</v>
      </c>
      <c r="B1309" s="6" t="s">
        <v>1362</v>
      </c>
      <c r="C1309" s="7" t="s">
        <v>75</v>
      </c>
      <c r="D1309" s="7" t="s">
        <v>11</v>
      </c>
      <c r="E1309" s="5" t="s">
        <v>68</v>
      </c>
      <c r="F1309" s="8"/>
      <c r="G1309" s="9">
        <f>H1309*(1-15%)*(1-F1309)</f>
        <v>84.915000000000006</v>
      </c>
      <c r="H1309" s="9">
        <v>99.900000000000006</v>
      </c>
      <c r="I1309" s="9">
        <f>H1309-G1309</f>
        <v>14.984999999999999</v>
      </c>
    </row>
    <row r="1310" ht="14.25">
      <c r="A1310" s="5">
        <v>48775</v>
      </c>
      <c r="B1310" s="6" t="s">
        <v>1363</v>
      </c>
      <c r="C1310" s="7" t="s">
        <v>75</v>
      </c>
      <c r="D1310" s="7" t="s">
        <v>11</v>
      </c>
      <c r="E1310" s="5" t="s">
        <v>15</v>
      </c>
      <c r="F1310" s="8"/>
      <c r="G1310" s="9">
        <f>H1310*(1-15%)*(1-F1310)</f>
        <v>84.915000000000006</v>
      </c>
      <c r="H1310" s="9">
        <v>99.900000000000006</v>
      </c>
      <c r="I1310" s="9">
        <f>H1310-G1310</f>
        <v>14.984999999999999</v>
      </c>
    </row>
    <row r="1311" ht="14.25">
      <c r="A1311" s="5">
        <v>82690</v>
      </c>
      <c r="B1311" s="6" t="s">
        <v>1364</v>
      </c>
      <c r="C1311" s="7" t="s">
        <v>14</v>
      </c>
      <c r="D1311" s="7" t="s">
        <v>11</v>
      </c>
      <c r="E1311" s="5" t="s">
        <v>133</v>
      </c>
      <c r="F1311" s="8"/>
      <c r="G1311" s="9">
        <f>H1311*(1-15%)*(1-F1311)</f>
        <v>135.91499999999999</v>
      </c>
      <c r="H1311" s="9">
        <v>159.90000000000001</v>
      </c>
      <c r="I1311" s="9">
        <f>H1311-G1311</f>
        <v>23.985000000000014</v>
      </c>
    </row>
    <row r="1312" ht="14.25">
      <c r="A1312" s="5">
        <v>82686</v>
      </c>
      <c r="B1312" s="6" t="s">
        <v>1365</v>
      </c>
      <c r="C1312" s="7" t="s">
        <v>14</v>
      </c>
      <c r="D1312" s="7" t="s">
        <v>11</v>
      </c>
      <c r="E1312" s="5" t="s">
        <v>26</v>
      </c>
      <c r="F1312" s="8"/>
      <c r="G1312" s="9">
        <f>H1312*(1-15%)*(1-F1312)</f>
        <v>135.91499999999999</v>
      </c>
      <c r="H1312" s="9">
        <v>159.90000000000001</v>
      </c>
      <c r="I1312" s="9">
        <f>H1312-G1312</f>
        <v>23.985000000000014</v>
      </c>
    </row>
    <row r="1313" ht="14.25">
      <c r="A1313" s="5">
        <v>48963</v>
      </c>
      <c r="B1313" s="6" t="s">
        <v>1366</v>
      </c>
      <c r="C1313" s="7" t="s">
        <v>82</v>
      </c>
      <c r="D1313" s="7" t="s">
        <v>95</v>
      </c>
      <c r="E1313" s="5" t="s">
        <v>26</v>
      </c>
      <c r="F1313" s="8"/>
      <c r="G1313" s="9">
        <f>H1313*(1-15%)*(1-F1313)</f>
        <v>31.364999999999998</v>
      </c>
      <c r="H1313" s="9">
        <v>36.899999999999999</v>
      </c>
      <c r="I1313" s="9">
        <f>H1313-G1313</f>
        <v>5.5350000000000001</v>
      </c>
    </row>
    <row r="1314" ht="14.25">
      <c r="A1314" s="5">
        <v>48281</v>
      </c>
      <c r="B1314" s="6" t="s">
        <v>1367</v>
      </c>
      <c r="C1314" s="7" t="s">
        <v>75</v>
      </c>
      <c r="D1314" s="7" t="s">
        <v>45</v>
      </c>
      <c r="E1314" s="5" t="s">
        <v>12</v>
      </c>
      <c r="F1314" s="8"/>
      <c r="G1314" s="9">
        <f>H1314*(1-15%)*(1-F1314)</f>
        <v>73.865000000000009</v>
      </c>
      <c r="H1314" s="9">
        <v>86.900000000000006</v>
      </c>
      <c r="I1314" s="9">
        <f>H1314-G1314</f>
        <v>13.034999999999997</v>
      </c>
    </row>
    <row r="1315" ht="14.25">
      <c r="A1315" s="5">
        <v>48280</v>
      </c>
      <c r="B1315" s="6" t="s">
        <v>1368</v>
      </c>
      <c r="C1315" s="7" t="s">
        <v>75</v>
      </c>
      <c r="D1315" s="7" t="s">
        <v>11</v>
      </c>
      <c r="E1315" s="5" t="s">
        <v>26</v>
      </c>
      <c r="F1315" s="8"/>
      <c r="G1315" s="9">
        <f>H1315*(1-15%)*(1-F1315)</f>
        <v>84.915000000000006</v>
      </c>
      <c r="H1315" s="9">
        <v>99.900000000000006</v>
      </c>
      <c r="I1315" s="9">
        <f>H1315-G1315</f>
        <v>14.984999999999999</v>
      </c>
    </row>
    <row r="1316" ht="14.25">
      <c r="A1316" s="5">
        <v>48635</v>
      </c>
      <c r="B1316" s="6" t="s">
        <v>1369</v>
      </c>
      <c r="C1316" s="7" t="s">
        <v>17</v>
      </c>
      <c r="D1316" s="7" t="s">
        <v>11</v>
      </c>
      <c r="E1316" s="5" t="s">
        <v>26</v>
      </c>
      <c r="F1316" s="8"/>
      <c r="G1316" s="9">
        <f>H1316*(1-15%)*(1-F1316)</f>
        <v>140.16499999999999</v>
      </c>
      <c r="H1316" s="9">
        <v>164.90000000000001</v>
      </c>
      <c r="I1316" s="9">
        <f>H1316-G1316</f>
        <v>24.735000000000014</v>
      </c>
    </row>
    <row r="1317" ht="14.25">
      <c r="A1317" s="5">
        <v>48656</v>
      </c>
      <c r="B1317" s="6" t="s">
        <v>1370</v>
      </c>
      <c r="C1317" s="7" t="s">
        <v>17</v>
      </c>
      <c r="D1317" s="7" t="s">
        <v>11</v>
      </c>
      <c r="E1317" s="5" t="s">
        <v>26</v>
      </c>
      <c r="F1317" s="8"/>
      <c r="G1317" s="9">
        <f>H1317*(1-15%)*(1-F1317)</f>
        <v>140.16499999999999</v>
      </c>
      <c r="H1317" s="9">
        <v>164.90000000000001</v>
      </c>
      <c r="I1317" s="9">
        <f>H1317-G1317</f>
        <v>24.735000000000014</v>
      </c>
    </row>
    <row r="1318" ht="14.25">
      <c r="A1318" s="5">
        <v>47911</v>
      </c>
      <c r="B1318" s="6" t="s">
        <v>1371</v>
      </c>
      <c r="C1318" s="7" t="s">
        <v>36</v>
      </c>
      <c r="D1318" s="7" t="s">
        <v>11</v>
      </c>
      <c r="E1318" s="5" t="s">
        <v>68</v>
      </c>
      <c r="F1318" s="8"/>
      <c r="G1318" s="9">
        <f>H1318*(1-15%)*(1-F1318)</f>
        <v>148.66499999999999</v>
      </c>
      <c r="H1318" s="9">
        <v>174.90000000000001</v>
      </c>
      <c r="I1318" s="9">
        <f>H1318-G1318</f>
        <v>26.235000000000014</v>
      </c>
    </row>
    <row r="1319" ht="14.25">
      <c r="A1319" s="5">
        <v>51244</v>
      </c>
      <c r="B1319" s="6" t="s">
        <v>1372</v>
      </c>
      <c r="C1319" s="7" t="s">
        <v>36</v>
      </c>
      <c r="D1319" s="7" t="s">
        <v>11</v>
      </c>
      <c r="E1319" s="5" t="s">
        <v>68</v>
      </c>
      <c r="F1319" s="8"/>
      <c r="G1319" s="9">
        <f>H1319*(1-15%)*(1-F1319)</f>
        <v>148.66499999999999</v>
      </c>
      <c r="H1319" s="9">
        <v>174.90000000000001</v>
      </c>
      <c r="I1319" s="9">
        <f>H1319-G1319</f>
        <v>26.235000000000014</v>
      </c>
    </row>
    <row r="1320" ht="14.25">
      <c r="A1320" s="5">
        <v>52194</v>
      </c>
      <c r="B1320" s="6" t="s">
        <v>1373</v>
      </c>
      <c r="C1320" s="7" t="s">
        <v>271</v>
      </c>
      <c r="D1320" s="7" t="s">
        <v>110</v>
      </c>
      <c r="E1320" s="5" t="s">
        <v>43</v>
      </c>
      <c r="F1320" s="8"/>
      <c r="G1320" s="9">
        <f>H1320*(1-15%)*(1-F1320)</f>
        <v>32.214999999999996</v>
      </c>
      <c r="H1320" s="9">
        <v>37.899999999999999</v>
      </c>
      <c r="I1320" s="9">
        <f>H1320-G1320</f>
        <v>5.6850000000000023</v>
      </c>
    </row>
    <row r="1321" ht="14.25">
      <c r="A1321" s="5">
        <v>52155</v>
      </c>
      <c r="B1321" s="6" t="s">
        <v>1374</v>
      </c>
      <c r="C1321" s="7" t="s">
        <v>271</v>
      </c>
      <c r="D1321" s="7" t="s">
        <v>110</v>
      </c>
      <c r="E1321" s="5" t="s">
        <v>68</v>
      </c>
      <c r="F1321" s="8"/>
      <c r="G1321" s="9">
        <f>H1321*(1-15%)*(1-F1321)</f>
        <v>29.664999999999999</v>
      </c>
      <c r="H1321" s="9">
        <v>34.899999999999999</v>
      </c>
      <c r="I1321" s="9">
        <f>H1321-G1321</f>
        <v>5.2349999999999994</v>
      </c>
    </row>
    <row r="1322" ht="14.25">
      <c r="A1322" s="5">
        <v>48770</v>
      </c>
      <c r="B1322" s="6" t="s">
        <v>1375</v>
      </c>
      <c r="C1322" s="7" t="s">
        <v>75</v>
      </c>
      <c r="D1322" s="7" t="s">
        <v>95</v>
      </c>
      <c r="E1322" s="5" t="s">
        <v>26</v>
      </c>
      <c r="F1322" s="8"/>
      <c r="G1322" s="9">
        <f>H1322*(1-15%)*(1-F1322)</f>
        <v>46.664999999999999</v>
      </c>
      <c r="H1322" s="9">
        <v>54.899999999999999</v>
      </c>
      <c r="I1322" s="9">
        <f>H1322-G1322</f>
        <v>8.2349999999999994</v>
      </c>
    </row>
    <row r="1323" ht="14.25">
      <c r="A1323" s="5">
        <v>82689</v>
      </c>
      <c r="B1323" s="6" t="s">
        <v>1376</v>
      </c>
      <c r="C1323" s="7" t="s">
        <v>14</v>
      </c>
      <c r="D1323" s="7" t="s">
        <v>11</v>
      </c>
      <c r="E1323" s="5" t="s">
        <v>12</v>
      </c>
      <c r="F1323" s="8"/>
      <c r="G1323" s="9">
        <f>H1323*(1-15%)*(1-F1323)</f>
        <v>135.91499999999999</v>
      </c>
      <c r="H1323" s="9">
        <v>159.90000000000001</v>
      </c>
      <c r="I1323" s="9">
        <f>H1323-G1323</f>
        <v>23.985000000000014</v>
      </c>
    </row>
    <row r="1324" ht="14.25">
      <c r="A1324" s="5">
        <v>82688</v>
      </c>
      <c r="B1324" s="6" t="s">
        <v>1377</v>
      </c>
      <c r="C1324" s="7" t="s">
        <v>14</v>
      </c>
      <c r="D1324" s="7" t="s">
        <v>11</v>
      </c>
      <c r="E1324" s="5" t="s">
        <v>12</v>
      </c>
      <c r="F1324" s="8"/>
      <c r="G1324" s="9">
        <f>H1324*(1-15%)*(1-F1324)</f>
        <v>131.66499999999999</v>
      </c>
      <c r="H1324" s="9">
        <v>154.90000000000001</v>
      </c>
      <c r="I1324" s="9">
        <f>H1324-G1324</f>
        <v>23.235000000000014</v>
      </c>
    </row>
    <row r="1325" ht="14.25">
      <c r="A1325" s="5">
        <v>52161</v>
      </c>
      <c r="B1325" s="6" t="s">
        <v>1378</v>
      </c>
      <c r="C1325" s="7" t="s">
        <v>271</v>
      </c>
      <c r="D1325" s="7" t="s">
        <v>110</v>
      </c>
      <c r="E1325" s="5" t="s">
        <v>43</v>
      </c>
      <c r="F1325" s="8"/>
      <c r="G1325" s="9">
        <f>H1325*(1-15%)*(1-F1325)</f>
        <v>29.664999999999999</v>
      </c>
      <c r="H1325" s="9">
        <v>34.899999999999999</v>
      </c>
      <c r="I1325" s="9">
        <f>H1325-G1325</f>
        <v>5.2349999999999994</v>
      </c>
    </row>
    <row r="1326" ht="14.25">
      <c r="A1326" s="5">
        <v>52162</v>
      </c>
      <c r="B1326" s="6" t="s">
        <v>1379</v>
      </c>
      <c r="C1326" s="7" t="s">
        <v>271</v>
      </c>
      <c r="D1326" s="7" t="s">
        <v>110</v>
      </c>
      <c r="E1326" s="5" t="s">
        <v>39</v>
      </c>
      <c r="F1326" s="8"/>
      <c r="G1326" s="9">
        <f>H1326*(1-15%)*(1-F1326)</f>
        <v>29.664999999999999</v>
      </c>
      <c r="H1326" s="9">
        <v>34.899999999999999</v>
      </c>
      <c r="I1326" s="9">
        <f>H1326-G1326</f>
        <v>5.2349999999999994</v>
      </c>
    </row>
    <row r="1327" ht="14.25">
      <c r="A1327" s="5">
        <v>53933</v>
      </c>
      <c r="B1327" s="6" t="s">
        <v>1380</v>
      </c>
      <c r="C1327" s="7" t="s">
        <v>65</v>
      </c>
      <c r="D1327" s="7" t="s">
        <v>71</v>
      </c>
      <c r="E1327" s="5" t="s">
        <v>68</v>
      </c>
      <c r="F1327" s="8"/>
      <c r="G1327" s="9">
        <f>H1327*(1-15%)*(1-F1327)</f>
        <v>25.414999999999999</v>
      </c>
      <c r="H1327" s="9">
        <v>29.899999999999999</v>
      </c>
      <c r="I1327" s="9">
        <f>H1327-G1327</f>
        <v>4.4849999999999994</v>
      </c>
    </row>
    <row r="1328" ht="14.25">
      <c r="A1328" s="5">
        <v>53339</v>
      </c>
      <c r="B1328" s="6" t="s">
        <v>1381</v>
      </c>
      <c r="C1328" s="7" t="s">
        <v>271</v>
      </c>
      <c r="D1328" s="7" t="s">
        <v>110</v>
      </c>
      <c r="E1328" s="5" t="s">
        <v>43</v>
      </c>
      <c r="F1328" s="8"/>
      <c r="G1328" s="9">
        <f>H1328*(1-15%)*(1-F1328)</f>
        <v>29.664999999999999</v>
      </c>
      <c r="H1328" s="9">
        <v>34.899999999999999</v>
      </c>
      <c r="I1328" s="9">
        <f>H1328-G1328</f>
        <v>5.2349999999999994</v>
      </c>
    </row>
    <row r="1329" ht="14.25">
      <c r="A1329" s="5">
        <v>52640</v>
      </c>
      <c r="B1329" s="6" t="s">
        <v>1382</v>
      </c>
      <c r="C1329" s="7" t="s">
        <v>70</v>
      </c>
      <c r="D1329" s="7" t="s">
        <v>61</v>
      </c>
      <c r="E1329" s="5" t="s">
        <v>39</v>
      </c>
      <c r="F1329" s="8"/>
      <c r="G1329" s="9">
        <f>H1329*(1-15%)*(1-F1329)</f>
        <v>144.41499999999999</v>
      </c>
      <c r="H1329" s="9">
        <v>169.90000000000001</v>
      </c>
      <c r="I1329" s="9">
        <f>H1329-G1329</f>
        <v>25.485000000000014</v>
      </c>
    </row>
    <row r="1330" ht="14.25">
      <c r="A1330" s="5">
        <v>52655</v>
      </c>
      <c r="B1330" s="6" t="s">
        <v>1383</v>
      </c>
      <c r="C1330" s="7" t="s">
        <v>36</v>
      </c>
      <c r="D1330" s="7" t="s">
        <v>61</v>
      </c>
      <c r="E1330" s="5" t="s">
        <v>15</v>
      </c>
      <c r="F1330" s="8"/>
      <c r="G1330" s="9">
        <f>H1330*(1-15%)*(1-F1330)</f>
        <v>101.91500000000001</v>
      </c>
      <c r="H1330" s="9">
        <v>119.90000000000001</v>
      </c>
      <c r="I1330" s="9">
        <f>H1330-G1330</f>
        <v>17.984999999999999</v>
      </c>
    </row>
    <row r="1331" ht="14.25">
      <c r="A1331" s="5">
        <v>52193</v>
      </c>
      <c r="B1331" s="6" t="s">
        <v>1384</v>
      </c>
      <c r="C1331" s="7" t="s">
        <v>271</v>
      </c>
      <c r="D1331" s="7" t="s">
        <v>110</v>
      </c>
      <c r="E1331" s="5" t="s">
        <v>39</v>
      </c>
      <c r="F1331" s="8"/>
      <c r="G1331" s="9">
        <f>H1331*(1-15%)*(1-F1331)</f>
        <v>32.214999999999996</v>
      </c>
      <c r="H1331" s="9">
        <v>37.899999999999999</v>
      </c>
      <c r="I1331" s="9">
        <f>H1331-G1331</f>
        <v>5.6850000000000023</v>
      </c>
    </row>
    <row r="1332" ht="14.25">
      <c r="A1332" s="5">
        <v>53922</v>
      </c>
      <c r="B1332" s="6" t="s">
        <v>1385</v>
      </c>
      <c r="C1332" s="7" t="s">
        <v>87</v>
      </c>
      <c r="D1332" s="7" t="s">
        <v>61</v>
      </c>
      <c r="E1332" s="5" t="s">
        <v>68</v>
      </c>
      <c r="F1332" s="8"/>
      <c r="G1332" s="9">
        <f>H1332*(1-15%)*(1-F1332)</f>
        <v>106.16500000000001</v>
      </c>
      <c r="H1332" s="9">
        <v>124.90000000000001</v>
      </c>
      <c r="I1332" s="9">
        <f>H1332-G1332</f>
        <v>18.734999999999999</v>
      </c>
    </row>
    <row r="1333" ht="14.25">
      <c r="A1333" s="5">
        <v>53930</v>
      </c>
      <c r="B1333" s="6" t="s">
        <v>1386</v>
      </c>
      <c r="C1333" s="7" t="s">
        <v>14</v>
      </c>
      <c r="D1333" s="7" t="s">
        <v>71</v>
      </c>
      <c r="E1333" s="5" t="s">
        <v>43</v>
      </c>
      <c r="F1333" s="8"/>
      <c r="G1333" s="9">
        <f>H1333*(1-15%)*(1-F1333)</f>
        <v>33.914999999999999</v>
      </c>
      <c r="H1333" s="9">
        <v>39.899999999999999</v>
      </c>
      <c r="I1333" s="9">
        <f>H1333-G1333</f>
        <v>5.9849999999999994</v>
      </c>
    </row>
    <row r="1334" ht="14.25">
      <c r="A1334" s="5">
        <v>48632</v>
      </c>
      <c r="B1334" s="6" t="s">
        <v>1387</v>
      </c>
      <c r="C1334" s="7" t="s">
        <v>91</v>
      </c>
      <c r="D1334" s="7" t="s">
        <v>11</v>
      </c>
      <c r="E1334" s="5" t="s">
        <v>68</v>
      </c>
      <c r="F1334" s="8"/>
      <c r="G1334" s="9">
        <f>H1334*(1-15%)*(1-F1334)</f>
        <v>110.41500000000001</v>
      </c>
      <c r="H1334" s="9">
        <v>129.90000000000001</v>
      </c>
      <c r="I1334" s="9">
        <f>H1334-G1334</f>
        <v>19.484999999999999</v>
      </c>
    </row>
    <row r="1335" ht="14.25">
      <c r="A1335" s="5">
        <v>48999</v>
      </c>
      <c r="B1335" s="6" t="s">
        <v>1388</v>
      </c>
      <c r="C1335" s="7" t="s">
        <v>75</v>
      </c>
      <c r="D1335" s="7" t="s">
        <v>583</v>
      </c>
      <c r="E1335" s="5" t="s">
        <v>26</v>
      </c>
      <c r="F1335" s="8"/>
      <c r="G1335" s="9">
        <f>H1335*(1-15%)*(1-F1335)</f>
        <v>80.665000000000006</v>
      </c>
      <c r="H1335" s="9">
        <v>94.900000000000006</v>
      </c>
      <c r="I1335" s="9">
        <f>H1335-G1335</f>
        <v>14.234999999999999</v>
      </c>
    </row>
    <row r="1336" ht="14.25">
      <c r="A1336" s="5">
        <v>48614</v>
      </c>
      <c r="B1336" s="6" t="s">
        <v>1389</v>
      </c>
      <c r="C1336" s="7" t="s">
        <v>82</v>
      </c>
      <c r="D1336" s="7" t="s">
        <v>45</v>
      </c>
      <c r="E1336" s="5" t="s">
        <v>43</v>
      </c>
      <c r="F1336" s="8"/>
      <c r="G1336" s="9">
        <f>H1336*(1-15%)*(1-F1336)</f>
        <v>31.364999999999998</v>
      </c>
      <c r="H1336" s="9">
        <v>36.899999999999999</v>
      </c>
      <c r="I1336" s="9">
        <f>H1336-G1336</f>
        <v>5.5350000000000001</v>
      </c>
    </row>
    <row r="1337" ht="14.25">
      <c r="A1337" s="5">
        <v>48969</v>
      </c>
      <c r="B1337" s="6" t="s">
        <v>1390</v>
      </c>
      <c r="C1337" s="7" t="s">
        <v>82</v>
      </c>
      <c r="D1337" s="7" t="s">
        <v>71</v>
      </c>
      <c r="E1337" s="5" t="s">
        <v>39</v>
      </c>
      <c r="F1337" s="8"/>
      <c r="G1337" s="9">
        <f>H1337*(1-15%)*(1-F1337)</f>
        <v>29.664999999999999</v>
      </c>
      <c r="H1337" s="9">
        <v>34.899999999999999</v>
      </c>
      <c r="I1337" s="9">
        <f>H1337-G1337</f>
        <v>5.2349999999999994</v>
      </c>
    </row>
    <row r="1338" ht="14.25">
      <c r="A1338" s="5">
        <v>53338</v>
      </c>
      <c r="B1338" s="6" t="s">
        <v>1391</v>
      </c>
      <c r="C1338" s="7" t="s">
        <v>271</v>
      </c>
      <c r="D1338" s="7" t="s">
        <v>110</v>
      </c>
      <c r="E1338" s="5" t="s">
        <v>68</v>
      </c>
      <c r="F1338" s="8"/>
      <c r="G1338" s="9">
        <f>H1338*(1-15%)*(1-F1338)</f>
        <v>29.664999999999999</v>
      </c>
      <c r="H1338" s="9">
        <v>34.899999999999999</v>
      </c>
      <c r="I1338" s="9">
        <f>H1338-G1338</f>
        <v>5.2349999999999994</v>
      </c>
    </row>
    <row r="1339" ht="14.25">
      <c r="A1339" s="5">
        <v>48995</v>
      </c>
      <c r="B1339" s="6" t="s">
        <v>1392</v>
      </c>
      <c r="C1339" s="7" t="s">
        <v>75</v>
      </c>
      <c r="D1339" s="7" t="s">
        <v>95</v>
      </c>
      <c r="E1339" s="5" t="s">
        <v>26</v>
      </c>
      <c r="F1339" s="8"/>
      <c r="G1339" s="9">
        <f>H1339*(1-15%)*(1-F1339)</f>
        <v>46.664999999999999</v>
      </c>
      <c r="H1339" s="9">
        <v>54.899999999999999</v>
      </c>
      <c r="I1339" s="9">
        <f>H1339-G1339</f>
        <v>8.2349999999999994</v>
      </c>
    </row>
    <row r="1340" ht="14.25">
      <c r="A1340" s="5">
        <v>48199</v>
      </c>
      <c r="B1340" s="6" t="s">
        <v>1393</v>
      </c>
      <c r="C1340" s="7" t="s">
        <v>10</v>
      </c>
      <c r="D1340" s="7" t="s">
        <v>174</v>
      </c>
      <c r="E1340" s="5" t="s">
        <v>133</v>
      </c>
      <c r="F1340" s="8"/>
      <c r="G1340" s="9">
        <f>H1340*(1-15%)*(1-F1340)</f>
        <v>63.665000000000006</v>
      </c>
      <c r="H1340" s="9">
        <v>74.900000000000006</v>
      </c>
      <c r="I1340" s="9">
        <f>H1340-G1340</f>
        <v>11.234999999999999</v>
      </c>
    </row>
    <row r="1341" ht="14.25">
      <c r="A1341" s="5">
        <v>52148</v>
      </c>
      <c r="B1341" s="6" t="s">
        <v>1394</v>
      </c>
      <c r="C1341" s="7" t="s">
        <v>271</v>
      </c>
      <c r="D1341" s="7" t="s">
        <v>110</v>
      </c>
      <c r="E1341" s="5" t="s">
        <v>43</v>
      </c>
      <c r="F1341" s="8"/>
      <c r="G1341" s="9">
        <f>H1341*(1-15%)*(1-F1341)</f>
        <v>29.664999999999999</v>
      </c>
      <c r="H1341" s="9">
        <v>34.899999999999999</v>
      </c>
      <c r="I1341" s="9">
        <f>H1341-G1341</f>
        <v>5.2349999999999994</v>
      </c>
    </row>
    <row r="1342" ht="14.25">
      <c r="A1342" s="5">
        <v>48678</v>
      </c>
      <c r="B1342" s="6" t="s">
        <v>1395</v>
      </c>
      <c r="C1342" s="7" t="s">
        <v>75</v>
      </c>
      <c r="D1342" s="7" t="s">
        <v>11</v>
      </c>
      <c r="E1342" s="5" t="s">
        <v>15</v>
      </c>
      <c r="F1342" s="8"/>
      <c r="G1342" s="9">
        <f>H1342*(1-15%)*(1-F1342)</f>
        <v>84.915000000000006</v>
      </c>
      <c r="H1342" s="9">
        <v>99.900000000000006</v>
      </c>
      <c r="I1342" s="9">
        <f>H1342-G1342</f>
        <v>14.984999999999999</v>
      </c>
    </row>
    <row r="1343" ht="14.25">
      <c r="A1343" s="5">
        <v>48375</v>
      </c>
      <c r="B1343" s="6" t="s">
        <v>1396</v>
      </c>
      <c r="C1343" s="7" t="s">
        <v>33</v>
      </c>
      <c r="D1343" s="7" t="s">
        <v>45</v>
      </c>
      <c r="E1343" s="5" t="s">
        <v>68</v>
      </c>
      <c r="F1343" s="8"/>
      <c r="G1343" s="9">
        <f>H1343*(1-15%)*(1-F1343)</f>
        <v>123.16500000000001</v>
      </c>
      <c r="H1343" s="9">
        <v>144.90000000000001</v>
      </c>
      <c r="I1343" s="9">
        <f>H1343-G1343</f>
        <v>21.734999999999999</v>
      </c>
    </row>
    <row r="1344" ht="14.25">
      <c r="A1344" s="5">
        <v>48573</v>
      </c>
      <c r="B1344" s="6" t="s">
        <v>1397</v>
      </c>
      <c r="C1344" s="7" t="s">
        <v>14</v>
      </c>
      <c r="D1344" s="7" t="s">
        <v>11</v>
      </c>
      <c r="E1344" s="5" t="s">
        <v>15</v>
      </c>
      <c r="F1344" s="8"/>
      <c r="G1344" s="9">
        <f>H1344*(1-15%)*(1-F1344)</f>
        <v>135.91499999999999</v>
      </c>
      <c r="H1344" s="9">
        <v>159.90000000000001</v>
      </c>
      <c r="I1344" s="9">
        <f>H1344-G1344</f>
        <v>23.985000000000014</v>
      </c>
    </row>
    <row r="1345" ht="14.25">
      <c r="A1345" s="5">
        <v>77685</v>
      </c>
      <c r="B1345" s="6" t="s">
        <v>1398</v>
      </c>
      <c r="C1345" s="7" t="s">
        <v>70</v>
      </c>
      <c r="D1345" s="7" t="s">
        <v>45</v>
      </c>
      <c r="E1345" s="5" t="s">
        <v>26</v>
      </c>
      <c r="F1345" s="8"/>
      <c r="G1345" s="9">
        <f>H1345*(1-15%)*(1-F1345)</f>
        <v>123.16500000000001</v>
      </c>
      <c r="H1345" s="9">
        <v>144.90000000000001</v>
      </c>
      <c r="I1345" s="9">
        <f>H1345-G1345</f>
        <v>21.734999999999999</v>
      </c>
    </row>
    <row r="1346" ht="14.25">
      <c r="A1346" s="5">
        <v>48359</v>
      </c>
      <c r="B1346" s="6" t="s">
        <v>1399</v>
      </c>
      <c r="C1346" s="7" t="s">
        <v>624</v>
      </c>
      <c r="D1346" s="7" t="s">
        <v>11</v>
      </c>
      <c r="E1346" s="5" t="s">
        <v>68</v>
      </c>
      <c r="F1346" s="8"/>
      <c r="G1346" s="9">
        <f>H1346*(1-15%)*(1-F1346)</f>
        <v>182.66499999999999</v>
      </c>
      <c r="H1346" s="9">
        <v>214.90000000000001</v>
      </c>
      <c r="I1346" s="9">
        <f>H1346-G1346</f>
        <v>32.235000000000014</v>
      </c>
    </row>
    <row r="1347" ht="14.25">
      <c r="A1347" s="5">
        <v>52146</v>
      </c>
      <c r="B1347" s="6" t="s">
        <v>1400</v>
      </c>
      <c r="C1347" s="7" t="s">
        <v>271</v>
      </c>
      <c r="D1347" s="7" t="s">
        <v>110</v>
      </c>
      <c r="E1347" s="5" t="s">
        <v>68</v>
      </c>
      <c r="F1347" s="8"/>
      <c r="G1347" s="9">
        <f>H1347*(1-15%)*(1-F1347)</f>
        <v>29.664999999999999</v>
      </c>
      <c r="H1347" s="9">
        <v>34.899999999999999</v>
      </c>
      <c r="I1347" s="9">
        <f>H1347-G1347</f>
        <v>5.2349999999999994</v>
      </c>
    </row>
    <row r="1348" ht="14.25">
      <c r="A1348" s="5">
        <v>52949</v>
      </c>
      <c r="B1348" s="6" t="s">
        <v>1401</v>
      </c>
      <c r="C1348" s="7" t="s">
        <v>87</v>
      </c>
      <c r="D1348" s="7" t="s">
        <v>61</v>
      </c>
      <c r="E1348" s="5" t="s">
        <v>39</v>
      </c>
      <c r="F1348" s="8"/>
      <c r="G1348" s="9">
        <f>H1348*(1-15%)*(1-F1348)</f>
        <v>106.16500000000001</v>
      </c>
      <c r="H1348" s="9">
        <v>124.90000000000001</v>
      </c>
      <c r="I1348" s="9">
        <f>H1348-G1348</f>
        <v>18.734999999999999</v>
      </c>
    </row>
    <row r="1349" ht="14.25">
      <c r="A1349" s="5">
        <v>48701</v>
      </c>
      <c r="B1349" s="6" t="s">
        <v>1402</v>
      </c>
      <c r="C1349" s="7" t="s">
        <v>14</v>
      </c>
      <c r="D1349" s="7" t="s">
        <v>11</v>
      </c>
      <c r="E1349" s="5" t="s">
        <v>15</v>
      </c>
      <c r="F1349" s="8"/>
      <c r="G1349" s="9">
        <f>H1349*(1-15%)*(1-F1349)</f>
        <v>135.91499999999999</v>
      </c>
      <c r="H1349" s="9">
        <v>159.90000000000001</v>
      </c>
      <c r="I1349" s="9">
        <f>H1349-G1349</f>
        <v>23.985000000000014</v>
      </c>
    </row>
    <row r="1350" ht="14.25">
      <c r="A1350" s="5">
        <v>52153</v>
      </c>
      <c r="B1350" s="6" t="s">
        <v>1403</v>
      </c>
      <c r="C1350" s="7" t="s">
        <v>271</v>
      </c>
      <c r="D1350" s="7" t="s">
        <v>110</v>
      </c>
      <c r="E1350" s="5" t="s">
        <v>39</v>
      </c>
      <c r="F1350" s="8"/>
      <c r="G1350" s="9">
        <f>H1350*(1-15%)*(1-F1350)</f>
        <v>29.664999999999999</v>
      </c>
      <c r="H1350" s="9">
        <v>34.899999999999999</v>
      </c>
      <c r="I1350" s="9">
        <f>H1350-G1350</f>
        <v>5.2349999999999994</v>
      </c>
    </row>
    <row r="1351" ht="14.25">
      <c r="A1351" s="5">
        <v>48700</v>
      </c>
      <c r="B1351" s="6" t="s">
        <v>1404</v>
      </c>
      <c r="C1351" s="7" t="s">
        <v>14</v>
      </c>
      <c r="D1351" s="7" t="s">
        <v>11</v>
      </c>
      <c r="E1351" s="5" t="s">
        <v>15</v>
      </c>
      <c r="F1351" s="8"/>
      <c r="G1351" s="9">
        <f>H1351*(1-15%)*(1-F1351)</f>
        <v>135.91499999999999</v>
      </c>
      <c r="H1351" s="9">
        <v>159.90000000000001</v>
      </c>
      <c r="I1351" s="9">
        <f>H1351-G1351</f>
        <v>23.985000000000014</v>
      </c>
    </row>
    <row r="1352" ht="14.25">
      <c r="A1352" s="5">
        <v>48997</v>
      </c>
      <c r="B1352" s="6" t="s">
        <v>1405</v>
      </c>
      <c r="C1352" s="7" t="s">
        <v>75</v>
      </c>
      <c r="D1352" s="7" t="s">
        <v>583</v>
      </c>
      <c r="E1352" s="5" t="s">
        <v>26</v>
      </c>
      <c r="F1352" s="8"/>
      <c r="G1352" s="9">
        <f>H1352*(1-15%)*(1-F1352)</f>
        <v>80.665000000000006</v>
      </c>
      <c r="H1352" s="9">
        <v>94.900000000000006</v>
      </c>
      <c r="I1352" s="9">
        <f>H1352-G1352</f>
        <v>14.234999999999999</v>
      </c>
    </row>
    <row r="1353" ht="14.25">
      <c r="A1353" s="5">
        <v>48960</v>
      </c>
      <c r="B1353" s="6" t="s">
        <v>1406</v>
      </c>
      <c r="C1353" s="7" t="s">
        <v>82</v>
      </c>
      <c r="D1353" s="7" t="s">
        <v>71</v>
      </c>
      <c r="E1353" s="5" t="s">
        <v>15</v>
      </c>
      <c r="F1353" s="8"/>
      <c r="G1353" s="9">
        <f>H1353*(1-15%)*(1-F1353)</f>
        <v>29.664999999999999</v>
      </c>
      <c r="H1353" s="9">
        <v>34.899999999999999</v>
      </c>
      <c r="I1353" s="9">
        <f>H1353-G1353</f>
        <v>5.2349999999999994</v>
      </c>
    </row>
    <row r="1354" ht="14.25">
      <c r="A1354" s="5">
        <v>48962</v>
      </c>
      <c r="B1354" s="6" t="s">
        <v>1407</v>
      </c>
      <c r="C1354" s="7" t="s">
        <v>82</v>
      </c>
      <c r="D1354" s="7" t="s">
        <v>95</v>
      </c>
      <c r="E1354" s="5" t="s">
        <v>26</v>
      </c>
      <c r="F1354" s="8"/>
      <c r="G1354" s="9">
        <f>H1354*(1-15%)*(1-F1354)</f>
        <v>29.664999999999999</v>
      </c>
      <c r="H1354" s="9">
        <v>34.899999999999999</v>
      </c>
      <c r="I1354" s="9">
        <f>H1354-G1354</f>
        <v>5.2349999999999994</v>
      </c>
    </row>
    <row r="1355" ht="14.25">
      <c r="A1355" s="5">
        <v>52934</v>
      </c>
      <c r="B1355" s="6" t="s">
        <v>1408</v>
      </c>
      <c r="C1355" s="7" t="s">
        <v>271</v>
      </c>
      <c r="D1355" s="7" t="s">
        <v>110</v>
      </c>
      <c r="E1355" s="5" t="s">
        <v>68</v>
      </c>
      <c r="F1355" s="8"/>
      <c r="G1355" s="9">
        <f>H1355*(1-15%)*(1-F1355)</f>
        <v>29.664999999999999</v>
      </c>
      <c r="H1355" s="9">
        <v>34.899999999999999</v>
      </c>
      <c r="I1355" s="9">
        <f>H1355-G1355</f>
        <v>5.2349999999999994</v>
      </c>
    </row>
    <row r="1356" ht="14.25">
      <c r="A1356" s="5">
        <v>48058</v>
      </c>
      <c r="B1356" s="6" t="s">
        <v>1409</v>
      </c>
      <c r="C1356" s="7" t="s">
        <v>70</v>
      </c>
      <c r="D1356" s="7" t="s">
        <v>45</v>
      </c>
      <c r="E1356" s="5" t="s">
        <v>26</v>
      </c>
      <c r="F1356" s="8"/>
      <c r="G1356" s="9">
        <f>H1356*(1-15%)*(1-F1356)</f>
        <v>123.16500000000001</v>
      </c>
      <c r="H1356" s="9">
        <v>144.90000000000001</v>
      </c>
      <c r="I1356" s="9">
        <f>H1356-G1356</f>
        <v>21.734999999999999</v>
      </c>
    </row>
    <row r="1357" ht="14.25">
      <c r="A1357" s="5">
        <v>52197</v>
      </c>
      <c r="B1357" s="6" t="s">
        <v>1410</v>
      </c>
      <c r="C1357" s="7" t="s">
        <v>271</v>
      </c>
      <c r="D1357" s="7" t="s">
        <v>110</v>
      </c>
      <c r="E1357" s="5" t="s">
        <v>68</v>
      </c>
      <c r="F1357" s="8"/>
      <c r="G1357" s="9">
        <f>H1357*(1-15%)*(1-F1357)</f>
        <v>32.214999999999996</v>
      </c>
      <c r="H1357" s="9">
        <v>37.899999999999999</v>
      </c>
      <c r="I1357" s="9">
        <f>H1357-G1357</f>
        <v>5.6850000000000023</v>
      </c>
    </row>
    <row r="1358" ht="14.25">
      <c r="A1358" s="5">
        <v>53340</v>
      </c>
      <c r="B1358" s="6" t="s">
        <v>1411</v>
      </c>
      <c r="C1358" s="7" t="s">
        <v>271</v>
      </c>
      <c r="D1358" s="7" t="s">
        <v>110</v>
      </c>
      <c r="E1358" s="5" t="s">
        <v>43</v>
      </c>
      <c r="F1358" s="8"/>
      <c r="G1358" s="9">
        <f>H1358*(1-15%)*(1-F1358)</f>
        <v>29.664999999999999</v>
      </c>
      <c r="H1358" s="9">
        <v>34.899999999999999</v>
      </c>
      <c r="I1358" s="9">
        <f>H1358-G1358</f>
        <v>5.2349999999999994</v>
      </c>
    </row>
    <row r="1359" ht="14.25">
      <c r="A1359" s="5">
        <v>48613</v>
      </c>
      <c r="B1359" s="6" t="s">
        <v>1412</v>
      </c>
      <c r="C1359" s="7" t="s">
        <v>82</v>
      </c>
      <c r="D1359" s="7" t="s">
        <v>45</v>
      </c>
      <c r="E1359" s="5" t="s">
        <v>15</v>
      </c>
      <c r="F1359" s="8"/>
      <c r="G1359" s="9">
        <f>H1359*(1-15%)*(1-F1359)</f>
        <v>46.664999999999999</v>
      </c>
      <c r="H1359" s="9">
        <v>54.899999999999999</v>
      </c>
      <c r="I1359" s="9">
        <f>H1359-G1359</f>
        <v>8.2349999999999994</v>
      </c>
    </row>
    <row r="1360" ht="14.25">
      <c r="A1360" s="5">
        <v>48663</v>
      </c>
      <c r="B1360" s="6" t="s">
        <v>1413</v>
      </c>
      <c r="C1360" s="7" t="s">
        <v>38</v>
      </c>
      <c r="D1360" s="7" t="s">
        <v>11</v>
      </c>
      <c r="E1360" s="5" t="s">
        <v>39</v>
      </c>
      <c r="F1360" s="8"/>
      <c r="G1360" s="9">
        <f>H1360*(1-15%)*(1-F1360)</f>
        <v>148.66499999999999</v>
      </c>
      <c r="H1360" s="9">
        <v>174.90000000000001</v>
      </c>
      <c r="I1360" s="9">
        <f>H1360-G1360</f>
        <v>26.235000000000014</v>
      </c>
    </row>
    <row r="1361" ht="14.25">
      <c r="A1361" s="5">
        <v>51525</v>
      </c>
      <c r="B1361" s="6" t="s">
        <v>1414</v>
      </c>
      <c r="C1361" s="7" t="s">
        <v>82</v>
      </c>
      <c r="D1361" s="7" t="s">
        <v>71</v>
      </c>
      <c r="E1361" s="5" t="s">
        <v>26</v>
      </c>
      <c r="F1361" s="8"/>
      <c r="G1361" s="9">
        <f>H1361*(1-15%)*(1-F1361)</f>
        <v>25.414999999999999</v>
      </c>
      <c r="H1361" s="9">
        <v>29.899999999999999</v>
      </c>
      <c r="I1361" s="9">
        <f>H1361-G1361</f>
        <v>4.4849999999999994</v>
      </c>
    </row>
    <row r="1362" ht="14.25">
      <c r="A1362" s="5">
        <v>84213</v>
      </c>
      <c r="B1362" s="6" t="s">
        <v>1415</v>
      </c>
      <c r="C1362" s="7" t="s">
        <v>14</v>
      </c>
      <c r="D1362" s="7" t="s">
        <v>11</v>
      </c>
      <c r="E1362" s="5" t="s">
        <v>12</v>
      </c>
      <c r="F1362" s="8"/>
      <c r="G1362" s="9">
        <f>H1362*(1-15%)*(1-F1362)</f>
        <v>135.91499999999999</v>
      </c>
      <c r="H1362" s="9">
        <v>159.90000000000001</v>
      </c>
      <c r="I1362" s="9">
        <f>H1362-G1362</f>
        <v>23.985000000000014</v>
      </c>
    </row>
    <row r="1363" ht="14.25">
      <c r="A1363" s="5">
        <v>48200</v>
      </c>
      <c r="B1363" s="6" t="s">
        <v>1416</v>
      </c>
      <c r="C1363" s="7" t="s">
        <v>10</v>
      </c>
      <c r="D1363" s="7" t="s">
        <v>174</v>
      </c>
      <c r="E1363" s="5" t="s">
        <v>133</v>
      </c>
      <c r="F1363" s="8"/>
      <c r="G1363" s="9">
        <f>H1363*(1-15%)*(1-F1363)</f>
        <v>66.215000000000003</v>
      </c>
      <c r="H1363" s="9">
        <v>77.900000000000006</v>
      </c>
      <c r="I1363" s="9">
        <f>H1363-G1363</f>
        <v>11.685000000000002</v>
      </c>
    </row>
    <row r="1364" ht="14.25">
      <c r="A1364" s="5">
        <v>53341</v>
      </c>
      <c r="B1364" s="6" t="s">
        <v>1417</v>
      </c>
      <c r="C1364" s="7" t="s">
        <v>271</v>
      </c>
      <c r="D1364" s="7" t="s">
        <v>110</v>
      </c>
      <c r="E1364" s="5" t="s">
        <v>43</v>
      </c>
      <c r="F1364" s="8"/>
      <c r="G1364" s="9">
        <f>H1364*(1-15%)*(1-F1364)</f>
        <v>29.664999999999999</v>
      </c>
      <c r="H1364" s="9">
        <v>34.899999999999999</v>
      </c>
      <c r="I1364" s="9">
        <f>H1364-G1364</f>
        <v>5.2349999999999994</v>
      </c>
    </row>
    <row r="1365" ht="14.25">
      <c r="A1365" s="5">
        <v>49035</v>
      </c>
      <c r="B1365" s="6" t="s">
        <v>1418</v>
      </c>
      <c r="C1365" s="7" t="s">
        <v>65</v>
      </c>
      <c r="D1365" s="7" t="s">
        <v>219</v>
      </c>
      <c r="E1365" s="5" t="s">
        <v>26</v>
      </c>
      <c r="F1365" s="8"/>
      <c r="G1365" s="9">
        <f>H1365*(1-15%)*(1-F1365)</f>
        <v>27.964999999999996</v>
      </c>
      <c r="H1365" s="9">
        <v>32.899999999999999</v>
      </c>
      <c r="I1365" s="9">
        <f>H1365-G1365</f>
        <v>4.9350000000000023</v>
      </c>
    </row>
    <row r="1366" ht="14.25">
      <c r="A1366" s="5">
        <v>49954</v>
      </c>
      <c r="B1366" s="6" t="s">
        <v>1419</v>
      </c>
      <c r="C1366" s="7" t="s">
        <v>75</v>
      </c>
      <c r="D1366" s="7" t="s">
        <v>45</v>
      </c>
      <c r="E1366" s="5" t="s">
        <v>39</v>
      </c>
      <c r="F1366" s="8"/>
      <c r="G1366" s="9">
        <f>H1366*(1-15%)*(1-F1366)</f>
        <v>73.865000000000009</v>
      </c>
      <c r="H1366" s="9">
        <v>86.900000000000006</v>
      </c>
      <c r="I1366" s="9">
        <f>H1366-G1366</f>
        <v>13.034999999999997</v>
      </c>
    </row>
    <row r="1367" ht="14.25">
      <c r="A1367" s="5">
        <v>48270</v>
      </c>
      <c r="B1367" s="6" t="s">
        <v>1420</v>
      </c>
      <c r="C1367" s="7" t="s">
        <v>271</v>
      </c>
      <c r="D1367" s="7" t="s">
        <v>110</v>
      </c>
      <c r="E1367" s="5" t="s">
        <v>39</v>
      </c>
      <c r="F1367" s="8"/>
      <c r="G1367" s="9">
        <f>H1367*(1-15%)*(1-F1367)</f>
        <v>53.464999999999996</v>
      </c>
      <c r="H1367" s="9">
        <v>62.899999999999999</v>
      </c>
      <c r="I1367" s="9">
        <f>H1367-G1367</f>
        <v>9.4350000000000023</v>
      </c>
    </row>
    <row r="1368" ht="14.25">
      <c r="A1368" s="5">
        <v>49812</v>
      </c>
      <c r="B1368" s="6" t="s">
        <v>1421</v>
      </c>
      <c r="C1368" s="7" t="s">
        <v>14</v>
      </c>
      <c r="D1368" s="7" t="s">
        <v>11</v>
      </c>
      <c r="E1368" s="5" t="s">
        <v>12</v>
      </c>
      <c r="F1368" s="8"/>
      <c r="G1368" s="9">
        <f>H1368*(1-15%)*(1-F1368)</f>
        <v>135.91499999999999</v>
      </c>
      <c r="H1368" s="9">
        <v>159.90000000000001</v>
      </c>
      <c r="I1368" s="9">
        <f>H1368-G1368</f>
        <v>23.985000000000014</v>
      </c>
    </row>
    <row r="1369" ht="14.25">
      <c r="A1369" s="5">
        <v>48610</v>
      </c>
      <c r="B1369" s="6" t="s">
        <v>1422</v>
      </c>
      <c r="C1369" s="7" t="s">
        <v>82</v>
      </c>
      <c r="D1369" s="7" t="s">
        <v>45</v>
      </c>
      <c r="E1369" s="5" t="s">
        <v>15</v>
      </c>
      <c r="F1369" s="8"/>
      <c r="G1369" s="9">
        <f>H1369*(1-15%)*(1-F1369)</f>
        <v>63.665000000000006</v>
      </c>
      <c r="H1369" s="9">
        <v>74.900000000000006</v>
      </c>
      <c r="I1369" s="9">
        <f>H1369-G1369</f>
        <v>11.234999999999999</v>
      </c>
    </row>
    <row r="1370" ht="14.25">
      <c r="A1370" s="5">
        <v>48017</v>
      </c>
      <c r="B1370" s="6" t="s">
        <v>1423</v>
      </c>
      <c r="C1370" s="7" t="s">
        <v>75</v>
      </c>
      <c r="D1370" s="7" t="s">
        <v>45</v>
      </c>
      <c r="E1370" s="5" t="s">
        <v>15</v>
      </c>
      <c r="F1370" s="8"/>
      <c r="G1370" s="9">
        <f>H1370*(1-15%)*(1-F1370)</f>
        <v>73.865000000000009</v>
      </c>
      <c r="H1370" s="9">
        <v>86.900000000000006</v>
      </c>
      <c r="I1370" s="9">
        <f>H1370-G1370</f>
        <v>13.034999999999997</v>
      </c>
    </row>
    <row r="1371" ht="14.25">
      <c r="A1371" s="5">
        <v>48142</v>
      </c>
      <c r="B1371" s="6" t="s">
        <v>1424</v>
      </c>
      <c r="C1371" s="7" t="s">
        <v>17</v>
      </c>
      <c r="D1371" s="7" t="s">
        <v>11</v>
      </c>
      <c r="E1371" s="5" t="s">
        <v>26</v>
      </c>
      <c r="F1371" s="8"/>
      <c r="G1371" s="9">
        <f>H1371*(1-15%)*(1-F1371)</f>
        <v>140.16499999999999</v>
      </c>
      <c r="H1371" s="9">
        <v>164.90000000000001</v>
      </c>
      <c r="I1371" s="9">
        <f>H1371-G1371</f>
        <v>24.735000000000014</v>
      </c>
    </row>
    <row r="1372" ht="14.25">
      <c r="A1372" s="5">
        <v>48292</v>
      </c>
      <c r="B1372" s="6" t="s">
        <v>1425</v>
      </c>
      <c r="C1372" s="7" t="s">
        <v>75</v>
      </c>
      <c r="D1372" s="7" t="s">
        <v>45</v>
      </c>
      <c r="E1372" s="5" t="s">
        <v>15</v>
      </c>
      <c r="F1372" s="8"/>
      <c r="G1372" s="9">
        <f>H1372*(1-15%)*(1-F1372)</f>
        <v>49.214999999999996</v>
      </c>
      <c r="H1372" s="9">
        <v>57.899999999999999</v>
      </c>
      <c r="I1372" s="9">
        <f>H1372-G1372</f>
        <v>8.6850000000000023</v>
      </c>
    </row>
    <row r="1373" ht="14.25">
      <c r="A1373" s="5">
        <v>48669</v>
      </c>
      <c r="B1373" s="6" t="s">
        <v>1426</v>
      </c>
      <c r="C1373" s="7" t="s">
        <v>38</v>
      </c>
      <c r="D1373" s="7" t="s">
        <v>11</v>
      </c>
      <c r="E1373" s="5" t="s">
        <v>39</v>
      </c>
      <c r="F1373" s="8"/>
      <c r="G1373" s="9">
        <f>H1373*(1-15%)*(1-F1373)</f>
        <v>148.66499999999999</v>
      </c>
      <c r="H1373" s="9">
        <v>174.90000000000001</v>
      </c>
      <c r="I1373" s="9">
        <f>H1373-G1373</f>
        <v>26.235000000000014</v>
      </c>
    </row>
    <row r="1374" ht="14.25">
      <c r="A1374" s="5">
        <v>48998</v>
      </c>
      <c r="B1374" s="6" t="s">
        <v>1427</v>
      </c>
      <c r="C1374" s="7" t="s">
        <v>75</v>
      </c>
      <c r="D1374" s="7" t="s">
        <v>583</v>
      </c>
      <c r="E1374" s="5" t="s">
        <v>15</v>
      </c>
      <c r="F1374" s="8"/>
      <c r="G1374" s="9">
        <f>H1374*(1-15%)*(1-F1374)</f>
        <v>80.665000000000006</v>
      </c>
      <c r="H1374" s="9">
        <v>94.900000000000006</v>
      </c>
      <c r="I1374" s="9">
        <f>H1374-G1374</f>
        <v>14.234999999999999</v>
      </c>
    </row>
    <row r="1375" ht="14.25">
      <c r="A1375" s="5">
        <v>49000</v>
      </c>
      <c r="B1375" s="6" t="s">
        <v>1428</v>
      </c>
      <c r="C1375" s="7" t="s">
        <v>75</v>
      </c>
      <c r="D1375" s="7" t="s">
        <v>583</v>
      </c>
      <c r="E1375" s="5" t="s">
        <v>15</v>
      </c>
      <c r="F1375" s="8"/>
      <c r="G1375" s="9">
        <f>H1375*(1-15%)*(1-F1375)</f>
        <v>80.665000000000006</v>
      </c>
      <c r="H1375" s="9">
        <v>94.900000000000006</v>
      </c>
      <c r="I1375" s="9">
        <f>H1375-G1375</f>
        <v>14.234999999999999</v>
      </c>
    </row>
    <row r="1376" ht="14.25">
      <c r="A1376" s="5">
        <v>50820</v>
      </c>
      <c r="B1376" s="6" t="s">
        <v>1429</v>
      </c>
      <c r="C1376" s="7" t="s">
        <v>36</v>
      </c>
      <c r="D1376" s="7" t="s">
        <v>11</v>
      </c>
      <c r="E1376" s="5" t="s">
        <v>68</v>
      </c>
      <c r="F1376" s="8"/>
      <c r="G1376" s="9">
        <f>H1376*(1-15%)*(1-F1376)</f>
        <v>148.66499999999999</v>
      </c>
      <c r="H1376" s="9">
        <v>174.90000000000001</v>
      </c>
      <c r="I1376" s="9">
        <f>H1376-G1376</f>
        <v>26.235000000000014</v>
      </c>
    </row>
    <row r="1377" ht="14.25">
      <c r="A1377" s="5">
        <v>53927</v>
      </c>
      <c r="B1377" s="6" t="s">
        <v>1430</v>
      </c>
      <c r="C1377" s="7" t="s">
        <v>10</v>
      </c>
      <c r="D1377" s="7" t="s">
        <v>71</v>
      </c>
      <c r="E1377" s="5" t="s">
        <v>43</v>
      </c>
      <c r="F1377" s="8"/>
      <c r="G1377" s="9">
        <f>H1377*(1-15%)*(1-F1377)</f>
        <v>33.914999999999999</v>
      </c>
      <c r="H1377" s="9">
        <v>39.899999999999999</v>
      </c>
      <c r="I1377" s="9">
        <f>H1377-G1377</f>
        <v>5.9849999999999994</v>
      </c>
    </row>
    <row r="1378" ht="14.25">
      <c r="A1378" s="5">
        <v>53929</v>
      </c>
      <c r="B1378" s="6" t="s">
        <v>1431</v>
      </c>
      <c r="C1378" s="7" t="s">
        <v>10</v>
      </c>
      <c r="D1378" s="7" t="s">
        <v>71</v>
      </c>
      <c r="E1378" s="5" t="s">
        <v>43</v>
      </c>
      <c r="F1378" s="8"/>
      <c r="G1378" s="9">
        <f>H1378*(1-15%)*(1-F1378)</f>
        <v>33.914999999999999</v>
      </c>
      <c r="H1378" s="9">
        <v>39.899999999999999</v>
      </c>
      <c r="I1378" s="9">
        <f>H1378-G1378</f>
        <v>5.9849999999999994</v>
      </c>
    </row>
    <row r="1379" ht="14.25">
      <c r="A1379" s="5">
        <v>57219</v>
      </c>
      <c r="B1379" s="6" t="s">
        <v>1432</v>
      </c>
      <c r="C1379" s="7" t="s">
        <v>75</v>
      </c>
      <c r="D1379" s="7" t="s">
        <v>103</v>
      </c>
      <c r="E1379" s="5" t="s">
        <v>15</v>
      </c>
      <c r="F1379" s="8"/>
      <c r="G1379" s="9">
        <f>H1379*(1-15%)*(1-F1379)</f>
        <v>46.664999999999999</v>
      </c>
      <c r="H1379" s="9">
        <v>54.899999999999999</v>
      </c>
      <c r="I1379" s="9">
        <f>H1379-G1379</f>
        <v>8.2349999999999994</v>
      </c>
    </row>
    <row r="1380" ht="14.25">
      <c r="A1380" s="5">
        <v>84214</v>
      </c>
      <c r="B1380" s="6" t="s">
        <v>1433</v>
      </c>
      <c r="C1380" s="7" t="s">
        <v>14</v>
      </c>
      <c r="D1380" s="7" t="s">
        <v>11</v>
      </c>
      <c r="E1380" s="5" t="s">
        <v>133</v>
      </c>
      <c r="F1380" s="8"/>
      <c r="G1380" s="9">
        <f>H1380*(1-15%)*(1-F1380)</f>
        <v>135.91499999999999</v>
      </c>
      <c r="H1380" s="9">
        <v>159.90000000000001</v>
      </c>
      <c r="I1380" s="9">
        <f>H1380-G1380</f>
        <v>23.985000000000014</v>
      </c>
    </row>
    <row r="1381" ht="14.25">
      <c r="A1381" s="5">
        <v>54041</v>
      </c>
      <c r="B1381" s="6" t="s">
        <v>1434</v>
      </c>
      <c r="C1381" s="7" t="s">
        <v>82</v>
      </c>
      <c r="D1381" s="7" t="s">
        <v>61</v>
      </c>
      <c r="E1381" s="5" t="s">
        <v>15</v>
      </c>
      <c r="F1381" s="8"/>
      <c r="G1381" s="9">
        <f>H1381*(1-15%)*(1-F1381)</f>
        <v>110.41500000000001</v>
      </c>
      <c r="H1381" s="9">
        <v>129.90000000000001</v>
      </c>
      <c r="I1381" s="9">
        <f>H1381-G1381</f>
        <v>19.484999999999999</v>
      </c>
    </row>
    <row r="1382" ht="14.25">
      <c r="A1382" s="5">
        <v>54045</v>
      </c>
      <c r="B1382" s="6" t="s">
        <v>1435</v>
      </c>
      <c r="C1382" s="7" t="s">
        <v>17</v>
      </c>
      <c r="D1382" s="7" t="s">
        <v>61</v>
      </c>
      <c r="E1382" s="5" t="s">
        <v>15</v>
      </c>
      <c r="F1382" s="8"/>
      <c r="G1382" s="9">
        <f>H1382*(1-15%)*(1-F1382)</f>
        <v>93.415000000000006</v>
      </c>
      <c r="H1382" s="9">
        <v>109.90000000000001</v>
      </c>
      <c r="I1382" s="9">
        <f>H1382-G1382</f>
        <v>16.484999999999999</v>
      </c>
    </row>
    <row r="1383" ht="14.25">
      <c r="A1383" s="5">
        <v>54037</v>
      </c>
      <c r="B1383" s="6" t="s">
        <v>1436</v>
      </c>
      <c r="C1383" s="7" t="s">
        <v>75</v>
      </c>
      <c r="D1383" s="7" t="s">
        <v>61</v>
      </c>
      <c r="E1383" s="5" t="s">
        <v>15</v>
      </c>
      <c r="F1383" s="8"/>
      <c r="G1383" s="9">
        <f>H1383*(1-15%)*(1-F1383)</f>
        <v>120.61499999999999</v>
      </c>
      <c r="H1383" s="9">
        <v>141.90000000000001</v>
      </c>
      <c r="I1383" s="9">
        <f>H1383-G1383</f>
        <v>21.285000000000011</v>
      </c>
    </row>
    <row r="1384" ht="14.25">
      <c r="A1384" s="5">
        <v>54038</v>
      </c>
      <c r="B1384" s="6" t="s">
        <v>1437</v>
      </c>
      <c r="C1384" s="7" t="s">
        <v>853</v>
      </c>
      <c r="D1384" s="7" t="s">
        <v>61</v>
      </c>
      <c r="E1384" s="5" t="s">
        <v>15</v>
      </c>
      <c r="F1384" s="8"/>
      <c r="G1384" s="9">
        <f>H1384*(1-15%)*(1-F1384)</f>
        <v>127.41500000000001</v>
      </c>
      <c r="H1384" s="9">
        <v>149.90000000000001</v>
      </c>
      <c r="I1384" s="9">
        <f>H1384-G1384</f>
        <v>22.484999999999999</v>
      </c>
    </row>
    <row r="1385" ht="14.25">
      <c r="A1385" s="5">
        <v>54050</v>
      </c>
      <c r="B1385" s="6" t="s">
        <v>1438</v>
      </c>
      <c r="C1385" s="7" t="s">
        <v>82</v>
      </c>
      <c r="D1385" s="7" t="s">
        <v>61</v>
      </c>
      <c r="E1385" s="5" t="s">
        <v>15</v>
      </c>
      <c r="F1385" s="8"/>
      <c r="G1385" s="9">
        <f>H1385*(1-15%)*(1-F1385)</f>
        <v>42.414999999999999</v>
      </c>
      <c r="H1385" s="9">
        <v>49.899999999999999</v>
      </c>
      <c r="I1385" s="9">
        <f>H1385-G1385</f>
        <v>7.4849999999999994</v>
      </c>
    </row>
    <row r="1386" ht="14.25">
      <c r="A1386" s="5">
        <v>54051</v>
      </c>
      <c r="B1386" s="6" t="s">
        <v>1439</v>
      </c>
      <c r="C1386" s="7" t="s">
        <v>75</v>
      </c>
      <c r="D1386" s="7" t="s">
        <v>61</v>
      </c>
      <c r="E1386" s="5" t="s">
        <v>15</v>
      </c>
      <c r="F1386" s="8"/>
      <c r="G1386" s="9">
        <f>H1386*(1-15%)*(1-F1386)</f>
        <v>42.414999999999999</v>
      </c>
      <c r="H1386" s="9">
        <v>49.899999999999999</v>
      </c>
      <c r="I1386" s="9">
        <f>H1386-G1386</f>
        <v>7.4849999999999994</v>
      </c>
    </row>
    <row r="1387" ht="14.25">
      <c r="A1387" s="5">
        <v>54481</v>
      </c>
      <c r="B1387" s="6" t="s">
        <v>1440</v>
      </c>
      <c r="C1387" s="7" t="s">
        <v>201</v>
      </c>
      <c r="D1387" s="7" t="s">
        <v>183</v>
      </c>
      <c r="E1387" s="5" t="s">
        <v>15</v>
      </c>
      <c r="F1387" s="8"/>
      <c r="G1387" s="9">
        <f>H1387*(1-15%)*(1-F1387)</f>
        <v>27.964999999999996</v>
      </c>
      <c r="H1387" s="9">
        <v>32.899999999999999</v>
      </c>
      <c r="I1387" s="9">
        <f>H1387-G1387</f>
        <v>4.9350000000000023</v>
      </c>
    </row>
    <row r="1388" ht="14.25">
      <c r="A1388" s="5">
        <v>56529</v>
      </c>
      <c r="B1388" s="6" t="s">
        <v>1441</v>
      </c>
      <c r="C1388" s="7" t="s">
        <v>75</v>
      </c>
      <c r="D1388" s="7" t="s">
        <v>103</v>
      </c>
      <c r="E1388" s="5" t="s">
        <v>15</v>
      </c>
      <c r="F1388" s="8"/>
      <c r="G1388" s="9">
        <f>H1388*(1-15%)*(1-F1388)</f>
        <v>13.515000000000001</v>
      </c>
      <c r="H1388" s="9">
        <v>15.9</v>
      </c>
      <c r="I1388" s="9">
        <f>H1388-G1388</f>
        <v>2.3849999999999998</v>
      </c>
    </row>
    <row r="1389" ht="14.25">
      <c r="A1389" s="5">
        <v>54326</v>
      </c>
      <c r="B1389" s="6" t="s">
        <v>1442</v>
      </c>
      <c r="C1389" s="7" t="s">
        <v>25</v>
      </c>
      <c r="D1389" s="7" t="s">
        <v>103</v>
      </c>
      <c r="E1389" s="5" t="s">
        <v>15</v>
      </c>
      <c r="F1389" s="8"/>
      <c r="G1389" s="9">
        <f>H1389*(1-15%)*(1-F1389)</f>
        <v>41.564999999999998</v>
      </c>
      <c r="H1389" s="9">
        <v>48.899999999999999</v>
      </c>
      <c r="I1389" s="9">
        <f>H1389-G1389</f>
        <v>7.3350000000000009</v>
      </c>
    </row>
    <row r="1390" ht="14.25">
      <c r="A1390" s="5">
        <v>53723</v>
      </c>
      <c r="B1390" s="6" t="s">
        <v>1443</v>
      </c>
      <c r="C1390" s="7" t="s">
        <v>201</v>
      </c>
      <c r="D1390" s="7" t="s">
        <v>183</v>
      </c>
      <c r="E1390" s="5" t="s">
        <v>15</v>
      </c>
      <c r="F1390" s="8"/>
      <c r="G1390" s="9">
        <f>H1390*(1-15%)*(1-F1390)</f>
        <v>33.914999999999999</v>
      </c>
      <c r="H1390" s="9">
        <v>39.899999999999999</v>
      </c>
      <c r="I1390" s="9">
        <f>H1390-G1390</f>
        <v>5.9849999999999994</v>
      </c>
    </row>
    <row r="1391" ht="14.25">
      <c r="A1391" s="5">
        <v>51805</v>
      </c>
      <c r="B1391" s="6" t="s">
        <v>1444</v>
      </c>
      <c r="C1391" s="7" t="s">
        <v>226</v>
      </c>
      <c r="D1391" s="7" t="s">
        <v>52</v>
      </c>
      <c r="E1391" s="5" t="s">
        <v>43</v>
      </c>
      <c r="F1391" s="8"/>
      <c r="G1391" s="9">
        <f>H1391*(1-15%)*(1-F1391)</f>
        <v>57.715000000000003</v>
      </c>
      <c r="H1391" s="9">
        <v>67.900000000000006</v>
      </c>
      <c r="I1391" s="9">
        <f>H1391-G1391</f>
        <v>10.185000000000002</v>
      </c>
    </row>
    <row r="1392" ht="14.25">
      <c r="A1392" s="5">
        <v>2653</v>
      </c>
      <c r="B1392" s="6" t="s">
        <v>1445</v>
      </c>
      <c r="C1392" s="7" t="s">
        <v>1446</v>
      </c>
      <c r="D1392" s="7" t="s">
        <v>1447</v>
      </c>
      <c r="E1392" s="5" t="s">
        <v>15</v>
      </c>
      <c r="F1392" s="8"/>
      <c r="G1392" s="9">
        <f>H1392*(1-15%)*(1-F1392)</f>
        <v>9.7324999999999999</v>
      </c>
      <c r="H1392" s="9">
        <v>11.449999999999999</v>
      </c>
      <c r="I1392" s="9">
        <f>H1392-G1392</f>
        <v>1.7174999999999994</v>
      </c>
    </row>
    <row r="1393" ht="14.25">
      <c r="A1393" s="5">
        <v>3505</v>
      </c>
      <c r="B1393" s="6" t="s">
        <v>1448</v>
      </c>
      <c r="C1393" s="7" t="s">
        <v>1446</v>
      </c>
      <c r="D1393" s="7" t="s">
        <v>1447</v>
      </c>
      <c r="E1393" s="5" t="s">
        <v>15</v>
      </c>
      <c r="F1393" s="8"/>
      <c r="G1393" s="9">
        <f>H1393*(1-15%)*(1-F1393)</f>
        <v>1.8700000000000001</v>
      </c>
      <c r="H1393" s="9">
        <v>2.2000000000000002</v>
      </c>
      <c r="I1393" s="9">
        <f>H1393-G1393</f>
        <v>0.33000000000000007</v>
      </c>
    </row>
    <row r="1394" ht="14.25">
      <c r="A1394" s="5">
        <v>3517</v>
      </c>
      <c r="B1394" s="6" t="s">
        <v>1449</v>
      </c>
      <c r="C1394" s="7" t="s">
        <v>1446</v>
      </c>
      <c r="D1394" s="7" t="s">
        <v>1447</v>
      </c>
      <c r="E1394" s="5" t="s">
        <v>15</v>
      </c>
      <c r="F1394" s="8"/>
      <c r="G1394" s="9">
        <f>H1394*(1-15%)*(1-F1394)</f>
        <v>2.3374999999999999</v>
      </c>
      <c r="H1394" s="9">
        <v>2.75</v>
      </c>
      <c r="I1394" s="9">
        <f>H1394-G1394</f>
        <v>0.41250000000000009</v>
      </c>
    </row>
    <row r="1395" ht="14.25">
      <c r="A1395" s="5">
        <v>3529</v>
      </c>
      <c r="B1395" s="6" t="s">
        <v>1450</v>
      </c>
      <c r="C1395" s="7" t="s">
        <v>1446</v>
      </c>
      <c r="D1395" s="7" t="s">
        <v>1447</v>
      </c>
      <c r="E1395" s="5" t="s">
        <v>15</v>
      </c>
      <c r="F1395" s="8"/>
      <c r="G1395" s="9">
        <f>H1395*(1-15%)*(1-F1395)</f>
        <v>3.1025</v>
      </c>
      <c r="H1395" s="9">
        <v>3.6499999999999999</v>
      </c>
      <c r="I1395" s="9">
        <f>H1395-G1395</f>
        <v>0.54749999999999988</v>
      </c>
    </row>
    <row r="1396" ht="14.25">
      <c r="A1396" s="5">
        <v>3530</v>
      </c>
      <c r="B1396" s="6" t="s">
        <v>1451</v>
      </c>
      <c r="C1396" s="7" t="s">
        <v>1446</v>
      </c>
      <c r="D1396" s="7" t="s">
        <v>1447</v>
      </c>
      <c r="E1396" s="5" t="s">
        <v>15</v>
      </c>
      <c r="F1396" s="8"/>
      <c r="G1396" s="9">
        <f>H1396*(1-15%)*(1-F1396)</f>
        <v>3.1025</v>
      </c>
      <c r="H1396" s="9">
        <v>3.6499999999999999</v>
      </c>
      <c r="I1396" s="9">
        <f>H1396-G1396</f>
        <v>0.54749999999999988</v>
      </c>
    </row>
    <row r="1397" ht="14.25">
      <c r="A1397" s="5">
        <v>3542</v>
      </c>
      <c r="B1397" s="6" t="s">
        <v>1452</v>
      </c>
      <c r="C1397" s="7" t="s">
        <v>1446</v>
      </c>
      <c r="D1397" s="7" t="s">
        <v>1447</v>
      </c>
      <c r="E1397" s="5" t="s">
        <v>15</v>
      </c>
      <c r="F1397" s="8"/>
      <c r="G1397" s="9">
        <f>H1397*(1-15%)*(1-F1397)</f>
        <v>5.9924999999999997</v>
      </c>
      <c r="H1397" s="9">
        <v>7.0499999999999998</v>
      </c>
      <c r="I1397" s="9">
        <f>H1397-G1397</f>
        <v>1.0575000000000001</v>
      </c>
    </row>
    <row r="1398" ht="14.25">
      <c r="A1398" s="5">
        <v>3554</v>
      </c>
      <c r="B1398" s="6" t="s">
        <v>1453</v>
      </c>
      <c r="C1398" s="7" t="s">
        <v>1446</v>
      </c>
      <c r="D1398" s="7" t="s">
        <v>1447</v>
      </c>
      <c r="E1398" s="5" t="s">
        <v>15</v>
      </c>
      <c r="F1398" s="8"/>
      <c r="G1398" s="9">
        <f>H1398*(1-15%)*(1-F1398)</f>
        <v>5.9924999999999997</v>
      </c>
      <c r="H1398" s="9">
        <v>7.0499999999999998</v>
      </c>
      <c r="I1398" s="9">
        <f>H1398-G1398</f>
        <v>1.0575000000000001</v>
      </c>
    </row>
    <row r="1399" ht="14.25">
      <c r="A1399" s="5">
        <v>3566</v>
      </c>
      <c r="B1399" s="6" t="s">
        <v>1454</v>
      </c>
      <c r="C1399" s="7" t="s">
        <v>1446</v>
      </c>
      <c r="D1399" s="7" t="s">
        <v>1447</v>
      </c>
      <c r="E1399" s="5" t="s">
        <v>15</v>
      </c>
      <c r="F1399" s="8"/>
      <c r="G1399" s="9">
        <f>H1399*(1-15%)*(1-F1399)</f>
        <v>5.0150000000000006</v>
      </c>
      <c r="H1399" s="9">
        <v>5.9000000000000004</v>
      </c>
      <c r="I1399" s="9">
        <f>H1399-G1399</f>
        <v>0.88499999999999979</v>
      </c>
    </row>
    <row r="1400" ht="14.25">
      <c r="A1400" s="5">
        <v>3578</v>
      </c>
      <c r="B1400" s="6" t="s">
        <v>1455</v>
      </c>
      <c r="C1400" s="7" t="s">
        <v>1446</v>
      </c>
      <c r="D1400" s="7" t="s">
        <v>1447</v>
      </c>
      <c r="E1400" s="5" t="s">
        <v>15</v>
      </c>
      <c r="F1400" s="8"/>
      <c r="G1400" s="9">
        <f>H1400*(1-15%)*(1-F1400)</f>
        <v>7.7349999999999994</v>
      </c>
      <c r="H1400" s="9">
        <v>9.0999999999999996</v>
      </c>
      <c r="I1400" s="9">
        <f>H1400-G1400</f>
        <v>1.3650000000000002</v>
      </c>
    </row>
    <row r="1401" ht="14.25">
      <c r="A1401" s="5">
        <v>3590</v>
      </c>
      <c r="B1401" s="6" t="s">
        <v>1456</v>
      </c>
      <c r="C1401" s="7" t="s">
        <v>1446</v>
      </c>
      <c r="D1401" s="7" t="s">
        <v>1447</v>
      </c>
      <c r="E1401" s="5" t="s">
        <v>15</v>
      </c>
      <c r="F1401" s="8"/>
      <c r="G1401" s="9">
        <f>H1401*(1-15%)*(1-F1401)</f>
        <v>10.199999999999999</v>
      </c>
      <c r="H1401" s="9">
        <v>12</v>
      </c>
      <c r="I1401" s="9">
        <f>H1401-G1401</f>
        <v>1.8000000000000007</v>
      </c>
    </row>
    <row r="1402" ht="14.25">
      <c r="A1402" s="5">
        <v>3591</v>
      </c>
      <c r="B1402" s="6" t="s">
        <v>1457</v>
      </c>
      <c r="C1402" s="7" t="s">
        <v>1446</v>
      </c>
      <c r="D1402" s="7" t="s">
        <v>1447</v>
      </c>
      <c r="E1402" s="5" t="s">
        <v>15</v>
      </c>
      <c r="F1402" s="8"/>
      <c r="G1402" s="9">
        <f>H1402*(1-15%)*(1-F1402)</f>
        <v>5.0150000000000006</v>
      </c>
      <c r="H1402" s="9">
        <v>5.9000000000000004</v>
      </c>
      <c r="I1402" s="9">
        <f>H1402-G1402</f>
        <v>0.88499999999999979</v>
      </c>
    </row>
    <row r="1403" ht="14.25">
      <c r="A1403" s="5">
        <v>3608</v>
      </c>
      <c r="B1403" s="6" t="s">
        <v>1458</v>
      </c>
      <c r="C1403" s="7" t="s">
        <v>1446</v>
      </c>
      <c r="D1403" s="7" t="s">
        <v>1447</v>
      </c>
      <c r="E1403" s="5" t="s">
        <v>15</v>
      </c>
      <c r="F1403" s="8"/>
      <c r="G1403" s="9">
        <f>H1403*(1-15%)*(1-F1403)</f>
        <v>7.7349999999999994</v>
      </c>
      <c r="H1403" s="9">
        <v>9.0999999999999996</v>
      </c>
      <c r="I1403" s="9">
        <f>H1403-G1403</f>
        <v>1.3650000000000002</v>
      </c>
    </row>
    <row r="1404" ht="14.25">
      <c r="A1404" s="5">
        <v>3610</v>
      </c>
      <c r="B1404" s="6" t="s">
        <v>1459</v>
      </c>
      <c r="C1404" s="7" t="s">
        <v>1446</v>
      </c>
      <c r="D1404" s="7" t="s">
        <v>1447</v>
      </c>
      <c r="E1404" s="5" t="s">
        <v>15</v>
      </c>
      <c r="F1404" s="8"/>
      <c r="G1404" s="9">
        <f>H1404*(1-15%)*(1-F1404)</f>
        <v>10.199999999999999</v>
      </c>
      <c r="H1404" s="9">
        <v>12</v>
      </c>
      <c r="I1404" s="9">
        <f>H1404-G1404</f>
        <v>1.8000000000000007</v>
      </c>
    </row>
    <row r="1405" ht="14.25">
      <c r="A1405" s="5">
        <v>3621</v>
      </c>
      <c r="B1405" s="6" t="s">
        <v>1460</v>
      </c>
      <c r="C1405" s="7" t="s">
        <v>1446</v>
      </c>
      <c r="D1405" s="7" t="s">
        <v>1447</v>
      </c>
      <c r="E1405" s="5" t="s">
        <v>15</v>
      </c>
      <c r="F1405" s="8"/>
      <c r="G1405" s="9">
        <f>H1405*(1-15%)*(1-F1405)</f>
        <v>5.0150000000000006</v>
      </c>
      <c r="H1405" s="9">
        <v>5.9000000000000004</v>
      </c>
      <c r="I1405" s="9">
        <f>H1405-G1405</f>
        <v>0.88499999999999979</v>
      </c>
    </row>
    <row r="1406" ht="14.25">
      <c r="A1406" s="5">
        <v>3633</v>
      </c>
      <c r="B1406" s="6" t="s">
        <v>1461</v>
      </c>
      <c r="C1406" s="7" t="s">
        <v>1446</v>
      </c>
      <c r="D1406" s="7" t="s">
        <v>1447</v>
      </c>
      <c r="E1406" s="5" t="s">
        <v>15</v>
      </c>
      <c r="F1406" s="8"/>
      <c r="G1406" s="9">
        <f>H1406*(1-15%)*(1-F1406)</f>
        <v>7.7349999999999994</v>
      </c>
      <c r="H1406" s="9">
        <v>9.0999999999999996</v>
      </c>
      <c r="I1406" s="9">
        <f>H1406-G1406</f>
        <v>1.3650000000000002</v>
      </c>
    </row>
    <row r="1407" ht="14.25">
      <c r="A1407" s="5">
        <v>3653</v>
      </c>
      <c r="B1407" s="6" t="s">
        <v>1462</v>
      </c>
      <c r="C1407" s="7" t="s">
        <v>1446</v>
      </c>
      <c r="D1407" s="7" t="s">
        <v>1447</v>
      </c>
      <c r="E1407" s="5" t="s">
        <v>15</v>
      </c>
      <c r="F1407" s="8"/>
      <c r="G1407" s="9">
        <f>H1407*(1-15%)*(1-F1407)</f>
        <v>10.199999999999999</v>
      </c>
      <c r="H1407" s="9">
        <v>12</v>
      </c>
      <c r="I1407" s="9">
        <f>H1407-G1407</f>
        <v>1.8000000000000007</v>
      </c>
    </row>
    <row r="1408" ht="14.25">
      <c r="A1408" s="5">
        <v>3655</v>
      </c>
      <c r="B1408" s="6" t="s">
        <v>1463</v>
      </c>
      <c r="C1408" s="7" t="s">
        <v>1446</v>
      </c>
      <c r="D1408" s="7" t="s">
        <v>1447</v>
      </c>
      <c r="E1408" s="5" t="s">
        <v>15</v>
      </c>
      <c r="F1408" s="8"/>
      <c r="G1408" s="9">
        <f>H1408*(1-15%)*(1-F1408)</f>
        <v>4.165</v>
      </c>
      <c r="H1408" s="9">
        <v>4.9000000000000004</v>
      </c>
      <c r="I1408" s="9">
        <f>H1408-G1408</f>
        <v>0.73500000000000032</v>
      </c>
    </row>
    <row r="1409" ht="14.25">
      <c r="A1409" s="5">
        <v>3670</v>
      </c>
      <c r="B1409" s="6" t="s">
        <v>1464</v>
      </c>
      <c r="C1409" s="7" t="s">
        <v>1446</v>
      </c>
      <c r="D1409" s="7" t="s">
        <v>1447</v>
      </c>
      <c r="E1409" s="5" t="s">
        <v>15</v>
      </c>
      <c r="F1409" s="8"/>
      <c r="G1409" s="9">
        <f>H1409*(1-15%)*(1-F1409)</f>
        <v>5.4400000000000004</v>
      </c>
      <c r="H1409" s="9">
        <v>6.4000000000000004</v>
      </c>
      <c r="I1409" s="9">
        <f>H1409-G1409</f>
        <v>0.95999999999999996</v>
      </c>
    </row>
    <row r="1410" ht="14.25">
      <c r="A1410" s="5">
        <v>3682</v>
      </c>
      <c r="B1410" s="6" t="s">
        <v>1465</v>
      </c>
      <c r="C1410" s="7" t="s">
        <v>1446</v>
      </c>
      <c r="D1410" s="7" t="s">
        <v>1447</v>
      </c>
      <c r="E1410" s="5" t="s">
        <v>15</v>
      </c>
      <c r="F1410" s="8"/>
      <c r="G1410" s="9">
        <f>H1410*(1-15%)*(1-F1410)</f>
        <v>4.165</v>
      </c>
      <c r="H1410" s="9">
        <v>4.9000000000000004</v>
      </c>
      <c r="I1410" s="9">
        <f>H1410-G1410</f>
        <v>0.73500000000000032</v>
      </c>
    </row>
    <row r="1411" ht="14.25">
      <c r="A1411" s="5">
        <v>3694</v>
      </c>
      <c r="B1411" s="6" t="s">
        <v>1466</v>
      </c>
      <c r="C1411" s="7" t="s">
        <v>1446</v>
      </c>
      <c r="D1411" s="7" t="s">
        <v>1447</v>
      </c>
      <c r="E1411" s="5" t="s">
        <v>15</v>
      </c>
      <c r="F1411" s="8"/>
      <c r="G1411" s="9">
        <f>H1411*(1-15%)*(1-F1411)</f>
        <v>9.6050000000000004</v>
      </c>
      <c r="H1411" s="9">
        <v>11.300000000000001</v>
      </c>
      <c r="I1411" s="9">
        <f>H1411-G1411</f>
        <v>1.6950000000000003</v>
      </c>
    </row>
    <row r="1412" ht="14.25">
      <c r="A1412" s="5">
        <v>3700</v>
      </c>
      <c r="B1412" s="6" t="s">
        <v>1467</v>
      </c>
      <c r="C1412" s="7" t="s">
        <v>1446</v>
      </c>
      <c r="D1412" s="7" t="s">
        <v>1447</v>
      </c>
      <c r="E1412" s="5" t="s">
        <v>15</v>
      </c>
      <c r="F1412" s="8"/>
      <c r="G1412" s="9">
        <f>H1412*(1-15%)*(1-F1412)</f>
        <v>5.4400000000000004</v>
      </c>
      <c r="H1412" s="9">
        <v>6.4000000000000004</v>
      </c>
      <c r="I1412" s="9">
        <f>H1412-G1412</f>
        <v>0.95999999999999996</v>
      </c>
    </row>
    <row r="1413" ht="14.25">
      <c r="A1413" s="5">
        <v>3704</v>
      </c>
      <c r="B1413" s="6" t="s">
        <v>1468</v>
      </c>
      <c r="C1413" s="7" t="s">
        <v>1446</v>
      </c>
      <c r="D1413" s="7" t="s">
        <v>1447</v>
      </c>
      <c r="E1413" s="5" t="s">
        <v>15</v>
      </c>
      <c r="F1413" s="8"/>
      <c r="G1413" s="9">
        <f>H1413*(1-15%)*(1-F1413)</f>
        <v>9.6050000000000004</v>
      </c>
      <c r="H1413" s="9">
        <v>11.300000000000001</v>
      </c>
      <c r="I1413" s="9">
        <f>H1413-G1413</f>
        <v>1.6950000000000003</v>
      </c>
    </row>
    <row r="1414" ht="14.25">
      <c r="A1414" s="5">
        <v>7021</v>
      </c>
      <c r="B1414" s="6" t="s">
        <v>1469</v>
      </c>
      <c r="C1414" s="7" t="s">
        <v>1446</v>
      </c>
      <c r="D1414" s="7" t="s">
        <v>1447</v>
      </c>
      <c r="E1414" s="5" t="s">
        <v>15</v>
      </c>
      <c r="F1414" s="8"/>
      <c r="G1414" s="9">
        <f>H1414*(1-15%)*(1-F1414)</f>
        <v>6.6724999999999994</v>
      </c>
      <c r="H1414" s="9">
        <v>7.8499999999999996</v>
      </c>
      <c r="I1414" s="9">
        <f>H1414-G1414</f>
        <v>1.1775000000000002</v>
      </c>
    </row>
    <row r="1415" ht="14.25">
      <c r="A1415" s="5">
        <v>30186</v>
      </c>
      <c r="B1415" s="6" t="s">
        <v>1470</v>
      </c>
      <c r="C1415" s="7" t="s">
        <v>1446</v>
      </c>
      <c r="D1415" s="7" t="s">
        <v>1447</v>
      </c>
      <c r="E1415" s="5" t="s">
        <v>15</v>
      </c>
      <c r="F1415" s="8"/>
      <c r="G1415" s="9">
        <f>H1415*(1-15%)*(1-F1415)</f>
        <v>0.41649999999999998</v>
      </c>
      <c r="H1415" s="9">
        <v>0.48999999999999999</v>
      </c>
      <c r="I1415" s="9">
        <f>H1415-G1415</f>
        <v>7.350000000000001e-002</v>
      </c>
    </row>
    <row r="1416" ht="14.25">
      <c r="A1416" s="5">
        <v>30187</v>
      </c>
      <c r="B1416" s="6" t="s">
        <v>1471</v>
      </c>
      <c r="C1416" s="7" t="s">
        <v>1446</v>
      </c>
      <c r="D1416" s="7" t="s">
        <v>1447</v>
      </c>
      <c r="E1416" s="5" t="s">
        <v>15</v>
      </c>
      <c r="F1416" s="8"/>
      <c r="G1416" s="9">
        <f>H1416*(1-15%)*(1-F1416)</f>
        <v>14.237499999999999</v>
      </c>
      <c r="H1416" s="9">
        <v>16.75</v>
      </c>
      <c r="I1416" s="9">
        <f>H1416-G1416</f>
        <v>2.5125000000000011</v>
      </c>
    </row>
    <row r="1417" ht="14.25">
      <c r="A1417" s="5">
        <v>30189</v>
      </c>
      <c r="B1417" s="6" t="s">
        <v>1472</v>
      </c>
      <c r="C1417" s="7" t="s">
        <v>1446</v>
      </c>
      <c r="D1417" s="7" t="s">
        <v>1447</v>
      </c>
      <c r="E1417" s="5" t="s">
        <v>15</v>
      </c>
      <c r="F1417" s="8"/>
      <c r="G1417" s="9">
        <f>H1417*(1-15%)*(1-F1417)</f>
        <v>3.9950000000000001</v>
      </c>
      <c r="H1417" s="9">
        <v>4.7000000000000002</v>
      </c>
      <c r="I1417" s="9">
        <f>H1417-G1417</f>
        <v>0.70500000000000007</v>
      </c>
    </row>
    <row r="1418" ht="14.25">
      <c r="A1418" s="5">
        <v>43673</v>
      </c>
      <c r="B1418" s="6" t="s">
        <v>1473</v>
      </c>
      <c r="C1418" s="7" t="s">
        <v>1446</v>
      </c>
      <c r="D1418" s="7" t="s">
        <v>1447</v>
      </c>
      <c r="E1418" s="5" t="s">
        <v>15</v>
      </c>
      <c r="F1418" s="8"/>
      <c r="G1418" s="9">
        <f>H1418*(1-15%)*(1-F1418)</f>
        <v>4.25</v>
      </c>
      <c r="H1418" s="9">
        <v>5</v>
      </c>
      <c r="I1418" s="9">
        <f>H1418-G1418</f>
        <v>0.75</v>
      </c>
    </row>
    <row r="1419" ht="14.25">
      <c r="A1419" s="5">
        <v>57651</v>
      </c>
      <c r="B1419" s="6" t="s">
        <v>1474</v>
      </c>
      <c r="C1419" s="7" t="s">
        <v>1446</v>
      </c>
      <c r="D1419" s="7" t="s">
        <v>1447</v>
      </c>
      <c r="E1419" s="5" t="s">
        <v>15</v>
      </c>
      <c r="F1419" s="8"/>
      <c r="G1419" s="9">
        <f>H1419*(1-15%)*(1-F1419)</f>
        <v>5.6014999999999997</v>
      </c>
      <c r="H1419" s="9">
        <v>6.5899999999999999</v>
      </c>
      <c r="I1419" s="9">
        <f>H1419-G1419</f>
        <v>0.98850000000000016</v>
      </c>
    </row>
    <row r="1420" ht="14.25">
      <c r="A1420" s="5">
        <v>57652</v>
      </c>
      <c r="B1420" s="6" t="s">
        <v>1475</v>
      </c>
      <c r="C1420" s="7" t="s">
        <v>1446</v>
      </c>
      <c r="D1420" s="7" t="s">
        <v>1447</v>
      </c>
      <c r="E1420" s="5" t="s">
        <v>15</v>
      </c>
      <c r="F1420" s="8"/>
      <c r="G1420" s="9">
        <f>H1420*(1-15%)*(1-F1420)</f>
        <v>9.1799999999999997</v>
      </c>
      <c r="H1420" s="9">
        <v>10.800000000000001</v>
      </c>
      <c r="I1420" s="9">
        <f>H1420-G1420</f>
        <v>1.620000000000001</v>
      </c>
    </row>
    <row r="1421" ht="14.25">
      <c r="A1421" s="5">
        <v>57653</v>
      </c>
      <c r="B1421" s="6" t="s">
        <v>1476</v>
      </c>
      <c r="C1421" s="7" t="s">
        <v>1446</v>
      </c>
      <c r="D1421" s="7" t="s">
        <v>1447</v>
      </c>
      <c r="E1421" s="5" t="s">
        <v>15</v>
      </c>
      <c r="F1421" s="8"/>
      <c r="G1421" s="9">
        <f>H1421*(1-15%)*(1-F1421)</f>
        <v>13.047499999999999</v>
      </c>
      <c r="H1421" s="9">
        <v>15.35</v>
      </c>
      <c r="I1421" s="9">
        <f>H1421-G1421</f>
        <v>2.3025000000000002</v>
      </c>
    </row>
    <row r="1422" ht="14.25">
      <c r="A1422" s="5">
        <v>54986</v>
      </c>
      <c r="B1422" s="6" t="s">
        <v>1477</v>
      </c>
      <c r="C1422" s="7" t="s">
        <v>14</v>
      </c>
      <c r="D1422" s="7" t="s">
        <v>183</v>
      </c>
      <c r="E1422" s="5" t="s">
        <v>15</v>
      </c>
      <c r="F1422" s="8"/>
      <c r="G1422" s="9">
        <f>H1422*(1-15%)*(1-F1422)</f>
        <v>67.915000000000006</v>
      </c>
      <c r="H1422" s="9">
        <v>79.900000000000006</v>
      </c>
      <c r="I1422" s="9">
        <f>H1422-G1422</f>
        <v>11.984999999999999</v>
      </c>
    </row>
    <row r="1423" ht="14.25">
      <c r="A1423" s="5">
        <v>50052</v>
      </c>
      <c r="B1423" s="6" t="s">
        <v>1478</v>
      </c>
      <c r="C1423" s="7" t="s">
        <v>705</v>
      </c>
      <c r="D1423" s="7" t="s">
        <v>45</v>
      </c>
      <c r="E1423" s="5" t="s">
        <v>39</v>
      </c>
      <c r="F1423" s="8"/>
      <c r="G1423" s="9">
        <f>H1423*(1-15%)*(1-F1423)</f>
        <v>33.914999999999999</v>
      </c>
      <c r="H1423" s="9">
        <v>39.899999999999999</v>
      </c>
      <c r="I1423" s="9">
        <f>H1423-G1423</f>
        <v>5.9849999999999994</v>
      </c>
    </row>
    <row r="1424" ht="14.25">
      <c r="A1424" s="5">
        <v>49490</v>
      </c>
      <c r="B1424" s="6" t="s">
        <v>1479</v>
      </c>
      <c r="C1424" s="7" t="s">
        <v>251</v>
      </c>
      <c r="D1424" s="7" t="s">
        <v>183</v>
      </c>
      <c r="E1424" s="5" t="s">
        <v>68</v>
      </c>
      <c r="F1424" s="8"/>
      <c r="G1424" s="9">
        <f>H1424*(1-15%)*(1-F1424)</f>
        <v>53.464999999999996</v>
      </c>
      <c r="H1424" s="9">
        <v>62.899999999999999</v>
      </c>
      <c r="I1424" s="9">
        <f>H1424-G1424</f>
        <v>9.4350000000000023</v>
      </c>
    </row>
    <row r="1425" ht="14.25">
      <c r="A1425" s="5">
        <v>73832</v>
      </c>
      <c r="B1425" s="6" t="s">
        <v>1480</v>
      </c>
      <c r="C1425" s="7" t="s">
        <v>14</v>
      </c>
      <c r="D1425" s="7" t="s">
        <v>45</v>
      </c>
      <c r="E1425" s="5" t="s">
        <v>26</v>
      </c>
      <c r="F1425" s="8"/>
      <c r="G1425" s="9">
        <f>H1425*(1-15%)*(1-F1425)</f>
        <v>32.214999999999996</v>
      </c>
      <c r="H1425" s="9">
        <v>37.899999999999999</v>
      </c>
      <c r="I1425" s="9">
        <f>H1425-G1425</f>
        <v>5.6850000000000023</v>
      </c>
    </row>
    <row r="1426" ht="14.25">
      <c r="A1426" s="5">
        <v>2501</v>
      </c>
      <c r="B1426" s="6" t="s">
        <v>1481</v>
      </c>
      <c r="C1426" s="7" t="s">
        <v>10</v>
      </c>
      <c r="D1426" s="7" t="s">
        <v>183</v>
      </c>
      <c r="E1426" s="5" t="s">
        <v>15</v>
      </c>
      <c r="F1426" s="8"/>
      <c r="G1426" s="9">
        <f>H1426*(1-15%)*(1-F1426)</f>
        <v>5.4400000000000004</v>
      </c>
      <c r="H1426" s="9">
        <v>6.4000000000000004</v>
      </c>
      <c r="I1426" s="9">
        <f>H1426-G1426</f>
        <v>0.95999999999999996</v>
      </c>
    </row>
    <row r="1427" ht="14.25">
      <c r="A1427" s="5">
        <v>56156</v>
      </c>
      <c r="B1427" s="6" t="s">
        <v>1482</v>
      </c>
      <c r="C1427" s="7" t="s">
        <v>201</v>
      </c>
      <c r="D1427" s="7" t="s">
        <v>183</v>
      </c>
      <c r="E1427" s="5" t="s">
        <v>26</v>
      </c>
      <c r="F1427" s="8"/>
      <c r="G1427" s="9">
        <f>H1427*(1-15%)*(1-F1427)</f>
        <v>101.91500000000001</v>
      </c>
      <c r="H1427" s="9">
        <v>119.90000000000001</v>
      </c>
      <c r="I1427" s="9">
        <f>H1427-G1427</f>
        <v>17.984999999999999</v>
      </c>
    </row>
    <row r="1428" ht="14.25">
      <c r="A1428" s="5">
        <v>52831</v>
      </c>
      <c r="B1428" s="6" t="s">
        <v>1483</v>
      </c>
      <c r="C1428" s="7" t="s">
        <v>109</v>
      </c>
      <c r="D1428" s="7" t="s">
        <v>110</v>
      </c>
      <c r="E1428" s="5" t="s">
        <v>15</v>
      </c>
      <c r="F1428" s="8"/>
      <c r="G1428" s="9">
        <f>H1428*(1-15%)*(1-F1428)</f>
        <v>140.16499999999999</v>
      </c>
      <c r="H1428" s="9">
        <v>164.90000000000001</v>
      </c>
      <c r="I1428" s="9">
        <f>H1428-G1428</f>
        <v>24.735000000000014</v>
      </c>
    </row>
    <row r="1429" ht="14.25">
      <c r="A1429" s="5">
        <v>54049</v>
      </c>
      <c r="B1429" s="6" t="s">
        <v>1484</v>
      </c>
      <c r="C1429" s="7" t="s">
        <v>82</v>
      </c>
      <c r="D1429" s="7" t="s">
        <v>61</v>
      </c>
      <c r="E1429" s="5" t="s">
        <v>15</v>
      </c>
      <c r="F1429" s="8"/>
      <c r="G1429" s="9">
        <f>H1429*(1-15%)*(1-F1429)</f>
        <v>42.414999999999999</v>
      </c>
      <c r="H1429" s="9">
        <v>49.899999999999999</v>
      </c>
      <c r="I1429" s="9">
        <f>H1429-G1429</f>
        <v>7.4849999999999994</v>
      </c>
    </row>
    <row r="1430" ht="14.25">
      <c r="A1430" s="5">
        <v>50165</v>
      </c>
      <c r="B1430" s="6" t="s">
        <v>1485</v>
      </c>
      <c r="C1430" s="7" t="s">
        <v>10</v>
      </c>
      <c r="D1430" s="7" t="s">
        <v>103</v>
      </c>
      <c r="E1430" s="5" t="s">
        <v>15</v>
      </c>
      <c r="F1430" s="8"/>
      <c r="G1430" s="9">
        <f>H1430*(1-15%)*(1-F1430)</f>
        <v>29.664999999999999</v>
      </c>
      <c r="H1430" s="9">
        <v>34.899999999999999</v>
      </c>
      <c r="I1430" s="9">
        <f>H1430-G1430</f>
        <v>5.2349999999999994</v>
      </c>
    </row>
    <row r="1431" ht="14.25">
      <c r="A1431" s="5">
        <v>30314</v>
      </c>
      <c r="B1431" s="6" t="s">
        <v>1486</v>
      </c>
      <c r="C1431" s="7" t="s">
        <v>624</v>
      </c>
      <c r="D1431" s="7" t="s">
        <v>103</v>
      </c>
      <c r="E1431" s="5" t="s">
        <v>15</v>
      </c>
      <c r="F1431" s="8"/>
      <c r="G1431" s="9">
        <f>H1431*(1-15%)*(1-F1431)</f>
        <v>55.165000000000006</v>
      </c>
      <c r="H1431" s="9">
        <v>64.900000000000006</v>
      </c>
      <c r="I1431" s="9">
        <f>H1431-G1431</f>
        <v>9.7349999999999994</v>
      </c>
    </row>
    <row r="1432" ht="14.25">
      <c r="A1432" s="5">
        <v>48735</v>
      </c>
      <c r="B1432" s="6" t="s">
        <v>1487</v>
      </c>
      <c r="C1432" s="7" t="s">
        <v>10</v>
      </c>
      <c r="D1432" s="7" t="s">
        <v>183</v>
      </c>
      <c r="E1432" s="5" t="s">
        <v>68</v>
      </c>
      <c r="F1432" s="8"/>
      <c r="G1432" s="9">
        <f>H1432*(1-15%)*(1-F1432)</f>
        <v>31.364999999999998</v>
      </c>
      <c r="H1432" s="9">
        <v>36.899999999999999</v>
      </c>
      <c r="I1432" s="9">
        <f>H1432-G1432</f>
        <v>5.5350000000000001</v>
      </c>
    </row>
    <row r="1433" ht="14.25">
      <c r="A1433" s="5">
        <v>54327</v>
      </c>
      <c r="B1433" s="6" t="s">
        <v>1488</v>
      </c>
      <c r="C1433" s="7" t="s">
        <v>19</v>
      </c>
      <c r="D1433" s="7" t="s">
        <v>183</v>
      </c>
      <c r="E1433" s="5" t="s">
        <v>43</v>
      </c>
      <c r="F1433" s="8"/>
      <c r="G1433" s="9">
        <f>H1433*(1-15%)*(1-F1433)</f>
        <v>42.414999999999999</v>
      </c>
      <c r="H1433" s="9">
        <v>49.899999999999999</v>
      </c>
      <c r="I1433" s="9">
        <f>H1433-G1433</f>
        <v>7.4849999999999994</v>
      </c>
    </row>
    <row r="1434" ht="14.25">
      <c r="A1434" s="5">
        <v>54337</v>
      </c>
      <c r="B1434" s="6" t="s">
        <v>1489</v>
      </c>
      <c r="C1434" s="7" t="s">
        <v>14</v>
      </c>
      <c r="D1434" s="7" t="s">
        <v>183</v>
      </c>
      <c r="E1434" s="5" t="s">
        <v>15</v>
      </c>
      <c r="F1434" s="8"/>
      <c r="G1434" s="9">
        <f>H1434*(1-15%)*(1-F1434)</f>
        <v>42.414999999999999</v>
      </c>
      <c r="H1434" s="9">
        <v>49.899999999999999</v>
      </c>
      <c r="I1434" s="9">
        <f>H1434-G1434</f>
        <v>7.4849999999999994</v>
      </c>
    </row>
    <row r="1435" ht="14.25">
      <c r="A1435" s="5">
        <v>38107</v>
      </c>
      <c r="B1435" s="6" t="s">
        <v>1490</v>
      </c>
      <c r="C1435" s="7" t="s">
        <v>109</v>
      </c>
      <c r="D1435" s="7" t="s">
        <v>183</v>
      </c>
      <c r="E1435" s="5" t="s">
        <v>15</v>
      </c>
      <c r="F1435" s="8"/>
      <c r="G1435" s="9">
        <f>H1435*(1-15%)*(1-F1435)</f>
        <v>33.914999999999999</v>
      </c>
      <c r="H1435" s="9">
        <v>39.899999999999999</v>
      </c>
      <c r="I1435" s="9">
        <f>H1435-G1435</f>
        <v>5.9849999999999994</v>
      </c>
    </row>
    <row r="1436" ht="14.25">
      <c r="A1436" s="5">
        <v>39665</v>
      </c>
      <c r="B1436" s="6" t="s">
        <v>1491</v>
      </c>
      <c r="C1436" s="7" t="s">
        <v>75</v>
      </c>
      <c r="D1436" s="7" t="s">
        <v>183</v>
      </c>
      <c r="E1436" s="5" t="s">
        <v>15</v>
      </c>
      <c r="F1436" s="8"/>
      <c r="G1436" s="9">
        <f>H1436*(1-15%)*(1-F1436)</f>
        <v>28.041499999999999</v>
      </c>
      <c r="H1436" s="9">
        <v>32.990000000000002</v>
      </c>
      <c r="I1436" s="9">
        <f>H1436-G1436</f>
        <v>4.9485000000000028</v>
      </c>
    </row>
    <row r="1437" ht="14.25">
      <c r="A1437" s="5">
        <v>43028</v>
      </c>
      <c r="B1437" s="6" t="s">
        <v>1492</v>
      </c>
      <c r="C1437" s="7" t="s">
        <v>201</v>
      </c>
      <c r="D1437" s="7" t="s">
        <v>183</v>
      </c>
      <c r="E1437" s="5" t="s">
        <v>15</v>
      </c>
      <c r="F1437" s="8"/>
      <c r="G1437" s="9">
        <f>H1437*(1-15%)*(1-F1437)</f>
        <v>22.014999999999997</v>
      </c>
      <c r="H1437" s="9">
        <v>25.899999999999999</v>
      </c>
      <c r="I1437" s="9">
        <f>H1437-G1437</f>
        <v>3.8850000000000016</v>
      </c>
    </row>
    <row r="1438" ht="14.25">
      <c r="A1438" s="5">
        <v>49378</v>
      </c>
      <c r="B1438" s="6" t="s">
        <v>1493</v>
      </c>
      <c r="C1438" s="7" t="s">
        <v>94</v>
      </c>
      <c r="D1438" s="7" t="s">
        <v>95</v>
      </c>
      <c r="E1438" s="5" t="s">
        <v>68</v>
      </c>
      <c r="F1438" s="8"/>
      <c r="G1438" s="9">
        <f>H1438*(1-15%)*(1-F1438)</f>
        <v>57.715000000000003</v>
      </c>
      <c r="H1438" s="9">
        <v>67.900000000000006</v>
      </c>
      <c r="I1438" s="9">
        <f>H1438-G1438</f>
        <v>10.185000000000002</v>
      </c>
    </row>
    <row r="1439" ht="14.25">
      <c r="A1439" s="5">
        <v>83911</v>
      </c>
      <c r="B1439" s="6" t="s">
        <v>1494</v>
      </c>
      <c r="C1439" s="7" t="s">
        <v>94</v>
      </c>
      <c r="D1439" s="7" t="s">
        <v>95</v>
      </c>
      <c r="E1439" s="5" t="s">
        <v>26</v>
      </c>
      <c r="F1439" s="8"/>
      <c r="G1439" s="9">
        <f>H1439*(1-15%)*(1-F1439)</f>
        <v>127.41500000000001</v>
      </c>
      <c r="H1439" s="9">
        <v>149.90000000000001</v>
      </c>
      <c r="I1439" s="9">
        <f>H1439-G1439</f>
        <v>22.484999999999999</v>
      </c>
    </row>
    <row r="1440" ht="14.25">
      <c r="A1440" s="5">
        <v>83140</v>
      </c>
      <c r="B1440" s="6" t="s">
        <v>1495</v>
      </c>
      <c r="C1440" s="7" t="s">
        <v>94</v>
      </c>
      <c r="D1440" s="7" t="s">
        <v>95</v>
      </c>
      <c r="E1440" s="5" t="s">
        <v>43</v>
      </c>
      <c r="F1440" s="8"/>
      <c r="G1440" s="9">
        <f>H1440*(1-15%)*(1-F1440)</f>
        <v>33.914999999999999</v>
      </c>
      <c r="H1440" s="9">
        <v>39.899999999999999</v>
      </c>
      <c r="I1440" s="9">
        <f>H1440-G1440</f>
        <v>5.9849999999999994</v>
      </c>
    </row>
    <row r="1441" ht="14.25">
      <c r="A1441" s="5">
        <v>83145</v>
      </c>
      <c r="B1441" s="6" t="s">
        <v>1496</v>
      </c>
      <c r="C1441" s="7" t="s">
        <v>94</v>
      </c>
      <c r="D1441" s="7" t="s">
        <v>95</v>
      </c>
      <c r="E1441" s="5" t="s">
        <v>43</v>
      </c>
      <c r="F1441" s="8"/>
      <c r="G1441" s="9">
        <f>H1441*(1-15%)*(1-F1441)</f>
        <v>33.914999999999999</v>
      </c>
      <c r="H1441" s="9">
        <v>39.899999999999999</v>
      </c>
      <c r="I1441" s="9">
        <f>H1441-G1441</f>
        <v>5.9849999999999994</v>
      </c>
    </row>
    <row r="1442" ht="14.25">
      <c r="A1442" s="5">
        <v>83167</v>
      </c>
      <c r="B1442" s="6" t="s">
        <v>1497</v>
      </c>
      <c r="C1442" s="7" t="s">
        <v>94</v>
      </c>
      <c r="D1442" s="7" t="s">
        <v>95</v>
      </c>
      <c r="E1442" s="5" t="s">
        <v>43</v>
      </c>
      <c r="F1442" s="8"/>
      <c r="G1442" s="9">
        <f>H1442*(1-15%)*(1-F1442)</f>
        <v>33.914999999999999</v>
      </c>
      <c r="H1442" s="9">
        <v>39.899999999999999</v>
      </c>
      <c r="I1442" s="9">
        <f>H1442-G1442</f>
        <v>5.9849999999999994</v>
      </c>
    </row>
    <row r="1443" ht="14.25">
      <c r="A1443" s="5">
        <v>54064</v>
      </c>
      <c r="B1443" s="6" t="s">
        <v>1498</v>
      </c>
      <c r="C1443" s="7" t="s">
        <v>82</v>
      </c>
      <c r="D1443" s="7" t="s">
        <v>103</v>
      </c>
      <c r="E1443" s="5" t="s">
        <v>15</v>
      </c>
      <c r="F1443" s="8"/>
      <c r="G1443" s="9">
        <f>H1443*(1-15%)*(1-F1443)</f>
        <v>23.715</v>
      </c>
      <c r="H1443" s="9">
        <v>27.899999999999999</v>
      </c>
      <c r="I1443" s="9">
        <f>H1443-G1443</f>
        <v>4.1849999999999987</v>
      </c>
    </row>
    <row r="1444" ht="14.25">
      <c r="A1444" s="5">
        <v>52005</v>
      </c>
      <c r="B1444" s="6" t="s">
        <v>1499</v>
      </c>
      <c r="C1444" s="7" t="s">
        <v>75</v>
      </c>
      <c r="D1444" s="7" t="s">
        <v>45</v>
      </c>
      <c r="E1444" s="5" t="s">
        <v>15</v>
      </c>
      <c r="F1444" s="8"/>
      <c r="G1444" s="9">
        <f>H1444*(1-15%)*(1-F1444)</f>
        <v>57.715000000000003</v>
      </c>
      <c r="H1444" s="9">
        <v>67.900000000000006</v>
      </c>
      <c r="I1444" s="9">
        <f>H1444-G1444</f>
        <v>10.185000000000002</v>
      </c>
    </row>
    <row r="1445" ht="14.25">
      <c r="A1445" s="5">
        <v>53485</v>
      </c>
      <c r="B1445" s="6" t="s">
        <v>1500</v>
      </c>
      <c r="C1445" s="7" t="s">
        <v>79</v>
      </c>
      <c r="D1445" s="7" t="s">
        <v>52</v>
      </c>
      <c r="E1445" s="5" t="s">
        <v>703</v>
      </c>
      <c r="F1445" s="8"/>
      <c r="G1445" s="9">
        <f>H1445*(1-15%)*(1-F1445)</f>
        <v>39.864999999999995</v>
      </c>
      <c r="H1445" s="9">
        <v>46.899999999999999</v>
      </c>
      <c r="I1445" s="9">
        <f>H1445-G1445</f>
        <v>7.0350000000000037</v>
      </c>
    </row>
    <row r="1446" ht="14.25">
      <c r="A1446" s="5">
        <v>54068</v>
      </c>
      <c r="B1446" s="6" t="s">
        <v>1501</v>
      </c>
      <c r="C1446" s="7" t="s">
        <v>251</v>
      </c>
      <c r="D1446" s="7" t="s">
        <v>45</v>
      </c>
      <c r="E1446" s="5" t="s">
        <v>15</v>
      </c>
      <c r="F1446" s="8"/>
      <c r="G1446" s="9">
        <f>H1446*(1-15%)*(1-F1446)</f>
        <v>53.464999999999996</v>
      </c>
      <c r="H1446" s="9">
        <v>62.899999999999999</v>
      </c>
      <c r="I1446" s="9">
        <f>H1446-G1446</f>
        <v>9.4350000000000023</v>
      </c>
    </row>
    <row r="1447" ht="14.25">
      <c r="A1447" s="5">
        <v>55763</v>
      </c>
      <c r="B1447" s="6" t="s">
        <v>1502</v>
      </c>
      <c r="C1447" s="7" t="s">
        <v>33</v>
      </c>
      <c r="D1447" s="7" t="s">
        <v>71</v>
      </c>
      <c r="E1447" s="5" t="s">
        <v>39</v>
      </c>
      <c r="F1447" s="8"/>
      <c r="G1447" s="9">
        <f>H1447*(1-15%)*(1-F1447)</f>
        <v>50.872500000000002</v>
      </c>
      <c r="H1447" s="9">
        <v>59.850000000000001</v>
      </c>
      <c r="I1447" s="9">
        <f>H1447-G1447</f>
        <v>8.9774999999999991</v>
      </c>
    </row>
    <row r="1448" ht="14.25">
      <c r="A1448" s="5">
        <v>56271</v>
      </c>
      <c r="B1448" s="6" t="s">
        <v>1503</v>
      </c>
      <c r="C1448" s="7" t="s">
        <v>14</v>
      </c>
      <c r="D1448" s="7" t="s">
        <v>71</v>
      </c>
      <c r="E1448" s="5" t="s">
        <v>15</v>
      </c>
      <c r="F1448" s="8"/>
      <c r="G1448" s="9">
        <f>H1448*(1-15%)*(1-F1448)</f>
        <v>50.872500000000002</v>
      </c>
      <c r="H1448" s="9">
        <v>59.850000000000001</v>
      </c>
      <c r="I1448" s="9">
        <f>H1448-G1448</f>
        <v>8.9774999999999991</v>
      </c>
    </row>
    <row r="1449" ht="14.25">
      <c r="A1449" s="5">
        <v>56272</v>
      </c>
      <c r="B1449" s="6" t="s">
        <v>1504</v>
      </c>
      <c r="C1449" s="7" t="s">
        <v>14</v>
      </c>
      <c r="D1449" s="7" t="s">
        <v>71</v>
      </c>
      <c r="E1449" s="5" t="s">
        <v>39</v>
      </c>
      <c r="F1449" s="8"/>
      <c r="G1449" s="9">
        <f>H1449*(1-15%)*(1-F1449)</f>
        <v>50.872500000000002</v>
      </c>
      <c r="H1449" s="9">
        <v>59.850000000000001</v>
      </c>
      <c r="I1449" s="9">
        <f>H1449-G1449</f>
        <v>8.9774999999999991</v>
      </c>
    </row>
    <row r="1450" ht="14.25">
      <c r="A1450" s="5">
        <v>56275</v>
      </c>
      <c r="B1450" s="6" t="s">
        <v>1505</v>
      </c>
      <c r="C1450" s="7" t="s">
        <v>75</v>
      </c>
      <c r="D1450" s="7" t="s">
        <v>71</v>
      </c>
      <c r="E1450" s="5" t="s">
        <v>39</v>
      </c>
      <c r="F1450" s="8"/>
      <c r="G1450" s="9">
        <f>H1450*(1-15%)*(1-F1450)</f>
        <v>50.872500000000002</v>
      </c>
      <c r="H1450" s="9">
        <v>59.850000000000001</v>
      </c>
      <c r="I1450" s="9">
        <f>H1450-G1450</f>
        <v>8.9774999999999991</v>
      </c>
    </row>
    <row r="1451" ht="14.25">
      <c r="A1451" s="5">
        <v>54017</v>
      </c>
      <c r="B1451" s="6" t="s">
        <v>1506</v>
      </c>
      <c r="C1451" s="7" t="s">
        <v>70</v>
      </c>
      <c r="D1451" s="7" t="s">
        <v>61</v>
      </c>
      <c r="E1451" s="5" t="s">
        <v>15</v>
      </c>
      <c r="F1451" s="8"/>
      <c r="G1451" s="9">
        <f>H1451*(1-15%)*(1-F1451)</f>
        <v>252.36499999999998</v>
      </c>
      <c r="H1451" s="9">
        <v>296.89999999999998</v>
      </c>
      <c r="I1451" s="9">
        <f>H1451-G1451</f>
        <v>44.534999999999997</v>
      </c>
    </row>
    <row r="1452" ht="14.25">
      <c r="A1452" s="5">
        <v>54021</v>
      </c>
      <c r="B1452" s="6" t="s">
        <v>1507</v>
      </c>
      <c r="C1452" s="7" t="s">
        <v>251</v>
      </c>
      <c r="D1452" s="7" t="s">
        <v>61</v>
      </c>
      <c r="E1452" s="5" t="s">
        <v>15</v>
      </c>
      <c r="F1452" s="8"/>
      <c r="G1452" s="9">
        <f>H1452*(1-15%)*(1-F1452)</f>
        <v>165.66499999999999</v>
      </c>
      <c r="H1452" s="9">
        <v>194.90000000000001</v>
      </c>
      <c r="I1452" s="9">
        <f>H1452-G1452</f>
        <v>29.235000000000014</v>
      </c>
    </row>
    <row r="1453" ht="14.25">
      <c r="A1453" s="5">
        <v>54022</v>
      </c>
      <c r="B1453" s="6" t="s">
        <v>1508</v>
      </c>
      <c r="C1453" s="7" t="s">
        <v>10</v>
      </c>
      <c r="D1453" s="7" t="s">
        <v>61</v>
      </c>
      <c r="E1453" s="5" t="s">
        <v>15</v>
      </c>
      <c r="F1453" s="8"/>
      <c r="G1453" s="9">
        <f>H1453*(1-15%)*(1-F1453)</f>
        <v>191.16499999999999</v>
      </c>
      <c r="H1453" s="9">
        <v>224.90000000000001</v>
      </c>
      <c r="I1453" s="9">
        <f>H1453-G1453</f>
        <v>33.735000000000014</v>
      </c>
    </row>
    <row r="1454" ht="14.25">
      <c r="A1454" s="5">
        <v>54023</v>
      </c>
      <c r="B1454" s="6" t="s">
        <v>1509</v>
      </c>
      <c r="C1454" s="7" t="s">
        <v>14</v>
      </c>
      <c r="D1454" s="7" t="s">
        <v>61</v>
      </c>
      <c r="E1454" s="5" t="s">
        <v>15</v>
      </c>
      <c r="F1454" s="8"/>
      <c r="G1454" s="9">
        <f>H1454*(1-15%)*(1-F1454)</f>
        <v>144.41499999999999</v>
      </c>
      <c r="H1454" s="9">
        <v>169.90000000000001</v>
      </c>
      <c r="I1454" s="9">
        <f>H1454-G1454</f>
        <v>25.485000000000014</v>
      </c>
    </row>
    <row r="1455" ht="14.25">
      <c r="A1455" s="5">
        <v>54024</v>
      </c>
      <c r="B1455" s="6" t="s">
        <v>1510</v>
      </c>
      <c r="C1455" s="7" t="s">
        <v>19</v>
      </c>
      <c r="D1455" s="7" t="s">
        <v>61</v>
      </c>
      <c r="E1455" s="5" t="s">
        <v>15</v>
      </c>
      <c r="F1455" s="8"/>
      <c r="G1455" s="9">
        <f>H1455*(1-15%)*(1-F1455)</f>
        <v>192.86500000000001</v>
      </c>
      <c r="H1455" s="9">
        <v>226.90000000000001</v>
      </c>
      <c r="I1455" s="9">
        <f>H1455-G1455</f>
        <v>34.034999999999997</v>
      </c>
    </row>
    <row r="1456" ht="14.25">
      <c r="A1456" s="5">
        <v>54026</v>
      </c>
      <c r="B1456" s="6" t="s">
        <v>1511</v>
      </c>
      <c r="C1456" s="7" t="s">
        <v>17</v>
      </c>
      <c r="D1456" s="7" t="s">
        <v>61</v>
      </c>
      <c r="E1456" s="5" t="s">
        <v>15</v>
      </c>
      <c r="F1456" s="8"/>
      <c r="G1456" s="9">
        <f>H1456*(1-15%)*(1-F1456)</f>
        <v>144.41499999999999</v>
      </c>
      <c r="H1456" s="9">
        <v>169.90000000000001</v>
      </c>
      <c r="I1456" s="9">
        <f>H1456-G1456</f>
        <v>25.485000000000014</v>
      </c>
    </row>
    <row r="1457" ht="14.25">
      <c r="A1457" s="5">
        <v>54027</v>
      </c>
      <c r="B1457" s="6" t="s">
        <v>1512</v>
      </c>
      <c r="C1457" s="7" t="s">
        <v>36</v>
      </c>
      <c r="D1457" s="7" t="s">
        <v>61</v>
      </c>
      <c r="E1457" s="5" t="s">
        <v>15</v>
      </c>
      <c r="F1457" s="8"/>
      <c r="G1457" s="9">
        <f>H1457*(1-15%)*(1-F1457)</f>
        <v>135.91499999999999</v>
      </c>
      <c r="H1457" s="9">
        <v>159.90000000000001</v>
      </c>
      <c r="I1457" s="9">
        <f>H1457-G1457</f>
        <v>23.985000000000014</v>
      </c>
    </row>
    <row r="1458" ht="14.25">
      <c r="A1458" s="5">
        <v>54029</v>
      </c>
      <c r="B1458" s="6" t="s">
        <v>1513</v>
      </c>
      <c r="C1458" s="7" t="s">
        <v>399</v>
      </c>
      <c r="D1458" s="7" t="s">
        <v>61</v>
      </c>
      <c r="E1458" s="5" t="s">
        <v>15</v>
      </c>
      <c r="F1458" s="8"/>
      <c r="G1458" s="9">
        <f>H1458*(1-15%)*(1-F1458)</f>
        <v>174.16499999999999</v>
      </c>
      <c r="H1458" s="9">
        <v>204.90000000000001</v>
      </c>
      <c r="I1458" s="9">
        <f>H1458-G1458</f>
        <v>30.735000000000014</v>
      </c>
    </row>
    <row r="1459" ht="14.25">
      <c r="A1459" s="5">
        <v>54030</v>
      </c>
      <c r="B1459" s="6" t="s">
        <v>1514</v>
      </c>
      <c r="C1459" s="7" t="s">
        <v>705</v>
      </c>
      <c r="D1459" s="7" t="s">
        <v>61</v>
      </c>
      <c r="E1459" s="5" t="s">
        <v>15</v>
      </c>
      <c r="F1459" s="8"/>
      <c r="G1459" s="9">
        <f>H1459*(1-15%)*(1-F1459)</f>
        <v>169.91499999999999</v>
      </c>
      <c r="H1459" s="9">
        <v>199.90000000000001</v>
      </c>
      <c r="I1459" s="9">
        <f>H1459-G1459</f>
        <v>29.985000000000014</v>
      </c>
    </row>
    <row r="1460" ht="14.25">
      <c r="A1460" s="5">
        <v>54031</v>
      </c>
      <c r="B1460" s="6" t="s">
        <v>1515</v>
      </c>
      <c r="C1460" s="7" t="s">
        <v>21</v>
      </c>
      <c r="D1460" s="7" t="s">
        <v>61</v>
      </c>
      <c r="E1460" s="5" t="s">
        <v>15</v>
      </c>
      <c r="F1460" s="8"/>
      <c r="G1460" s="9">
        <f>H1460*(1-15%)*(1-F1460)</f>
        <v>229.41499999999996</v>
      </c>
      <c r="H1460" s="9">
        <v>269.89999999999998</v>
      </c>
      <c r="I1460" s="9">
        <f>H1460-G1460</f>
        <v>40.485000000000014</v>
      </c>
    </row>
    <row r="1461" ht="14.25">
      <c r="A1461" s="5">
        <v>54032</v>
      </c>
      <c r="B1461" s="6" t="s">
        <v>1516</v>
      </c>
      <c r="C1461" s="7" t="s">
        <v>65</v>
      </c>
      <c r="D1461" s="7" t="s">
        <v>61</v>
      </c>
      <c r="E1461" s="5" t="s">
        <v>15</v>
      </c>
      <c r="F1461" s="8"/>
      <c r="G1461" s="9">
        <f>H1461*(1-15%)*(1-F1461)</f>
        <v>152.91499999999999</v>
      </c>
      <c r="H1461" s="9">
        <v>179.90000000000001</v>
      </c>
      <c r="I1461" s="9">
        <f>H1461-G1461</f>
        <v>26.985000000000014</v>
      </c>
    </row>
    <row r="1462" ht="14.25">
      <c r="A1462" s="5">
        <v>54033</v>
      </c>
      <c r="B1462" s="6" t="s">
        <v>1517</v>
      </c>
      <c r="C1462" s="7" t="s">
        <v>30</v>
      </c>
      <c r="D1462" s="7" t="s">
        <v>61</v>
      </c>
      <c r="E1462" s="5" t="s">
        <v>15</v>
      </c>
      <c r="F1462" s="8"/>
      <c r="G1462" s="9">
        <f>H1462*(1-15%)*(1-F1462)</f>
        <v>169.91499999999999</v>
      </c>
      <c r="H1462" s="9">
        <v>199.90000000000001</v>
      </c>
      <c r="I1462" s="9">
        <f>H1462-G1462</f>
        <v>29.985000000000014</v>
      </c>
    </row>
    <row r="1463" ht="14.25">
      <c r="A1463" s="5">
        <v>54034</v>
      </c>
      <c r="B1463" s="6" t="s">
        <v>1518</v>
      </c>
      <c r="C1463" s="7" t="s">
        <v>251</v>
      </c>
      <c r="D1463" s="7" t="s">
        <v>61</v>
      </c>
      <c r="E1463" s="5" t="s">
        <v>15</v>
      </c>
      <c r="F1463" s="8"/>
      <c r="G1463" s="9">
        <f>H1463*(1-15%)*(1-F1463)</f>
        <v>186.91499999999999</v>
      </c>
      <c r="H1463" s="9">
        <v>219.90000000000001</v>
      </c>
      <c r="I1463" s="9">
        <f>H1463-G1463</f>
        <v>32.985000000000014</v>
      </c>
    </row>
    <row r="1464" ht="14.25">
      <c r="A1464" s="5">
        <v>54046</v>
      </c>
      <c r="B1464" s="6" t="s">
        <v>1519</v>
      </c>
      <c r="C1464" s="7" t="s">
        <v>14</v>
      </c>
      <c r="D1464" s="7" t="s">
        <v>61</v>
      </c>
      <c r="E1464" s="5" t="s">
        <v>15</v>
      </c>
      <c r="F1464" s="8"/>
      <c r="G1464" s="9">
        <f>H1464*(1-15%)*(1-F1464)</f>
        <v>144.41499999999999</v>
      </c>
      <c r="H1464" s="9">
        <v>169.90000000000001</v>
      </c>
      <c r="I1464" s="9">
        <f>H1464-G1464</f>
        <v>25.485000000000014</v>
      </c>
    </row>
    <row r="1465" ht="14.25">
      <c r="A1465" s="5">
        <v>55678</v>
      </c>
      <c r="B1465" s="6" t="s">
        <v>1520</v>
      </c>
      <c r="C1465" s="7" t="s">
        <v>17</v>
      </c>
      <c r="D1465" s="7" t="s">
        <v>61</v>
      </c>
      <c r="E1465" s="5" t="s">
        <v>15</v>
      </c>
      <c r="F1465" s="8"/>
      <c r="G1465" s="9">
        <f>H1465*(1-15%)*(1-F1465)</f>
        <v>186.91499999999999</v>
      </c>
      <c r="H1465" s="9">
        <v>219.90000000000001</v>
      </c>
      <c r="I1465" s="9">
        <f>H1465-G1465</f>
        <v>32.985000000000014</v>
      </c>
    </row>
    <row r="1466" ht="14.25">
      <c r="A1466" s="5">
        <v>55679</v>
      </c>
      <c r="B1466" s="6" t="s">
        <v>1521</v>
      </c>
      <c r="C1466" s="7" t="s">
        <v>70</v>
      </c>
      <c r="D1466" s="7" t="s">
        <v>61</v>
      </c>
      <c r="E1466" s="5" t="s">
        <v>15</v>
      </c>
      <c r="F1466" s="8"/>
      <c r="G1466" s="9">
        <f>H1466*(1-15%)*(1-F1466)</f>
        <v>199.66499999999999</v>
      </c>
      <c r="H1466" s="9">
        <v>234.90000000000001</v>
      </c>
      <c r="I1466" s="9">
        <f>H1466-G1466</f>
        <v>35.235000000000014</v>
      </c>
    </row>
    <row r="1467" ht="14.25">
      <c r="A1467" s="5">
        <v>53483</v>
      </c>
      <c r="B1467" s="6" t="s">
        <v>1522</v>
      </c>
      <c r="C1467" s="7" t="s">
        <v>79</v>
      </c>
      <c r="D1467" s="7" t="s">
        <v>52</v>
      </c>
      <c r="E1467" s="5" t="s">
        <v>703</v>
      </c>
      <c r="F1467" s="8"/>
      <c r="G1467" s="9">
        <f>H1467*(1-15%)*(1-F1467)</f>
        <v>67.915000000000006</v>
      </c>
      <c r="H1467" s="9">
        <v>79.900000000000006</v>
      </c>
      <c r="I1467" s="9">
        <f>H1467-G1467</f>
        <v>11.984999999999999</v>
      </c>
    </row>
    <row r="1468" ht="14.25">
      <c r="A1468" s="5">
        <v>55134</v>
      </c>
      <c r="B1468" s="6" t="s">
        <v>1523</v>
      </c>
      <c r="C1468" s="7" t="s">
        <v>705</v>
      </c>
      <c r="D1468" s="7" t="s">
        <v>103</v>
      </c>
      <c r="E1468" s="5" t="s">
        <v>15</v>
      </c>
      <c r="F1468" s="8"/>
      <c r="G1468" s="9">
        <f>H1468*(1-15%)*(1-F1468)</f>
        <v>49.214999999999996</v>
      </c>
      <c r="H1468" s="9">
        <v>57.899999999999999</v>
      </c>
      <c r="I1468" s="9">
        <f>H1468-G1468</f>
        <v>8.6850000000000023</v>
      </c>
    </row>
    <row r="1469" ht="14.25">
      <c r="A1469" s="5">
        <v>54325</v>
      </c>
      <c r="B1469" s="6" t="s">
        <v>1524</v>
      </c>
      <c r="C1469" s="7" t="s">
        <v>25</v>
      </c>
      <c r="D1469" s="7" t="s">
        <v>183</v>
      </c>
      <c r="E1469" s="5" t="s">
        <v>15</v>
      </c>
      <c r="F1469" s="8"/>
      <c r="G1469" s="9">
        <f>H1469*(1-15%)*(1-F1469)</f>
        <v>50.914999999999999</v>
      </c>
      <c r="H1469" s="9">
        <v>59.899999999999999</v>
      </c>
      <c r="I1469" s="9">
        <f>H1469-G1469</f>
        <v>8.9849999999999994</v>
      </c>
    </row>
    <row r="1470" ht="14.25">
      <c r="A1470" s="5">
        <v>54335</v>
      </c>
      <c r="B1470" s="6" t="s">
        <v>1525</v>
      </c>
      <c r="C1470" s="7" t="s">
        <v>251</v>
      </c>
      <c r="D1470" s="7" t="s">
        <v>183</v>
      </c>
      <c r="E1470" s="5" t="s">
        <v>15</v>
      </c>
      <c r="F1470" s="8"/>
      <c r="G1470" s="9">
        <f>H1470*(1-15%)*(1-F1470)</f>
        <v>59.415000000000006</v>
      </c>
      <c r="H1470" s="9">
        <v>69.900000000000006</v>
      </c>
      <c r="I1470" s="9">
        <f>H1470-G1470</f>
        <v>10.484999999999999</v>
      </c>
    </row>
    <row r="1471" ht="14.25">
      <c r="A1471" s="5">
        <v>53477</v>
      </c>
      <c r="B1471" s="6" t="s">
        <v>1526</v>
      </c>
      <c r="C1471" s="7" t="s">
        <v>79</v>
      </c>
      <c r="D1471" s="7" t="s">
        <v>52</v>
      </c>
      <c r="E1471" s="5" t="s">
        <v>703</v>
      </c>
      <c r="F1471" s="8"/>
      <c r="G1471" s="9">
        <f>H1471*(1-15%)*(1-F1471)</f>
        <v>83.215000000000003</v>
      </c>
      <c r="H1471" s="9">
        <v>97.900000000000006</v>
      </c>
      <c r="I1471" s="9">
        <f>H1471-G1471</f>
        <v>14.685000000000002</v>
      </c>
    </row>
    <row r="1472" ht="14.25">
      <c r="A1472" s="5">
        <v>54067</v>
      </c>
      <c r="B1472" s="6" t="s">
        <v>1527</v>
      </c>
      <c r="C1472" s="7" t="s">
        <v>17</v>
      </c>
      <c r="D1472" s="7" t="s">
        <v>11</v>
      </c>
      <c r="E1472" s="5" t="s">
        <v>15</v>
      </c>
      <c r="F1472" s="8"/>
      <c r="G1472" s="9">
        <f>H1472*(1-15%)*(1-F1472)</f>
        <v>62.815000000000005</v>
      </c>
      <c r="H1472" s="9">
        <v>73.900000000000006</v>
      </c>
      <c r="I1472" s="9">
        <f>H1472-G1472</f>
        <v>11.085000000000001</v>
      </c>
    </row>
    <row r="1473" ht="14.25">
      <c r="A1473" s="5">
        <v>53949</v>
      </c>
      <c r="B1473" s="6" t="s">
        <v>1528</v>
      </c>
      <c r="C1473" s="7" t="s">
        <v>79</v>
      </c>
      <c r="D1473" s="7" t="s">
        <v>183</v>
      </c>
      <c r="E1473" s="5" t="s">
        <v>15</v>
      </c>
      <c r="F1473" s="8"/>
      <c r="G1473" s="9">
        <f>H1473*(1-15%)*(1-F1473)</f>
        <v>42.414999999999999</v>
      </c>
      <c r="H1473" s="9">
        <v>49.899999999999999</v>
      </c>
      <c r="I1473" s="9">
        <f>H1473-G1473</f>
        <v>7.4849999999999994</v>
      </c>
    </row>
    <row r="1474" ht="14.25">
      <c r="A1474" s="5">
        <v>47963</v>
      </c>
      <c r="B1474" s="6" t="s">
        <v>1529</v>
      </c>
      <c r="C1474" s="7" t="s">
        <v>951</v>
      </c>
      <c r="D1474" s="7" t="s">
        <v>199</v>
      </c>
      <c r="E1474" s="5" t="s">
        <v>39</v>
      </c>
      <c r="F1474" s="8"/>
      <c r="G1474" s="9">
        <f>H1474*(1-15%)*(1-F1474)</f>
        <v>93.415000000000006</v>
      </c>
      <c r="H1474" s="9">
        <v>109.90000000000001</v>
      </c>
      <c r="I1474" s="9">
        <f>H1474-G1474</f>
        <v>16.484999999999999</v>
      </c>
    </row>
    <row r="1475" ht="14.25">
      <c r="A1475" s="5">
        <v>50395</v>
      </c>
      <c r="B1475" s="6" t="s">
        <v>1530</v>
      </c>
      <c r="C1475" s="7" t="s">
        <v>951</v>
      </c>
      <c r="D1475" s="7" t="s">
        <v>199</v>
      </c>
      <c r="E1475" s="5" t="s">
        <v>39</v>
      </c>
      <c r="F1475" s="8"/>
      <c r="G1475" s="9">
        <f>H1475*(1-15%)*(1-F1475)</f>
        <v>76.415000000000006</v>
      </c>
      <c r="H1475" s="9">
        <v>89.900000000000006</v>
      </c>
      <c r="I1475" s="9">
        <f>H1475-G1475</f>
        <v>13.484999999999999</v>
      </c>
    </row>
    <row r="1476" ht="14.25">
      <c r="A1476" s="5">
        <v>52342</v>
      </c>
      <c r="B1476" s="6" t="s">
        <v>1531</v>
      </c>
      <c r="C1476" s="7" t="s">
        <v>951</v>
      </c>
      <c r="D1476" s="7" t="s">
        <v>199</v>
      </c>
      <c r="E1476" s="5" t="s">
        <v>39</v>
      </c>
      <c r="F1476" s="8"/>
      <c r="G1476" s="9">
        <f>H1476*(1-15%)*(1-F1476)</f>
        <v>101.91500000000001</v>
      </c>
      <c r="H1476" s="9">
        <v>119.90000000000001</v>
      </c>
      <c r="I1476" s="9">
        <f>H1476-G1476</f>
        <v>17.984999999999999</v>
      </c>
    </row>
    <row r="1477" ht="14.25">
      <c r="A1477" s="5">
        <v>47962</v>
      </c>
      <c r="B1477" s="6" t="s">
        <v>1532</v>
      </c>
      <c r="C1477" s="7" t="s">
        <v>951</v>
      </c>
      <c r="D1477" s="7" t="s">
        <v>199</v>
      </c>
      <c r="E1477" s="5" t="s">
        <v>39</v>
      </c>
      <c r="F1477" s="8"/>
      <c r="G1477" s="9">
        <f>H1477*(1-15%)*(1-F1477)</f>
        <v>67.915000000000006</v>
      </c>
      <c r="H1477" s="9">
        <v>79.900000000000006</v>
      </c>
      <c r="I1477" s="9">
        <f>H1477-G1477</f>
        <v>11.984999999999999</v>
      </c>
    </row>
    <row r="1478" ht="14.25">
      <c r="A1478" s="5">
        <v>50396</v>
      </c>
      <c r="B1478" s="6" t="s">
        <v>1533</v>
      </c>
      <c r="C1478" s="7" t="s">
        <v>951</v>
      </c>
      <c r="D1478" s="7" t="s">
        <v>199</v>
      </c>
      <c r="E1478" s="5" t="s">
        <v>43</v>
      </c>
      <c r="F1478" s="8"/>
      <c r="G1478" s="9">
        <f>H1478*(1-15%)*(1-F1478)</f>
        <v>65.365000000000009</v>
      </c>
      <c r="H1478" s="9">
        <v>76.900000000000006</v>
      </c>
      <c r="I1478" s="9">
        <f>H1478-G1478</f>
        <v>11.534999999999997</v>
      </c>
    </row>
    <row r="1479" ht="14.25">
      <c r="A1479" s="5">
        <v>83147</v>
      </c>
      <c r="B1479" s="6" t="s">
        <v>1534</v>
      </c>
      <c r="C1479" s="7" t="s">
        <v>94</v>
      </c>
      <c r="D1479" s="7" t="s">
        <v>95</v>
      </c>
      <c r="E1479" s="5" t="s">
        <v>43</v>
      </c>
      <c r="F1479" s="8"/>
      <c r="G1479" s="9">
        <f>H1479*(1-15%)*(1-F1479)</f>
        <v>32.214999999999996</v>
      </c>
      <c r="H1479" s="9">
        <v>37.899999999999999</v>
      </c>
      <c r="I1479" s="9">
        <f>H1479-G1479</f>
        <v>5.6850000000000023</v>
      </c>
    </row>
    <row r="1480" ht="14.25">
      <c r="A1480" s="5">
        <v>83151</v>
      </c>
      <c r="B1480" s="6" t="s">
        <v>1535</v>
      </c>
      <c r="C1480" s="7" t="s">
        <v>94</v>
      </c>
      <c r="D1480" s="7" t="s">
        <v>95</v>
      </c>
      <c r="E1480" s="5" t="s">
        <v>43</v>
      </c>
      <c r="F1480" s="8"/>
      <c r="G1480" s="9">
        <f>H1480*(1-15%)*(1-F1480)</f>
        <v>32.214999999999996</v>
      </c>
      <c r="H1480" s="9">
        <v>37.899999999999999</v>
      </c>
      <c r="I1480" s="9">
        <f>H1480-G1480</f>
        <v>5.6850000000000023</v>
      </c>
    </row>
    <row r="1481" ht="14.25">
      <c r="A1481" s="5">
        <v>83156</v>
      </c>
      <c r="B1481" s="6" t="s">
        <v>1536</v>
      </c>
      <c r="C1481" s="7" t="s">
        <v>94</v>
      </c>
      <c r="D1481" s="7" t="s">
        <v>95</v>
      </c>
      <c r="E1481" s="5" t="s">
        <v>43</v>
      </c>
      <c r="F1481" s="8"/>
      <c r="G1481" s="9">
        <f>H1481*(1-15%)*(1-F1481)</f>
        <v>32.214999999999996</v>
      </c>
      <c r="H1481" s="9">
        <v>37.899999999999999</v>
      </c>
      <c r="I1481" s="9">
        <f>H1481-G1481</f>
        <v>5.6850000000000023</v>
      </c>
    </row>
    <row r="1482" ht="14.25">
      <c r="A1482" s="5">
        <v>83124</v>
      </c>
      <c r="B1482" s="6" t="s">
        <v>1537</v>
      </c>
      <c r="C1482" s="7" t="s">
        <v>94</v>
      </c>
      <c r="D1482" s="7" t="s">
        <v>95</v>
      </c>
      <c r="E1482" s="5" t="s">
        <v>43</v>
      </c>
      <c r="F1482" s="8"/>
      <c r="G1482" s="9">
        <f>H1482*(1-15%)*(1-F1482)</f>
        <v>53.464999999999996</v>
      </c>
      <c r="H1482" s="9">
        <v>62.899999999999999</v>
      </c>
      <c r="I1482" s="9">
        <f>H1482-G1482</f>
        <v>9.4350000000000023</v>
      </c>
    </row>
    <row r="1483" ht="14.25">
      <c r="A1483" s="5">
        <v>50831</v>
      </c>
      <c r="B1483" s="6" t="s">
        <v>1538</v>
      </c>
      <c r="C1483" s="7" t="s">
        <v>36</v>
      </c>
      <c r="D1483" s="7" t="s">
        <v>11</v>
      </c>
      <c r="E1483" s="5" t="s">
        <v>26</v>
      </c>
      <c r="F1483" s="8"/>
      <c r="G1483" s="9">
        <f>H1483*(1-15%)*(1-F1483)</f>
        <v>148.66499999999999</v>
      </c>
      <c r="H1483" s="9">
        <v>174.90000000000001</v>
      </c>
      <c r="I1483" s="9">
        <f>H1483-G1483</f>
        <v>26.235000000000014</v>
      </c>
    </row>
    <row r="1484" ht="14.25">
      <c r="A1484" s="5">
        <v>51242</v>
      </c>
      <c r="B1484" s="6" t="s">
        <v>1539</v>
      </c>
      <c r="C1484" s="7" t="s">
        <v>36</v>
      </c>
      <c r="D1484" s="7" t="s">
        <v>11</v>
      </c>
      <c r="E1484" s="5" t="s">
        <v>39</v>
      </c>
      <c r="F1484" s="8"/>
      <c r="G1484" s="9">
        <f>H1484*(1-15%)*(1-F1484)</f>
        <v>148.66499999999999</v>
      </c>
      <c r="H1484" s="9">
        <v>174.90000000000001</v>
      </c>
      <c r="I1484" s="9">
        <f>H1484-G1484</f>
        <v>26.235000000000014</v>
      </c>
    </row>
    <row r="1485" ht="14.25">
      <c r="A1485" s="5">
        <v>51243</v>
      </c>
      <c r="B1485" s="6" t="s">
        <v>1540</v>
      </c>
      <c r="C1485" s="7" t="s">
        <v>36</v>
      </c>
      <c r="D1485" s="7" t="s">
        <v>11</v>
      </c>
      <c r="E1485" s="5" t="s">
        <v>39</v>
      </c>
      <c r="F1485" s="8"/>
      <c r="G1485" s="9">
        <f>H1485*(1-15%)*(1-F1485)</f>
        <v>148.66499999999999</v>
      </c>
      <c r="H1485" s="9">
        <v>174.90000000000001</v>
      </c>
      <c r="I1485" s="9">
        <f>H1485-G1485</f>
        <v>26.235000000000014</v>
      </c>
    </row>
    <row r="1486" ht="14.25">
      <c r="A1486" s="5">
        <v>51262</v>
      </c>
      <c r="B1486" s="6" t="s">
        <v>1541</v>
      </c>
      <c r="C1486" s="7" t="s">
        <v>36</v>
      </c>
      <c r="D1486" s="7" t="s">
        <v>11</v>
      </c>
      <c r="E1486" s="5" t="s">
        <v>39</v>
      </c>
      <c r="F1486" s="8"/>
      <c r="G1486" s="9">
        <f>H1486*(1-15%)*(1-F1486)</f>
        <v>148.66499999999999</v>
      </c>
      <c r="H1486" s="9">
        <v>174.90000000000001</v>
      </c>
      <c r="I1486" s="9">
        <f>H1486-G1486</f>
        <v>26.235000000000014</v>
      </c>
    </row>
    <row r="1487" ht="14.25">
      <c r="A1487" s="5">
        <v>55659</v>
      </c>
      <c r="B1487" s="6" t="s">
        <v>1542</v>
      </c>
      <c r="C1487" s="7" t="s">
        <v>17</v>
      </c>
      <c r="D1487" s="7" t="s">
        <v>11</v>
      </c>
      <c r="E1487" s="5" t="s">
        <v>68</v>
      </c>
      <c r="F1487" s="8"/>
      <c r="G1487" s="9">
        <f>H1487*(1-15%)*(1-F1487)</f>
        <v>140.16499999999999</v>
      </c>
      <c r="H1487" s="9">
        <v>164.90000000000001</v>
      </c>
      <c r="I1487" s="9">
        <f>H1487-G1487</f>
        <v>24.735000000000014</v>
      </c>
    </row>
    <row r="1488" ht="14.25">
      <c r="A1488" s="5">
        <v>56530</v>
      </c>
      <c r="B1488" s="6" t="s">
        <v>1543</v>
      </c>
      <c r="C1488" s="7" t="s">
        <v>17</v>
      </c>
      <c r="D1488" s="7" t="s">
        <v>45</v>
      </c>
      <c r="E1488" s="5" t="s">
        <v>15</v>
      </c>
      <c r="F1488" s="8"/>
      <c r="G1488" s="9">
        <f>H1488*(1-15%)*(1-F1488)</f>
        <v>56.865000000000002</v>
      </c>
      <c r="H1488" s="9">
        <v>66.900000000000006</v>
      </c>
      <c r="I1488" s="9">
        <f>H1488-G1488</f>
        <v>10.035000000000004</v>
      </c>
    </row>
    <row r="1489" ht="14.25">
      <c r="A1489" s="5">
        <v>49049</v>
      </c>
      <c r="B1489" s="6" t="s">
        <v>1544</v>
      </c>
      <c r="C1489" s="7" t="s">
        <v>82</v>
      </c>
      <c r="D1489" s="7" t="s">
        <v>45</v>
      </c>
      <c r="E1489" s="5" t="s">
        <v>15</v>
      </c>
      <c r="F1489" s="8"/>
      <c r="G1489" s="9">
        <f>H1489*(1-15%)*(1-F1489)</f>
        <v>31.364999999999998</v>
      </c>
      <c r="H1489" s="9">
        <v>36.899999999999999</v>
      </c>
      <c r="I1489" s="9">
        <f>H1489-G1489</f>
        <v>5.5350000000000001</v>
      </c>
    </row>
    <row r="1490" ht="14.25">
      <c r="A1490" s="5">
        <v>49053</v>
      </c>
      <c r="B1490" s="6" t="s">
        <v>1545</v>
      </c>
      <c r="C1490" s="7" t="s">
        <v>82</v>
      </c>
      <c r="D1490" s="7" t="s">
        <v>45</v>
      </c>
      <c r="E1490" s="5" t="s">
        <v>15</v>
      </c>
      <c r="F1490" s="8"/>
      <c r="G1490" s="9">
        <f>H1490*(1-15%)*(1-F1490)</f>
        <v>21.164999999999999</v>
      </c>
      <c r="H1490" s="9">
        <v>24.899999999999999</v>
      </c>
      <c r="I1490" s="9">
        <f>H1490-G1490</f>
        <v>3.7349999999999994</v>
      </c>
    </row>
    <row r="1491" ht="14.25">
      <c r="A1491" s="5">
        <v>49054</v>
      </c>
      <c r="B1491" s="6" t="s">
        <v>1546</v>
      </c>
      <c r="C1491" s="7" t="s">
        <v>82</v>
      </c>
      <c r="D1491" s="7" t="s">
        <v>45</v>
      </c>
      <c r="E1491" s="5" t="s">
        <v>43</v>
      </c>
      <c r="F1491" s="8"/>
      <c r="G1491" s="9">
        <f>H1491*(1-15%)*(1-F1491)</f>
        <v>21.164999999999999</v>
      </c>
      <c r="H1491" s="9">
        <v>24.899999999999999</v>
      </c>
      <c r="I1491" s="9">
        <f>H1491-G1491</f>
        <v>3.7349999999999994</v>
      </c>
    </row>
    <row r="1492" ht="14.25">
      <c r="A1492" s="5">
        <v>49055</v>
      </c>
      <c r="B1492" s="6" t="s">
        <v>1547</v>
      </c>
      <c r="C1492" s="7" t="s">
        <v>82</v>
      </c>
      <c r="D1492" s="7" t="s">
        <v>45</v>
      </c>
      <c r="E1492" s="5" t="s">
        <v>15</v>
      </c>
      <c r="F1492" s="8"/>
      <c r="G1492" s="9">
        <f>H1492*(1-15%)*(1-F1492)</f>
        <v>21.164999999999999</v>
      </c>
      <c r="H1492" s="9">
        <v>24.899999999999999</v>
      </c>
      <c r="I1492" s="9">
        <f>H1492-G1492</f>
        <v>3.7349999999999994</v>
      </c>
    </row>
    <row r="1493" ht="14.25">
      <c r="A1493" s="5">
        <v>49056</v>
      </c>
      <c r="B1493" s="6" t="s">
        <v>1548</v>
      </c>
      <c r="C1493" s="7" t="s">
        <v>82</v>
      </c>
      <c r="D1493" s="7" t="s">
        <v>45</v>
      </c>
      <c r="E1493" s="5" t="s">
        <v>68</v>
      </c>
      <c r="F1493" s="8"/>
      <c r="G1493" s="9">
        <f>H1493*(1-15%)*(1-F1493)</f>
        <v>21.164999999999999</v>
      </c>
      <c r="H1493" s="9">
        <v>24.899999999999999</v>
      </c>
      <c r="I1493" s="9">
        <f>H1493-G1493</f>
        <v>3.7349999999999994</v>
      </c>
    </row>
    <row r="1494" ht="14.25">
      <c r="A1494" s="5">
        <v>49823</v>
      </c>
      <c r="B1494" s="6" t="s">
        <v>1549</v>
      </c>
      <c r="C1494" s="7" t="s">
        <v>82</v>
      </c>
      <c r="D1494" s="7" t="s">
        <v>45</v>
      </c>
      <c r="E1494" s="5" t="s">
        <v>15</v>
      </c>
      <c r="F1494" s="8"/>
      <c r="G1494" s="9">
        <f>H1494*(1-15%)*(1-F1494)</f>
        <v>50.914999999999999</v>
      </c>
      <c r="H1494" s="9">
        <v>59.899999999999999</v>
      </c>
      <c r="I1494" s="9">
        <f>H1494-G1494</f>
        <v>8.9849999999999994</v>
      </c>
    </row>
    <row r="1495" ht="14.25">
      <c r="A1495" s="5">
        <v>49824</v>
      </c>
      <c r="B1495" s="6" t="s">
        <v>1550</v>
      </c>
      <c r="C1495" s="7" t="s">
        <v>82</v>
      </c>
      <c r="D1495" s="7" t="s">
        <v>45</v>
      </c>
      <c r="E1495" s="5" t="s">
        <v>15</v>
      </c>
      <c r="F1495" s="8"/>
      <c r="G1495" s="9">
        <f>H1495*(1-15%)*(1-F1495)</f>
        <v>46.664999999999999</v>
      </c>
      <c r="H1495" s="9">
        <v>54.899999999999999</v>
      </c>
      <c r="I1495" s="9">
        <f>H1495-G1495</f>
        <v>8.2349999999999994</v>
      </c>
    </row>
    <row r="1496" ht="14.25">
      <c r="A1496" s="5">
        <v>49825</v>
      </c>
      <c r="B1496" s="6" t="s">
        <v>1551</v>
      </c>
      <c r="C1496" s="7" t="s">
        <v>82</v>
      </c>
      <c r="D1496" s="7" t="s">
        <v>45</v>
      </c>
      <c r="E1496" s="5" t="s">
        <v>15</v>
      </c>
      <c r="F1496" s="8"/>
      <c r="G1496" s="9">
        <f>H1496*(1-15%)*(1-F1496)</f>
        <v>63.665000000000006</v>
      </c>
      <c r="H1496" s="9">
        <v>74.900000000000006</v>
      </c>
      <c r="I1496" s="9">
        <f>H1496-G1496</f>
        <v>11.234999999999999</v>
      </c>
    </row>
    <row r="1497" ht="14.25">
      <c r="A1497" s="5">
        <v>49878</v>
      </c>
      <c r="B1497" s="6" t="s">
        <v>1552</v>
      </c>
      <c r="C1497" s="7" t="s">
        <v>82</v>
      </c>
      <c r="D1497" s="7" t="s">
        <v>45</v>
      </c>
      <c r="E1497" s="5" t="s">
        <v>26</v>
      </c>
      <c r="F1497" s="8"/>
      <c r="G1497" s="9">
        <f>H1497*(1-15%)*(1-F1497)</f>
        <v>63.665000000000006</v>
      </c>
      <c r="H1497" s="9">
        <v>74.900000000000006</v>
      </c>
      <c r="I1497" s="9">
        <f>H1497-G1497</f>
        <v>11.234999999999999</v>
      </c>
    </row>
    <row r="1498" ht="14.25">
      <c r="A1498" s="5">
        <v>49879</v>
      </c>
      <c r="B1498" s="6" t="s">
        <v>1553</v>
      </c>
      <c r="C1498" s="7" t="s">
        <v>82</v>
      </c>
      <c r="D1498" s="7" t="s">
        <v>45</v>
      </c>
      <c r="E1498" s="5" t="s">
        <v>26</v>
      </c>
      <c r="F1498" s="8"/>
      <c r="G1498" s="9">
        <f>H1498*(1-15%)*(1-F1498)</f>
        <v>50.914999999999999</v>
      </c>
      <c r="H1498" s="9">
        <v>59.899999999999999</v>
      </c>
      <c r="I1498" s="9">
        <f>H1498-G1498</f>
        <v>8.9849999999999994</v>
      </c>
    </row>
    <row r="1499" ht="14.25">
      <c r="A1499" s="5">
        <v>49880</v>
      </c>
      <c r="B1499" s="6" t="s">
        <v>1554</v>
      </c>
      <c r="C1499" s="7" t="s">
        <v>82</v>
      </c>
      <c r="D1499" s="7" t="s">
        <v>45</v>
      </c>
      <c r="E1499" s="5" t="s">
        <v>39</v>
      </c>
      <c r="F1499" s="8"/>
      <c r="G1499" s="9">
        <f>H1499*(1-15%)*(1-F1499)</f>
        <v>46.664999999999999</v>
      </c>
      <c r="H1499" s="9">
        <v>54.899999999999999</v>
      </c>
      <c r="I1499" s="9">
        <f>H1499-G1499</f>
        <v>8.2349999999999994</v>
      </c>
    </row>
    <row r="1500" ht="14.25">
      <c r="A1500" s="5">
        <v>49881</v>
      </c>
      <c r="B1500" s="6" t="s">
        <v>1555</v>
      </c>
      <c r="C1500" s="7" t="s">
        <v>82</v>
      </c>
      <c r="D1500" s="7" t="s">
        <v>45</v>
      </c>
      <c r="E1500" s="5" t="s">
        <v>43</v>
      </c>
      <c r="F1500" s="8"/>
      <c r="G1500" s="9">
        <f>H1500*(1-15%)*(1-F1500)</f>
        <v>63.665000000000006</v>
      </c>
      <c r="H1500" s="9">
        <v>74.900000000000006</v>
      </c>
      <c r="I1500" s="9">
        <f>H1500-G1500</f>
        <v>11.234999999999999</v>
      </c>
    </row>
    <row r="1501" ht="14.25">
      <c r="A1501" s="5">
        <v>49882</v>
      </c>
      <c r="B1501" s="6" t="s">
        <v>1556</v>
      </c>
      <c r="C1501" s="7" t="s">
        <v>82</v>
      </c>
      <c r="D1501" s="7" t="s">
        <v>45</v>
      </c>
      <c r="E1501" s="5" t="s">
        <v>26</v>
      </c>
      <c r="F1501" s="8"/>
      <c r="G1501" s="9">
        <f>H1501*(1-15%)*(1-F1501)</f>
        <v>46.664999999999999</v>
      </c>
      <c r="H1501" s="9">
        <v>54.899999999999999</v>
      </c>
      <c r="I1501" s="9">
        <f>H1501-G1501</f>
        <v>8.2349999999999994</v>
      </c>
    </row>
    <row r="1502" ht="14.25">
      <c r="A1502" s="5">
        <v>49883</v>
      </c>
      <c r="B1502" s="6" t="s">
        <v>1557</v>
      </c>
      <c r="C1502" s="7" t="s">
        <v>82</v>
      </c>
      <c r="D1502" s="7" t="s">
        <v>45</v>
      </c>
      <c r="E1502" s="5" t="s">
        <v>26</v>
      </c>
      <c r="F1502" s="8"/>
      <c r="G1502" s="9">
        <f>H1502*(1-15%)*(1-F1502)</f>
        <v>50.914999999999999</v>
      </c>
      <c r="H1502" s="9">
        <v>59.899999999999999</v>
      </c>
      <c r="I1502" s="9">
        <f>H1502-G1502</f>
        <v>8.9849999999999994</v>
      </c>
    </row>
    <row r="1503" ht="14.25">
      <c r="A1503" s="5">
        <v>49884</v>
      </c>
      <c r="B1503" s="6" t="s">
        <v>1558</v>
      </c>
      <c r="C1503" s="7" t="s">
        <v>82</v>
      </c>
      <c r="D1503" s="7" t="s">
        <v>45</v>
      </c>
      <c r="E1503" s="5" t="s">
        <v>15</v>
      </c>
      <c r="F1503" s="8"/>
      <c r="G1503" s="9">
        <f>H1503*(1-15%)*(1-F1503)</f>
        <v>63.665000000000006</v>
      </c>
      <c r="H1503" s="9">
        <v>74.900000000000006</v>
      </c>
      <c r="I1503" s="9">
        <f>H1503-G1503</f>
        <v>11.234999999999999</v>
      </c>
    </row>
    <row r="1504" ht="14.25">
      <c r="A1504" s="5">
        <v>49886</v>
      </c>
      <c r="B1504" s="6" t="s">
        <v>1559</v>
      </c>
      <c r="C1504" s="7" t="s">
        <v>82</v>
      </c>
      <c r="D1504" s="7" t="s">
        <v>45</v>
      </c>
      <c r="E1504" s="5" t="s">
        <v>68</v>
      </c>
      <c r="F1504" s="8"/>
      <c r="G1504" s="9">
        <f>H1504*(1-15%)*(1-F1504)</f>
        <v>50.914999999999999</v>
      </c>
      <c r="H1504" s="9">
        <v>59.899999999999999</v>
      </c>
      <c r="I1504" s="9">
        <f>H1504-G1504</f>
        <v>8.9849999999999994</v>
      </c>
    </row>
    <row r="1505" ht="14.25">
      <c r="A1505" s="5">
        <v>49887</v>
      </c>
      <c r="B1505" s="6" t="s">
        <v>1560</v>
      </c>
      <c r="C1505" s="7" t="s">
        <v>82</v>
      </c>
      <c r="D1505" s="7" t="s">
        <v>45</v>
      </c>
      <c r="E1505" s="5" t="s">
        <v>43</v>
      </c>
      <c r="F1505" s="8"/>
      <c r="G1505" s="9">
        <f>H1505*(1-15%)*(1-F1505)</f>
        <v>50.914999999999999</v>
      </c>
      <c r="H1505" s="9">
        <v>59.899999999999999</v>
      </c>
      <c r="I1505" s="9">
        <f>H1505-G1505</f>
        <v>8.9849999999999994</v>
      </c>
    </row>
    <row r="1506" ht="14.25">
      <c r="A1506" s="5">
        <v>49888</v>
      </c>
      <c r="B1506" s="6" t="s">
        <v>1561</v>
      </c>
      <c r="C1506" s="7" t="s">
        <v>82</v>
      </c>
      <c r="D1506" s="7" t="s">
        <v>45</v>
      </c>
      <c r="E1506" s="5" t="s">
        <v>43</v>
      </c>
      <c r="F1506" s="8"/>
      <c r="G1506" s="9">
        <f>H1506*(1-15%)*(1-F1506)</f>
        <v>63.665000000000006</v>
      </c>
      <c r="H1506" s="9">
        <v>74.900000000000006</v>
      </c>
      <c r="I1506" s="9">
        <f>H1506-G1506</f>
        <v>11.234999999999999</v>
      </c>
    </row>
    <row r="1507" ht="14.25">
      <c r="A1507" s="5">
        <v>49890</v>
      </c>
      <c r="B1507" s="6" t="s">
        <v>1562</v>
      </c>
      <c r="C1507" s="7" t="s">
        <v>82</v>
      </c>
      <c r="D1507" s="7" t="s">
        <v>45</v>
      </c>
      <c r="E1507" s="5" t="s">
        <v>43</v>
      </c>
      <c r="F1507" s="8"/>
      <c r="G1507" s="9">
        <f>H1507*(1-15%)*(1-F1507)</f>
        <v>46.664999999999999</v>
      </c>
      <c r="H1507" s="9">
        <v>54.899999999999999</v>
      </c>
      <c r="I1507" s="9">
        <f>H1507-G1507</f>
        <v>8.2349999999999994</v>
      </c>
    </row>
    <row r="1508" ht="14.25">
      <c r="A1508" s="5">
        <v>49893</v>
      </c>
      <c r="B1508" s="6" t="s">
        <v>1563</v>
      </c>
      <c r="C1508" s="7" t="s">
        <v>82</v>
      </c>
      <c r="D1508" s="7" t="s">
        <v>45</v>
      </c>
      <c r="E1508" s="5" t="s">
        <v>26</v>
      </c>
      <c r="F1508" s="8"/>
      <c r="G1508" s="9">
        <f>H1508*(1-15%)*(1-F1508)</f>
        <v>63.665000000000006</v>
      </c>
      <c r="H1508" s="9">
        <v>74.900000000000006</v>
      </c>
      <c r="I1508" s="9">
        <f>H1508-G1508</f>
        <v>11.234999999999999</v>
      </c>
    </row>
    <row r="1509" ht="14.25">
      <c r="A1509" s="5">
        <v>49896</v>
      </c>
      <c r="B1509" s="6" t="s">
        <v>1564</v>
      </c>
      <c r="C1509" s="7" t="s">
        <v>82</v>
      </c>
      <c r="D1509" s="7" t="s">
        <v>45</v>
      </c>
      <c r="E1509" s="5" t="s">
        <v>39</v>
      </c>
      <c r="F1509" s="8"/>
      <c r="G1509" s="9">
        <f>H1509*(1-15%)*(1-F1509)</f>
        <v>46.664999999999999</v>
      </c>
      <c r="H1509" s="9">
        <v>54.899999999999999</v>
      </c>
      <c r="I1509" s="9">
        <f>H1509-G1509</f>
        <v>8.2349999999999994</v>
      </c>
    </row>
    <row r="1510" ht="14.25">
      <c r="A1510" s="5">
        <v>49897</v>
      </c>
      <c r="B1510" s="6" t="s">
        <v>1565</v>
      </c>
      <c r="C1510" s="7" t="s">
        <v>82</v>
      </c>
      <c r="D1510" s="7" t="s">
        <v>45</v>
      </c>
      <c r="E1510" s="5" t="s">
        <v>39</v>
      </c>
      <c r="F1510" s="8"/>
      <c r="G1510" s="9">
        <f>H1510*(1-15%)*(1-F1510)</f>
        <v>63.665000000000006</v>
      </c>
      <c r="H1510" s="9">
        <v>74.900000000000006</v>
      </c>
      <c r="I1510" s="9">
        <f>H1510-G1510</f>
        <v>11.234999999999999</v>
      </c>
    </row>
    <row r="1511" ht="14.25">
      <c r="A1511" s="5">
        <v>49898</v>
      </c>
      <c r="B1511" s="6" t="s">
        <v>1566</v>
      </c>
      <c r="C1511" s="7" t="s">
        <v>82</v>
      </c>
      <c r="D1511" s="7" t="s">
        <v>45</v>
      </c>
      <c r="E1511" s="5" t="s">
        <v>39</v>
      </c>
      <c r="F1511" s="8"/>
      <c r="G1511" s="9">
        <f>H1511*(1-15%)*(1-F1511)</f>
        <v>46.664999999999999</v>
      </c>
      <c r="H1511" s="9">
        <v>54.899999999999999</v>
      </c>
      <c r="I1511" s="9">
        <f>H1511-G1511</f>
        <v>8.2349999999999994</v>
      </c>
    </row>
    <row r="1512" ht="14.25">
      <c r="A1512" s="5">
        <v>49903</v>
      </c>
      <c r="B1512" s="6" t="s">
        <v>1567</v>
      </c>
      <c r="C1512" s="7" t="s">
        <v>82</v>
      </c>
      <c r="D1512" s="7" t="s">
        <v>45</v>
      </c>
      <c r="E1512" s="5" t="s">
        <v>43</v>
      </c>
      <c r="F1512" s="8"/>
      <c r="G1512" s="9">
        <f>H1512*(1-15%)*(1-F1512)</f>
        <v>46.664999999999999</v>
      </c>
      <c r="H1512" s="9">
        <v>54.899999999999999</v>
      </c>
      <c r="I1512" s="9">
        <f>H1512-G1512</f>
        <v>8.2349999999999994</v>
      </c>
    </row>
    <row r="1513" ht="14.25">
      <c r="A1513" s="5">
        <v>49943</v>
      </c>
      <c r="B1513" s="6" t="s">
        <v>1568</v>
      </c>
      <c r="C1513" s="7" t="s">
        <v>82</v>
      </c>
      <c r="D1513" s="7" t="s">
        <v>45</v>
      </c>
      <c r="E1513" s="5" t="s">
        <v>43</v>
      </c>
      <c r="F1513" s="8"/>
      <c r="G1513" s="9">
        <f>H1513*(1-15%)*(1-F1513)</f>
        <v>63.665000000000006</v>
      </c>
      <c r="H1513" s="9">
        <v>74.900000000000006</v>
      </c>
      <c r="I1513" s="9">
        <f>H1513-G1513</f>
        <v>11.234999999999999</v>
      </c>
    </row>
    <row r="1514" ht="14.25">
      <c r="A1514" s="5">
        <v>49944</v>
      </c>
      <c r="B1514" s="6" t="s">
        <v>1569</v>
      </c>
      <c r="C1514" s="7" t="s">
        <v>82</v>
      </c>
      <c r="D1514" s="7" t="s">
        <v>45</v>
      </c>
      <c r="E1514" s="5" t="s">
        <v>43</v>
      </c>
      <c r="F1514" s="8"/>
      <c r="G1514" s="9">
        <f>H1514*(1-15%)*(1-F1514)</f>
        <v>50.914999999999999</v>
      </c>
      <c r="H1514" s="9">
        <v>59.899999999999999</v>
      </c>
      <c r="I1514" s="9">
        <f>H1514-G1514</f>
        <v>8.9849999999999994</v>
      </c>
    </row>
    <row r="1515" ht="14.25">
      <c r="A1515" s="5">
        <v>49945</v>
      </c>
      <c r="B1515" s="6" t="s">
        <v>1570</v>
      </c>
      <c r="C1515" s="7" t="s">
        <v>82</v>
      </c>
      <c r="D1515" s="7" t="s">
        <v>45</v>
      </c>
      <c r="E1515" s="5" t="s">
        <v>26</v>
      </c>
      <c r="F1515" s="8"/>
      <c r="G1515" s="9">
        <f>H1515*(1-15%)*(1-F1515)</f>
        <v>50.914999999999999</v>
      </c>
      <c r="H1515" s="9">
        <v>59.899999999999999</v>
      </c>
      <c r="I1515" s="9">
        <f>H1515-G1515</f>
        <v>8.9849999999999994</v>
      </c>
    </row>
    <row r="1516" ht="14.25">
      <c r="A1516" s="5">
        <v>50726</v>
      </c>
      <c r="B1516" s="6" t="s">
        <v>1571</v>
      </c>
      <c r="C1516" s="7" t="s">
        <v>36</v>
      </c>
      <c r="D1516" s="7" t="s">
        <v>71</v>
      </c>
      <c r="E1516" s="5" t="s">
        <v>43</v>
      </c>
      <c r="F1516" s="8"/>
      <c r="G1516" s="9">
        <f>H1516*(1-15%)*(1-F1516)</f>
        <v>33.914999999999999</v>
      </c>
      <c r="H1516" s="9">
        <v>39.899999999999999</v>
      </c>
      <c r="I1516" s="9">
        <f>H1516-G1516</f>
        <v>5.9849999999999994</v>
      </c>
    </row>
    <row r="1517" ht="14.25">
      <c r="A1517" s="5">
        <v>50879</v>
      </c>
      <c r="B1517" s="6" t="s">
        <v>1572</v>
      </c>
      <c r="C1517" s="7" t="s">
        <v>82</v>
      </c>
      <c r="D1517" s="7" t="s">
        <v>103</v>
      </c>
      <c r="E1517" s="5" t="s">
        <v>43</v>
      </c>
      <c r="F1517" s="8"/>
      <c r="G1517" s="9">
        <f>H1517*(1-15%)*(1-F1517)</f>
        <v>31.364999999999998</v>
      </c>
      <c r="H1517" s="9">
        <v>36.899999999999999</v>
      </c>
      <c r="I1517" s="9">
        <f>H1517-G1517</f>
        <v>5.5350000000000001</v>
      </c>
    </row>
    <row r="1518" ht="14.25">
      <c r="A1518" s="5">
        <v>50880</v>
      </c>
      <c r="B1518" s="6" t="s">
        <v>1573</v>
      </c>
      <c r="C1518" s="7" t="s">
        <v>82</v>
      </c>
      <c r="D1518" s="7" t="s">
        <v>103</v>
      </c>
      <c r="E1518" s="5" t="s">
        <v>26</v>
      </c>
      <c r="F1518" s="8"/>
      <c r="G1518" s="9">
        <f>H1518*(1-15%)*(1-F1518)</f>
        <v>31.364999999999998</v>
      </c>
      <c r="H1518" s="9">
        <v>36.899999999999999</v>
      </c>
      <c r="I1518" s="9">
        <f>H1518-G1518</f>
        <v>5.5350000000000001</v>
      </c>
    </row>
    <row r="1519" ht="14.25">
      <c r="A1519" s="5">
        <v>50881</v>
      </c>
      <c r="B1519" s="6" t="s">
        <v>1574</v>
      </c>
      <c r="C1519" s="7" t="s">
        <v>82</v>
      </c>
      <c r="D1519" s="7" t="s">
        <v>11</v>
      </c>
      <c r="E1519" s="5" t="s">
        <v>12</v>
      </c>
      <c r="F1519" s="8"/>
      <c r="G1519" s="9">
        <f>H1519*(1-15%)*(1-F1519)</f>
        <v>78.965000000000003</v>
      </c>
      <c r="H1519" s="9">
        <v>92.900000000000006</v>
      </c>
      <c r="I1519" s="9">
        <f>H1519-G1519</f>
        <v>13.935000000000002</v>
      </c>
    </row>
    <row r="1520" ht="14.25">
      <c r="A1520" s="5">
        <v>50882</v>
      </c>
      <c r="B1520" s="6" t="s">
        <v>1575</v>
      </c>
      <c r="C1520" s="7" t="s">
        <v>82</v>
      </c>
      <c r="D1520" s="7" t="s">
        <v>103</v>
      </c>
      <c r="E1520" s="5" t="s">
        <v>26</v>
      </c>
      <c r="F1520" s="8"/>
      <c r="G1520" s="9">
        <f>H1520*(1-15%)*(1-F1520)</f>
        <v>31.364999999999998</v>
      </c>
      <c r="H1520" s="9">
        <v>36.899999999999999</v>
      </c>
      <c r="I1520" s="9">
        <f>H1520-G1520</f>
        <v>5.5350000000000001</v>
      </c>
    </row>
    <row r="1521" ht="14.25">
      <c r="A1521" s="5">
        <v>51106</v>
      </c>
      <c r="B1521" s="6" t="s">
        <v>1576</v>
      </c>
      <c r="C1521" s="7" t="s">
        <v>82</v>
      </c>
      <c r="D1521" s="7" t="s">
        <v>103</v>
      </c>
      <c r="E1521" s="5" t="s">
        <v>15</v>
      </c>
      <c r="F1521" s="8"/>
      <c r="G1521" s="9">
        <f>H1521*(1-15%)*(1-F1521)</f>
        <v>20.314999999999998</v>
      </c>
      <c r="H1521" s="9">
        <v>23.899999999999999</v>
      </c>
      <c r="I1521" s="9">
        <f>H1521-G1521</f>
        <v>3.5850000000000009</v>
      </c>
    </row>
    <row r="1522" ht="14.25">
      <c r="A1522" s="5">
        <v>51108</v>
      </c>
      <c r="B1522" s="6" t="s">
        <v>1577</v>
      </c>
      <c r="C1522" s="7" t="s">
        <v>36</v>
      </c>
      <c r="D1522" s="7" t="s">
        <v>103</v>
      </c>
      <c r="E1522" s="5" t="s">
        <v>39</v>
      </c>
      <c r="F1522" s="8"/>
      <c r="G1522" s="9">
        <f>H1522*(1-15%)*(1-F1522)</f>
        <v>44.114999999999995</v>
      </c>
      <c r="H1522" s="9">
        <v>51.899999999999999</v>
      </c>
      <c r="I1522" s="9">
        <f>H1522-G1522</f>
        <v>7.7850000000000037</v>
      </c>
    </row>
    <row r="1523" ht="14.25">
      <c r="A1523" s="5">
        <v>51122</v>
      </c>
      <c r="B1523" s="6" t="s">
        <v>1578</v>
      </c>
      <c r="C1523" s="7" t="s">
        <v>82</v>
      </c>
      <c r="D1523" s="7" t="s">
        <v>103</v>
      </c>
      <c r="E1523" s="5" t="s">
        <v>68</v>
      </c>
      <c r="F1523" s="8"/>
      <c r="G1523" s="9">
        <f>H1523*(1-15%)*(1-F1523)</f>
        <v>42.414999999999999</v>
      </c>
      <c r="H1523" s="9">
        <v>49.899999999999999</v>
      </c>
      <c r="I1523" s="9">
        <f>H1523-G1523</f>
        <v>7.4849999999999994</v>
      </c>
    </row>
    <row r="1524" ht="14.25">
      <c r="A1524" s="5">
        <v>51123</v>
      </c>
      <c r="B1524" s="6" t="s">
        <v>1579</v>
      </c>
      <c r="C1524" s="7" t="s">
        <v>82</v>
      </c>
      <c r="D1524" s="7" t="s">
        <v>11</v>
      </c>
      <c r="E1524" s="5" t="s">
        <v>39</v>
      </c>
      <c r="F1524" s="8"/>
      <c r="G1524" s="9">
        <f>H1524*(1-15%)*(1-F1524)</f>
        <v>78.965000000000003</v>
      </c>
      <c r="H1524" s="9">
        <v>92.900000000000006</v>
      </c>
      <c r="I1524" s="9">
        <f>H1524-G1524</f>
        <v>13.935000000000002</v>
      </c>
    </row>
    <row r="1525" ht="14.25">
      <c r="A1525" s="5">
        <v>51124</v>
      </c>
      <c r="B1525" s="6" t="s">
        <v>1580</v>
      </c>
      <c r="C1525" s="7" t="s">
        <v>82</v>
      </c>
      <c r="D1525" s="7" t="s">
        <v>103</v>
      </c>
      <c r="E1525" s="5" t="s">
        <v>68</v>
      </c>
      <c r="F1525" s="8"/>
      <c r="G1525" s="9">
        <f>H1525*(1-15%)*(1-F1525)</f>
        <v>20.314999999999998</v>
      </c>
      <c r="H1525" s="9">
        <v>23.899999999999999</v>
      </c>
      <c r="I1525" s="9">
        <f>H1525-G1525</f>
        <v>3.5850000000000009</v>
      </c>
    </row>
    <row r="1526" ht="14.25">
      <c r="A1526" s="5">
        <v>51126</v>
      </c>
      <c r="B1526" s="6" t="s">
        <v>1581</v>
      </c>
      <c r="C1526" s="7" t="s">
        <v>82</v>
      </c>
      <c r="D1526" s="7" t="s">
        <v>103</v>
      </c>
      <c r="E1526" s="5" t="s">
        <v>26</v>
      </c>
      <c r="F1526" s="8"/>
      <c r="G1526" s="9">
        <f>H1526*(1-15%)*(1-F1526)</f>
        <v>20.314999999999998</v>
      </c>
      <c r="H1526" s="9">
        <v>23.899999999999999</v>
      </c>
      <c r="I1526" s="9">
        <f>H1526-G1526</f>
        <v>3.5850000000000009</v>
      </c>
    </row>
    <row r="1527" ht="14.25">
      <c r="A1527" s="5">
        <v>51128</v>
      </c>
      <c r="B1527" s="6" t="s">
        <v>1582</v>
      </c>
      <c r="C1527" s="7" t="s">
        <v>82</v>
      </c>
      <c r="D1527" s="7" t="s">
        <v>103</v>
      </c>
      <c r="E1527" s="5" t="s">
        <v>68</v>
      </c>
      <c r="F1527" s="8"/>
      <c r="G1527" s="9">
        <f>H1527*(1-15%)*(1-F1527)</f>
        <v>31.364999999999998</v>
      </c>
      <c r="H1527" s="9">
        <v>36.899999999999999</v>
      </c>
      <c r="I1527" s="9">
        <f>H1527-G1527</f>
        <v>5.5350000000000001</v>
      </c>
    </row>
    <row r="1528" ht="14.25">
      <c r="A1528" s="5">
        <v>51129</v>
      </c>
      <c r="B1528" s="6" t="s">
        <v>1583</v>
      </c>
      <c r="C1528" s="7" t="s">
        <v>82</v>
      </c>
      <c r="D1528" s="7" t="s">
        <v>71</v>
      </c>
      <c r="E1528" s="5" t="s">
        <v>43</v>
      </c>
      <c r="F1528" s="8"/>
      <c r="G1528" s="9">
        <f>H1528*(1-15%)*(1-F1528)</f>
        <v>33.914999999999999</v>
      </c>
      <c r="H1528" s="9">
        <v>39.899999999999999</v>
      </c>
      <c r="I1528" s="9">
        <f>H1528-G1528</f>
        <v>5.9849999999999994</v>
      </c>
    </row>
    <row r="1529" ht="14.25">
      <c r="A1529" s="5">
        <v>51130</v>
      </c>
      <c r="B1529" s="6" t="s">
        <v>1584</v>
      </c>
      <c r="C1529" s="7" t="s">
        <v>82</v>
      </c>
      <c r="D1529" s="7" t="s">
        <v>11</v>
      </c>
      <c r="E1529" s="5" t="s">
        <v>43</v>
      </c>
      <c r="F1529" s="8"/>
      <c r="G1529" s="9">
        <f>H1529*(1-15%)*(1-F1529)</f>
        <v>78.965000000000003</v>
      </c>
      <c r="H1529" s="9">
        <v>92.900000000000006</v>
      </c>
      <c r="I1529" s="9">
        <f>H1529-G1529</f>
        <v>13.935000000000002</v>
      </c>
    </row>
    <row r="1530" ht="14.25">
      <c r="A1530" s="5">
        <v>51131</v>
      </c>
      <c r="B1530" s="6" t="s">
        <v>1585</v>
      </c>
      <c r="C1530" s="7" t="s">
        <v>82</v>
      </c>
      <c r="D1530" s="7" t="s">
        <v>71</v>
      </c>
      <c r="E1530" s="5" t="s">
        <v>26</v>
      </c>
      <c r="F1530" s="8"/>
      <c r="G1530" s="9">
        <f>H1530*(1-15%)*(1-F1530)</f>
        <v>25.414999999999999</v>
      </c>
      <c r="H1530" s="9">
        <v>29.899999999999999</v>
      </c>
      <c r="I1530" s="9">
        <f>H1530-G1530</f>
        <v>4.4849999999999994</v>
      </c>
    </row>
    <row r="1531" ht="14.25">
      <c r="A1531" s="5">
        <v>51135</v>
      </c>
      <c r="B1531" s="6" t="s">
        <v>1586</v>
      </c>
      <c r="C1531" s="7" t="s">
        <v>82</v>
      </c>
      <c r="D1531" s="7" t="s">
        <v>45</v>
      </c>
      <c r="E1531" s="5" t="s">
        <v>15</v>
      </c>
      <c r="F1531" s="8"/>
      <c r="G1531" s="9">
        <f>H1531*(1-15%)*(1-F1531)</f>
        <v>22.864999999999998</v>
      </c>
      <c r="H1531" s="9">
        <v>26.899999999999999</v>
      </c>
      <c r="I1531" s="9">
        <f>H1531-G1531</f>
        <v>4.0350000000000001</v>
      </c>
    </row>
    <row r="1532" ht="14.25">
      <c r="A1532" s="5">
        <v>51144</v>
      </c>
      <c r="B1532" s="6" t="s">
        <v>1587</v>
      </c>
      <c r="C1532" s="7" t="s">
        <v>82</v>
      </c>
      <c r="D1532" s="7" t="s">
        <v>71</v>
      </c>
      <c r="E1532" s="5" t="s">
        <v>68</v>
      </c>
      <c r="F1532" s="8"/>
      <c r="G1532" s="9">
        <f>H1532*(1-15%)*(1-F1532)</f>
        <v>25.414999999999999</v>
      </c>
      <c r="H1532" s="9">
        <v>29.899999999999999</v>
      </c>
      <c r="I1532" s="9">
        <f>H1532-G1532</f>
        <v>4.4849999999999994</v>
      </c>
    </row>
    <row r="1533" ht="14.25">
      <c r="A1533" s="5">
        <v>51145</v>
      </c>
      <c r="B1533" s="6" t="s">
        <v>1588</v>
      </c>
      <c r="C1533" s="7" t="s">
        <v>82</v>
      </c>
      <c r="D1533" s="7" t="s">
        <v>103</v>
      </c>
      <c r="E1533" s="5" t="s">
        <v>15</v>
      </c>
      <c r="F1533" s="8"/>
      <c r="G1533" s="9">
        <f>H1533*(1-15%)*(1-F1533)</f>
        <v>20.314999999999998</v>
      </c>
      <c r="H1533" s="9">
        <v>23.899999999999999</v>
      </c>
      <c r="I1533" s="9">
        <f>H1533-G1533</f>
        <v>3.5850000000000009</v>
      </c>
    </row>
    <row r="1534" ht="14.25">
      <c r="A1534" s="5">
        <v>51146</v>
      </c>
      <c r="B1534" s="6" t="s">
        <v>1589</v>
      </c>
      <c r="C1534" s="7" t="s">
        <v>82</v>
      </c>
      <c r="D1534" s="7" t="s">
        <v>71</v>
      </c>
      <c r="E1534" s="5" t="s">
        <v>68</v>
      </c>
      <c r="F1534" s="8"/>
      <c r="G1534" s="9">
        <f>H1534*(1-15%)*(1-F1534)</f>
        <v>25.414999999999999</v>
      </c>
      <c r="H1534" s="9">
        <v>29.899999999999999</v>
      </c>
      <c r="I1534" s="9">
        <f>H1534-G1534</f>
        <v>4.4849999999999994</v>
      </c>
    </row>
    <row r="1535" ht="14.25">
      <c r="A1535" s="5">
        <v>51147</v>
      </c>
      <c r="B1535" s="6" t="s">
        <v>1590</v>
      </c>
      <c r="C1535" s="7" t="s">
        <v>82</v>
      </c>
      <c r="D1535" s="7" t="s">
        <v>11</v>
      </c>
      <c r="E1535" s="5" t="s">
        <v>39</v>
      </c>
      <c r="F1535" s="8"/>
      <c r="G1535" s="9">
        <f>H1535*(1-15%)*(1-F1535)</f>
        <v>78.965000000000003</v>
      </c>
      <c r="H1535" s="9">
        <v>92.900000000000006</v>
      </c>
      <c r="I1535" s="9">
        <f>H1535-G1535</f>
        <v>13.935000000000002</v>
      </c>
    </row>
    <row r="1536" ht="14.25">
      <c r="A1536" s="5">
        <v>51148</v>
      </c>
      <c r="B1536" s="6" t="s">
        <v>1591</v>
      </c>
      <c r="C1536" s="7" t="s">
        <v>82</v>
      </c>
      <c r="D1536" s="7" t="s">
        <v>45</v>
      </c>
      <c r="E1536" s="5" t="s">
        <v>15</v>
      </c>
      <c r="F1536" s="8"/>
      <c r="G1536" s="9">
        <f>H1536*(1-15%)*(1-F1536)</f>
        <v>22.864999999999998</v>
      </c>
      <c r="H1536" s="9">
        <v>26.899999999999999</v>
      </c>
      <c r="I1536" s="9">
        <f>H1536-G1536</f>
        <v>4.0350000000000001</v>
      </c>
    </row>
    <row r="1537" ht="14.25">
      <c r="A1537" s="5">
        <v>51161</v>
      </c>
      <c r="B1537" s="6" t="s">
        <v>1592</v>
      </c>
      <c r="C1537" s="7" t="s">
        <v>82</v>
      </c>
      <c r="D1537" s="7" t="s">
        <v>71</v>
      </c>
      <c r="E1537" s="5" t="s">
        <v>39</v>
      </c>
      <c r="F1537" s="8"/>
      <c r="G1537" s="9">
        <f>H1537*(1-15%)*(1-F1537)</f>
        <v>33.914999999999999</v>
      </c>
      <c r="H1537" s="9">
        <v>39.899999999999999</v>
      </c>
      <c r="I1537" s="9">
        <f>H1537-G1537</f>
        <v>5.9849999999999994</v>
      </c>
    </row>
    <row r="1538" ht="14.25">
      <c r="A1538" s="5">
        <v>51163</v>
      </c>
      <c r="B1538" s="6" t="s">
        <v>1593</v>
      </c>
      <c r="C1538" s="7" t="s">
        <v>82</v>
      </c>
      <c r="D1538" s="7" t="s">
        <v>11</v>
      </c>
      <c r="E1538" s="5" t="s">
        <v>39</v>
      </c>
      <c r="F1538" s="8"/>
      <c r="G1538" s="9">
        <f>H1538*(1-15%)*(1-F1538)</f>
        <v>78.965000000000003</v>
      </c>
      <c r="H1538" s="9">
        <v>92.900000000000006</v>
      </c>
      <c r="I1538" s="9">
        <f>H1538-G1538</f>
        <v>13.935000000000002</v>
      </c>
    </row>
    <row r="1539" ht="14.25">
      <c r="A1539" s="5">
        <v>51164</v>
      </c>
      <c r="B1539" s="6" t="s">
        <v>1594</v>
      </c>
      <c r="C1539" s="7" t="s">
        <v>82</v>
      </c>
      <c r="D1539" s="7" t="s">
        <v>71</v>
      </c>
      <c r="E1539" s="5" t="s">
        <v>39</v>
      </c>
      <c r="F1539" s="8"/>
      <c r="G1539" s="9">
        <f>H1539*(1-15%)*(1-F1539)</f>
        <v>29.664999999999999</v>
      </c>
      <c r="H1539" s="9">
        <v>34.899999999999999</v>
      </c>
      <c r="I1539" s="9">
        <f>H1539-G1539</f>
        <v>5.2349999999999994</v>
      </c>
    </row>
    <row r="1540" ht="14.25">
      <c r="A1540" s="5">
        <v>51165</v>
      </c>
      <c r="B1540" s="6" t="s">
        <v>1595</v>
      </c>
      <c r="C1540" s="7" t="s">
        <v>82</v>
      </c>
      <c r="D1540" s="7" t="s">
        <v>103</v>
      </c>
      <c r="E1540" s="5" t="s">
        <v>68</v>
      </c>
      <c r="F1540" s="8"/>
      <c r="G1540" s="9">
        <f>H1540*(1-15%)*(1-F1540)</f>
        <v>31.364999999999998</v>
      </c>
      <c r="H1540" s="9">
        <v>36.899999999999999</v>
      </c>
      <c r="I1540" s="9">
        <f>H1540-G1540</f>
        <v>5.5350000000000001</v>
      </c>
    </row>
    <row r="1541" ht="14.25">
      <c r="A1541" s="5">
        <v>51166</v>
      </c>
      <c r="B1541" s="6" t="s">
        <v>1596</v>
      </c>
      <c r="C1541" s="7" t="s">
        <v>82</v>
      </c>
      <c r="D1541" s="7" t="s">
        <v>103</v>
      </c>
      <c r="E1541" s="5" t="s">
        <v>39</v>
      </c>
      <c r="F1541" s="8"/>
      <c r="G1541" s="9">
        <f>H1541*(1-15%)*(1-F1541)</f>
        <v>20.314999999999998</v>
      </c>
      <c r="H1541" s="9">
        <v>23.899999999999999</v>
      </c>
      <c r="I1541" s="9">
        <f>H1541-G1541</f>
        <v>3.5850000000000009</v>
      </c>
    </row>
    <row r="1542" ht="14.25">
      <c r="A1542" s="5">
        <v>51167</v>
      </c>
      <c r="B1542" s="6" t="s">
        <v>1597</v>
      </c>
      <c r="C1542" s="7" t="s">
        <v>82</v>
      </c>
      <c r="D1542" s="7" t="s">
        <v>71</v>
      </c>
      <c r="E1542" s="5" t="s">
        <v>39</v>
      </c>
      <c r="F1542" s="8"/>
      <c r="G1542" s="9">
        <f>H1542*(1-15%)*(1-F1542)</f>
        <v>29.664999999999999</v>
      </c>
      <c r="H1542" s="9">
        <v>34.899999999999999</v>
      </c>
      <c r="I1542" s="9">
        <f>H1542-G1542</f>
        <v>5.2349999999999994</v>
      </c>
    </row>
    <row r="1543" ht="14.25">
      <c r="A1543" s="5">
        <v>51168</v>
      </c>
      <c r="B1543" s="6" t="s">
        <v>1598</v>
      </c>
      <c r="C1543" s="7" t="s">
        <v>82</v>
      </c>
      <c r="D1543" s="7" t="s">
        <v>103</v>
      </c>
      <c r="E1543" s="5" t="s">
        <v>39</v>
      </c>
      <c r="F1543" s="8"/>
      <c r="G1543" s="9">
        <f>H1543*(1-15%)*(1-F1543)</f>
        <v>40.714999999999996</v>
      </c>
      <c r="H1543" s="9">
        <v>47.899999999999999</v>
      </c>
      <c r="I1543" s="9">
        <f>H1543-G1543</f>
        <v>7.1850000000000023</v>
      </c>
    </row>
    <row r="1544" ht="14.25">
      <c r="A1544" s="5">
        <v>51214</v>
      </c>
      <c r="B1544" s="6" t="s">
        <v>1599</v>
      </c>
      <c r="C1544" s="7" t="s">
        <v>36</v>
      </c>
      <c r="D1544" s="7" t="s">
        <v>71</v>
      </c>
      <c r="E1544" s="5" t="s">
        <v>15</v>
      </c>
      <c r="F1544" s="8"/>
      <c r="G1544" s="9">
        <f>H1544*(1-15%)*(1-F1544)</f>
        <v>33.914999999999999</v>
      </c>
      <c r="H1544" s="9">
        <v>39.899999999999999</v>
      </c>
      <c r="I1544" s="9">
        <f>H1544-G1544</f>
        <v>5.9849999999999994</v>
      </c>
    </row>
    <row r="1545" ht="14.25">
      <c r="A1545" s="5">
        <v>51215</v>
      </c>
      <c r="B1545" s="6" t="s">
        <v>1600</v>
      </c>
      <c r="C1545" s="7" t="s">
        <v>36</v>
      </c>
      <c r="D1545" s="7" t="s">
        <v>71</v>
      </c>
      <c r="E1545" s="5" t="s">
        <v>15</v>
      </c>
      <c r="F1545" s="8"/>
      <c r="G1545" s="9">
        <f>H1545*(1-15%)*(1-F1545)</f>
        <v>33.914999999999999</v>
      </c>
      <c r="H1545" s="9">
        <v>39.899999999999999</v>
      </c>
      <c r="I1545" s="9">
        <f>H1545-G1545</f>
        <v>5.9849999999999994</v>
      </c>
    </row>
    <row r="1546" ht="14.25">
      <c r="A1546" s="5">
        <v>51217</v>
      </c>
      <c r="B1546" s="6" t="s">
        <v>1601</v>
      </c>
      <c r="C1546" s="7" t="s">
        <v>36</v>
      </c>
      <c r="D1546" s="7" t="s">
        <v>174</v>
      </c>
      <c r="E1546" s="5" t="s">
        <v>26</v>
      </c>
      <c r="F1546" s="8"/>
      <c r="G1546" s="9">
        <f>H1546*(1-15%)*(1-F1546)</f>
        <v>57.715000000000003</v>
      </c>
      <c r="H1546" s="9">
        <v>67.900000000000006</v>
      </c>
      <c r="I1546" s="9">
        <f>H1546-G1546</f>
        <v>10.185000000000002</v>
      </c>
    </row>
    <row r="1547" ht="14.25">
      <c r="A1547" s="5">
        <v>51226</v>
      </c>
      <c r="B1547" s="6" t="s">
        <v>1602</v>
      </c>
      <c r="C1547" s="7" t="s">
        <v>82</v>
      </c>
      <c r="D1547" s="7" t="s">
        <v>103</v>
      </c>
      <c r="E1547" s="5" t="s">
        <v>43</v>
      </c>
      <c r="F1547" s="8"/>
      <c r="G1547" s="9">
        <f>H1547*(1-15%)*(1-F1547)</f>
        <v>20.314999999999998</v>
      </c>
      <c r="H1547" s="9">
        <v>23.899999999999999</v>
      </c>
      <c r="I1547" s="9">
        <f>H1547-G1547</f>
        <v>3.5850000000000009</v>
      </c>
    </row>
    <row r="1548" ht="14.25">
      <c r="A1548" s="5">
        <v>51227</v>
      </c>
      <c r="B1548" s="6" t="s">
        <v>1603</v>
      </c>
      <c r="C1548" s="7" t="s">
        <v>82</v>
      </c>
      <c r="D1548" s="7" t="s">
        <v>103</v>
      </c>
      <c r="E1548" s="5" t="s">
        <v>43</v>
      </c>
      <c r="F1548" s="8"/>
      <c r="G1548" s="9">
        <f>H1548*(1-15%)*(1-F1548)</f>
        <v>31.364999999999998</v>
      </c>
      <c r="H1548" s="9">
        <v>36.899999999999999</v>
      </c>
      <c r="I1548" s="9">
        <f>H1548-G1548</f>
        <v>5.5350000000000001</v>
      </c>
    </row>
    <row r="1549" ht="14.25">
      <c r="A1549" s="5">
        <v>51229</v>
      </c>
      <c r="B1549" s="6" t="s">
        <v>1604</v>
      </c>
      <c r="C1549" s="7" t="s">
        <v>82</v>
      </c>
      <c r="D1549" s="7" t="s">
        <v>71</v>
      </c>
      <c r="E1549" s="5" t="s">
        <v>26</v>
      </c>
      <c r="F1549" s="8"/>
      <c r="G1549" s="9">
        <f>H1549*(1-15%)*(1-F1549)</f>
        <v>25.414999999999999</v>
      </c>
      <c r="H1549" s="9">
        <v>29.899999999999999</v>
      </c>
      <c r="I1549" s="9">
        <f>H1549-G1549</f>
        <v>4.4849999999999994</v>
      </c>
    </row>
    <row r="1550" ht="14.25">
      <c r="A1550" s="5">
        <v>51230</v>
      </c>
      <c r="B1550" s="6" t="s">
        <v>1605</v>
      </c>
      <c r="C1550" s="7" t="s">
        <v>82</v>
      </c>
      <c r="D1550" s="7" t="s">
        <v>103</v>
      </c>
      <c r="E1550" s="5" t="s">
        <v>43</v>
      </c>
      <c r="F1550" s="8"/>
      <c r="G1550" s="9">
        <f>H1550*(1-15%)*(1-F1550)</f>
        <v>31.364999999999998</v>
      </c>
      <c r="H1550" s="9">
        <v>36.899999999999999</v>
      </c>
      <c r="I1550" s="9">
        <f>H1550-G1550</f>
        <v>5.5350000000000001</v>
      </c>
    </row>
    <row r="1551" ht="14.25">
      <c r="A1551" s="5">
        <v>51231</v>
      </c>
      <c r="B1551" s="6" t="s">
        <v>1606</v>
      </c>
      <c r="C1551" s="7" t="s">
        <v>82</v>
      </c>
      <c r="D1551" s="7" t="s">
        <v>103</v>
      </c>
      <c r="E1551" s="5" t="s">
        <v>39</v>
      </c>
      <c r="F1551" s="8"/>
      <c r="G1551" s="9">
        <f>H1551*(1-15%)*(1-F1551)</f>
        <v>20.314999999999998</v>
      </c>
      <c r="H1551" s="9">
        <v>23.899999999999999</v>
      </c>
      <c r="I1551" s="9">
        <f>H1551-G1551</f>
        <v>3.5850000000000009</v>
      </c>
    </row>
    <row r="1552" ht="14.25">
      <c r="A1552" s="5">
        <v>51233</v>
      </c>
      <c r="B1552" s="6" t="s">
        <v>1607</v>
      </c>
      <c r="C1552" s="7" t="s">
        <v>82</v>
      </c>
      <c r="D1552" s="7" t="s">
        <v>45</v>
      </c>
      <c r="E1552" s="5" t="s">
        <v>15</v>
      </c>
      <c r="F1552" s="8"/>
      <c r="G1552" s="9">
        <f>H1552*(1-15%)*(1-F1552)</f>
        <v>36.464999999999996</v>
      </c>
      <c r="H1552" s="9">
        <v>42.899999999999999</v>
      </c>
      <c r="I1552" s="9">
        <f>H1552-G1552</f>
        <v>6.4350000000000023</v>
      </c>
    </row>
    <row r="1553" ht="14.25">
      <c r="A1553" s="5">
        <v>51235</v>
      </c>
      <c r="B1553" s="6" t="s">
        <v>1608</v>
      </c>
      <c r="C1553" s="7" t="s">
        <v>82</v>
      </c>
      <c r="D1553" s="7" t="s">
        <v>45</v>
      </c>
      <c r="E1553" s="5" t="s">
        <v>43</v>
      </c>
      <c r="F1553" s="8"/>
      <c r="G1553" s="9">
        <f>H1553*(1-15%)*(1-F1553)</f>
        <v>66.215000000000003</v>
      </c>
      <c r="H1553" s="9">
        <v>77.900000000000006</v>
      </c>
      <c r="I1553" s="9">
        <f>H1553-G1553</f>
        <v>11.685000000000002</v>
      </c>
    </row>
    <row r="1554" ht="14.25">
      <c r="A1554" s="5">
        <v>51236</v>
      </c>
      <c r="B1554" s="6" t="s">
        <v>1609</v>
      </c>
      <c r="C1554" s="7" t="s">
        <v>82</v>
      </c>
      <c r="D1554" s="7" t="s">
        <v>11</v>
      </c>
      <c r="E1554" s="5" t="s">
        <v>26</v>
      </c>
      <c r="F1554" s="8"/>
      <c r="G1554" s="9">
        <f>H1554*(1-15%)*(1-F1554)</f>
        <v>78.965000000000003</v>
      </c>
      <c r="H1554" s="9">
        <v>92.900000000000006</v>
      </c>
      <c r="I1554" s="9">
        <f>H1554-G1554</f>
        <v>13.935000000000002</v>
      </c>
    </row>
    <row r="1555" ht="14.25">
      <c r="A1555" s="5">
        <v>51237</v>
      </c>
      <c r="B1555" s="6" t="s">
        <v>1610</v>
      </c>
      <c r="C1555" s="7" t="s">
        <v>82</v>
      </c>
      <c r="D1555" s="7" t="s">
        <v>45</v>
      </c>
      <c r="E1555" s="5" t="s">
        <v>43</v>
      </c>
      <c r="F1555" s="8"/>
      <c r="G1555" s="9">
        <f>H1555*(1-15%)*(1-F1555)</f>
        <v>66.215000000000003</v>
      </c>
      <c r="H1555" s="9">
        <v>77.900000000000006</v>
      </c>
      <c r="I1555" s="9">
        <f>H1555-G1555</f>
        <v>11.685000000000002</v>
      </c>
    </row>
    <row r="1556" ht="14.25">
      <c r="A1556" s="5">
        <v>51239</v>
      </c>
      <c r="B1556" s="6" t="s">
        <v>1611</v>
      </c>
      <c r="C1556" s="7" t="s">
        <v>82</v>
      </c>
      <c r="D1556" s="7" t="s">
        <v>11</v>
      </c>
      <c r="E1556" s="5" t="s">
        <v>39</v>
      </c>
      <c r="F1556" s="8"/>
      <c r="G1556" s="9">
        <f>H1556*(1-15%)*(1-F1556)</f>
        <v>78.965000000000003</v>
      </c>
      <c r="H1556" s="9">
        <v>92.900000000000006</v>
      </c>
      <c r="I1556" s="9">
        <f>H1556-G1556</f>
        <v>13.935000000000002</v>
      </c>
    </row>
    <row r="1557" ht="14.25">
      <c r="A1557" s="5">
        <v>51250</v>
      </c>
      <c r="B1557" s="6" t="s">
        <v>1612</v>
      </c>
      <c r="C1557" s="7" t="s">
        <v>36</v>
      </c>
      <c r="D1557" s="7" t="s">
        <v>71</v>
      </c>
      <c r="E1557" s="5" t="s">
        <v>15</v>
      </c>
      <c r="F1557" s="8"/>
      <c r="G1557" s="9">
        <f>H1557*(1-15%)*(1-F1557)</f>
        <v>42.414999999999999</v>
      </c>
      <c r="H1557" s="9">
        <v>49.899999999999999</v>
      </c>
      <c r="I1557" s="9">
        <f>H1557-G1557</f>
        <v>7.4849999999999994</v>
      </c>
    </row>
    <row r="1558" ht="14.25">
      <c r="A1558" s="5">
        <v>51261</v>
      </c>
      <c r="B1558" s="6" t="s">
        <v>1613</v>
      </c>
      <c r="C1558" s="7" t="s">
        <v>36</v>
      </c>
      <c r="D1558" s="7" t="s">
        <v>71</v>
      </c>
      <c r="E1558" s="5" t="s">
        <v>26</v>
      </c>
      <c r="F1558" s="8"/>
      <c r="G1558" s="9">
        <f>H1558*(1-15%)*(1-F1558)</f>
        <v>42.414999999999999</v>
      </c>
      <c r="H1558" s="9">
        <v>49.899999999999999</v>
      </c>
      <c r="I1558" s="9">
        <f>H1558-G1558</f>
        <v>7.4849999999999994</v>
      </c>
    </row>
    <row r="1559" ht="14.25">
      <c r="A1559" s="5">
        <v>51324</v>
      </c>
      <c r="B1559" s="6" t="s">
        <v>1614</v>
      </c>
      <c r="C1559" s="7" t="s">
        <v>36</v>
      </c>
      <c r="D1559" s="7" t="s">
        <v>71</v>
      </c>
      <c r="E1559" s="5" t="s">
        <v>26</v>
      </c>
      <c r="F1559" s="8"/>
      <c r="G1559" s="9">
        <f>H1559*(1-15%)*(1-F1559)</f>
        <v>42.414999999999999</v>
      </c>
      <c r="H1559" s="9">
        <v>49.899999999999999</v>
      </c>
      <c r="I1559" s="9">
        <f>H1559-G1559</f>
        <v>7.4849999999999994</v>
      </c>
    </row>
    <row r="1560" ht="14.25">
      <c r="A1560" s="5">
        <v>52757</v>
      </c>
      <c r="B1560" s="6" t="s">
        <v>1615</v>
      </c>
      <c r="C1560" s="7" t="s">
        <v>82</v>
      </c>
      <c r="D1560" s="7" t="s">
        <v>103</v>
      </c>
      <c r="E1560" s="5" t="s">
        <v>43</v>
      </c>
      <c r="F1560" s="8"/>
      <c r="G1560" s="9">
        <f>H1560*(1-15%)*(1-F1560)</f>
        <v>40.714999999999996</v>
      </c>
      <c r="H1560" s="9">
        <v>47.899999999999999</v>
      </c>
      <c r="I1560" s="9">
        <f>H1560-G1560</f>
        <v>7.1850000000000023</v>
      </c>
    </row>
    <row r="1561" ht="14.25">
      <c r="A1561" s="5">
        <v>52817</v>
      </c>
      <c r="B1561" s="6" t="s">
        <v>1616</v>
      </c>
      <c r="C1561" s="7" t="s">
        <v>82</v>
      </c>
      <c r="D1561" s="7" t="s">
        <v>103</v>
      </c>
      <c r="E1561" s="5" t="s">
        <v>15</v>
      </c>
      <c r="F1561" s="8"/>
      <c r="G1561" s="9">
        <f>H1561*(1-15%)*(1-F1561)</f>
        <v>40.714999999999996</v>
      </c>
      <c r="H1561" s="9">
        <v>47.899999999999999</v>
      </c>
      <c r="I1561" s="9">
        <f>H1561-G1561</f>
        <v>7.1850000000000023</v>
      </c>
    </row>
    <row r="1562" ht="14.25">
      <c r="A1562" s="5">
        <v>52892</v>
      </c>
      <c r="B1562" s="6" t="s">
        <v>1617</v>
      </c>
      <c r="C1562" s="7" t="s">
        <v>705</v>
      </c>
      <c r="D1562" s="7" t="s">
        <v>71</v>
      </c>
      <c r="E1562" s="5" t="s">
        <v>15</v>
      </c>
      <c r="F1562" s="8"/>
      <c r="G1562" s="9">
        <f>H1562*(1-15%)*(1-F1562)</f>
        <v>42.414999999999999</v>
      </c>
      <c r="H1562" s="9">
        <v>49.899999999999999</v>
      </c>
      <c r="I1562" s="9">
        <f>H1562-G1562</f>
        <v>7.4849999999999994</v>
      </c>
    </row>
    <row r="1563" ht="14.25">
      <c r="A1563" s="5">
        <v>52895</v>
      </c>
      <c r="B1563" s="6" t="s">
        <v>1618</v>
      </c>
      <c r="C1563" s="7" t="s">
        <v>705</v>
      </c>
      <c r="D1563" s="7" t="s">
        <v>11</v>
      </c>
      <c r="E1563" s="5" t="s">
        <v>15</v>
      </c>
      <c r="F1563" s="8"/>
      <c r="G1563" s="9">
        <f>H1563*(1-15%)*(1-F1563)</f>
        <v>110.41500000000001</v>
      </c>
      <c r="H1563" s="9">
        <v>129.90000000000001</v>
      </c>
      <c r="I1563" s="9">
        <f>H1563-G1563</f>
        <v>19.484999999999999</v>
      </c>
    </row>
    <row r="1564" ht="14.25">
      <c r="A1564" s="5">
        <v>52898</v>
      </c>
      <c r="B1564" s="6" t="s">
        <v>1619</v>
      </c>
      <c r="C1564" s="7" t="s">
        <v>705</v>
      </c>
      <c r="D1564" s="7" t="s">
        <v>11</v>
      </c>
      <c r="E1564" s="5" t="s">
        <v>133</v>
      </c>
      <c r="F1564" s="8"/>
      <c r="G1564" s="9">
        <f>H1564*(1-15%)*(1-F1564)</f>
        <v>152.91499999999999</v>
      </c>
      <c r="H1564" s="9">
        <v>179.90000000000001</v>
      </c>
      <c r="I1564" s="9">
        <f>H1564-G1564</f>
        <v>26.985000000000014</v>
      </c>
    </row>
    <row r="1565" ht="14.25">
      <c r="A1565" s="5">
        <v>53508</v>
      </c>
      <c r="B1565" s="6" t="s">
        <v>1620</v>
      </c>
      <c r="C1565" s="7" t="s">
        <v>82</v>
      </c>
      <c r="D1565" s="7" t="s">
        <v>45</v>
      </c>
      <c r="E1565" s="5" t="s">
        <v>15</v>
      </c>
      <c r="F1565" s="8"/>
      <c r="G1565" s="9">
        <f>H1565*(1-15%)*(1-F1565)</f>
        <v>63.665000000000006</v>
      </c>
      <c r="H1565" s="9">
        <v>74.900000000000006</v>
      </c>
      <c r="I1565" s="9">
        <f>H1565-G1565</f>
        <v>11.234999999999999</v>
      </c>
    </row>
    <row r="1566" ht="14.25">
      <c r="A1566" s="5">
        <v>53509</v>
      </c>
      <c r="B1566" s="6" t="s">
        <v>1621</v>
      </c>
      <c r="C1566" s="7" t="s">
        <v>82</v>
      </c>
      <c r="D1566" s="7" t="s">
        <v>45</v>
      </c>
      <c r="E1566" s="5" t="s">
        <v>26</v>
      </c>
      <c r="F1566" s="8"/>
      <c r="G1566" s="9">
        <f>H1566*(1-15%)*(1-F1566)</f>
        <v>50.914999999999999</v>
      </c>
      <c r="H1566" s="9">
        <v>59.899999999999999</v>
      </c>
      <c r="I1566" s="9">
        <f>H1566-G1566</f>
        <v>8.9849999999999994</v>
      </c>
    </row>
    <row r="1567" ht="14.25">
      <c r="A1567" s="5">
        <v>53510</v>
      </c>
      <c r="B1567" s="6" t="s">
        <v>1622</v>
      </c>
      <c r="C1567" s="7" t="s">
        <v>82</v>
      </c>
      <c r="D1567" s="7" t="s">
        <v>45</v>
      </c>
      <c r="E1567" s="5" t="s">
        <v>15</v>
      </c>
      <c r="F1567" s="8"/>
      <c r="G1567" s="9">
        <f>H1567*(1-15%)*(1-F1567)</f>
        <v>46.664999999999999</v>
      </c>
      <c r="H1567" s="9">
        <v>54.899999999999999</v>
      </c>
      <c r="I1567" s="9">
        <f>H1567-G1567</f>
        <v>8.2349999999999994</v>
      </c>
    </row>
    <row r="1568" ht="14.25">
      <c r="A1568" s="5">
        <v>53511</v>
      </c>
      <c r="B1568" s="6" t="s">
        <v>1623</v>
      </c>
      <c r="C1568" s="7" t="s">
        <v>82</v>
      </c>
      <c r="D1568" s="7" t="s">
        <v>11</v>
      </c>
      <c r="E1568" s="5" t="s">
        <v>43</v>
      </c>
      <c r="F1568" s="8"/>
      <c r="G1568" s="9">
        <f>H1568*(1-15%)*(1-F1568)</f>
        <v>78.965000000000003</v>
      </c>
      <c r="H1568" s="9">
        <v>92.900000000000006</v>
      </c>
      <c r="I1568" s="9">
        <f>H1568-G1568</f>
        <v>13.935000000000002</v>
      </c>
    </row>
    <row r="1569" ht="14.25">
      <c r="A1569" s="5">
        <v>53513</v>
      </c>
      <c r="B1569" s="6" t="s">
        <v>1624</v>
      </c>
      <c r="C1569" s="7" t="s">
        <v>82</v>
      </c>
      <c r="D1569" s="7" t="s">
        <v>103</v>
      </c>
      <c r="E1569" s="5" t="s">
        <v>15</v>
      </c>
      <c r="F1569" s="8"/>
      <c r="G1569" s="9">
        <f>H1569*(1-15%)*(1-F1569)</f>
        <v>31.364999999999998</v>
      </c>
      <c r="H1569" s="9">
        <v>36.899999999999999</v>
      </c>
      <c r="I1569" s="9">
        <f>H1569-G1569</f>
        <v>5.5350000000000001</v>
      </c>
    </row>
    <row r="1570" ht="14.25">
      <c r="A1570" s="5">
        <v>53515</v>
      </c>
      <c r="B1570" s="6" t="s">
        <v>1625</v>
      </c>
      <c r="C1570" s="7" t="s">
        <v>82</v>
      </c>
      <c r="D1570" s="7" t="s">
        <v>103</v>
      </c>
      <c r="E1570" s="5" t="s">
        <v>15</v>
      </c>
      <c r="F1570" s="8"/>
      <c r="G1570" s="9">
        <f>H1570*(1-15%)*(1-F1570)</f>
        <v>20.314999999999998</v>
      </c>
      <c r="H1570" s="9">
        <v>23.899999999999999</v>
      </c>
      <c r="I1570" s="9">
        <f>H1570-G1570</f>
        <v>3.5850000000000009</v>
      </c>
    </row>
    <row r="1571" ht="14.25">
      <c r="A1571" s="5">
        <v>53677</v>
      </c>
      <c r="B1571" s="6" t="s">
        <v>1626</v>
      </c>
      <c r="C1571" s="7" t="s">
        <v>36</v>
      </c>
      <c r="D1571" s="7" t="s">
        <v>174</v>
      </c>
      <c r="E1571" s="5" t="s">
        <v>39</v>
      </c>
      <c r="F1571" s="8"/>
      <c r="G1571" s="9">
        <f>H1571*(1-15%)*(1-F1571)</f>
        <v>59.415000000000006</v>
      </c>
      <c r="H1571" s="9">
        <v>69.900000000000006</v>
      </c>
      <c r="I1571" s="9">
        <f>H1571-G1571</f>
        <v>10.484999999999999</v>
      </c>
    </row>
    <row r="1572" ht="14.25">
      <c r="A1572" s="5">
        <v>53680</v>
      </c>
      <c r="B1572" s="6" t="s">
        <v>1627</v>
      </c>
      <c r="C1572" s="7" t="s">
        <v>36</v>
      </c>
      <c r="D1572" s="7" t="s">
        <v>71</v>
      </c>
      <c r="E1572" s="5" t="s">
        <v>43</v>
      </c>
      <c r="F1572" s="8"/>
      <c r="G1572" s="9">
        <f>H1572*(1-15%)*(1-F1572)</f>
        <v>25.414999999999999</v>
      </c>
      <c r="H1572" s="9">
        <v>29.899999999999999</v>
      </c>
      <c r="I1572" s="9">
        <f>H1572-G1572</f>
        <v>4.4849999999999994</v>
      </c>
    </row>
    <row r="1573" ht="14.25">
      <c r="A1573" s="5">
        <v>53684</v>
      </c>
      <c r="B1573" s="6" t="s">
        <v>1628</v>
      </c>
      <c r="C1573" s="7" t="s">
        <v>82</v>
      </c>
      <c r="D1573" s="7" t="s">
        <v>45</v>
      </c>
      <c r="E1573" s="5" t="s">
        <v>15</v>
      </c>
      <c r="F1573" s="8"/>
      <c r="G1573" s="9">
        <f>H1573*(1-15%)*(1-F1573)</f>
        <v>38.164999999999999</v>
      </c>
      <c r="H1573" s="9">
        <v>44.899999999999999</v>
      </c>
      <c r="I1573" s="9">
        <f>H1573-G1573</f>
        <v>6.7349999999999994</v>
      </c>
    </row>
    <row r="1574" ht="14.25">
      <c r="A1574" s="5">
        <v>53685</v>
      </c>
      <c r="B1574" s="6" t="s">
        <v>1629</v>
      </c>
      <c r="C1574" s="7" t="s">
        <v>82</v>
      </c>
      <c r="D1574" s="7" t="s">
        <v>45</v>
      </c>
      <c r="E1574" s="5" t="s">
        <v>15</v>
      </c>
      <c r="F1574" s="8"/>
      <c r="G1574" s="9">
        <f>H1574*(1-15%)*(1-F1574)</f>
        <v>46.664999999999999</v>
      </c>
      <c r="H1574" s="9">
        <v>54.899999999999999</v>
      </c>
      <c r="I1574" s="9">
        <f>H1574-G1574</f>
        <v>8.2349999999999994</v>
      </c>
    </row>
    <row r="1575" ht="14.25">
      <c r="A1575" s="5">
        <v>53686</v>
      </c>
      <c r="B1575" s="6" t="s">
        <v>1630</v>
      </c>
      <c r="C1575" s="7" t="s">
        <v>82</v>
      </c>
      <c r="D1575" s="7" t="s">
        <v>45</v>
      </c>
      <c r="E1575" s="5" t="s">
        <v>26</v>
      </c>
      <c r="F1575" s="8"/>
      <c r="G1575" s="9">
        <f>H1575*(1-15%)*(1-F1575)</f>
        <v>63.665000000000006</v>
      </c>
      <c r="H1575" s="9">
        <v>74.900000000000006</v>
      </c>
      <c r="I1575" s="9">
        <f>H1575-G1575</f>
        <v>11.234999999999999</v>
      </c>
    </row>
    <row r="1576" ht="14.25">
      <c r="A1576" s="5">
        <v>53687</v>
      </c>
      <c r="B1576" s="6" t="s">
        <v>1631</v>
      </c>
      <c r="C1576" s="7" t="s">
        <v>82</v>
      </c>
      <c r="D1576" s="7" t="s">
        <v>103</v>
      </c>
      <c r="E1576" s="5" t="s">
        <v>15</v>
      </c>
      <c r="F1576" s="8"/>
      <c r="G1576" s="9">
        <f>H1576*(1-15%)*(1-F1576)</f>
        <v>38.164999999999999</v>
      </c>
      <c r="H1576" s="9">
        <v>44.899999999999999</v>
      </c>
      <c r="I1576" s="9">
        <f>H1576-G1576</f>
        <v>6.7349999999999994</v>
      </c>
    </row>
    <row r="1577" ht="14.25">
      <c r="A1577" s="5">
        <v>53688</v>
      </c>
      <c r="B1577" s="6" t="s">
        <v>1632</v>
      </c>
      <c r="C1577" s="7" t="s">
        <v>82</v>
      </c>
      <c r="D1577" s="7" t="s">
        <v>45</v>
      </c>
      <c r="E1577" s="5" t="s">
        <v>15</v>
      </c>
      <c r="F1577" s="8"/>
      <c r="G1577" s="9">
        <f>H1577*(1-15%)*(1-F1577)</f>
        <v>32.214999999999996</v>
      </c>
      <c r="H1577" s="9">
        <v>37.899999999999999</v>
      </c>
      <c r="I1577" s="9">
        <f>H1577-G1577</f>
        <v>5.6850000000000023</v>
      </c>
    </row>
    <row r="1578" ht="14.25">
      <c r="A1578" s="5">
        <v>53792</v>
      </c>
      <c r="B1578" s="6" t="s">
        <v>1633</v>
      </c>
      <c r="C1578" s="7" t="s">
        <v>82</v>
      </c>
      <c r="D1578" s="7" t="s">
        <v>103</v>
      </c>
      <c r="E1578" s="5" t="s">
        <v>68</v>
      </c>
      <c r="F1578" s="8"/>
      <c r="G1578" s="9">
        <f>H1578*(1-15%)*(1-F1578)</f>
        <v>31.364999999999998</v>
      </c>
      <c r="H1578" s="9">
        <v>36.899999999999999</v>
      </c>
      <c r="I1578" s="9">
        <f>H1578-G1578</f>
        <v>5.5350000000000001</v>
      </c>
    </row>
    <row r="1579" ht="14.25">
      <c r="A1579" s="5">
        <v>53793</v>
      </c>
      <c r="B1579" s="6" t="s">
        <v>1634</v>
      </c>
      <c r="C1579" s="7" t="s">
        <v>82</v>
      </c>
      <c r="D1579" s="7" t="s">
        <v>103</v>
      </c>
      <c r="E1579" s="5" t="s">
        <v>15</v>
      </c>
      <c r="F1579" s="8"/>
      <c r="G1579" s="9">
        <f>H1579*(1-15%)*(1-F1579)</f>
        <v>20.314999999999998</v>
      </c>
      <c r="H1579" s="9">
        <v>23.899999999999999</v>
      </c>
      <c r="I1579" s="9">
        <f>H1579-G1579</f>
        <v>3.5850000000000009</v>
      </c>
    </row>
    <row r="1580" ht="14.25">
      <c r="A1580" s="5">
        <v>53794</v>
      </c>
      <c r="B1580" s="6" t="s">
        <v>1635</v>
      </c>
      <c r="C1580" s="7" t="s">
        <v>82</v>
      </c>
      <c r="D1580" s="7" t="s">
        <v>45</v>
      </c>
      <c r="E1580" s="5" t="s">
        <v>15</v>
      </c>
      <c r="F1580" s="8"/>
      <c r="G1580" s="9">
        <f>H1580*(1-15%)*(1-F1580)</f>
        <v>63.665000000000006</v>
      </c>
      <c r="H1580" s="9">
        <v>74.900000000000006</v>
      </c>
      <c r="I1580" s="9">
        <f>H1580-G1580</f>
        <v>11.234999999999999</v>
      </c>
    </row>
    <row r="1581" ht="14.25">
      <c r="A1581" s="5">
        <v>54157</v>
      </c>
      <c r="B1581" s="6" t="s">
        <v>1636</v>
      </c>
      <c r="C1581" s="7" t="s">
        <v>705</v>
      </c>
      <c r="D1581" s="7" t="s">
        <v>45</v>
      </c>
      <c r="E1581" s="5" t="s">
        <v>15</v>
      </c>
      <c r="F1581" s="8"/>
      <c r="G1581" s="9">
        <f>H1581*(1-15%)*(1-F1581)</f>
        <v>40.714999999999996</v>
      </c>
      <c r="H1581" s="9">
        <v>47.899999999999999</v>
      </c>
      <c r="I1581" s="9">
        <f>H1581-G1581</f>
        <v>7.1850000000000023</v>
      </c>
    </row>
    <row r="1582" ht="14.25">
      <c r="A1582" s="5">
        <v>54801</v>
      </c>
      <c r="B1582" s="6" t="s">
        <v>1637</v>
      </c>
      <c r="C1582" s="7" t="s">
        <v>82</v>
      </c>
      <c r="D1582" s="7" t="s">
        <v>219</v>
      </c>
      <c r="E1582" s="5" t="s">
        <v>26</v>
      </c>
      <c r="F1582" s="8"/>
      <c r="G1582" s="9">
        <f>H1582*(1-15%)*(1-F1582)</f>
        <v>38.164999999999999</v>
      </c>
      <c r="H1582" s="9">
        <v>44.899999999999999</v>
      </c>
      <c r="I1582" s="9">
        <f>H1582-G1582</f>
        <v>6.7349999999999994</v>
      </c>
    </row>
    <row r="1583" ht="14.25">
      <c r="A1583" s="5">
        <v>54802</v>
      </c>
      <c r="B1583" s="6" t="s">
        <v>1638</v>
      </c>
      <c r="C1583" s="7" t="s">
        <v>82</v>
      </c>
      <c r="D1583" s="7" t="s">
        <v>219</v>
      </c>
      <c r="E1583" s="5" t="s">
        <v>26</v>
      </c>
      <c r="F1583" s="8"/>
      <c r="G1583" s="9">
        <f>H1583*(1-15%)*(1-F1583)</f>
        <v>38.164999999999999</v>
      </c>
      <c r="H1583" s="9">
        <v>44.899999999999999</v>
      </c>
      <c r="I1583" s="9">
        <f>H1583-G1583</f>
        <v>6.7349999999999994</v>
      </c>
    </row>
    <row r="1584" ht="14.25">
      <c r="A1584" s="5">
        <v>54803</v>
      </c>
      <c r="B1584" s="6" t="s">
        <v>1639</v>
      </c>
      <c r="C1584" s="7" t="s">
        <v>82</v>
      </c>
      <c r="D1584" s="7" t="s">
        <v>219</v>
      </c>
      <c r="E1584" s="5" t="s">
        <v>26</v>
      </c>
      <c r="F1584" s="8"/>
      <c r="G1584" s="9">
        <f>H1584*(1-15%)*(1-F1584)</f>
        <v>40.714999999999996</v>
      </c>
      <c r="H1584" s="9">
        <v>47.899999999999999</v>
      </c>
      <c r="I1584" s="9">
        <f>H1584-G1584</f>
        <v>7.1850000000000023</v>
      </c>
    </row>
    <row r="1585" ht="14.25">
      <c r="A1585" s="5">
        <v>54804</v>
      </c>
      <c r="B1585" s="6" t="s">
        <v>1640</v>
      </c>
      <c r="C1585" s="7" t="s">
        <v>82</v>
      </c>
      <c r="D1585" s="7" t="s">
        <v>219</v>
      </c>
      <c r="E1585" s="5" t="s">
        <v>26</v>
      </c>
      <c r="F1585" s="8"/>
      <c r="G1585" s="9">
        <f>H1585*(1-15%)*(1-F1585)</f>
        <v>40.714999999999996</v>
      </c>
      <c r="H1585" s="9">
        <v>47.899999999999999</v>
      </c>
      <c r="I1585" s="9">
        <f>H1585-G1585</f>
        <v>7.1850000000000023</v>
      </c>
    </row>
    <row r="1586" ht="14.25">
      <c r="A1586" s="5">
        <v>54805</v>
      </c>
      <c r="B1586" s="6" t="s">
        <v>1641</v>
      </c>
      <c r="C1586" s="7" t="s">
        <v>82</v>
      </c>
      <c r="D1586" s="7" t="s">
        <v>219</v>
      </c>
      <c r="E1586" s="5" t="s">
        <v>26</v>
      </c>
      <c r="F1586" s="8"/>
      <c r="G1586" s="9">
        <f>H1586*(1-15%)*(1-F1586)</f>
        <v>55.165000000000006</v>
      </c>
      <c r="H1586" s="9">
        <v>64.900000000000006</v>
      </c>
      <c r="I1586" s="9">
        <f>H1586-G1586</f>
        <v>9.7349999999999994</v>
      </c>
    </row>
    <row r="1587" ht="14.25">
      <c r="A1587" s="5">
        <v>55064</v>
      </c>
      <c r="B1587" s="6" t="s">
        <v>1642</v>
      </c>
      <c r="C1587" s="7" t="s">
        <v>271</v>
      </c>
      <c r="D1587" s="7" t="s">
        <v>110</v>
      </c>
      <c r="E1587" s="5" t="s">
        <v>68</v>
      </c>
      <c r="F1587" s="8"/>
      <c r="G1587" s="9">
        <f>H1587*(1-15%)*(1-F1587)</f>
        <v>33.914999999999999</v>
      </c>
      <c r="H1587" s="9">
        <v>39.899999999999999</v>
      </c>
      <c r="I1587" s="9">
        <f>H1587-G1587</f>
        <v>5.9849999999999994</v>
      </c>
    </row>
    <row r="1588" ht="14.25">
      <c r="A1588" s="5">
        <v>55065</v>
      </c>
      <c r="B1588" s="6" t="s">
        <v>1643</v>
      </c>
      <c r="C1588" s="7" t="s">
        <v>271</v>
      </c>
      <c r="D1588" s="7" t="s">
        <v>110</v>
      </c>
      <c r="E1588" s="5" t="s">
        <v>68</v>
      </c>
      <c r="F1588" s="8"/>
      <c r="G1588" s="9">
        <f>H1588*(1-15%)*(1-F1588)</f>
        <v>33.914999999999999</v>
      </c>
      <c r="H1588" s="9">
        <v>39.899999999999999</v>
      </c>
      <c r="I1588" s="9">
        <f>H1588-G1588</f>
        <v>5.9849999999999994</v>
      </c>
    </row>
    <row r="1589" ht="14.25">
      <c r="A1589" s="5">
        <v>55066</v>
      </c>
      <c r="B1589" s="6" t="s">
        <v>1644</v>
      </c>
      <c r="C1589" s="7" t="s">
        <v>271</v>
      </c>
      <c r="D1589" s="7" t="s">
        <v>110</v>
      </c>
      <c r="E1589" s="5" t="s">
        <v>15</v>
      </c>
      <c r="F1589" s="8"/>
      <c r="G1589" s="9">
        <f>H1589*(1-15%)*(1-F1589)</f>
        <v>33.914999999999999</v>
      </c>
      <c r="H1589" s="9">
        <v>39.899999999999999</v>
      </c>
      <c r="I1589" s="9">
        <f>H1589-G1589</f>
        <v>5.9849999999999994</v>
      </c>
    </row>
    <row r="1590" ht="14.25">
      <c r="A1590" s="5">
        <v>55104</v>
      </c>
      <c r="B1590" s="6" t="s">
        <v>1645</v>
      </c>
      <c r="C1590" s="7" t="s">
        <v>82</v>
      </c>
      <c r="D1590" s="7" t="s">
        <v>95</v>
      </c>
      <c r="E1590" s="5" t="s">
        <v>68</v>
      </c>
      <c r="F1590" s="8"/>
      <c r="G1590" s="9">
        <f>H1590*(1-15%)*(1-F1590)</f>
        <v>22.014999999999997</v>
      </c>
      <c r="H1590" s="9">
        <v>25.899999999999999</v>
      </c>
      <c r="I1590" s="9">
        <f>H1590-G1590</f>
        <v>3.8850000000000016</v>
      </c>
    </row>
    <row r="1591" ht="14.25">
      <c r="A1591" s="5">
        <v>55105</v>
      </c>
      <c r="B1591" s="6" t="s">
        <v>1646</v>
      </c>
      <c r="C1591" s="7" t="s">
        <v>82</v>
      </c>
      <c r="D1591" s="7" t="s">
        <v>95</v>
      </c>
      <c r="E1591" s="5" t="s">
        <v>68</v>
      </c>
      <c r="F1591" s="8"/>
      <c r="G1591" s="9">
        <f>H1591*(1-15%)*(1-F1591)</f>
        <v>33.914999999999999</v>
      </c>
      <c r="H1591" s="9">
        <v>39.899999999999999</v>
      </c>
      <c r="I1591" s="9">
        <f>H1591-G1591</f>
        <v>5.9849999999999994</v>
      </c>
    </row>
    <row r="1592" ht="14.25">
      <c r="A1592" s="5">
        <v>55106</v>
      </c>
      <c r="B1592" s="6" t="s">
        <v>1647</v>
      </c>
      <c r="C1592" s="7" t="s">
        <v>82</v>
      </c>
      <c r="D1592" s="7" t="s">
        <v>95</v>
      </c>
      <c r="E1592" s="5" t="s">
        <v>26</v>
      </c>
      <c r="F1592" s="8"/>
      <c r="G1592" s="9">
        <f>H1592*(1-15%)*(1-F1592)</f>
        <v>25.414999999999999</v>
      </c>
      <c r="H1592" s="9">
        <v>29.899999999999999</v>
      </c>
      <c r="I1592" s="9">
        <f>H1592-G1592</f>
        <v>4.4849999999999994</v>
      </c>
    </row>
    <row r="1593" ht="14.25">
      <c r="A1593" s="5">
        <v>55195</v>
      </c>
      <c r="B1593" s="6" t="s">
        <v>1648</v>
      </c>
      <c r="C1593" s="7" t="s">
        <v>82</v>
      </c>
      <c r="D1593" s="7" t="s">
        <v>45</v>
      </c>
      <c r="E1593" s="5" t="s">
        <v>39</v>
      </c>
      <c r="F1593" s="8"/>
      <c r="G1593" s="9">
        <f>H1593*(1-15%)*(1-F1593)</f>
        <v>50.914999999999999</v>
      </c>
      <c r="H1593" s="9">
        <v>59.899999999999999</v>
      </c>
      <c r="I1593" s="9">
        <f>H1593-G1593</f>
        <v>8.9849999999999994</v>
      </c>
    </row>
    <row r="1594" ht="14.25">
      <c r="A1594" s="5">
        <v>55426</v>
      </c>
      <c r="B1594" s="6" t="s">
        <v>1649</v>
      </c>
      <c r="C1594" s="7" t="s">
        <v>82</v>
      </c>
      <c r="D1594" s="7" t="s">
        <v>45</v>
      </c>
      <c r="E1594" s="5" t="s">
        <v>43</v>
      </c>
      <c r="F1594" s="8"/>
      <c r="G1594" s="9">
        <f>H1594*(1-15%)*(1-F1594)</f>
        <v>31.364999999999998</v>
      </c>
      <c r="H1594" s="9">
        <v>36.899999999999999</v>
      </c>
      <c r="I1594" s="9">
        <f>H1594-G1594</f>
        <v>5.5350000000000001</v>
      </c>
    </row>
    <row r="1595" ht="14.25">
      <c r="A1595" s="5">
        <v>55427</v>
      </c>
      <c r="B1595" s="6" t="s">
        <v>1650</v>
      </c>
      <c r="C1595" s="7" t="s">
        <v>82</v>
      </c>
      <c r="D1595" s="7" t="s">
        <v>45</v>
      </c>
      <c r="E1595" s="5" t="s">
        <v>43</v>
      </c>
      <c r="F1595" s="8"/>
      <c r="G1595" s="9">
        <f>H1595*(1-15%)*(1-F1595)</f>
        <v>31.364999999999998</v>
      </c>
      <c r="H1595" s="9">
        <v>36.899999999999999</v>
      </c>
      <c r="I1595" s="9">
        <f>H1595-G1595</f>
        <v>5.5350000000000001</v>
      </c>
    </row>
    <row r="1596" ht="14.25">
      <c r="A1596" s="5">
        <v>56217</v>
      </c>
      <c r="B1596" s="6" t="s">
        <v>1651</v>
      </c>
      <c r="C1596" s="7" t="s">
        <v>82</v>
      </c>
      <c r="D1596" s="7" t="s">
        <v>45</v>
      </c>
      <c r="E1596" s="5" t="s">
        <v>39</v>
      </c>
      <c r="F1596" s="8"/>
      <c r="G1596" s="9">
        <f>H1596*(1-15%)*(1-F1596)</f>
        <v>40.714999999999996</v>
      </c>
      <c r="H1596" s="9">
        <v>47.899999999999999</v>
      </c>
      <c r="I1596" s="9">
        <f>H1596-G1596</f>
        <v>7.1850000000000023</v>
      </c>
    </row>
    <row r="1597" ht="14.25">
      <c r="A1597" s="5">
        <v>56291</v>
      </c>
      <c r="B1597" s="6" t="s">
        <v>1652</v>
      </c>
      <c r="C1597" s="7" t="s">
        <v>82</v>
      </c>
      <c r="D1597" s="7" t="s">
        <v>183</v>
      </c>
      <c r="E1597" s="5" t="s">
        <v>43</v>
      </c>
      <c r="F1597" s="8"/>
      <c r="G1597" s="9">
        <f>H1597*(1-15%)*(1-F1597)</f>
        <v>42.414999999999999</v>
      </c>
      <c r="H1597" s="9">
        <v>49.899999999999999</v>
      </c>
      <c r="I1597" s="9">
        <f>H1597-G1597</f>
        <v>7.4849999999999994</v>
      </c>
    </row>
    <row r="1598" ht="14.25">
      <c r="A1598" s="5">
        <v>56680</v>
      </c>
      <c r="B1598" s="6" t="s">
        <v>1653</v>
      </c>
      <c r="C1598" s="7" t="s">
        <v>82</v>
      </c>
      <c r="D1598" s="7" t="s">
        <v>183</v>
      </c>
      <c r="E1598" s="5" t="s">
        <v>26</v>
      </c>
      <c r="F1598" s="8"/>
      <c r="G1598" s="9">
        <f>H1598*(1-15%)*(1-F1598)</f>
        <v>44.964999999999996</v>
      </c>
      <c r="H1598" s="9">
        <v>52.899999999999999</v>
      </c>
      <c r="I1598" s="9">
        <f>H1598-G1598</f>
        <v>7.9350000000000023</v>
      </c>
    </row>
    <row r="1599" ht="14.25">
      <c r="A1599" s="5">
        <v>58118</v>
      </c>
      <c r="B1599" s="6" t="s">
        <v>1654</v>
      </c>
      <c r="C1599" s="7" t="s">
        <v>271</v>
      </c>
      <c r="D1599" s="7" t="s">
        <v>110</v>
      </c>
      <c r="E1599" s="5" t="s">
        <v>15</v>
      </c>
      <c r="F1599" s="8"/>
      <c r="G1599" s="9">
        <f>H1599*(1-15%)*(1-F1599)</f>
        <v>33.914999999999999</v>
      </c>
      <c r="H1599" s="9">
        <v>39.899999999999999</v>
      </c>
      <c r="I1599" s="9">
        <f>H1599-G1599</f>
        <v>5.9849999999999994</v>
      </c>
    </row>
    <row r="1600" ht="14.25">
      <c r="A1600" s="5">
        <v>49401</v>
      </c>
      <c r="B1600" s="6" t="s">
        <v>1655</v>
      </c>
      <c r="C1600" s="7" t="s">
        <v>1656</v>
      </c>
      <c r="D1600" s="7" t="s">
        <v>347</v>
      </c>
      <c r="E1600" s="5" t="s">
        <v>26</v>
      </c>
      <c r="F1600" s="8"/>
      <c r="G1600" s="9">
        <f>H1600*(1-15%)*(1-F1600)</f>
        <v>101.91500000000001</v>
      </c>
      <c r="H1600" s="9">
        <v>119.90000000000001</v>
      </c>
      <c r="I1600" s="9">
        <f>H1600-G1600</f>
        <v>17.984999999999999</v>
      </c>
    </row>
    <row r="1601" ht="14.25">
      <c r="A1601" s="5">
        <v>52051</v>
      </c>
      <c r="B1601" s="6" t="s">
        <v>1657</v>
      </c>
      <c r="C1601" s="7" t="s">
        <v>1656</v>
      </c>
      <c r="D1601" s="7" t="s">
        <v>347</v>
      </c>
      <c r="E1601" s="5" t="s">
        <v>43</v>
      </c>
      <c r="F1601" s="8"/>
      <c r="G1601" s="9">
        <f>H1601*(1-15%)*(1-F1601)</f>
        <v>146.965</v>
      </c>
      <c r="H1601" s="9">
        <v>172.90000000000001</v>
      </c>
      <c r="I1601" s="9">
        <f>H1601-G1601</f>
        <v>25.935000000000002</v>
      </c>
    </row>
    <row r="1602" ht="14.25">
      <c r="A1602" s="5">
        <v>52086</v>
      </c>
      <c r="B1602" s="6" t="s">
        <v>1658</v>
      </c>
      <c r="C1602" s="7" t="s">
        <v>1656</v>
      </c>
      <c r="D1602" s="7" t="s">
        <v>347</v>
      </c>
      <c r="E1602" s="5" t="s">
        <v>43</v>
      </c>
      <c r="F1602" s="8"/>
      <c r="G1602" s="9">
        <f>H1602*(1-15%)*(1-F1602)</f>
        <v>101.91500000000001</v>
      </c>
      <c r="H1602" s="9">
        <v>119.90000000000001</v>
      </c>
      <c r="I1602" s="9">
        <f>H1602-G1602</f>
        <v>17.984999999999999</v>
      </c>
    </row>
    <row r="1603" ht="14.25">
      <c r="A1603" s="5">
        <v>52095</v>
      </c>
      <c r="B1603" s="6" t="s">
        <v>1659</v>
      </c>
      <c r="C1603" s="7" t="s">
        <v>1656</v>
      </c>
      <c r="D1603" s="7" t="s">
        <v>347</v>
      </c>
      <c r="E1603" s="5" t="s">
        <v>43</v>
      </c>
      <c r="F1603" s="8"/>
      <c r="G1603" s="9">
        <f>H1603*(1-15%)*(1-F1603)</f>
        <v>121.465</v>
      </c>
      <c r="H1603" s="9">
        <v>142.90000000000001</v>
      </c>
      <c r="I1603" s="9">
        <f>H1603-G1603</f>
        <v>21.435000000000002</v>
      </c>
    </row>
    <row r="1604" ht="14.25">
      <c r="A1604" s="5">
        <v>54278</v>
      </c>
      <c r="B1604" s="6" t="s">
        <v>1660</v>
      </c>
      <c r="C1604" s="7" t="s">
        <v>14</v>
      </c>
      <c r="D1604" s="7" t="s">
        <v>11</v>
      </c>
      <c r="E1604" s="5" t="s">
        <v>15</v>
      </c>
      <c r="F1604" s="8"/>
      <c r="G1604" s="9">
        <f>H1604*(1-15%)*(1-F1604)</f>
        <v>135.91499999999999</v>
      </c>
      <c r="H1604" s="9">
        <v>159.90000000000001</v>
      </c>
      <c r="I1604" s="9">
        <f>H1604-G1604</f>
        <v>23.985000000000014</v>
      </c>
    </row>
    <row r="1605" ht="14.25">
      <c r="A1605" s="5">
        <v>54676</v>
      </c>
      <c r="B1605" s="6" t="s">
        <v>1661</v>
      </c>
      <c r="C1605" s="7" t="s">
        <v>271</v>
      </c>
      <c r="D1605" s="7" t="s">
        <v>110</v>
      </c>
      <c r="E1605" s="5" t="s">
        <v>15</v>
      </c>
      <c r="F1605" s="8"/>
      <c r="G1605" s="9">
        <f>H1605*(1-15%)*(1-F1605)</f>
        <v>49.214999999999996</v>
      </c>
      <c r="H1605" s="9">
        <v>57.899999999999999</v>
      </c>
      <c r="I1605" s="9">
        <f>H1605-G1605</f>
        <v>8.6850000000000023</v>
      </c>
    </row>
    <row r="1606" ht="14.25">
      <c r="A1606" s="5">
        <v>54677</v>
      </c>
      <c r="B1606" s="6" t="s">
        <v>1662</v>
      </c>
      <c r="C1606" s="7" t="s">
        <v>271</v>
      </c>
      <c r="D1606" s="7" t="s">
        <v>110</v>
      </c>
      <c r="E1606" s="5" t="s">
        <v>68</v>
      </c>
      <c r="F1606" s="8"/>
      <c r="G1606" s="9">
        <f>H1606*(1-15%)*(1-F1606)</f>
        <v>29.664999999999999</v>
      </c>
      <c r="H1606" s="9">
        <v>34.899999999999999</v>
      </c>
      <c r="I1606" s="9">
        <f>H1606-G1606</f>
        <v>5.2349999999999994</v>
      </c>
    </row>
    <row r="1607" ht="14.25">
      <c r="A1607" s="5">
        <v>54678</v>
      </c>
      <c r="B1607" s="6" t="s">
        <v>1663</v>
      </c>
      <c r="C1607" s="7" t="s">
        <v>271</v>
      </c>
      <c r="D1607" s="7" t="s">
        <v>110</v>
      </c>
      <c r="E1607" s="5" t="s">
        <v>703</v>
      </c>
      <c r="F1607" s="8"/>
      <c r="G1607" s="9">
        <f>H1607*(1-15%)*(1-F1607)</f>
        <v>29.664999999999999</v>
      </c>
      <c r="H1607" s="9">
        <v>34.899999999999999</v>
      </c>
      <c r="I1607" s="9">
        <f>H1607-G1607</f>
        <v>5.2349999999999994</v>
      </c>
    </row>
    <row r="1608" ht="14.25">
      <c r="A1608" s="5">
        <v>55142</v>
      </c>
      <c r="B1608" s="6" t="s">
        <v>1664</v>
      </c>
      <c r="C1608" s="7" t="s">
        <v>1656</v>
      </c>
      <c r="D1608" s="7" t="s">
        <v>347</v>
      </c>
      <c r="E1608" s="5" t="s">
        <v>26</v>
      </c>
      <c r="F1608" s="8"/>
      <c r="G1608" s="9">
        <f>H1608*(1-15%)*(1-F1608)</f>
        <v>146.965</v>
      </c>
      <c r="H1608" s="9">
        <v>172.90000000000001</v>
      </c>
      <c r="I1608" s="9">
        <f>H1608-G1608</f>
        <v>25.935000000000002</v>
      </c>
    </row>
    <row r="1609" ht="14.25">
      <c r="A1609" s="5">
        <v>55143</v>
      </c>
      <c r="B1609" s="6" t="s">
        <v>1665</v>
      </c>
      <c r="C1609" s="7" t="s">
        <v>1656</v>
      </c>
      <c r="D1609" s="7" t="s">
        <v>347</v>
      </c>
      <c r="E1609" s="5" t="s">
        <v>26</v>
      </c>
      <c r="F1609" s="8"/>
      <c r="G1609" s="9">
        <f>H1609*(1-15%)*(1-F1609)</f>
        <v>121.465</v>
      </c>
      <c r="H1609" s="9">
        <v>142.90000000000001</v>
      </c>
      <c r="I1609" s="9">
        <f>H1609-G1609</f>
        <v>21.435000000000002</v>
      </c>
    </row>
    <row r="1610" ht="14.25">
      <c r="A1610" s="5">
        <v>55144</v>
      </c>
      <c r="B1610" s="6" t="s">
        <v>1666</v>
      </c>
      <c r="C1610" s="7" t="s">
        <v>1656</v>
      </c>
      <c r="D1610" s="7" t="s">
        <v>347</v>
      </c>
      <c r="E1610" s="5" t="s">
        <v>26</v>
      </c>
      <c r="F1610" s="8"/>
      <c r="G1610" s="9">
        <f>H1610*(1-15%)*(1-F1610)</f>
        <v>101.91500000000001</v>
      </c>
      <c r="H1610" s="9">
        <v>119.90000000000001</v>
      </c>
      <c r="I1610" s="9">
        <f>H1610-G1610</f>
        <v>17.984999999999999</v>
      </c>
    </row>
    <row r="1611" ht="14.25">
      <c r="A1611" s="5">
        <v>56181</v>
      </c>
      <c r="B1611" s="6" t="s">
        <v>1667</v>
      </c>
      <c r="C1611" s="7" t="s">
        <v>1656</v>
      </c>
      <c r="D1611" s="7" t="s">
        <v>347</v>
      </c>
      <c r="E1611" s="5" t="s">
        <v>26</v>
      </c>
      <c r="F1611" s="8"/>
      <c r="G1611" s="9">
        <f>H1611*(1-15%)*(1-F1611)</f>
        <v>121.465</v>
      </c>
      <c r="H1611" s="9">
        <v>142.90000000000001</v>
      </c>
      <c r="I1611" s="9">
        <f>H1611-G1611</f>
        <v>21.435000000000002</v>
      </c>
    </row>
    <row r="1612" ht="14.25">
      <c r="A1612" s="5">
        <v>56209</v>
      </c>
      <c r="B1612" s="6" t="s">
        <v>1668</v>
      </c>
      <c r="C1612" s="7" t="s">
        <v>1656</v>
      </c>
      <c r="D1612" s="7" t="s">
        <v>347</v>
      </c>
      <c r="E1612" s="5" t="s">
        <v>26</v>
      </c>
      <c r="F1612" s="8"/>
      <c r="G1612" s="9">
        <f>H1612*(1-15%)*(1-F1612)</f>
        <v>146.965</v>
      </c>
      <c r="H1612" s="9">
        <v>172.90000000000001</v>
      </c>
      <c r="I1612" s="9">
        <f>H1612-G1612</f>
        <v>25.935000000000002</v>
      </c>
    </row>
    <row r="1613" ht="14.25">
      <c r="A1613" s="5">
        <v>52072</v>
      </c>
      <c r="B1613" s="6" t="s">
        <v>1669</v>
      </c>
      <c r="C1613" s="7" t="s">
        <v>94</v>
      </c>
      <c r="D1613" s="7" t="s">
        <v>95</v>
      </c>
      <c r="E1613" s="5" t="s">
        <v>68</v>
      </c>
      <c r="F1613" s="8"/>
      <c r="G1613" s="9">
        <f>H1613*(1-15%)*(1-F1613)</f>
        <v>70.465000000000003</v>
      </c>
      <c r="H1613" s="9">
        <v>82.900000000000006</v>
      </c>
      <c r="I1613" s="9">
        <f>H1613-G1613</f>
        <v>12.435000000000002</v>
      </c>
    </row>
    <row r="1614" ht="14.25">
      <c r="A1614" s="5">
        <v>52073</v>
      </c>
      <c r="B1614" s="6" t="s">
        <v>1670</v>
      </c>
      <c r="C1614" s="7" t="s">
        <v>94</v>
      </c>
      <c r="D1614" s="7" t="s">
        <v>95</v>
      </c>
      <c r="E1614" s="5" t="s">
        <v>43</v>
      </c>
      <c r="F1614" s="8"/>
      <c r="G1614" s="9">
        <f>H1614*(1-15%)*(1-F1614)</f>
        <v>66.215000000000003</v>
      </c>
      <c r="H1614" s="9">
        <v>77.900000000000006</v>
      </c>
      <c r="I1614" s="9">
        <f>H1614-G1614</f>
        <v>11.685000000000002</v>
      </c>
    </row>
    <row r="1615" ht="14.25">
      <c r="A1615" s="5">
        <v>52075</v>
      </c>
      <c r="B1615" s="6" t="s">
        <v>1671</v>
      </c>
      <c r="C1615" s="7" t="s">
        <v>94</v>
      </c>
      <c r="D1615" s="7" t="s">
        <v>95</v>
      </c>
      <c r="E1615" s="5" t="s">
        <v>43</v>
      </c>
      <c r="F1615" s="8"/>
      <c r="G1615" s="9">
        <f>H1615*(1-15%)*(1-F1615)</f>
        <v>59.415000000000006</v>
      </c>
      <c r="H1615" s="9">
        <v>69.900000000000006</v>
      </c>
      <c r="I1615" s="9">
        <f>H1615-G1615</f>
        <v>10.484999999999999</v>
      </c>
    </row>
    <row r="1616" ht="14.25">
      <c r="A1616" s="5">
        <v>52076</v>
      </c>
      <c r="B1616" s="6" t="s">
        <v>1672</v>
      </c>
      <c r="C1616" s="7" t="s">
        <v>94</v>
      </c>
      <c r="D1616" s="7" t="s">
        <v>95</v>
      </c>
      <c r="E1616" s="5" t="s">
        <v>43</v>
      </c>
      <c r="F1616" s="8"/>
      <c r="G1616" s="9">
        <f>H1616*(1-15%)*(1-F1616)</f>
        <v>39.015000000000001</v>
      </c>
      <c r="H1616" s="9">
        <v>45.899999999999999</v>
      </c>
      <c r="I1616" s="9">
        <f>H1616-G1616</f>
        <v>6.884999999999998</v>
      </c>
    </row>
    <row r="1617" ht="14.25">
      <c r="A1617" s="5">
        <v>52077</v>
      </c>
      <c r="B1617" s="6" t="s">
        <v>1673</v>
      </c>
      <c r="C1617" s="7" t="s">
        <v>94</v>
      </c>
      <c r="D1617" s="7" t="s">
        <v>95</v>
      </c>
      <c r="E1617" s="5" t="s">
        <v>43</v>
      </c>
      <c r="F1617" s="8"/>
      <c r="G1617" s="9">
        <f>H1617*(1-15%)*(1-F1617)</f>
        <v>55.165000000000006</v>
      </c>
      <c r="H1617" s="9">
        <v>64.900000000000006</v>
      </c>
      <c r="I1617" s="9">
        <f>H1617-G1617</f>
        <v>9.7349999999999994</v>
      </c>
    </row>
    <row r="1618" ht="14.25">
      <c r="A1618" s="5">
        <v>52078</v>
      </c>
      <c r="B1618" s="6" t="s">
        <v>1674</v>
      </c>
      <c r="C1618" s="7" t="s">
        <v>94</v>
      </c>
      <c r="D1618" s="7" t="s">
        <v>95</v>
      </c>
      <c r="E1618" s="5" t="s">
        <v>43</v>
      </c>
      <c r="F1618" s="8"/>
      <c r="G1618" s="9">
        <f>H1618*(1-15%)*(1-F1618)</f>
        <v>42.414999999999999</v>
      </c>
      <c r="H1618" s="9">
        <v>49.899999999999999</v>
      </c>
      <c r="I1618" s="9">
        <f>H1618-G1618</f>
        <v>7.4849999999999994</v>
      </c>
    </row>
    <row r="1619" ht="14.25">
      <c r="A1619" s="5">
        <v>52079</v>
      </c>
      <c r="B1619" s="6" t="s">
        <v>1675</v>
      </c>
      <c r="C1619" s="7" t="s">
        <v>94</v>
      </c>
      <c r="D1619" s="7" t="s">
        <v>95</v>
      </c>
      <c r="E1619" s="5" t="s">
        <v>43</v>
      </c>
      <c r="F1619" s="8"/>
      <c r="G1619" s="9">
        <f>H1619*(1-15%)*(1-F1619)</f>
        <v>59.415000000000006</v>
      </c>
      <c r="H1619" s="9">
        <v>69.900000000000006</v>
      </c>
      <c r="I1619" s="9">
        <f>H1619-G1619</f>
        <v>10.484999999999999</v>
      </c>
    </row>
    <row r="1620" ht="14.25">
      <c r="A1620" s="5">
        <v>52081</v>
      </c>
      <c r="B1620" s="6" t="s">
        <v>1676</v>
      </c>
      <c r="C1620" s="7" t="s">
        <v>94</v>
      </c>
      <c r="D1620" s="7" t="s">
        <v>95</v>
      </c>
      <c r="E1620" s="5" t="s">
        <v>68</v>
      </c>
      <c r="F1620" s="8"/>
      <c r="G1620" s="9">
        <f>H1620*(1-15%)*(1-F1620)</f>
        <v>42.414999999999999</v>
      </c>
      <c r="H1620" s="9">
        <v>49.899999999999999</v>
      </c>
      <c r="I1620" s="9">
        <f>H1620-G1620</f>
        <v>7.4849999999999994</v>
      </c>
    </row>
    <row r="1621" ht="14.25">
      <c r="A1621" s="5">
        <v>52082</v>
      </c>
      <c r="B1621" s="6" t="s">
        <v>1677</v>
      </c>
      <c r="C1621" s="7" t="s">
        <v>94</v>
      </c>
      <c r="D1621" s="7" t="s">
        <v>95</v>
      </c>
      <c r="E1621" s="5" t="s">
        <v>43</v>
      </c>
      <c r="F1621" s="8"/>
      <c r="G1621" s="9">
        <f>H1621*(1-15%)*(1-F1621)</f>
        <v>55.165000000000006</v>
      </c>
      <c r="H1621" s="9">
        <v>64.900000000000006</v>
      </c>
      <c r="I1621" s="9">
        <f>H1621-G1621</f>
        <v>9.7349999999999994</v>
      </c>
    </row>
    <row r="1622" ht="14.25">
      <c r="A1622" s="5">
        <v>52083</v>
      </c>
      <c r="B1622" s="6" t="s">
        <v>1678</v>
      </c>
      <c r="C1622" s="7" t="s">
        <v>94</v>
      </c>
      <c r="D1622" s="7" t="s">
        <v>95</v>
      </c>
      <c r="E1622" s="5" t="s">
        <v>68</v>
      </c>
      <c r="F1622" s="8"/>
      <c r="G1622" s="9">
        <f>H1622*(1-15%)*(1-F1622)</f>
        <v>36.464999999999996</v>
      </c>
      <c r="H1622" s="9">
        <v>42.899999999999999</v>
      </c>
      <c r="I1622" s="9">
        <f>H1622-G1622</f>
        <v>6.4350000000000023</v>
      </c>
    </row>
    <row r="1623" ht="14.25">
      <c r="A1623" s="5">
        <v>52085</v>
      </c>
      <c r="B1623" s="6" t="s">
        <v>1679</v>
      </c>
      <c r="C1623" s="7" t="s">
        <v>94</v>
      </c>
      <c r="D1623" s="7" t="s">
        <v>95</v>
      </c>
      <c r="E1623" s="5" t="s">
        <v>43</v>
      </c>
      <c r="F1623" s="8"/>
      <c r="G1623" s="9">
        <f>H1623*(1-15%)*(1-F1623)</f>
        <v>36.464999999999996</v>
      </c>
      <c r="H1623" s="9">
        <v>42.899999999999999</v>
      </c>
      <c r="I1623" s="9">
        <f>H1623-G1623</f>
        <v>6.4350000000000023</v>
      </c>
    </row>
    <row r="1624" ht="14.25">
      <c r="A1624" s="5">
        <v>52740</v>
      </c>
      <c r="B1624" s="6" t="s">
        <v>1680</v>
      </c>
      <c r="C1624" s="7" t="s">
        <v>94</v>
      </c>
      <c r="D1624" s="7" t="s">
        <v>95</v>
      </c>
      <c r="E1624" s="5" t="s">
        <v>43</v>
      </c>
      <c r="F1624" s="8"/>
      <c r="G1624" s="9">
        <f>H1624*(1-15%)*(1-F1624)</f>
        <v>42.414999999999999</v>
      </c>
      <c r="H1624" s="9">
        <v>49.899999999999999</v>
      </c>
      <c r="I1624" s="9">
        <f>H1624-G1624</f>
        <v>7.4849999999999994</v>
      </c>
    </row>
    <row r="1625" ht="14.25">
      <c r="A1625" s="5">
        <v>52741</v>
      </c>
      <c r="B1625" s="6" t="s">
        <v>1681</v>
      </c>
      <c r="C1625" s="7" t="s">
        <v>94</v>
      </c>
      <c r="D1625" s="7" t="s">
        <v>95</v>
      </c>
      <c r="E1625" s="5" t="s">
        <v>43</v>
      </c>
      <c r="F1625" s="8"/>
      <c r="G1625" s="9">
        <f>H1625*(1-15%)*(1-F1625)</f>
        <v>42.414999999999999</v>
      </c>
      <c r="H1625" s="9">
        <v>49.899999999999999</v>
      </c>
      <c r="I1625" s="9">
        <f>H1625-G1625</f>
        <v>7.4849999999999994</v>
      </c>
    </row>
    <row r="1626" ht="14.25">
      <c r="A1626" s="5">
        <v>53543</v>
      </c>
      <c r="B1626" s="6" t="s">
        <v>1682</v>
      </c>
      <c r="C1626" s="7" t="s">
        <v>94</v>
      </c>
      <c r="D1626" s="7" t="s">
        <v>95</v>
      </c>
      <c r="E1626" s="5" t="s">
        <v>43</v>
      </c>
      <c r="F1626" s="8"/>
      <c r="G1626" s="9">
        <f>H1626*(1-15%)*(1-F1626)</f>
        <v>38.164999999999999</v>
      </c>
      <c r="H1626" s="9">
        <v>44.899999999999999</v>
      </c>
      <c r="I1626" s="9">
        <f>H1626-G1626</f>
        <v>6.7349999999999994</v>
      </c>
    </row>
    <row r="1627" ht="14.25">
      <c r="A1627" s="5">
        <v>56182</v>
      </c>
      <c r="B1627" s="6" t="s">
        <v>1683</v>
      </c>
      <c r="C1627" s="7" t="s">
        <v>82</v>
      </c>
      <c r="D1627" s="7" t="s">
        <v>183</v>
      </c>
      <c r="E1627" s="5" t="s">
        <v>43</v>
      </c>
      <c r="F1627" s="8"/>
      <c r="G1627" s="9">
        <f>H1627*(1-15%)*(1-F1627)</f>
        <v>17.764999999999997</v>
      </c>
      <c r="H1627" s="9">
        <v>20.899999999999999</v>
      </c>
      <c r="I1627" s="9">
        <f>H1627-G1627</f>
        <v>3.1350000000000016</v>
      </c>
    </row>
    <row r="1628" ht="14.25">
      <c r="A1628" s="5">
        <v>56254</v>
      </c>
      <c r="B1628" s="6" t="s">
        <v>1684</v>
      </c>
      <c r="C1628" s="7" t="s">
        <v>82</v>
      </c>
      <c r="D1628" s="7" t="s">
        <v>183</v>
      </c>
      <c r="E1628" s="5" t="s">
        <v>68</v>
      </c>
      <c r="F1628" s="8"/>
      <c r="G1628" s="9">
        <f>H1628*(1-15%)*(1-F1628)</f>
        <v>17.764999999999997</v>
      </c>
      <c r="H1628" s="9">
        <v>20.899999999999999</v>
      </c>
      <c r="I1628" s="9">
        <f>H1628-G1628</f>
        <v>3.1350000000000016</v>
      </c>
    </row>
    <row r="1629" ht="14.25">
      <c r="A1629" s="5">
        <v>57580</v>
      </c>
      <c r="B1629" s="6" t="s">
        <v>1685</v>
      </c>
      <c r="C1629" s="7" t="s">
        <v>109</v>
      </c>
      <c r="D1629" s="7" t="s">
        <v>110</v>
      </c>
      <c r="E1629" s="5" t="s">
        <v>15</v>
      </c>
      <c r="F1629" s="8"/>
      <c r="G1629" s="9">
        <f>H1629*(1-15%)*(1-F1629)</f>
        <v>55.165000000000006</v>
      </c>
      <c r="H1629" s="9">
        <v>64.900000000000006</v>
      </c>
      <c r="I1629" s="9">
        <f>H1629-G1629</f>
        <v>9.7349999999999994</v>
      </c>
    </row>
    <row r="1630" ht="14.25">
      <c r="A1630" s="5">
        <v>57581</v>
      </c>
      <c r="B1630" s="6" t="s">
        <v>1686</v>
      </c>
      <c r="C1630" s="7" t="s">
        <v>109</v>
      </c>
      <c r="D1630" s="7" t="s">
        <v>110</v>
      </c>
      <c r="E1630" s="5" t="s">
        <v>15</v>
      </c>
      <c r="F1630" s="8"/>
      <c r="G1630" s="9">
        <f>H1630*(1-15%)*(1-F1630)</f>
        <v>56.015000000000001</v>
      </c>
      <c r="H1630" s="9">
        <v>65.900000000000006</v>
      </c>
      <c r="I1630" s="9">
        <f>H1630-G1630</f>
        <v>9.8850000000000051</v>
      </c>
    </row>
    <row r="1631" ht="14.25">
      <c r="A1631" s="5">
        <v>57582</v>
      </c>
      <c r="B1631" s="6" t="s">
        <v>1687</v>
      </c>
      <c r="C1631" s="7" t="s">
        <v>109</v>
      </c>
      <c r="D1631" s="7" t="s">
        <v>110</v>
      </c>
      <c r="E1631" s="5" t="s">
        <v>15</v>
      </c>
      <c r="F1631" s="8"/>
      <c r="G1631" s="9">
        <f>H1631*(1-15%)*(1-F1631)</f>
        <v>57.715000000000003</v>
      </c>
      <c r="H1631" s="9">
        <v>67.900000000000006</v>
      </c>
      <c r="I1631" s="9">
        <f>H1631-G1631</f>
        <v>10.185000000000002</v>
      </c>
    </row>
    <row r="1632" ht="14.25">
      <c r="A1632" s="5">
        <v>53352</v>
      </c>
      <c r="B1632" s="6" t="s">
        <v>1688</v>
      </c>
      <c r="C1632" s="7" t="s">
        <v>75</v>
      </c>
      <c r="D1632" s="7" t="s">
        <v>103</v>
      </c>
      <c r="E1632" s="5" t="s">
        <v>39</v>
      </c>
      <c r="F1632" s="8"/>
      <c r="G1632" s="9">
        <f>H1632*(1-15%)*(1-F1632)</f>
        <v>25.414999999999999</v>
      </c>
      <c r="H1632" s="9">
        <v>29.899999999999999</v>
      </c>
      <c r="I1632" s="9">
        <f>H1632-G1632</f>
        <v>4.4849999999999994</v>
      </c>
    </row>
    <row r="1633" ht="14.25">
      <c r="A1633" s="5">
        <v>53356</v>
      </c>
      <c r="B1633" s="6" t="s">
        <v>1689</v>
      </c>
      <c r="C1633" s="7" t="s">
        <v>75</v>
      </c>
      <c r="D1633" s="7" t="s">
        <v>45</v>
      </c>
      <c r="E1633" s="5" t="s">
        <v>68</v>
      </c>
      <c r="F1633" s="8"/>
      <c r="G1633" s="9">
        <f>H1633*(1-15%)*(1-F1633)</f>
        <v>36.464999999999996</v>
      </c>
      <c r="H1633" s="9">
        <v>42.899999999999999</v>
      </c>
      <c r="I1633" s="9">
        <f>H1633-G1633</f>
        <v>6.4350000000000023</v>
      </c>
    </row>
    <row r="1634" ht="14.25">
      <c r="A1634" s="5">
        <v>53346</v>
      </c>
      <c r="B1634" s="6" t="s">
        <v>1690</v>
      </c>
      <c r="C1634" s="7" t="s">
        <v>75</v>
      </c>
      <c r="D1634" s="7" t="s">
        <v>45</v>
      </c>
      <c r="E1634" s="5" t="s">
        <v>39</v>
      </c>
      <c r="F1634" s="8"/>
      <c r="G1634" s="9">
        <f>H1634*(1-15%)*(1-F1634)</f>
        <v>73.865000000000009</v>
      </c>
      <c r="H1634" s="9">
        <v>86.900000000000006</v>
      </c>
      <c r="I1634" s="9">
        <f>H1634-G1634</f>
        <v>13.034999999999997</v>
      </c>
    </row>
    <row r="1635" ht="14.25">
      <c r="A1635" s="5">
        <v>53347</v>
      </c>
      <c r="B1635" s="6" t="s">
        <v>1691</v>
      </c>
      <c r="C1635" s="7" t="s">
        <v>75</v>
      </c>
      <c r="D1635" s="7" t="s">
        <v>45</v>
      </c>
      <c r="E1635" s="5" t="s">
        <v>39</v>
      </c>
      <c r="F1635" s="8"/>
      <c r="G1635" s="9">
        <f>H1635*(1-15%)*(1-F1635)</f>
        <v>57.715000000000003</v>
      </c>
      <c r="H1635" s="9">
        <v>67.900000000000006</v>
      </c>
      <c r="I1635" s="9">
        <f>H1635-G1635</f>
        <v>10.185000000000002</v>
      </c>
    </row>
    <row r="1636" ht="14.25">
      <c r="A1636" s="5">
        <v>53350</v>
      </c>
      <c r="B1636" s="6" t="s">
        <v>1692</v>
      </c>
      <c r="C1636" s="7" t="s">
        <v>75</v>
      </c>
      <c r="D1636" s="7" t="s">
        <v>583</v>
      </c>
      <c r="E1636" s="5" t="s">
        <v>15</v>
      </c>
      <c r="F1636" s="8"/>
      <c r="G1636" s="9">
        <f>H1636*(1-15%)*(1-F1636)</f>
        <v>73.865000000000009</v>
      </c>
      <c r="H1636" s="9">
        <v>86.900000000000006</v>
      </c>
      <c r="I1636" s="9">
        <f>H1636-G1636</f>
        <v>13.034999999999997</v>
      </c>
    </row>
    <row r="1637" ht="14.25">
      <c r="A1637" s="5">
        <v>55707</v>
      </c>
      <c r="B1637" s="6" t="s">
        <v>1693</v>
      </c>
      <c r="C1637" s="7" t="s">
        <v>75</v>
      </c>
      <c r="D1637" s="7" t="s">
        <v>45</v>
      </c>
      <c r="E1637" s="5" t="s">
        <v>39</v>
      </c>
      <c r="F1637" s="8"/>
      <c r="G1637" s="9">
        <f>H1637*(1-15%)*(1-F1637)</f>
        <v>50.914999999999999</v>
      </c>
      <c r="H1637" s="9">
        <v>59.899999999999999</v>
      </c>
      <c r="I1637" s="9">
        <f>H1637-G1637</f>
        <v>8.9849999999999994</v>
      </c>
    </row>
    <row r="1638" ht="14.25">
      <c r="A1638" s="5">
        <v>54652</v>
      </c>
      <c r="B1638" s="6" t="s">
        <v>1694</v>
      </c>
      <c r="C1638" s="7" t="s">
        <v>109</v>
      </c>
      <c r="D1638" s="7" t="s">
        <v>110</v>
      </c>
      <c r="E1638" s="5" t="s">
        <v>39</v>
      </c>
      <c r="F1638" s="8"/>
      <c r="G1638" s="9">
        <f>H1638*(1-15%)*(1-F1638)</f>
        <v>131.66499999999999</v>
      </c>
      <c r="H1638" s="9">
        <v>154.90000000000001</v>
      </c>
      <c r="I1638" s="9">
        <f>H1638-G1638</f>
        <v>23.235000000000014</v>
      </c>
    </row>
    <row r="1639" ht="14.25">
      <c r="A1639" s="5">
        <v>56152</v>
      </c>
      <c r="B1639" s="6" t="s">
        <v>1695</v>
      </c>
      <c r="C1639" s="7" t="s">
        <v>17</v>
      </c>
      <c r="D1639" s="7" t="s">
        <v>45</v>
      </c>
      <c r="E1639" s="5" t="s">
        <v>15</v>
      </c>
      <c r="F1639" s="8"/>
      <c r="G1639" s="9">
        <f>H1639*(1-15%)*(1-F1639)</f>
        <v>35.614999999999995</v>
      </c>
      <c r="H1639" s="9">
        <v>41.899999999999999</v>
      </c>
      <c r="I1639" s="9">
        <f>H1639-G1639</f>
        <v>6.2850000000000037</v>
      </c>
    </row>
    <row r="1640" ht="14.25">
      <c r="A1640" s="5">
        <v>56154</v>
      </c>
      <c r="B1640" s="6" t="s">
        <v>1696</v>
      </c>
      <c r="C1640" s="7" t="s">
        <v>19</v>
      </c>
      <c r="D1640" s="7" t="s">
        <v>583</v>
      </c>
      <c r="E1640" s="5" t="s">
        <v>15</v>
      </c>
      <c r="F1640" s="8"/>
      <c r="G1640" s="9">
        <f>H1640*(1-15%)*(1-F1640)</f>
        <v>67.915000000000006</v>
      </c>
      <c r="H1640" s="9">
        <v>79.900000000000006</v>
      </c>
      <c r="I1640" s="9">
        <f>H1640-G1640</f>
        <v>11.984999999999999</v>
      </c>
    </row>
    <row r="1641" ht="14.25">
      <c r="A1641" s="5">
        <v>57488</v>
      </c>
      <c r="B1641" s="6" t="s">
        <v>1697</v>
      </c>
      <c r="C1641" s="7" t="s">
        <v>399</v>
      </c>
      <c r="D1641" s="7" t="s">
        <v>45</v>
      </c>
      <c r="E1641" s="5" t="s">
        <v>43</v>
      </c>
      <c r="F1641" s="8"/>
      <c r="G1641" s="9">
        <f>H1641*(1-15%)*(1-F1641)</f>
        <v>63.665000000000006</v>
      </c>
      <c r="H1641" s="9">
        <v>74.900000000000006</v>
      </c>
      <c r="I1641" s="9">
        <f>H1641-G1641</f>
        <v>11.234999999999999</v>
      </c>
    </row>
    <row r="1642" ht="14.25">
      <c r="A1642" s="5">
        <v>56048</v>
      </c>
      <c r="B1642" s="6" t="s">
        <v>1698</v>
      </c>
      <c r="C1642" s="7" t="s">
        <v>21</v>
      </c>
      <c r="D1642" s="7" t="s">
        <v>61</v>
      </c>
      <c r="E1642" s="5" t="s">
        <v>43</v>
      </c>
      <c r="F1642" s="8"/>
      <c r="G1642" s="9">
        <f>H1642*(1-15%)*(1-F1642)</f>
        <v>215.815</v>
      </c>
      <c r="H1642" s="9">
        <v>253.90000000000001</v>
      </c>
      <c r="I1642" s="9">
        <f>H1642-G1642</f>
        <v>38.085000000000008</v>
      </c>
    </row>
    <row r="1643" ht="14.25">
      <c r="A1643" s="5">
        <v>56136</v>
      </c>
      <c r="B1643" s="6" t="s">
        <v>1699</v>
      </c>
      <c r="C1643" s="7" t="s">
        <v>14</v>
      </c>
      <c r="D1643" s="7" t="s">
        <v>61</v>
      </c>
      <c r="E1643" s="5" t="s">
        <v>43</v>
      </c>
      <c r="F1643" s="8"/>
      <c r="G1643" s="9">
        <f>H1643*(1-15%)*(1-F1643)</f>
        <v>165.66499999999999</v>
      </c>
      <c r="H1643" s="9">
        <v>194.90000000000001</v>
      </c>
      <c r="I1643" s="9">
        <f>H1643-G1643</f>
        <v>29.235000000000014</v>
      </c>
    </row>
    <row r="1644" ht="14.25">
      <c r="A1644" s="5">
        <v>56137</v>
      </c>
      <c r="B1644" s="6" t="s">
        <v>1700</v>
      </c>
      <c r="C1644" s="7" t="s">
        <v>19</v>
      </c>
      <c r="D1644" s="7" t="s">
        <v>61</v>
      </c>
      <c r="E1644" s="5" t="s">
        <v>43</v>
      </c>
      <c r="F1644" s="8"/>
      <c r="G1644" s="9">
        <f>H1644*(1-15%)*(1-F1644)</f>
        <v>186.91499999999999</v>
      </c>
      <c r="H1644" s="9">
        <v>219.90000000000001</v>
      </c>
      <c r="I1644" s="9">
        <f>H1644-G1644</f>
        <v>32.985000000000014</v>
      </c>
    </row>
    <row r="1645" ht="14.25">
      <c r="A1645" s="5">
        <v>56138</v>
      </c>
      <c r="B1645" s="6" t="s">
        <v>1701</v>
      </c>
      <c r="C1645" s="7" t="s">
        <v>251</v>
      </c>
      <c r="D1645" s="7" t="s">
        <v>61</v>
      </c>
      <c r="E1645" s="5" t="s">
        <v>43</v>
      </c>
      <c r="F1645" s="8"/>
      <c r="G1645" s="9">
        <f>H1645*(1-15%)*(1-F1645)</f>
        <v>212.41499999999999</v>
      </c>
      <c r="H1645" s="9">
        <v>249.90000000000001</v>
      </c>
      <c r="I1645" s="9">
        <f>H1645-G1645</f>
        <v>37.485000000000014</v>
      </c>
    </row>
    <row r="1646" ht="14.25">
      <c r="A1646" s="5">
        <v>56139</v>
      </c>
      <c r="B1646" s="6" t="s">
        <v>1702</v>
      </c>
      <c r="C1646" s="7" t="s">
        <v>399</v>
      </c>
      <c r="D1646" s="7" t="s">
        <v>61</v>
      </c>
      <c r="E1646" s="5" t="s">
        <v>43</v>
      </c>
      <c r="F1646" s="8"/>
      <c r="G1646" s="9">
        <f>H1646*(1-15%)*(1-F1646)</f>
        <v>157.16499999999999</v>
      </c>
      <c r="H1646" s="9">
        <v>184.90000000000001</v>
      </c>
      <c r="I1646" s="9">
        <f>H1646-G1646</f>
        <v>27.735000000000014</v>
      </c>
    </row>
    <row r="1647" ht="14.25">
      <c r="A1647" s="5">
        <v>56140</v>
      </c>
      <c r="B1647" s="6" t="s">
        <v>1703</v>
      </c>
      <c r="C1647" s="7" t="s">
        <v>17</v>
      </c>
      <c r="D1647" s="7" t="s">
        <v>61</v>
      </c>
      <c r="E1647" s="5" t="s">
        <v>43</v>
      </c>
      <c r="F1647" s="8"/>
      <c r="G1647" s="9">
        <f>H1647*(1-15%)*(1-F1647)</f>
        <v>148.66499999999999</v>
      </c>
      <c r="H1647" s="9">
        <v>174.90000000000001</v>
      </c>
      <c r="I1647" s="9">
        <f>H1647-G1647</f>
        <v>26.235000000000014</v>
      </c>
    </row>
    <row r="1648" ht="14.25">
      <c r="A1648" s="5">
        <v>56141</v>
      </c>
      <c r="B1648" s="6" t="s">
        <v>1704</v>
      </c>
      <c r="C1648" s="7" t="s">
        <v>70</v>
      </c>
      <c r="D1648" s="7" t="s">
        <v>61</v>
      </c>
      <c r="E1648" s="5" t="s">
        <v>43</v>
      </c>
      <c r="F1648" s="8"/>
      <c r="G1648" s="9">
        <f>H1648*(1-15%)*(1-F1648)</f>
        <v>152.91499999999999</v>
      </c>
      <c r="H1648" s="9">
        <v>179.90000000000001</v>
      </c>
      <c r="I1648" s="9">
        <f>H1648-G1648</f>
        <v>26.985000000000014</v>
      </c>
    </row>
    <row r="1649" ht="14.25">
      <c r="A1649" s="5">
        <v>56142</v>
      </c>
      <c r="B1649" s="6" t="s">
        <v>1705</v>
      </c>
      <c r="C1649" s="7" t="s">
        <v>70</v>
      </c>
      <c r="D1649" s="7" t="s">
        <v>61</v>
      </c>
      <c r="E1649" s="5" t="s">
        <v>43</v>
      </c>
      <c r="F1649" s="8"/>
      <c r="G1649" s="9">
        <f>H1649*(1-15%)*(1-F1649)</f>
        <v>263.41499999999996</v>
      </c>
      <c r="H1649" s="9">
        <v>309.89999999999998</v>
      </c>
      <c r="I1649" s="9">
        <f>H1649-G1649</f>
        <v>46.485000000000014</v>
      </c>
    </row>
    <row r="1650" ht="14.25">
      <c r="A1650" s="5">
        <v>56143</v>
      </c>
      <c r="B1650" s="6" t="s">
        <v>1706</v>
      </c>
      <c r="C1650" s="7" t="s">
        <v>14</v>
      </c>
      <c r="D1650" s="7" t="s">
        <v>61</v>
      </c>
      <c r="E1650" s="5" t="s">
        <v>43</v>
      </c>
      <c r="F1650" s="8"/>
      <c r="G1650" s="9">
        <f>H1650*(1-15%)*(1-F1650)</f>
        <v>141.86500000000001</v>
      </c>
      <c r="H1650" s="9">
        <v>166.90000000000001</v>
      </c>
      <c r="I1650" s="9">
        <f>H1650-G1650</f>
        <v>25.034999999999997</v>
      </c>
    </row>
    <row r="1651" ht="14.25">
      <c r="A1651" s="5">
        <v>56144</v>
      </c>
      <c r="B1651" s="6" t="s">
        <v>1707</v>
      </c>
      <c r="C1651" s="7" t="s">
        <v>399</v>
      </c>
      <c r="D1651" s="7" t="s">
        <v>61</v>
      </c>
      <c r="E1651" s="5" t="s">
        <v>43</v>
      </c>
      <c r="F1651" s="8"/>
      <c r="G1651" s="9">
        <f>H1651*(1-15%)*(1-F1651)</f>
        <v>144.41499999999999</v>
      </c>
      <c r="H1651" s="9">
        <v>169.90000000000001</v>
      </c>
      <c r="I1651" s="9">
        <f>H1651-G1651</f>
        <v>25.485000000000014</v>
      </c>
    </row>
    <row r="1652" ht="14.25">
      <c r="A1652" s="5">
        <v>56145</v>
      </c>
      <c r="B1652" s="6" t="s">
        <v>1708</v>
      </c>
      <c r="C1652" s="7" t="s">
        <v>17</v>
      </c>
      <c r="D1652" s="7" t="s">
        <v>61</v>
      </c>
      <c r="E1652" s="5" t="s">
        <v>43</v>
      </c>
      <c r="F1652" s="8"/>
      <c r="G1652" s="9">
        <f>H1652*(1-15%)*(1-F1652)</f>
        <v>82.365000000000009</v>
      </c>
      <c r="H1652" s="9">
        <v>96.900000000000006</v>
      </c>
      <c r="I1652" s="9">
        <f>H1652-G1652</f>
        <v>14.534999999999997</v>
      </c>
    </row>
    <row r="1653" ht="14.25">
      <c r="A1653" s="5">
        <v>56146</v>
      </c>
      <c r="B1653" s="6" t="s">
        <v>1709</v>
      </c>
      <c r="C1653" s="7" t="s">
        <v>75</v>
      </c>
      <c r="D1653" s="7" t="s">
        <v>61</v>
      </c>
      <c r="E1653" s="5" t="s">
        <v>43</v>
      </c>
      <c r="F1653" s="8"/>
      <c r="G1653" s="9">
        <f>H1653*(1-15%)*(1-F1653)</f>
        <v>114.66500000000001</v>
      </c>
      <c r="H1653" s="9">
        <v>134.90000000000001</v>
      </c>
      <c r="I1653" s="9">
        <f>H1653-G1653</f>
        <v>20.234999999999999</v>
      </c>
    </row>
    <row r="1654" ht="14.25">
      <c r="A1654" s="5">
        <v>56147</v>
      </c>
      <c r="B1654" s="6" t="s">
        <v>1710</v>
      </c>
      <c r="C1654" s="7" t="s">
        <v>694</v>
      </c>
      <c r="D1654" s="7" t="s">
        <v>61</v>
      </c>
      <c r="E1654" s="5" t="s">
        <v>43</v>
      </c>
      <c r="F1654" s="8"/>
      <c r="G1654" s="9">
        <f>H1654*(1-15%)*(1-F1654)</f>
        <v>84.915000000000006</v>
      </c>
      <c r="H1654" s="9">
        <v>99.900000000000006</v>
      </c>
      <c r="I1654" s="9">
        <f>H1654-G1654</f>
        <v>14.984999999999999</v>
      </c>
    </row>
    <row r="1655" ht="14.25">
      <c r="A1655" s="5">
        <v>56148</v>
      </c>
      <c r="B1655" s="6" t="s">
        <v>1711</v>
      </c>
      <c r="C1655" s="7" t="s">
        <v>82</v>
      </c>
      <c r="D1655" s="7" t="s">
        <v>61</v>
      </c>
      <c r="E1655" s="5" t="s">
        <v>43</v>
      </c>
      <c r="F1655" s="8"/>
      <c r="G1655" s="9">
        <f>H1655*(1-15%)*(1-F1655)</f>
        <v>73.865000000000009</v>
      </c>
      <c r="H1655" s="9">
        <v>86.900000000000006</v>
      </c>
      <c r="I1655" s="9">
        <f>H1655-G1655</f>
        <v>13.034999999999997</v>
      </c>
    </row>
    <row r="1656" ht="14.25">
      <c r="A1656" s="5">
        <v>56149</v>
      </c>
      <c r="B1656" s="6" t="s">
        <v>1712</v>
      </c>
      <c r="C1656" s="7" t="s">
        <v>17</v>
      </c>
      <c r="D1656" s="7" t="s">
        <v>61</v>
      </c>
      <c r="E1656" s="5" t="s">
        <v>43</v>
      </c>
      <c r="F1656" s="8"/>
      <c r="G1656" s="9">
        <f>H1656*(1-15%)*(1-F1656)</f>
        <v>195.41499999999999</v>
      </c>
      <c r="H1656" s="9">
        <v>229.90000000000001</v>
      </c>
      <c r="I1656" s="9">
        <f>H1656-G1656</f>
        <v>34.485000000000014</v>
      </c>
    </row>
    <row r="1657" ht="14.25">
      <c r="A1657" s="5">
        <v>56150</v>
      </c>
      <c r="B1657" s="6" t="s">
        <v>1713</v>
      </c>
      <c r="C1657" s="7" t="s">
        <v>33</v>
      </c>
      <c r="D1657" s="7" t="s">
        <v>61</v>
      </c>
      <c r="E1657" s="5" t="s">
        <v>43</v>
      </c>
      <c r="F1657" s="8"/>
      <c r="G1657" s="9">
        <f>H1657*(1-15%)*(1-F1657)</f>
        <v>305.91499999999996</v>
      </c>
      <c r="H1657" s="9">
        <v>359.89999999999998</v>
      </c>
      <c r="I1657" s="9">
        <f>H1657-G1657</f>
        <v>53.985000000000014</v>
      </c>
    </row>
    <row r="1658" ht="14.25">
      <c r="A1658" s="5">
        <v>56589</v>
      </c>
      <c r="B1658" s="6" t="s">
        <v>1714</v>
      </c>
      <c r="C1658" s="7" t="s">
        <v>201</v>
      </c>
      <c r="D1658" s="7" t="s">
        <v>183</v>
      </c>
      <c r="E1658" s="5" t="s">
        <v>15</v>
      </c>
      <c r="F1658" s="8"/>
      <c r="G1658" s="9">
        <f>H1658*(1-15%)*(1-F1658)</f>
        <v>33.914999999999999</v>
      </c>
      <c r="H1658" s="9">
        <v>39.899999999999999</v>
      </c>
      <c r="I1658" s="9">
        <f>H1658-G1658</f>
        <v>5.9849999999999994</v>
      </c>
    </row>
    <row r="1659" ht="14.25">
      <c r="A1659" s="5">
        <v>56151</v>
      </c>
      <c r="B1659" s="6" t="s">
        <v>1715</v>
      </c>
      <c r="C1659" s="7" t="s">
        <v>17</v>
      </c>
      <c r="D1659" s="7" t="s">
        <v>11</v>
      </c>
      <c r="E1659" s="5" t="s">
        <v>15</v>
      </c>
      <c r="F1659" s="8"/>
      <c r="G1659" s="9">
        <f>H1659*(1-15%)*(1-F1659)</f>
        <v>67.915000000000006</v>
      </c>
      <c r="H1659" s="9">
        <v>79.900000000000006</v>
      </c>
      <c r="I1659" s="9">
        <f>H1659-G1659</f>
        <v>11.984999999999999</v>
      </c>
    </row>
    <row r="1660" ht="14.25">
      <c r="A1660" s="5">
        <v>56936</v>
      </c>
      <c r="B1660" s="6" t="s">
        <v>1716</v>
      </c>
      <c r="C1660" s="7" t="s">
        <v>251</v>
      </c>
      <c r="D1660" s="7" t="s">
        <v>11</v>
      </c>
      <c r="E1660" s="5" t="s">
        <v>15</v>
      </c>
      <c r="F1660" s="8"/>
      <c r="G1660" s="9">
        <f>H1660*(1-15%)*(1-F1660)</f>
        <v>72.165000000000006</v>
      </c>
      <c r="H1660" s="9">
        <v>84.900000000000006</v>
      </c>
      <c r="I1660" s="9">
        <f>H1660-G1660</f>
        <v>12.734999999999999</v>
      </c>
    </row>
    <row r="1661" ht="14.25">
      <c r="A1661" s="5">
        <v>59466</v>
      </c>
      <c r="B1661" s="6" t="s">
        <v>1717</v>
      </c>
      <c r="C1661" s="7" t="s">
        <v>399</v>
      </c>
      <c r="D1661" s="7" t="s">
        <v>11</v>
      </c>
      <c r="E1661" s="5" t="s">
        <v>43</v>
      </c>
      <c r="F1661" s="8"/>
      <c r="G1661" s="9">
        <f>H1661*(1-15%)*(1-F1661)</f>
        <v>148.66499999999999</v>
      </c>
      <c r="H1661" s="9">
        <v>174.90000000000001</v>
      </c>
      <c r="I1661" s="9">
        <f>H1661-G1661</f>
        <v>26.235000000000014</v>
      </c>
    </row>
    <row r="1662" ht="14.25">
      <c r="A1662" s="5">
        <v>54887</v>
      </c>
      <c r="B1662" s="6" t="s">
        <v>1718</v>
      </c>
      <c r="C1662" s="7" t="s">
        <v>226</v>
      </c>
      <c r="D1662" s="7" t="s">
        <v>61</v>
      </c>
      <c r="E1662" s="5" t="s">
        <v>68</v>
      </c>
      <c r="F1662" s="8"/>
      <c r="G1662" s="9">
        <f>H1662*(1-15%)*(1-F1662)</f>
        <v>97.665000000000006</v>
      </c>
      <c r="H1662" s="9">
        <v>114.90000000000001</v>
      </c>
      <c r="I1662" s="9">
        <f>H1662-G1662</f>
        <v>17.234999999999999</v>
      </c>
    </row>
    <row r="1663" ht="14.25">
      <c r="A1663" s="5">
        <v>54886</v>
      </c>
      <c r="B1663" s="6" t="s">
        <v>1719</v>
      </c>
      <c r="C1663" s="7" t="s">
        <v>226</v>
      </c>
      <c r="D1663" s="7" t="s">
        <v>61</v>
      </c>
      <c r="E1663" s="5" t="s">
        <v>68</v>
      </c>
      <c r="F1663" s="8"/>
      <c r="G1663" s="9">
        <f>H1663*(1-15%)*(1-F1663)</f>
        <v>134.215</v>
      </c>
      <c r="H1663" s="9">
        <v>157.90000000000001</v>
      </c>
      <c r="I1663" s="9">
        <f>H1663-G1663</f>
        <v>23.685000000000002</v>
      </c>
    </row>
    <row r="1664" ht="14.25">
      <c r="A1664" s="5">
        <v>52794</v>
      </c>
      <c r="B1664" s="6" t="s">
        <v>1720</v>
      </c>
      <c r="C1664" s="7" t="s">
        <v>109</v>
      </c>
      <c r="D1664" s="7" t="s">
        <v>110</v>
      </c>
      <c r="E1664" s="5" t="s">
        <v>26</v>
      </c>
      <c r="F1664" s="8"/>
      <c r="G1664" s="9">
        <f>H1664*(1-15%)*(1-F1664)</f>
        <v>80.665000000000006</v>
      </c>
      <c r="H1664" s="9">
        <v>94.900000000000006</v>
      </c>
      <c r="I1664" s="9">
        <f>H1664-G1664</f>
        <v>14.234999999999999</v>
      </c>
    </row>
    <row r="1665" ht="14.25">
      <c r="A1665" s="5">
        <v>52795</v>
      </c>
      <c r="B1665" s="6" t="s">
        <v>1721</v>
      </c>
      <c r="C1665" s="7" t="s">
        <v>109</v>
      </c>
      <c r="D1665" s="7" t="s">
        <v>110</v>
      </c>
      <c r="E1665" s="5" t="s">
        <v>26</v>
      </c>
      <c r="F1665" s="8"/>
      <c r="G1665" s="9">
        <f>H1665*(1-15%)*(1-F1665)</f>
        <v>80.665000000000006</v>
      </c>
      <c r="H1665" s="9">
        <v>94.900000000000006</v>
      </c>
      <c r="I1665" s="9">
        <f>H1665-G1665</f>
        <v>14.234999999999999</v>
      </c>
    </row>
    <row r="1666" ht="14.25">
      <c r="A1666" s="5">
        <v>52797</v>
      </c>
      <c r="B1666" s="6" t="s">
        <v>1722</v>
      </c>
      <c r="C1666" s="7" t="s">
        <v>109</v>
      </c>
      <c r="D1666" s="7" t="s">
        <v>110</v>
      </c>
      <c r="E1666" s="5" t="s">
        <v>26</v>
      </c>
      <c r="F1666" s="8"/>
      <c r="G1666" s="9">
        <f>H1666*(1-15%)*(1-F1666)</f>
        <v>80.665000000000006</v>
      </c>
      <c r="H1666" s="9">
        <v>94.900000000000006</v>
      </c>
      <c r="I1666" s="9">
        <f>H1666-G1666</f>
        <v>14.234999999999999</v>
      </c>
    </row>
    <row r="1667" ht="14.25">
      <c r="A1667" s="5">
        <v>52798</v>
      </c>
      <c r="B1667" s="6" t="s">
        <v>1723</v>
      </c>
      <c r="C1667" s="7" t="s">
        <v>109</v>
      </c>
      <c r="D1667" s="7" t="s">
        <v>110</v>
      </c>
      <c r="E1667" s="5" t="s">
        <v>26</v>
      </c>
      <c r="F1667" s="8"/>
      <c r="G1667" s="9">
        <f>H1667*(1-15%)*(1-F1667)</f>
        <v>80.665000000000006</v>
      </c>
      <c r="H1667" s="9">
        <v>94.900000000000006</v>
      </c>
      <c r="I1667" s="9">
        <f>H1667-G1667</f>
        <v>14.234999999999999</v>
      </c>
    </row>
    <row r="1668" ht="14.25">
      <c r="A1668" s="5">
        <v>52830</v>
      </c>
      <c r="B1668" s="6" t="s">
        <v>1724</v>
      </c>
      <c r="C1668" s="7" t="s">
        <v>109</v>
      </c>
      <c r="D1668" s="7" t="s">
        <v>110</v>
      </c>
      <c r="E1668" s="5" t="s">
        <v>15</v>
      </c>
      <c r="F1668" s="8"/>
      <c r="G1668" s="9">
        <f>H1668*(1-15%)*(1-F1668)</f>
        <v>84.915000000000006</v>
      </c>
      <c r="H1668" s="9">
        <v>99.900000000000006</v>
      </c>
      <c r="I1668" s="9">
        <f>H1668-G1668</f>
        <v>14.984999999999999</v>
      </c>
    </row>
    <row r="1669" ht="14.25">
      <c r="A1669" s="5">
        <v>53386</v>
      </c>
      <c r="B1669" s="6" t="s">
        <v>1725</v>
      </c>
      <c r="C1669" s="7" t="s">
        <v>426</v>
      </c>
      <c r="D1669" s="7" t="s">
        <v>199</v>
      </c>
      <c r="E1669" s="5" t="s">
        <v>39</v>
      </c>
      <c r="F1669" s="8"/>
      <c r="G1669" s="9">
        <f>H1669*(1-15%)*(1-F1669)</f>
        <v>93.415000000000006</v>
      </c>
      <c r="H1669" s="9">
        <v>109.90000000000001</v>
      </c>
      <c r="I1669" s="9">
        <f>H1669-G1669</f>
        <v>16.484999999999999</v>
      </c>
    </row>
    <row r="1670" ht="14.25">
      <c r="A1670" s="5">
        <v>53838</v>
      </c>
      <c r="B1670" s="6" t="s">
        <v>1726</v>
      </c>
      <c r="C1670" s="7" t="s">
        <v>426</v>
      </c>
      <c r="D1670" s="7" t="s">
        <v>199</v>
      </c>
      <c r="E1670" s="5" t="s">
        <v>39</v>
      </c>
      <c r="F1670" s="8"/>
      <c r="G1670" s="9">
        <f>H1670*(1-15%)*(1-F1670)</f>
        <v>83.215000000000003</v>
      </c>
      <c r="H1670" s="9">
        <v>97.900000000000006</v>
      </c>
      <c r="I1670" s="9">
        <f>H1670-G1670</f>
        <v>14.685000000000002</v>
      </c>
    </row>
    <row r="1671" ht="14.25">
      <c r="A1671" s="5">
        <v>54457</v>
      </c>
      <c r="B1671" s="6" t="s">
        <v>1727</v>
      </c>
      <c r="C1671" s="7" t="s">
        <v>624</v>
      </c>
      <c r="D1671" s="7" t="s">
        <v>11</v>
      </c>
      <c r="E1671" s="5" t="s">
        <v>133</v>
      </c>
      <c r="F1671" s="8"/>
      <c r="G1671" s="9">
        <f>H1671*(1-15%)*(1-F1671)</f>
        <v>280.41499999999996</v>
      </c>
      <c r="H1671" s="9">
        <v>329.89999999999998</v>
      </c>
      <c r="I1671" s="9">
        <f>H1671-G1671</f>
        <v>49.485000000000014</v>
      </c>
    </row>
    <row r="1672" ht="14.25">
      <c r="A1672" s="5">
        <v>55212</v>
      </c>
      <c r="B1672" s="6" t="s">
        <v>1728</v>
      </c>
      <c r="C1672" s="7" t="s">
        <v>624</v>
      </c>
      <c r="D1672" s="7" t="s">
        <v>103</v>
      </c>
      <c r="E1672" s="5" t="s">
        <v>15</v>
      </c>
      <c r="F1672" s="8"/>
      <c r="G1672" s="9">
        <f>H1672*(1-15%)*(1-F1672)</f>
        <v>55.165000000000006</v>
      </c>
      <c r="H1672" s="9">
        <v>64.900000000000006</v>
      </c>
      <c r="I1672" s="9">
        <f>H1672-G1672</f>
        <v>9.7349999999999994</v>
      </c>
    </row>
    <row r="1673" ht="14.25">
      <c r="A1673" s="5">
        <v>55494</v>
      </c>
      <c r="B1673" s="6" t="s">
        <v>1729</v>
      </c>
      <c r="C1673" s="7" t="s">
        <v>109</v>
      </c>
      <c r="D1673" s="7" t="s">
        <v>110</v>
      </c>
      <c r="E1673" s="5" t="s">
        <v>15</v>
      </c>
      <c r="F1673" s="8"/>
      <c r="G1673" s="9">
        <f>H1673*(1-15%)*(1-F1673)</f>
        <v>84.915000000000006</v>
      </c>
      <c r="H1673" s="9">
        <v>99.900000000000006</v>
      </c>
      <c r="I1673" s="9">
        <f>H1673-G1673</f>
        <v>14.984999999999999</v>
      </c>
    </row>
    <row r="1674" ht="14.25">
      <c r="A1674" s="5">
        <v>55495</v>
      </c>
      <c r="B1674" s="6" t="s">
        <v>1730</v>
      </c>
      <c r="C1674" s="7" t="s">
        <v>109</v>
      </c>
      <c r="D1674" s="7" t="s">
        <v>110</v>
      </c>
      <c r="E1674" s="5" t="s">
        <v>15</v>
      </c>
      <c r="F1674" s="8"/>
      <c r="G1674" s="9">
        <f>H1674*(1-15%)*(1-F1674)</f>
        <v>84.915000000000006</v>
      </c>
      <c r="H1674" s="9">
        <v>99.900000000000006</v>
      </c>
      <c r="I1674" s="9">
        <f>H1674-G1674</f>
        <v>14.984999999999999</v>
      </c>
    </row>
    <row r="1675" ht="14.25">
      <c r="A1675" s="5">
        <v>55496</v>
      </c>
      <c r="B1675" s="6" t="s">
        <v>1731</v>
      </c>
      <c r="C1675" s="7" t="s">
        <v>109</v>
      </c>
      <c r="D1675" s="7" t="s">
        <v>110</v>
      </c>
      <c r="E1675" s="5" t="s">
        <v>15</v>
      </c>
      <c r="F1675" s="8"/>
      <c r="G1675" s="9">
        <f>H1675*(1-15%)*(1-F1675)</f>
        <v>76.415000000000006</v>
      </c>
      <c r="H1675" s="9">
        <v>89.900000000000006</v>
      </c>
      <c r="I1675" s="9">
        <f>H1675-G1675</f>
        <v>13.484999999999999</v>
      </c>
    </row>
    <row r="1676" ht="14.25">
      <c r="A1676" s="5">
        <v>55497</v>
      </c>
      <c r="B1676" s="6" t="s">
        <v>1732</v>
      </c>
      <c r="C1676" s="7" t="s">
        <v>109</v>
      </c>
      <c r="D1676" s="7" t="s">
        <v>110</v>
      </c>
      <c r="E1676" s="5" t="s">
        <v>15</v>
      </c>
      <c r="F1676" s="8"/>
      <c r="G1676" s="9">
        <f>H1676*(1-15%)*(1-F1676)</f>
        <v>76.415000000000006</v>
      </c>
      <c r="H1676" s="9">
        <v>89.900000000000006</v>
      </c>
      <c r="I1676" s="9">
        <f>H1676-G1676</f>
        <v>13.484999999999999</v>
      </c>
    </row>
    <row r="1677" ht="14.25">
      <c r="A1677" s="5">
        <v>57521</v>
      </c>
      <c r="B1677" s="6" t="s">
        <v>1733</v>
      </c>
      <c r="C1677" s="7" t="s">
        <v>70</v>
      </c>
      <c r="D1677" s="7" t="s">
        <v>61</v>
      </c>
      <c r="E1677" s="5" t="s">
        <v>43</v>
      </c>
      <c r="F1677" s="8"/>
      <c r="G1677" s="9">
        <f>H1677*(1-15%)*(1-F1677)</f>
        <v>246.41499999999996</v>
      </c>
      <c r="H1677" s="9">
        <v>289.89999999999998</v>
      </c>
      <c r="I1677" s="9">
        <f>H1677-G1677</f>
        <v>43.485000000000014</v>
      </c>
    </row>
    <row r="1678" ht="14.25">
      <c r="A1678" s="5">
        <v>57522</v>
      </c>
      <c r="B1678" s="6" t="s">
        <v>1734</v>
      </c>
      <c r="C1678" s="7" t="s">
        <v>10</v>
      </c>
      <c r="D1678" s="7" t="s">
        <v>61</v>
      </c>
      <c r="E1678" s="5" t="s">
        <v>43</v>
      </c>
      <c r="F1678" s="8"/>
      <c r="G1678" s="9">
        <f>H1678*(1-15%)*(1-F1678)</f>
        <v>254.15000000000001</v>
      </c>
      <c r="H1678" s="9">
        <v>299</v>
      </c>
      <c r="I1678" s="9">
        <f>H1678-G1678</f>
        <v>44.849999999999994</v>
      </c>
    </row>
    <row r="1679" ht="14.25">
      <c r="A1679" s="5">
        <v>57523</v>
      </c>
      <c r="B1679" s="6" t="s">
        <v>1735</v>
      </c>
      <c r="C1679" s="7" t="s">
        <v>251</v>
      </c>
      <c r="D1679" s="7" t="s">
        <v>61</v>
      </c>
      <c r="E1679" s="5" t="s">
        <v>43</v>
      </c>
      <c r="F1679" s="8"/>
      <c r="G1679" s="9">
        <f>H1679*(1-15%)*(1-F1679)</f>
        <v>195.41499999999999</v>
      </c>
      <c r="H1679" s="9">
        <v>229.90000000000001</v>
      </c>
      <c r="I1679" s="9">
        <f>H1679-G1679</f>
        <v>34.485000000000014</v>
      </c>
    </row>
    <row r="1680" ht="14.25">
      <c r="A1680" s="5">
        <v>57525</v>
      </c>
      <c r="B1680" s="6" t="s">
        <v>1736</v>
      </c>
      <c r="C1680" s="7" t="s">
        <v>21</v>
      </c>
      <c r="D1680" s="7" t="s">
        <v>61</v>
      </c>
      <c r="E1680" s="5" t="s">
        <v>43</v>
      </c>
      <c r="F1680" s="8"/>
      <c r="G1680" s="9">
        <f>H1680*(1-15%)*(1-F1680)</f>
        <v>178.41499999999999</v>
      </c>
      <c r="H1680" s="9">
        <v>209.90000000000001</v>
      </c>
      <c r="I1680" s="9">
        <f>H1680-G1680</f>
        <v>31.485000000000014</v>
      </c>
    </row>
    <row r="1681" ht="14.25">
      <c r="A1681" s="5">
        <v>57526</v>
      </c>
      <c r="B1681" s="6" t="s">
        <v>1737</v>
      </c>
      <c r="C1681" s="7" t="s">
        <v>21</v>
      </c>
      <c r="D1681" s="7" t="s">
        <v>61</v>
      </c>
      <c r="E1681" s="5" t="s">
        <v>43</v>
      </c>
      <c r="F1681" s="8"/>
      <c r="G1681" s="9">
        <f>H1681*(1-15%)*(1-F1681)</f>
        <v>169.91499999999999</v>
      </c>
      <c r="H1681" s="9">
        <v>199.90000000000001</v>
      </c>
      <c r="I1681" s="9">
        <f>H1681-G1681</f>
        <v>29.985000000000014</v>
      </c>
    </row>
    <row r="1682" ht="14.25">
      <c r="A1682" s="5">
        <v>57527</v>
      </c>
      <c r="B1682" s="6" t="s">
        <v>1738</v>
      </c>
      <c r="C1682" s="7" t="s">
        <v>705</v>
      </c>
      <c r="D1682" s="7" t="s">
        <v>61</v>
      </c>
      <c r="E1682" s="5" t="s">
        <v>43</v>
      </c>
      <c r="F1682" s="8"/>
      <c r="G1682" s="9">
        <f>H1682*(1-15%)*(1-F1682)</f>
        <v>163.965</v>
      </c>
      <c r="H1682" s="9">
        <v>192.90000000000001</v>
      </c>
      <c r="I1682" s="9">
        <f>H1682-G1682</f>
        <v>28.935000000000002</v>
      </c>
    </row>
    <row r="1683" ht="14.25">
      <c r="A1683" s="5">
        <v>57529</v>
      </c>
      <c r="B1683" s="6" t="s">
        <v>1739</v>
      </c>
      <c r="C1683" s="7" t="s">
        <v>75</v>
      </c>
      <c r="D1683" s="7" t="s">
        <v>61</v>
      </c>
      <c r="E1683" s="5" t="s">
        <v>43</v>
      </c>
      <c r="F1683" s="8"/>
      <c r="G1683" s="9">
        <f>H1683*(1-15%)*(1-F1683)</f>
        <v>110.41500000000001</v>
      </c>
      <c r="H1683" s="9">
        <v>129.90000000000001</v>
      </c>
      <c r="I1683" s="9">
        <f>H1683-G1683</f>
        <v>19.484999999999999</v>
      </c>
    </row>
    <row r="1684" ht="14.25">
      <c r="A1684" s="5">
        <v>57530</v>
      </c>
      <c r="B1684" s="6" t="s">
        <v>1740</v>
      </c>
      <c r="C1684" s="7" t="s">
        <v>14</v>
      </c>
      <c r="D1684" s="7" t="s">
        <v>61</v>
      </c>
      <c r="E1684" s="5" t="s">
        <v>43</v>
      </c>
      <c r="F1684" s="8"/>
      <c r="G1684" s="9">
        <f>H1684*(1-15%)*(1-F1684)</f>
        <v>152.91499999999999</v>
      </c>
      <c r="H1684" s="9">
        <v>179.90000000000001</v>
      </c>
      <c r="I1684" s="9">
        <f>H1684-G1684</f>
        <v>26.985000000000014</v>
      </c>
    </row>
    <row r="1685" ht="14.25">
      <c r="A1685" s="5">
        <v>57531</v>
      </c>
      <c r="B1685" s="6" t="s">
        <v>1741</v>
      </c>
      <c r="C1685" s="7" t="s">
        <v>14</v>
      </c>
      <c r="D1685" s="7" t="s">
        <v>61</v>
      </c>
      <c r="E1685" s="5" t="s">
        <v>43</v>
      </c>
      <c r="F1685" s="8"/>
      <c r="G1685" s="9">
        <f>H1685*(1-15%)*(1-F1685)</f>
        <v>123.16500000000001</v>
      </c>
      <c r="H1685" s="9">
        <v>144.90000000000001</v>
      </c>
      <c r="I1685" s="9">
        <f>H1685-G1685</f>
        <v>21.734999999999999</v>
      </c>
    </row>
    <row r="1686" ht="14.25">
      <c r="A1686" s="5">
        <v>57533</v>
      </c>
      <c r="B1686" s="6" t="s">
        <v>1742</v>
      </c>
      <c r="C1686" s="7" t="s">
        <v>36</v>
      </c>
      <c r="D1686" s="7" t="s">
        <v>61</v>
      </c>
      <c r="E1686" s="5" t="s">
        <v>43</v>
      </c>
      <c r="F1686" s="8"/>
      <c r="G1686" s="9">
        <f>H1686*(1-15%)*(1-F1686)</f>
        <v>129.965</v>
      </c>
      <c r="H1686" s="9">
        <v>152.90000000000001</v>
      </c>
      <c r="I1686" s="9">
        <f>H1686-G1686</f>
        <v>22.935000000000002</v>
      </c>
    </row>
    <row r="1687" ht="14.25">
      <c r="A1687" s="5">
        <v>57534</v>
      </c>
      <c r="B1687" s="6" t="s">
        <v>1743</v>
      </c>
      <c r="C1687" s="7" t="s">
        <v>694</v>
      </c>
      <c r="D1687" s="7" t="s">
        <v>61</v>
      </c>
      <c r="E1687" s="5" t="s">
        <v>43</v>
      </c>
      <c r="F1687" s="8"/>
      <c r="G1687" s="9">
        <f>H1687*(1-15%)*(1-F1687)</f>
        <v>90.865000000000009</v>
      </c>
      <c r="H1687" s="9">
        <v>106.90000000000001</v>
      </c>
      <c r="I1687" s="9">
        <f>H1687-G1687</f>
        <v>16.034999999999997</v>
      </c>
    </row>
    <row r="1688" ht="14.25">
      <c r="A1688" s="5">
        <v>57535</v>
      </c>
      <c r="B1688" s="6" t="s">
        <v>1744</v>
      </c>
      <c r="C1688" s="7" t="s">
        <v>694</v>
      </c>
      <c r="D1688" s="7" t="s">
        <v>61</v>
      </c>
      <c r="E1688" s="5" t="s">
        <v>43</v>
      </c>
      <c r="F1688" s="8"/>
      <c r="G1688" s="9">
        <f>H1688*(1-15%)*(1-F1688)</f>
        <v>90.865000000000009</v>
      </c>
      <c r="H1688" s="9">
        <v>106.90000000000001</v>
      </c>
      <c r="I1688" s="9">
        <f>H1688-G1688</f>
        <v>16.034999999999997</v>
      </c>
    </row>
    <row r="1689" ht="14.25">
      <c r="A1689" s="5">
        <v>57536</v>
      </c>
      <c r="B1689" s="6" t="s">
        <v>1745</v>
      </c>
      <c r="C1689" s="7" t="s">
        <v>82</v>
      </c>
      <c r="D1689" s="7" t="s">
        <v>61</v>
      </c>
      <c r="E1689" s="5" t="s">
        <v>43</v>
      </c>
      <c r="F1689" s="8"/>
      <c r="G1689" s="9">
        <f>H1689*(1-15%)*(1-F1689)</f>
        <v>80.665000000000006</v>
      </c>
      <c r="H1689" s="9">
        <v>94.900000000000006</v>
      </c>
      <c r="I1689" s="9">
        <f>H1689-G1689</f>
        <v>14.234999999999999</v>
      </c>
    </row>
    <row r="1690" ht="14.25">
      <c r="A1690" s="5">
        <v>57537</v>
      </c>
      <c r="B1690" s="6" t="s">
        <v>1746</v>
      </c>
      <c r="C1690" s="7" t="s">
        <v>70</v>
      </c>
      <c r="D1690" s="7" t="s">
        <v>45</v>
      </c>
      <c r="E1690" s="5" t="s">
        <v>26</v>
      </c>
      <c r="F1690" s="8"/>
      <c r="G1690" s="9">
        <f>H1690*(1-15%)*(1-F1690)</f>
        <v>59.415000000000006</v>
      </c>
      <c r="H1690" s="9">
        <v>69.900000000000006</v>
      </c>
      <c r="I1690" s="9">
        <f>H1690-G1690</f>
        <v>10.484999999999999</v>
      </c>
    </row>
    <row r="1691" ht="14.25">
      <c r="A1691" s="5">
        <v>57539</v>
      </c>
      <c r="B1691" s="6" t="s">
        <v>1747</v>
      </c>
      <c r="C1691" s="7" t="s">
        <v>75</v>
      </c>
      <c r="D1691" s="7" t="s">
        <v>11</v>
      </c>
      <c r="E1691" s="5" t="s">
        <v>15</v>
      </c>
      <c r="F1691" s="8"/>
      <c r="G1691" s="9">
        <f>H1691*(1-15%)*(1-F1691)</f>
        <v>41.463000000000001</v>
      </c>
      <c r="H1691" s="9">
        <v>48.780000000000001</v>
      </c>
      <c r="I1691" s="9">
        <f>H1691-G1691</f>
        <v>7.3170000000000002</v>
      </c>
    </row>
    <row r="1692" ht="14.25">
      <c r="A1692" s="5">
        <v>57541</v>
      </c>
      <c r="B1692" s="6" t="s">
        <v>1748</v>
      </c>
      <c r="C1692" s="7" t="s">
        <v>694</v>
      </c>
      <c r="D1692" s="7" t="s">
        <v>103</v>
      </c>
      <c r="E1692" s="5" t="s">
        <v>39</v>
      </c>
      <c r="F1692" s="8"/>
      <c r="G1692" s="9">
        <f>H1692*(1-15%)*(1-F1692)</f>
        <v>29.664999999999999</v>
      </c>
      <c r="H1692" s="9">
        <v>34.899999999999999</v>
      </c>
      <c r="I1692" s="9">
        <f>H1692-G1692</f>
        <v>5.2349999999999994</v>
      </c>
    </row>
    <row r="1693" ht="14.25">
      <c r="A1693" s="5">
        <v>57546</v>
      </c>
      <c r="B1693" s="6" t="s">
        <v>1749</v>
      </c>
      <c r="C1693" s="7" t="s">
        <v>21</v>
      </c>
      <c r="D1693" s="7" t="s">
        <v>103</v>
      </c>
      <c r="E1693" s="5" t="s">
        <v>15</v>
      </c>
      <c r="F1693" s="8"/>
      <c r="G1693" s="9">
        <f>H1693*(1-15%)*(1-F1693)</f>
        <v>52.614999999999995</v>
      </c>
      <c r="H1693" s="9">
        <v>61.899999999999999</v>
      </c>
      <c r="I1693" s="9">
        <f>H1693-G1693</f>
        <v>9.2850000000000037</v>
      </c>
    </row>
    <row r="1694" ht="14.25">
      <c r="A1694" s="5">
        <v>57556</v>
      </c>
      <c r="B1694" s="6" t="s">
        <v>1750</v>
      </c>
      <c r="C1694" s="7" t="s">
        <v>14</v>
      </c>
      <c r="D1694" s="7" t="s">
        <v>11</v>
      </c>
      <c r="E1694" s="5" t="s">
        <v>15</v>
      </c>
      <c r="F1694" s="8"/>
      <c r="G1694" s="9">
        <f>H1694*(1-15%)*(1-F1694)</f>
        <v>89.165000000000006</v>
      </c>
      <c r="H1694" s="9">
        <v>104.90000000000001</v>
      </c>
      <c r="I1694" s="9">
        <f>H1694-G1694</f>
        <v>15.734999999999999</v>
      </c>
    </row>
    <row r="1695" ht="14.25">
      <c r="A1695" s="5">
        <v>57591</v>
      </c>
      <c r="B1695" s="6" t="s">
        <v>1751</v>
      </c>
      <c r="C1695" s="7" t="s">
        <v>82</v>
      </c>
      <c r="D1695" s="7" t="s">
        <v>11</v>
      </c>
      <c r="E1695" s="5" t="s">
        <v>39</v>
      </c>
      <c r="F1695" s="8"/>
      <c r="G1695" s="9">
        <f>H1695*(1-15%)*(1-F1695)</f>
        <v>31.739000000000001</v>
      </c>
      <c r="H1695" s="9">
        <v>37.340000000000003</v>
      </c>
      <c r="I1695" s="9">
        <f>H1695-G1695</f>
        <v>5.6010000000000026</v>
      </c>
    </row>
    <row r="1696" ht="14.25">
      <c r="A1696" s="5">
        <v>57592</v>
      </c>
      <c r="B1696" s="6" t="s">
        <v>1752</v>
      </c>
      <c r="C1696" s="7" t="s">
        <v>82</v>
      </c>
      <c r="D1696" s="7" t="s">
        <v>45</v>
      </c>
      <c r="E1696" s="5" t="s">
        <v>15</v>
      </c>
      <c r="F1696" s="8"/>
      <c r="G1696" s="9">
        <f>H1696*(1-15%)*(1-F1696)</f>
        <v>26.435000000000002</v>
      </c>
      <c r="H1696" s="9">
        <v>31.100000000000001</v>
      </c>
      <c r="I1696" s="9">
        <f>H1696-G1696</f>
        <v>4.6649999999999991</v>
      </c>
    </row>
    <row r="1697" ht="14.25">
      <c r="A1697" s="5">
        <v>47969</v>
      </c>
      <c r="B1697" s="6" t="s">
        <v>1753</v>
      </c>
      <c r="C1697" s="7" t="s">
        <v>271</v>
      </c>
      <c r="D1697" s="7" t="s">
        <v>110</v>
      </c>
      <c r="E1697" s="5" t="s">
        <v>68</v>
      </c>
      <c r="F1697" s="8"/>
      <c r="G1697" s="9">
        <f>H1697*(1-15%)*(1-F1697)</f>
        <v>48.364999999999995</v>
      </c>
      <c r="H1697" s="9">
        <v>56.899999999999999</v>
      </c>
      <c r="I1697" s="9">
        <f>H1697-G1697</f>
        <v>8.5350000000000037</v>
      </c>
    </row>
    <row r="1698" ht="14.25">
      <c r="A1698" s="5">
        <v>47972</v>
      </c>
      <c r="B1698" s="6" t="s">
        <v>1754</v>
      </c>
      <c r="C1698" s="7" t="s">
        <v>271</v>
      </c>
      <c r="D1698" s="7" t="s">
        <v>110</v>
      </c>
      <c r="E1698" s="5" t="s">
        <v>15</v>
      </c>
      <c r="F1698" s="8"/>
      <c r="G1698" s="9">
        <f>H1698*(1-15%)*(1-F1698)</f>
        <v>44.964999999999996</v>
      </c>
      <c r="H1698" s="9">
        <v>52.899999999999999</v>
      </c>
      <c r="I1698" s="9">
        <f>H1698-G1698</f>
        <v>7.9350000000000023</v>
      </c>
    </row>
    <row r="1699" ht="14.25">
      <c r="A1699" s="5">
        <v>47973</v>
      </c>
      <c r="B1699" s="6" t="s">
        <v>1755</v>
      </c>
      <c r="C1699" s="7" t="s">
        <v>271</v>
      </c>
      <c r="D1699" s="7" t="s">
        <v>110</v>
      </c>
      <c r="E1699" s="5" t="s">
        <v>15</v>
      </c>
      <c r="F1699" s="8"/>
      <c r="G1699" s="9">
        <f>H1699*(1-15%)*(1-F1699)</f>
        <v>44.964999999999996</v>
      </c>
      <c r="H1699" s="9">
        <v>52.899999999999999</v>
      </c>
      <c r="I1699" s="9">
        <f>H1699-G1699</f>
        <v>7.9350000000000023</v>
      </c>
    </row>
    <row r="1700" ht="14.25">
      <c r="A1700" s="5">
        <v>48020</v>
      </c>
      <c r="B1700" s="6" t="s">
        <v>1756</v>
      </c>
      <c r="C1700" s="7" t="s">
        <v>75</v>
      </c>
      <c r="D1700" s="7" t="s">
        <v>583</v>
      </c>
      <c r="E1700" s="5" t="s">
        <v>39</v>
      </c>
      <c r="F1700" s="8"/>
      <c r="G1700" s="9">
        <f>H1700*(1-15%)*(1-F1700)</f>
        <v>67.915000000000006</v>
      </c>
      <c r="H1700" s="9">
        <v>79.900000000000006</v>
      </c>
      <c r="I1700" s="9">
        <f>H1700-G1700</f>
        <v>11.984999999999999</v>
      </c>
    </row>
    <row r="1701" ht="14.25">
      <c r="A1701" s="5">
        <v>48021</v>
      </c>
      <c r="B1701" s="6" t="s">
        <v>1757</v>
      </c>
      <c r="C1701" s="7" t="s">
        <v>75</v>
      </c>
      <c r="D1701" s="7" t="s">
        <v>95</v>
      </c>
      <c r="E1701" s="5" t="s">
        <v>26</v>
      </c>
      <c r="F1701" s="8"/>
      <c r="G1701" s="9">
        <f>H1701*(1-15%)*(1-F1701)</f>
        <v>57.715000000000003</v>
      </c>
      <c r="H1701" s="9">
        <v>67.900000000000006</v>
      </c>
      <c r="I1701" s="9">
        <f>H1701-G1701</f>
        <v>10.185000000000002</v>
      </c>
    </row>
    <row r="1702" ht="14.25">
      <c r="A1702" s="5">
        <v>48059</v>
      </c>
      <c r="B1702" s="6" t="s">
        <v>1758</v>
      </c>
      <c r="C1702" s="7" t="s">
        <v>70</v>
      </c>
      <c r="D1702" s="7" t="s">
        <v>45</v>
      </c>
      <c r="E1702" s="5" t="s">
        <v>26</v>
      </c>
      <c r="F1702" s="8"/>
      <c r="G1702" s="9">
        <f>H1702*(1-15%)*(1-F1702)</f>
        <v>84.915000000000006</v>
      </c>
      <c r="H1702" s="9">
        <v>99.900000000000006</v>
      </c>
      <c r="I1702" s="9">
        <f>H1702-G1702</f>
        <v>14.984999999999999</v>
      </c>
    </row>
    <row r="1703" ht="14.25">
      <c r="A1703" s="5">
        <v>48181</v>
      </c>
      <c r="B1703" s="6" t="s">
        <v>1759</v>
      </c>
      <c r="C1703" s="7" t="s">
        <v>70</v>
      </c>
      <c r="D1703" s="7" t="s">
        <v>583</v>
      </c>
      <c r="E1703" s="5" t="s">
        <v>39</v>
      </c>
      <c r="F1703" s="8"/>
      <c r="G1703" s="9">
        <f>H1703*(1-15%)*(1-F1703)</f>
        <v>93.415000000000006</v>
      </c>
      <c r="H1703" s="9">
        <v>109.90000000000001</v>
      </c>
      <c r="I1703" s="9">
        <f>H1703-G1703</f>
        <v>16.484999999999999</v>
      </c>
    </row>
    <row r="1704" ht="14.25">
      <c r="A1704" s="5">
        <v>48283</v>
      </c>
      <c r="B1704" s="6" t="s">
        <v>1760</v>
      </c>
      <c r="C1704" s="7" t="s">
        <v>75</v>
      </c>
      <c r="D1704" s="7" t="s">
        <v>103</v>
      </c>
      <c r="E1704" s="5" t="s">
        <v>15</v>
      </c>
      <c r="F1704" s="8"/>
      <c r="G1704" s="9">
        <f>H1704*(1-15%)*(1-F1704)</f>
        <v>46.664999999999999</v>
      </c>
      <c r="H1704" s="9">
        <v>54.899999999999999</v>
      </c>
      <c r="I1704" s="9">
        <f>H1704-G1704</f>
        <v>8.2349999999999994</v>
      </c>
    </row>
    <row r="1705" ht="14.25">
      <c r="A1705" s="5">
        <v>48287</v>
      </c>
      <c r="B1705" s="6" t="s">
        <v>1761</v>
      </c>
      <c r="C1705" s="7" t="s">
        <v>75</v>
      </c>
      <c r="D1705" s="7" t="s">
        <v>45</v>
      </c>
      <c r="E1705" s="5" t="s">
        <v>39</v>
      </c>
      <c r="F1705" s="8"/>
      <c r="G1705" s="9">
        <f>H1705*(1-15%)*(1-F1705)</f>
        <v>49.214999999999996</v>
      </c>
      <c r="H1705" s="9">
        <v>57.899999999999999</v>
      </c>
      <c r="I1705" s="9">
        <f>H1705-G1705</f>
        <v>8.6850000000000023</v>
      </c>
    </row>
    <row r="1706" ht="14.25">
      <c r="A1706" s="5">
        <v>48544</v>
      </c>
      <c r="B1706" s="6" t="s">
        <v>1762</v>
      </c>
      <c r="C1706" s="7" t="s">
        <v>70</v>
      </c>
      <c r="D1706" s="7" t="s">
        <v>45</v>
      </c>
      <c r="E1706" s="5" t="s">
        <v>26</v>
      </c>
      <c r="F1706" s="8"/>
      <c r="G1706" s="9">
        <f>H1706*(1-15%)*(1-F1706)</f>
        <v>83.215000000000003</v>
      </c>
      <c r="H1706" s="9">
        <v>97.900000000000006</v>
      </c>
      <c r="I1706" s="9">
        <f>H1706-G1706</f>
        <v>14.685000000000002</v>
      </c>
    </row>
    <row r="1707" ht="14.25">
      <c r="A1707" s="5">
        <v>48639</v>
      </c>
      <c r="B1707" s="6" t="s">
        <v>1763</v>
      </c>
      <c r="C1707" s="7" t="s">
        <v>70</v>
      </c>
      <c r="D1707" s="7" t="s">
        <v>45</v>
      </c>
      <c r="E1707" s="5" t="s">
        <v>26</v>
      </c>
      <c r="F1707" s="8"/>
      <c r="G1707" s="9">
        <f>H1707*(1-15%)*(1-F1707)</f>
        <v>83.215000000000003</v>
      </c>
      <c r="H1707" s="9">
        <v>97.900000000000006</v>
      </c>
      <c r="I1707" s="9">
        <f>H1707-G1707</f>
        <v>14.685000000000002</v>
      </c>
    </row>
    <row r="1708" ht="14.25">
      <c r="A1708" s="5">
        <v>48668</v>
      </c>
      <c r="B1708" s="6" t="s">
        <v>1764</v>
      </c>
      <c r="C1708" s="7" t="s">
        <v>67</v>
      </c>
      <c r="D1708" s="7" t="s">
        <v>71</v>
      </c>
      <c r="E1708" s="5" t="s">
        <v>15</v>
      </c>
      <c r="F1708" s="8"/>
      <c r="G1708" s="9">
        <f>H1708*(1-15%)*(1-F1708)</f>
        <v>101.91500000000001</v>
      </c>
      <c r="H1708" s="9">
        <v>119.90000000000001</v>
      </c>
      <c r="I1708" s="9">
        <f>H1708-G1708</f>
        <v>17.984999999999999</v>
      </c>
    </row>
    <row r="1709" ht="14.25">
      <c r="A1709" s="5">
        <v>48677</v>
      </c>
      <c r="B1709" s="6" t="s">
        <v>1765</v>
      </c>
      <c r="C1709" s="7" t="s">
        <v>75</v>
      </c>
      <c r="D1709" s="7" t="s">
        <v>103</v>
      </c>
      <c r="E1709" s="5" t="s">
        <v>15</v>
      </c>
      <c r="F1709" s="8"/>
      <c r="G1709" s="9">
        <f>H1709*(1-15%)*(1-F1709)</f>
        <v>46.664999999999999</v>
      </c>
      <c r="H1709" s="9">
        <v>54.899999999999999</v>
      </c>
      <c r="I1709" s="9">
        <f>H1709-G1709</f>
        <v>8.2349999999999994</v>
      </c>
    </row>
    <row r="1710" ht="14.25">
      <c r="A1710" s="5">
        <v>48771</v>
      </c>
      <c r="B1710" s="6" t="s">
        <v>1766</v>
      </c>
      <c r="C1710" s="7" t="s">
        <v>75</v>
      </c>
      <c r="D1710" s="7" t="s">
        <v>45</v>
      </c>
      <c r="E1710" s="5" t="s">
        <v>68</v>
      </c>
      <c r="F1710" s="8"/>
      <c r="G1710" s="9">
        <f>H1710*(1-15%)*(1-F1710)</f>
        <v>59.415000000000006</v>
      </c>
      <c r="H1710" s="9">
        <v>69.900000000000006</v>
      </c>
      <c r="I1710" s="9">
        <f>H1710-G1710</f>
        <v>10.484999999999999</v>
      </c>
    </row>
    <row r="1711" ht="14.25">
      <c r="A1711" s="5">
        <v>48773</v>
      </c>
      <c r="B1711" s="6" t="s">
        <v>1767</v>
      </c>
      <c r="C1711" s="7" t="s">
        <v>75</v>
      </c>
      <c r="D1711" s="7" t="s">
        <v>95</v>
      </c>
      <c r="E1711" s="5" t="s">
        <v>26</v>
      </c>
      <c r="F1711" s="8"/>
      <c r="G1711" s="9">
        <f>H1711*(1-15%)*(1-F1711)</f>
        <v>44.964999999999996</v>
      </c>
      <c r="H1711" s="9">
        <v>52.899999999999999</v>
      </c>
      <c r="I1711" s="9">
        <f>H1711-G1711</f>
        <v>7.9350000000000023</v>
      </c>
    </row>
    <row r="1712" ht="14.25">
      <c r="A1712" s="5">
        <v>48972</v>
      </c>
      <c r="B1712" s="6" t="s">
        <v>1768</v>
      </c>
      <c r="C1712" s="7" t="s">
        <v>271</v>
      </c>
      <c r="D1712" s="7" t="s">
        <v>110</v>
      </c>
      <c r="E1712" s="5" t="s">
        <v>68</v>
      </c>
      <c r="F1712" s="8"/>
      <c r="G1712" s="9">
        <f>H1712*(1-15%)*(1-F1712)</f>
        <v>61.965000000000003</v>
      </c>
      <c r="H1712" s="9">
        <v>72.900000000000006</v>
      </c>
      <c r="I1712" s="9">
        <f>H1712-G1712</f>
        <v>10.935000000000002</v>
      </c>
    </row>
    <row r="1713" ht="14.25">
      <c r="A1713" s="5">
        <v>48973</v>
      </c>
      <c r="B1713" s="6" t="s">
        <v>1769</v>
      </c>
      <c r="C1713" s="7" t="s">
        <v>271</v>
      </c>
      <c r="D1713" s="7" t="s">
        <v>110</v>
      </c>
      <c r="E1713" s="5" t="s">
        <v>68</v>
      </c>
      <c r="F1713" s="8"/>
      <c r="G1713" s="9">
        <f>H1713*(1-15%)*(1-F1713)</f>
        <v>61.965000000000003</v>
      </c>
      <c r="H1713" s="9">
        <v>72.900000000000006</v>
      </c>
      <c r="I1713" s="9">
        <f>H1713-G1713</f>
        <v>10.935000000000002</v>
      </c>
    </row>
    <row r="1714" ht="14.25">
      <c r="A1714" s="5">
        <v>48974</v>
      </c>
      <c r="B1714" s="6" t="s">
        <v>1770</v>
      </c>
      <c r="C1714" s="7" t="s">
        <v>271</v>
      </c>
      <c r="D1714" s="7" t="s">
        <v>110</v>
      </c>
      <c r="E1714" s="5" t="s">
        <v>68</v>
      </c>
      <c r="F1714" s="8"/>
      <c r="G1714" s="9">
        <f>H1714*(1-15%)*(1-F1714)</f>
        <v>61.965000000000003</v>
      </c>
      <c r="H1714" s="9">
        <v>72.900000000000006</v>
      </c>
      <c r="I1714" s="9">
        <f>H1714-G1714</f>
        <v>10.935000000000002</v>
      </c>
    </row>
    <row r="1715" ht="14.25">
      <c r="A1715" s="5">
        <v>48975</v>
      </c>
      <c r="B1715" s="6" t="s">
        <v>1771</v>
      </c>
      <c r="C1715" s="7" t="s">
        <v>271</v>
      </c>
      <c r="D1715" s="7" t="s">
        <v>110</v>
      </c>
      <c r="E1715" s="5" t="s">
        <v>68</v>
      </c>
      <c r="F1715" s="8"/>
      <c r="G1715" s="9">
        <f>H1715*(1-15%)*(1-F1715)</f>
        <v>61.965000000000003</v>
      </c>
      <c r="H1715" s="9">
        <v>72.900000000000006</v>
      </c>
      <c r="I1715" s="9">
        <f>H1715-G1715</f>
        <v>10.935000000000002</v>
      </c>
    </row>
    <row r="1716" ht="14.25">
      <c r="A1716" s="5">
        <v>48976</v>
      </c>
      <c r="B1716" s="6" t="s">
        <v>1772</v>
      </c>
      <c r="C1716" s="7" t="s">
        <v>271</v>
      </c>
      <c r="D1716" s="7" t="s">
        <v>110</v>
      </c>
      <c r="E1716" s="5" t="s">
        <v>68</v>
      </c>
      <c r="F1716" s="8"/>
      <c r="G1716" s="9">
        <f>H1716*(1-15%)*(1-F1716)</f>
        <v>61.965000000000003</v>
      </c>
      <c r="H1716" s="9">
        <v>72.900000000000006</v>
      </c>
      <c r="I1716" s="9">
        <f>H1716-G1716</f>
        <v>10.935000000000002</v>
      </c>
    </row>
    <row r="1717" ht="14.25">
      <c r="A1717" s="5">
        <v>48977</v>
      </c>
      <c r="B1717" s="6" t="s">
        <v>1773</v>
      </c>
      <c r="C1717" s="7" t="s">
        <v>271</v>
      </c>
      <c r="D1717" s="7" t="s">
        <v>110</v>
      </c>
      <c r="E1717" s="5" t="s">
        <v>68</v>
      </c>
      <c r="F1717" s="8"/>
      <c r="G1717" s="9">
        <f>H1717*(1-15%)*(1-F1717)</f>
        <v>61.965000000000003</v>
      </c>
      <c r="H1717" s="9">
        <v>72.900000000000006</v>
      </c>
      <c r="I1717" s="9">
        <f>H1717-G1717</f>
        <v>10.935000000000002</v>
      </c>
    </row>
    <row r="1718" ht="14.25">
      <c r="A1718" s="5">
        <v>48978</v>
      </c>
      <c r="B1718" s="6" t="s">
        <v>1774</v>
      </c>
      <c r="C1718" s="7" t="s">
        <v>271</v>
      </c>
      <c r="D1718" s="7" t="s">
        <v>110</v>
      </c>
      <c r="E1718" s="5" t="s">
        <v>68</v>
      </c>
      <c r="F1718" s="8"/>
      <c r="G1718" s="9">
        <f>H1718*(1-15%)*(1-F1718)</f>
        <v>61.965000000000003</v>
      </c>
      <c r="H1718" s="9">
        <v>72.900000000000006</v>
      </c>
      <c r="I1718" s="9">
        <f>H1718-G1718</f>
        <v>10.935000000000002</v>
      </c>
    </row>
    <row r="1719" ht="14.25">
      <c r="A1719" s="5">
        <v>48979</v>
      </c>
      <c r="B1719" s="6" t="s">
        <v>1775</v>
      </c>
      <c r="C1719" s="7" t="s">
        <v>271</v>
      </c>
      <c r="D1719" s="7" t="s">
        <v>110</v>
      </c>
      <c r="E1719" s="5" t="s">
        <v>68</v>
      </c>
      <c r="F1719" s="8"/>
      <c r="G1719" s="9">
        <f>H1719*(1-15%)*(1-F1719)</f>
        <v>61.965000000000003</v>
      </c>
      <c r="H1719" s="9">
        <v>72.900000000000006</v>
      </c>
      <c r="I1719" s="9">
        <f>H1719-G1719</f>
        <v>10.935000000000002</v>
      </c>
    </row>
    <row r="1720" ht="14.25">
      <c r="A1720" s="5">
        <v>48980</v>
      </c>
      <c r="B1720" s="6" t="s">
        <v>1776</v>
      </c>
      <c r="C1720" s="7" t="s">
        <v>271</v>
      </c>
      <c r="D1720" s="7" t="s">
        <v>110</v>
      </c>
      <c r="E1720" s="5" t="s">
        <v>68</v>
      </c>
      <c r="F1720" s="8"/>
      <c r="G1720" s="9">
        <f>H1720*(1-15%)*(1-F1720)</f>
        <v>61.965000000000003</v>
      </c>
      <c r="H1720" s="9">
        <v>72.900000000000006</v>
      </c>
      <c r="I1720" s="9">
        <f>H1720-G1720</f>
        <v>10.935000000000002</v>
      </c>
    </row>
    <row r="1721" ht="14.25">
      <c r="A1721" s="5">
        <v>48981</v>
      </c>
      <c r="B1721" s="6" t="s">
        <v>1777</v>
      </c>
      <c r="C1721" s="7" t="s">
        <v>271</v>
      </c>
      <c r="D1721" s="7" t="s">
        <v>110</v>
      </c>
      <c r="E1721" s="5" t="s">
        <v>68</v>
      </c>
      <c r="F1721" s="8"/>
      <c r="G1721" s="9">
        <f>H1721*(1-15%)*(1-F1721)</f>
        <v>61.965000000000003</v>
      </c>
      <c r="H1721" s="9">
        <v>72.900000000000006</v>
      </c>
      <c r="I1721" s="9">
        <f>H1721-G1721</f>
        <v>10.935000000000002</v>
      </c>
    </row>
    <row r="1722" ht="14.25">
      <c r="A1722" s="5">
        <v>48982</v>
      </c>
      <c r="B1722" s="6" t="s">
        <v>1778</v>
      </c>
      <c r="C1722" s="7" t="s">
        <v>271</v>
      </c>
      <c r="D1722" s="7" t="s">
        <v>110</v>
      </c>
      <c r="E1722" s="5" t="s">
        <v>68</v>
      </c>
      <c r="F1722" s="8"/>
      <c r="G1722" s="9">
        <f>H1722*(1-15%)*(1-F1722)</f>
        <v>61.965000000000003</v>
      </c>
      <c r="H1722" s="9">
        <v>72.900000000000006</v>
      </c>
      <c r="I1722" s="9">
        <f>H1722-G1722</f>
        <v>10.935000000000002</v>
      </c>
    </row>
    <row r="1723" ht="14.25">
      <c r="A1723" s="5">
        <v>48983</v>
      </c>
      <c r="B1723" s="6" t="s">
        <v>1779</v>
      </c>
      <c r="C1723" s="7" t="s">
        <v>271</v>
      </c>
      <c r="D1723" s="7" t="s">
        <v>110</v>
      </c>
      <c r="E1723" s="5" t="s">
        <v>68</v>
      </c>
      <c r="F1723" s="8"/>
      <c r="G1723" s="9">
        <f>H1723*(1-15%)*(1-F1723)</f>
        <v>61.965000000000003</v>
      </c>
      <c r="H1723" s="9">
        <v>72.900000000000006</v>
      </c>
      <c r="I1723" s="9">
        <f>H1723-G1723</f>
        <v>10.935000000000002</v>
      </c>
    </row>
    <row r="1724" ht="14.25">
      <c r="A1724" s="5">
        <v>48984</v>
      </c>
      <c r="B1724" s="6" t="s">
        <v>1780</v>
      </c>
      <c r="C1724" s="7" t="s">
        <v>271</v>
      </c>
      <c r="D1724" s="7" t="s">
        <v>110</v>
      </c>
      <c r="E1724" s="5" t="s">
        <v>68</v>
      </c>
      <c r="F1724" s="8"/>
      <c r="G1724" s="9">
        <f>H1724*(1-15%)*(1-F1724)</f>
        <v>61.965000000000003</v>
      </c>
      <c r="H1724" s="9">
        <v>72.900000000000006</v>
      </c>
      <c r="I1724" s="9">
        <f>H1724-G1724</f>
        <v>10.935000000000002</v>
      </c>
    </row>
    <row r="1725" ht="14.25">
      <c r="A1725" s="5">
        <v>48985</v>
      </c>
      <c r="B1725" s="6" t="s">
        <v>1781</v>
      </c>
      <c r="C1725" s="7" t="s">
        <v>271</v>
      </c>
      <c r="D1725" s="7" t="s">
        <v>110</v>
      </c>
      <c r="E1725" s="5" t="s">
        <v>68</v>
      </c>
      <c r="F1725" s="8"/>
      <c r="G1725" s="9">
        <f>H1725*(1-15%)*(1-F1725)</f>
        <v>61.965000000000003</v>
      </c>
      <c r="H1725" s="9">
        <v>72.900000000000006</v>
      </c>
      <c r="I1725" s="9">
        <f>H1725-G1725</f>
        <v>10.935000000000002</v>
      </c>
    </row>
    <row r="1726" ht="14.25">
      <c r="A1726" s="5">
        <v>48986</v>
      </c>
      <c r="B1726" s="6" t="s">
        <v>1782</v>
      </c>
      <c r="C1726" s="7" t="s">
        <v>271</v>
      </c>
      <c r="D1726" s="7" t="s">
        <v>110</v>
      </c>
      <c r="E1726" s="5" t="s">
        <v>68</v>
      </c>
      <c r="F1726" s="8"/>
      <c r="G1726" s="9">
        <f>H1726*(1-15%)*(1-F1726)</f>
        <v>61.965000000000003</v>
      </c>
      <c r="H1726" s="9">
        <v>72.900000000000006</v>
      </c>
      <c r="I1726" s="9">
        <f>H1726-G1726</f>
        <v>10.935000000000002</v>
      </c>
    </row>
    <row r="1727" ht="14.25">
      <c r="A1727" s="5">
        <v>48987</v>
      </c>
      <c r="B1727" s="6" t="s">
        <v>1783</v>
      </c>
      <c r="C1727" s="7" t="s">
        <v>271</v>
      </c>
      <c r="D1727" s="7" t="s">
        <v>110</v>
      </c>
      <c r="E1727" s="5" t="s">
        <v>68</v>
      </c>
      <c r="F1727" s="8"/>
      <c r="G1727" s="9">
        <f>H1727*(1-15%)*(1-F1727)</f>
        <v>61.965000000000003</v>
      </c>
      <c r="H1727" s="9">
        <v>72.900000000000006</v>
      </c>
      <c r="I1727" s="9">
        <f>H1727-G1727</f>
        <v>10.935000000000002</v>
      </c>
    </row>
    <row r="1728" ht="14.25">
      <c r="A1728" s="5">
        <v>48988</v>
      </c>
      <c r="B1728" s="6" t="s">
        <v>1784</v>
      </c>
      <c r="C1728" s="7" t="s">
        <v>271</v>
      </c>
      <c r="D1728" s="7" t="s">
        <v>110</v>
      </c>
      <c r="E1728" s="5" t="s">
        <v>68</v>
      </c>
      <c r="F1728" s="8"/>
      <c r="G1728" s="9">
        <f>H1728*(1-15%)*(1-F1728)</f>
        <v>61.965000000000003</v>
      </c>
      <c r="H1728" s="9">
        <v>72.900000000000006</v>
      </c>
      <c r="I1728" s="9">
        <f>H1728-G1728</f>
        <v>10.935000000000002</v>
      </c>
    </row>
    <row r="1729" ht="14.25">
      <c r="A1729" s="5">
        <v>48993</v>
      </c>
      <c r="B1729" s="6" t="s">
        <v>1785</v>
      </c>
      <c r="C1729" s="7" t="s">
        <v>75</v>
      </c>
      <c r="D1729" s="7" t="s">
        <v>95</v>
      </c>
      <c r="E1729" s="5" t="s">
        <v>26</v>
      </c>
      <c r="F1729" s="8"/>
      <c r="G1729" s="9">
        <f>H1729*(1-15%)*(1-F1729)</f>
        <v>42.414999999999999</v>
      </c>
      <c r="H1729" s="9">
        <v>49.899999999999999</v>
      </c>
      <c r="I1729" s="9">
        <f>H1729-G1729</f>
        <v>7.4849999999999994</v>
      </c>
    </row>
    <row r="1730" ht="14.25">
      <c r="A1730" s="5">
        <v>49014</v>
      </c>
      <c r="B1730" s="6" t="s">
        <v>1786</v>
      </c>
      <c r="C1730" s="7" t="s">
        <v>30</v>
      </c>
      <c r="D1730" s="7" t="s">
        <v>45</v>
      </c>
      <c r="E1730" s="5" t="s">
        <v>15</v>
      </c>
      <c r="F1730" s="8"/>
      <c r="G1730" s="9">
        <f>H1730*(1-15%)*(1-F1730)</f>
        <v>56.865000000000002</v>
      </c>
      <c r="H1730" s="9">
        <v>66.900000000000006</v>
      </c>
      <c r="I1730" s="9">
        <f>H1730-G1730</f>
        <v>10.035000000000004</v>
      </c>
    </row>
    <row r="1731" ht="14.25">
      <c r="A1731" s="5">
        <v>49039</v>
      </c>
      <c r="B1731" s="6" t="s">
        <v>1787</v>
      </c>
      <c r="C1731" s="7" t="s">
        <v>624</v>
      </c>
      <c r="D1731" s="7" t="s">
        <v>71</v>
      </c>
      <c r="E1731" s="5" t="s">
        <v>26</v>
      </c>
      <c r="F1731" s="8"/>
      <c r="G1731" s="9">
        <f>H1731*(1-15%)*(1-F1731)</f>
        <v>101.91500000000001</v>
      </c>
      <c r="H1731" s="9">
        <v>119.90000000000001</v>
      </c>
      <c r="I1731" s="9">
        <f>H1731-G1731</f>
        <v>17.984999999999999</v>
      </c>
    </row>
    <row r="1732" ht="14.25">
      <c r="A1732" s="5">
        <v>49767</v>
      </c>
      <c r="B1732" s="6" t="s">
        <v>1788</v>
      </c>
      <c r="C1732" s="7" t="s">
        <v>82</v>
      </c>
      <c r="D1732" s="7" t="s">
        <v>103</v>
      </c>
      <c r="E1732" s="5" t="s">
        <v>43</v>
      </c>
      <c r="F1732" s="8"/>
      <c r="G1732" s="9">
        <f>H1732*(1-15%)*(1-F1732)</f>
        <v>20.314999999999998</v>
      </c>
      <c r="H1732" s="9">
        <v>23.899999999999999</v>
      </c>
      <c r="I1732" s="9">
        <f>H1732-G1732</f>
        <v>3.5850000000000009</v>
      </c>
    </row>
    <row r="1733" ht="14.25">
      <c r="A1733" s="5">
        <v>49788</v>
      </c>
      <c r="B1733" s="6" t="s">
        <v>1789</v>
      </c>
      <c r="C1733" s="7" t="s">
        <v>251</v>
      </c>
      <c r="D1733" s="7" t="s">
        <v>45</v>
      </c>
      <c r="E1733" s="5" t="s">
        <v>43</v>
      </c>
      <c r="F1733" s="8"/>
      <c r="G1733" s="9">
        <f>H1733*(1-15%)*(1-F1733)</f>
        <v>44.964999999999996</v>
      </c>
      <c r="H1733" s="9">
        <v>52.899999999999999</v>
      </c>
      <c r="I1733" s="9">
        <f>H1733-G1733</f>
        <v>7.9350000000000023</v>
      </c>
    </row>
    <row r="1734" ht="14.25">
      <c r="A1734" s="5">
        <v>51411</v>
      </c>
      <c r="B1734" s="6" t="s">
        <v>1790</v>
      </c>
      <c r="C1734" s="7" t="s">
        <v>75</v>
      </c>
      <c r="D1734" s="7" t="s">
        <v>103</v>
      </c>
      <c r="E1734" s="5" t="s">
        <v>15</v>
      </c>
      <c r="F1734" s="8"/>
      <c r="G1734" s="9">
        <f>H1734*(1-15%)*(1-F1734)</f>
        <v>25.414999999999999</v>
      </c>
      <c r="H1734" s="9">
        <v>29.899999999999999</v>
      </c>
      <c r="I1734" s="9">
        <f>H1734-G1734</f>
        <v>4.4849999999999994</v>
      </c>
    </row>
    <row r="1735" ht="14.25">
      <c r="A1735" s="5">
        <v>51422</v>
      </c>
      <c r="B1735" s="6" t="s">
        <v>1791</v>
      </c>
      <c r="C1735" s="7" t="s">
        <v>75</v>
      </c>
      <c r="D1735" s="7" t="s">
        <v>103</v>
      </c>
      <c r="E1735" s="5" t="s">
        <v>39</v>
      </c>
      <c r="F1735" s="8"/>
      <c r="G1735" s="9">
        <f>H1735*(1-15%)*(1-F1735)</f>
        <v>25.414999999999999</v>
      </c>
      <c r="H1735" s="9">
        <v>29.899999999999999</v>
      </c>
      <c r="I1735" s="9">
        <f>H1735-G1735</f>
        <v>4.4849999999999994</v>
      </c>
    </row>
    <row r="1736" ht="14.25">
      <c r="A1736" s="5">
        <v>51424</v>
      </c>
      <c r="B1736" s="6" t="s">
        <v>1792</v>
      </c>
      <c r="C1736" s="7" t="s">
        <v>75</v>
      </c>
      <c r="D1736" s="7" t="s">
        <v>103</v>
      </c>
      <c r="E1736" s="5" t="s">
        <v>15</v>
      </c>
      <c r="F1736" s="8"/>
      <c r="G1736" s="9">
        <f>H1736*(1-15%)*(1-F1736)</f>
        <v>36.464999999999996</v>
      </c>
      <c r="H1736" s="9">
        <v>42.899999999999999</v>
      </c>
      <c r="I1736" s="9">
        <f>H1736-G1736</f>
        <v>6.4350000000000023</v>
      </c>
    </row>
    <row r="1737" ht="14.25">
      <c r="A1737" s="5">
        <v>51526</v>
      </c>
      <c r="B1737" s="6" t="s">
        <v>1793</v>
      </c>
      <c r="C1737" s="7" t="s">
        <v>17</v>
      </c>
      <c r="D1737" s="7" t="s">
        <v>583</v>
      </c>
      <c r="E1737" s="5" t="s">
        <v>68</v>
      </c>
      <c r="F1737" s="8"/>
      <c r="G1737" s="9">
        <f>H1737*(1-15%)*(1-F1737)</f>
        <v>67.915000000000006</v>
      </c>
      <c r="H1737" s="9">
        <v>79.900000000000006</v>
      </c>
      <c r="I1737" s="9">
        <f>H1737-G1737</f>
        <v>11.984999999999999</v>
      </c>
    </row>
    <row r="1738" ht="14.25">
      <c r="A1738" s="5">
        <v>52200</v>
      </c>
      <c r="B1738" s="6" t="s">
        <v>1794</v>
      </c>
      <c r="C1738" s="7" t="s">
        <v>271</v>
      </c>
      <c r="D1738" s="7" t="s">
        <v>110</v>
      </c>
      <c r="E1738" s="5" t="s">
        <v>15</v>
      </c>
      <c r="F1738" s="8"/>
      <c r="G1738" s="9">
        <f>H1738*(1-15%)*(1-F1738)</f>
        <v>36.464999999999996</v>
      </c>
      <c r="H1738" s="9">
        <v>42.899999999999999</v>
      </c>
      <c r="I1738" s="9">
        <f>H1738-G1738</f>
        <v>6.4350000000000023</v>
      </c>
    </row>
    <row r="1739" ht="14.25">
      <c r="A1739" s="5">
        <v>52258</v>
      </c>
      <c r="B1739" s="6" t="s">
        <v>1795</v>
      </c>
      <c r="C1739" s="7" t="s">
        <v>271</v>
      </c>
      <c r="D1739" s="7" t="s">
        <v>110</v>
      </c>
      <c r="E1739" s="5" t="s">
        <v>15</v>
      </c>
      <c r="F1739" s="8"/>
      <c r="G1739" s="9">
        <f>H1739*(1-15%)*(1-F1739)</f>
        <v>36.464999999999996</v>
      </c>
      <c r="H1739" s="9">
        <v>42.899999999999999</v>
      </c>
      <c r="I1739" s="9">
        <f>H1739-G1739</f>
        <v>6.4350000000000023</v>
      </c>
    </row>
    <row r="1740" ht="14.25">
      <c r="A1740" s="5">
        <v>52722</v>
      </c>
      <c r="B1740" s="6" t="s">
        <v>1796</v>
      </c>
      <c r="C1740" s="7" t="s">
        <v>21</v>
      </c>
      <c r="D1740" s="7" t="s">
        <v>583</v>
      </c>
      <c r="E1740" s="5" t="s">
        <v>68</v>
      </c>
      <c r="F1740" s="8"/>
      <c r="G1740" s="9">
        <f>H1740*(1-15%)*(1-F1740)</f>
        <v>72.165000000000006</v>
      </c>
      <c r="H1740" s="9">
        <v>84.900000000000006</v>
      </c>
      <c r="I1740" s="9">
        <f>H1740-G1740</f>
        <v>12.734999999999999</v>
      </c>
    </row>
    <row r="1741" ht="14.25">
      <c r="A1741" s="5">
        <v>53862</v>
      </c>
      <c r="B1741" s="6" t="s">
        <v>1797</v>
      </c>
      <c r="C1741" s="7" t="s">
        <v>271</v>
      </c>
      <c r="D1741" s="7" t="s">
        <v>110</v>
      </c>
      <c r="E1741" s="5" t="s">
        <v>15</v>
      </c>
      <c r="F1741" s="8"/>
      <c r="G1741" s="9">
        <f>H1741*(1-15%)*(1-F1741)</f>
        <v>36.464999999999996</v>
      </c>
      <c r="H1741" s="9">
        <v>42.899999999999999</v>
      </c>
      <c r="I1741" s="9">
        <f>H1741-G1741</f>
        <v>6.4350000000000023</v>
      </c>
    </row>
    <row r="1742" ht="14.25">
      <c r="A1742" s="5">
        <v>79987</v>
      </c>
      <c r="B1742" s="6" t="s">
        <v>1798</v>
      </c>
      <c r="C1742" s="7" t="s">
        <v>75</v>
      </c>
      <c r="D1742" s="7" t="s">
        <v>45</v>
      </c>
      <c r="E1742" s="5" t="s">
        <v>15</v>
      </c>
      <c r="F1742" s="8"/>
      <c r="G1742" s="9">
        <f>H1742*(1-15%)*(1-F1742)</f>
        <v>55.165000000000006</v>
      </c>
      <c r="H1742" s="9">
        <v>64.900000000000006</v>
      </c>
      <c r="I1742" s="9">
        <f>H1742-G1742</f>
        <v>9.7349999999999994</v>
      </c>
    </row>
    <row r="1743" ht="14.25">
      <c r="A1743" s="5">
        <v>84223</v>
      </c>
      <c r="B1743" s="6" t="s">
        <v>1799</v>
      </c>
      <c r="C1743" s="7" t="s">
        <v>251</v>
      </c>
      <c r="D1743" s="7" t="s">
        <v>11</v>
      </c>
      <c r="E1743" s="5" t="s">
        <v>15</v>
      </c>
      <c r="F1743" s="8"/>
      <c r="G1743" s="9">
        <f>H1743*(1-15%)*(1-F1743)</f>
        <v>161.41499999999999</v>
      </c>
      <c r="H1743" s="9">
        <v>189.90000000000001</v>
      </c>
      <c r="I1743" s="9">
        <f>H1743-G1743</f>
        <v>28.485000000000014</v>
      </c>
    </row>
    <row r="1744" ht="14.25">
      <c r="A1744" s="5">
        <v>84230</v>
      </c>
      <c r="B1744" s="6" t="s">
        <v>1800</v>
      </c>
      <c r="C1744" s="7" t="s">
        <v>251</v>
      </c>
      <c r="D1744" s="7" t="s">
        <v>45</v>
      </c>
      <c r="E1744" s="5" t="s">
        <v>68</v>
      </c>
      <c r="F1744" s="8"/>
      <c r="G1744" s="9">
        <f>H1744*(1-15%)*(1-F1744)</f>
        <v>56.865000000000002</v>
      </c>
      <c r="H1744" s="9">
        <v>66.900000000000006</v>
      </c>
      <c r="I1744" s="9">
        <f>H1744-G1744</f>
        <v>10.035000000000004</v>
      </c>
    </row>
    <row r="1745" ht="14.25">
      <c r="A1745" s="5">
        <v>54197</v>
      </c>
      <c r="B1745" s="6" t="s">
        <v>1801</v>
      </c>
      <c r="C1745" s="7" t="s">
        <v>426</v>
      </c>
      <c r="D1745" s="7" t="s">
        <v>61</v>
      </c>
      <c r="E1745" s="5" t="s">
        <v>68</v>
      </c>
      <c r="F1745" s="8"/>
      <c r="G1745" s="9">
        <f>H1745*(1-15%)*(1-F1745)</f>
        <v>118.91500000000001</v>
      </c>
      <c r="H1745" s="9">
        <v>139.90000000000001</v>
      </c>
      <c r="I1745" s="9">
        <f>H1745-G1745</f>
        <v>20.984999999999999</v>
      </c>
    </row>
    <row r="1746" ht="14.25">
      <c r="A1746" s="5">
        <v>54657</v>
      </c>
      <c r="B1746" s="6" t="s">
        <v>1802</v>
      </c>
      <c r="C1746" s="7" t="s">
        <v>397</v>
      </c>
      <c r="D1746" s="7" t="s">
        <v>11</v>
      </c>
      <c r="E1746" s="5" t="s">
        <v>26</v>
      </c>
      <c r="F1746" s="8"/>
      <c r="G1746" s="9">
        <f>H1746*(1-15%)*(1-F1746)</f>
        <v>203.91499999999999</v>
      </c>
      <c r="H1746" s="9">
        <v>239.90000000000001</v>
      </c>
      <c r="I1746" s="9">
        <f>H1746-G1746</f>
        <v>35.985000000000014</v>
      </c>
    </row>
    <row r="1747" ht="14.25">
      <c r="A1747" s="5">
        <v>54658</v>
      </c>
      <c r="B1747" s="6" t="s">
        <v>1803</v>
      </c>
      <c r="C1747" s="7" t="s">
        <v>397</v>
      </c>
      <c r="D1747" s="7" t="s">
        <v>11</v>
      </c>
      <c r="E1747" s="5" t="s">
        <v>133</v>
      </c>
      <c r="F1747" s="8"/>
      <c r="G1747" s="9">
        <f>H1747*(1-15%)*(1-F1747)</f>
        <v>203.91499999999999</v>
      </c>
      <c r="H1747" s="9">
        <v>239.90000000000001</v>
      </c>
      <c r="I1747" s="9">
        <f>H1747-G1747</f>
        <v>35.985000000000014</v>
      </c>
    </row>
    <row r="1748" ht="14.25">
      <c r="A1748" s="5">
        <v>58264</v>
      </c>
      <c r="B1748" s="6" t="s">
        <v>1804</v>
      </c>
      <c r="C1748" s="7" t="s">
        <v>397</v>
      </c>
      <c r="D1748" s="7" t="s">
        <v>45</v>
      </c>
      <c r="E1748" s="5" t="s">
        <v>15</v>
      </c>
      <c r="F1748" s="8"/>
      <c r="G1748" s="9">
        <f>H1748*(1-15%)*(1-F1748)</f>
        <v>53.464999999999996</v>
      </c>
      <c r="H1748" s="9">
        <v>62.899999999999999</v>
      </c>
      <c r="I1748" s="9">
        <f>H1748-G1748</f>
        <v>9.4350000000000023</v>
      </c>
    </row>
    <row r="1749" ht="14.25">
      <c r="A1749" s="5">
        <v>58315</v>
      </c>
      <c r="B1749" s="6" t="s">
        <v>1805</v>
      </c>
      <c r="C1749" s="7" t="s">
        <v>397</v>
      </c>
      <c r="D1749" s="7" t="s">
        <v>45</v>
      </c>
      <c r="E1749" s="5" t="s">
        <v>15</v>
      </c>
      <c r="F1749" s="8"/>
      <c r="G1749" s="9">
        <f>H1749*(1-15%)*(1-F1749)</f>
        <v>53.464999999999996</v>
      </c>
      <c r="H1749" s="9">
        <v>62.899999999999999</v>
      </c>
      <c r="I1749" s="9">
        <f>H1749-G1749</f>
        <v>9.4350000000000023</v>
      </c>
    </row>
    <row r="1750" ht="14.25">
      <c r="A1750" s="5">
        <v>59145</v>
      </c>
      <c r="B1750" s="6" t="s">
        <v>1806</v>
      </c>
      <c r="C1750" s="7" t="s">
        <v>70</v>
      </c>
      <c r="D1750" s="7" t="s">
        <v>45</v>
      </c>
      <c r="E1750" s="5" t="s">
        <v>26</v>
      </c>
      <c r="F1750" s="8"/>
      <c r="G1750" s="9">
        <f>H1750*(1-15%)*(1-F1750)</f>
        <v>148.66499999999999</v>
      </c>
      <c r="H1750" s="9">
        <v>174.90000000000001</v>
      </c>
      <c r="I1750" s="9">
        <f>H1750-G1750</f>
        <v>26.235000000000014</v>
      </c>
    </row>
    <row r="1751" ht="14.25">
      <c r="A1751" s="5">
        <v>59146</v>
      </c>
      <c r="B1751" s="6" t="s">
        <v>1807</v>
      </c>
      <c r="C1751" s="7" t="s">
        <v>70</v>
      </c>
      <c r="D1751" s="7" t="s">
        <v>45</v>
      </c>
      <c r="E1751" s="5" t="s">
        <v>26</v>
      </c>
      <c r="F1751" s="8"/>
      <c r="G1751" s="9">
        <f>H1751*(1-15%)*(1-F1751)</f>
        <v>89.165000000000006</v>
      </c>
      <c r="H1751" s="9">
        <v>104.90000000000001</v>
      </c>
      <c r="I1751" s="9">
        <f>H1751-G1751</f>
        <v>15.734999999999999</v>
      </c>
    </row>
    <row r="1752" ht="14.25">
      <c r="A1752" s="5">
        <v>59147</v>
      </c>
      <c r="B1752" s="6" t="s">
        <v>1808</v>
      </c>
      <c r="C1752" s="7" t="s">
        <v>70</v>
      </c>
      <c r="D1752" s="7" t="s">
        <v>45</v>
      </c>
      <c r="E1752" s="5" t="s">
        <v>26</v>
      </c>
      <c r="F1752" s="8"/>
      <c r="G1752" s="9">
        <f>H1752*(1-15%)*(1-F1752)</f>
        <v>72.165000000000006</v>
      </c>
      <c r="H1752" s="9">
        <v>84.900000000000006</v>
      </c>
      <c r="I1752" s="9">
        <f>H1752-G1752</f>
        <v>12.734999999999999</v>
      </c>
    </row>
    <row r="1753" ht="14.25">
      <c r="A1753" s="5">
        <v>55221</v>
      </c>
      <c r="B1753" s="6" t="s">
        <v>1809</v>
      </c>
      <c r="C1753" s="7" t="s">
        <v>87</v>
      </c>
      <c r="D1753" s="7" t="s">
        <v>52</v>
      </c>
      <c r="E1753" s="5" t="s">
        <v>133</v>
      </c>
      <c r="F1753" s="8"/>
      <c r="G1753" s="9">
        <f>H1753*(1-15%)*(1-F1753)</f>
        <v>82.365000000000009</v>
      </c>
      <c r="H1753" s="9">
        <v>96.900000000000006</v>
      </c>
      <c r="I1753" s="9">
        <f>H1753-G1753</f>
        <v>14.534999999999997</v>
      </c>
    </row>
    <row r="1754" ht="14.25">
      <c r="A1754" s="5">
        <v>55222</v>
      </c>
      <c r="B1754" s="6" t="s">
        <v>1810</v>
      </c>
      <c r="C1754" s="7" t="s">
        <v>87</v>
      </c>
      <c r="D1754" s="7" t="s">
        <v>52</v>
      </c>
      <c r="E1754" s="5" t="s">
        <v>26</v>
      </c>
      <c r="F1754" s="8"/>
      <c r="G1754" s="9">
        <f>H1754*(1-15%)*(1-F1754)</f>
        <v>53.464999999999996</v>
      </c>
      <c r="H1754" s="9">
        <v>62.899999999999999</v>
      </c>
      <c r="I1754" s="9">
        <f>H1754-G1754</f>
        <v>9.4350000000000023</v>
      </c>
    </row>
    <row r="1755" ht="14.25">
      <c r="A1755" s="5">
        <v>55223</v>
      </c>
      <c r="B1755" s="6" t="s">
        <v>1811</v>
      </c>
      <c r="C1755" s="7" t="s">
        <v>87</v>
      </c>
      <c r="D1755" s="7" t="s">
        <v>52</v>
      </c>
      <c r="E1755" s="5" t="s">
        <v>39</v>
      </c>
      <c r="F1755" s="8"/>
      <c r="G1755" s="9">
        <f>H1755*(1-15%)*(1-F1755)</f>
        <v>45.814999999999998</v>
      </c>
      <c r="H1755" s="9">
        <v>53.899999999999999</v>
      </c>
      <c r="I1755" s="9">
        <f>H1755-G1755</f>
        <v>8.0850000000000009</v>
      </c>
    </row>
    <row r="1756" ht="14.25">
      <c r="A1756" s="5">
        <v>56686</v>
      </c>
      <c r="B1756" s="6" t="s">
        <v>1812</v>
      </c>
      <c r="C1756" s="7" t="s">
        <v>87</v>
      </c>
      <c r="D1756" s="7" t="s">
        <v>61</v>
      </c>
      <c r="E1756" s="5" t="s">
        <v>68</v>
      </c>
      <c r="F1756" s="8"/>
      <c r="G1756" s="9">
        <f>H1756*(1-15%)*(1-F1756)</f>
        <v>134.215</v>
      </c>
      <c r="H1756" s="9">
        <v>157.90000000000001</v>
      </c>
      <c r="I1756" s="9">
        <f>H1756-G1756</f>
        <v>23.685000000000002</v>
      </c>
    </row>
    <row r="1757" ht="14.25">
      <c r="A1757" s="5">
        <v>56385</v>
      </c>
      <c r="B1757" s="6" t="s">
        <v>1813</v>
      </c>
      <c r="C1757" s="7" t="s">
        <v>21</v>
      </c>
      <c r="D1757" s="7" t="s">
        <v>11</v>
      </c>
      <c r="E1757" s="5" t="s">
        <v>26</v>
      </c>
      <c r="F1757" s="8"/>
      <c r="G1757" s="9">
        <f>H1757*(1-15%)*(1-F1757)</f>
        <v>178.41499999999999</v>
      </c>
      <c r="H1757" s="9">
        <v>209.90000000000001</v>
      </c>
      <c r="I1757" s="9">
        <f>H1757-G1757</f>
        <v>31.485000000000014</v>
      </c>
    </row>
    <row r="1758" ht="14.25">
      <c r="A1758" s="5">
        <v>56402</v>
      </c>
      <c r="B1758" s="6" t="s">
        <v>1814</v>
      </c>
      <c r="C1758" s="7" t="s">
        <v>21</v>
      </c>
      <c r="D1758" s="7" t="s">
        <v>11</v>
      </c>
      <c r="E1758" s="5" t="s">
        <v>26</v>
      </c>
      <c r="F1758" s="8"/>
      <c r="G1758" s="9">
        <f>H1758*(1-15%)*(1-F1758)</f>
        <v>178.41499999999999</v>
      </c>
      <c r="H1758" s="9">
        <v>209.90000000000001</v>
      </c>
      <c r="I1758" s="9">
        <f>H1758-G1758</f>
        <v>31.485000000000014</v>
      </c>
    </row>
    <row r="1759" ht="14.25">
      <c r="A1759" s="5">
        <v>56404</v>
      </c>
      <c r="B1759" s="6" t="s">
        <v>1815</v>
      </c>
      <c r="C1759" s="7" t="s">
        <v>21</v>
      </c>
      <c r="D1759" s="7" t="s">
        <v>45</v>
      </c>
      <c r="E1759" s="5" t="s">
        <v>15</v>
      </c>
      <c r="F1759" s="8"/>
      <c r="G1759" s="9">
        <f>H1759*(1-15%)*(1-F1759)</f>
        <v>57.715000000000003</v>
      </c>
      <c r="H1759" s="9">
        <v>67.900000000000006</v>
      </c>
      <c r="I1759" s="9">
        <f>H1759-G1759</f>
        <v>10.185000000000002</v>
      </c>
    </row>
    <row r="1760" ht="14.25">
      <c r="A1760" s="5">
        <v>56445</v>
      </c>
      <c r="B1760" s="6" t="s">
        <v>1816</v>
      </c>
      <c r="C1760" s="7" t="s">
        <v>82</v>
      </c>
      <c r="D1760" s="7" t="s">
        <v>45</v>
      </c>
      <c r="E1760" s="5" t="s">
        <v>703</v>
      </c>
      <c r="F1760" s="8"/>
      <c r="G1760" s="9">
        <f>H1760*(1-15%)*(1-F1760)</f>
        <v>50.914999999999999</v>
      </c>
      <c r="H1760" s="9">
        <v>59.899999999999999</v>
      </c>
      <c r="I1760" s="9">
        <f>H1760-G1760</f>
        <v>8.9849999999999994</v>
      </c>
    </row>
    <row r="1761" ht="14.25">
      <c r="A1761" s="5">
        <v>56446</v>
      </c>
      <c r="B1761" s="6" t="s">
        <v>1817</v>
      </c>
      <c r="C1761" s="7" t="s">
        <v>82</v>
      </c>
      <c r="D1761" s="7" t="s">
        <v>45</v>
      </c>
      <c r="E1761" s="5" t="s">
        <v>703</v>
      </c>
      <c r="F1761" s="8"/>
      <c r="G1761" s="9">
        <f>H1761*(1-15%)*(1-F1761)</f>
        <v>66.215000000000003</v>
      </c>
      <c r="H1761" s="9">
        <v>77.900000000000006</v>
      </c>
      <c r="I1761" s="9">
        <f>H1761-G1761</f>
        <v>11.685000000000002</v>
      </c>
    </row>
    <row r="1762" ht="14.25">
      <c r="A1762" s="5">
        <v>56447</v>
      </c>
      <c r="B1762" s="6" t="s">
        <v>1818</v>
      </c>
      <c r="C1762" s="7" t="s">
        <v>82</v>
      </c>
      <c r="D1762" s="7" t="s">
        <v>103</v>
      </c>
      <c r="E1762" s="5" t="s">
        <v>703</v>
      </c>
      <c r="F1762" s="8"/>
      <c r="G1762" s="9">
        <f>H1762*(1-15%)*(1-F1762)</f>
        <v>44.964999999999996</v>
      </c>
      <c r="H1762" s="9">
        <v>52.899999999999999</v>
      </c>
      <c r="I1762" s="9">
        <f>H1762-G1762</f>
        <v>7.9350000000000023</v>
      </c>
    </row>
    <row r="1763" ht="14.25">
      <c r="A1763" s="5">
        <v>56448</v>
      </c>
      <c r="B1763" s="6" t="s">
        <v>1819</v>
      </c>
      <c r="C1763" s="7" t="s">
        <v>82</v>
      </c>
      <c r="D1763" s="7" t="s">
        <v>103</v>
      </c>
      <c r="E1763" s="5" t="s">
        <v>703</v>
      </c>
      <c r="F1763" s="8"/>
      <c r="G1763" s="9">
        <f>H1763*(1-15%)*(1-F1763)</f>
        <v>32.214999999999996</v>
      </c>
      <c r="H1763" s="9">
        <v>37.899999999999999</v>
      </c>
      <c r="I1763" s="9">
        <f>H1763-G1763</f>
        <v>5.6850000000000023</v>
      </c>
    </row>
    <row r="1764" ht="14.25">
      <c r="A1764" s="5">
        <v>56592</v>
      </c>
      <c r="B1764" s="6" t="s">
        <v>1820</v>
      </c>
      <c r="C1764" s="7" t="s">
        <v>201</v>
      </c>
      <c r="D1764" s="7" t="s">
        <v>183</v>
      </c>
      <c r="E1764" s="5" t="s">
        <v>68</v>
      </c>
      <c r="F1764" s="8"/>
      <c r="G1764" s="9">
        <f>H1764*(1-15%)*(1-F1764)</f>
        <v>76.415000000000006</v>
      </c>
      <c r="H1764" s="9">
        <v>89.900000000000006</v>
      </c>
      <c r="I1764" s="9">
        <f>H1764-G1764</f>
        <v>13.484999999999999</v>
      </c>
    </row>
    <row r="1765" ht="14.25">
      <c r="A1765" s="5">
        <v>56694</v>
      </c>
      <c r="B1765" s="6" t="s">
        <v>1821</v>
      </c>
      <c r="C1765" s="7" t="s">
        <v>82</v>
      </c>
      <c r="D1765" s="7" t="s">
        <v>45</v>
      </c>
      <c r="E1765" s="5" t="s">
        <v>703</v>
      </c>
      <c r="F1765" s="8"/>
      <c r="G1765" s="9">
        <f>H1765*(1-15%)*(1-F1765)</f>
        <v>36.464999999999996</v>
      </c>
      <c r="H1765" s="9">
        <v>42.899999999999999</v>
      </c>
      <c r="I1765" s="9">
        <f>H1765-G1765</f>
        <v>6.4350000000000023</v>
      </c>
    </row>
    <row r="1766" ht="14.25">
      <c r="A1766" s="5">
        <v>56695</v>
      </c>
      <c r="B1766" s="6" t="s">
        <v>1822</v>
      </c>
      <c r="C1766" s="7" t="s">
        <v>82</v>
      </c>
      <c r="D1766" s="7" t="s">
        <v>45</v>
      </c>
      <c r="E1766" s="5" t="s">
        <v>703</v>
      </c>
      <c r="F1766" s="8"/>
      <c r="G1766" s="9">
        <f>H1766*(1-15%)*(1-F1766)</f>
        <v>49.214999999999996</v>
      </c>
      <c r="H1766" s="9">
        <v>57.899999999999999</v>
      </c>
      <c r="I1766" s="9">
        <f>H1766-G1766</f>
        <v>8.6850000000000023</v>
      </c>
    </row>
    <row r="1767" ht="14.25">
      <c r="A1767" s="5">
        <v>57059</v>
      </c>
      <c r="B1767" s="6" t="s">
        <v>1823</v>
      </c>
      <c r="C1767" s="7" t="s">
        <v>271</v>
      </c>
      <c r="D1767" s="7" t="s">
        <v>110</v>
      </c>
      <c r="E1767" s="5" t="s">
        <v>703</v>
      </c>
      <c r="F1767" s="8"/>
      <c r="G1767" s="9">
        <f>H1767*(1-15%)*(1-F1767)</f>
        <v>74.715000000000003</v>
      </c>
      <c r="H1767" s="9">
        <v>87.900000000000006</v>
      </c>
      <c r="I1767" s="9">
        <f>H1767-G1767</f>
        <v>13.185000000000002</v>
      </c>
    </row>
    <row r="1768" ht="14.25">
      <c r="A1768" s="5">
        <v>57060</v>
      </c>
      <c r="B1768" s="6" t="s">
        <v>1824</v>
      </c>
      <c r="C1768" s="7" t="s">
        <v>271</v>
      </c>
      <c r="D1768" s="7" t="s">
        <v>110</v>
      </c>
      <c r="E1768" s="5" t="s">
        <v>703</v>
      </c>
      <c r="F1768" s="8"/>
      <c r="G1768" s="9">
        <f>H1768*(1-15%)*(1-F1768)</f>
        <v>41.564999999999998</v>
      </c>
      <c r="H1768" s="9">
        <v>48.899999999999999</v>
      </c>
      <c r="I1768" s="9">
        <f>H1768-G1768</f>
        <v>7.3350000000000009</v>
      </c>
    </row>
    <row r="1769" ht="14.25">
      <c r="A1769" s="5">
        <v>57061</v>
      </c>
      <c r="B1769" s="6" t="s">
        <v>1825</v>
      </c>
      <c r="C1769" s="7" t="s">
        <v>271</v>
      </c>
      <c r="D1769" s="7" t="s">
        <v>110</v>
      </c>
      <c r="E1769" s="5" t="s">
        <v>703</v>
      </c>
      <c r="F1769" s="8"/>
      <c r="G1769" s="9">
        <f>H1769*(1-15%)*(1-F1769)</f>
        <v>41.564999999999998</v>
      </c>
      <c r="H1769" s="9">
        <v>48.899999999999999</v>
      </c>
      <c r="I1769" s="9">
        <f>H1769-G1769</f>
        <v>7.3350000000000009</v>
      </c>
    </row>
    <row r="1770" ht="14.25">
      <c r="A1770" s="5">
        <v>57233</v>
      </c>
      <c r="B1770" s="6" t="s">
        <v>1826</v>
      </c>
      <c r="C1770" s="7" t="s">
        <v>82</v>
      </c>
      <c r="D1770" s="7" t="s">
        <v>219</v>
      </c>
      <c r="E1770" s="5" t="s">
        <v>703</v>
      </c>
      <c r="F1770" s="8"/>
      <c r="G1770" s="9">
        <f>H1770*(1-15%)*(1-F1770)</f>
        <v>38.164999999999999</v>
      </c>
      <c r="H1770" s="9">
        <v>44.899999999999999</v>
      </c>
      <c r="I1770" s="9">
        <f>H1770-G1770</f>
        <v>6.7349999999999994</v>
      </c>
    </row>
    <row r="1771" ht="14.25">
      <c r="A1771" s="5">
        <v>57448</v>
      </c>
      <c r="B1771" s="6" t="s">
        <v>1827</v>
      </c>
      <c r="C1771" s="7" t="s">
        <v>10</v>
      </c>
      <c r="D1771" s="7" t="s">
        <v>61</v>
      </c>
      <c r="E1771" s="5" t="s">
        <v>43</v>
      </c>
      <c r="F1771" s="8"/>
      <c r="G1771" s="9">
        <f>H1771*(1-15%)*(1-F1771)</f>
        <v>331.41499999999996</v>
      </c>
      <c r="H1771" s="9">
        <v>389.89999999999998</v>
      </c>
      <c r="I1771" s="9">
        <f>H1771-G1771</f>
        <v>58.485000000000014</v>
      </c>
    </row>
    <row r="1772" ht="14.25">
      <c r="A1772" s="5">
        <v>57451</v>
      </c>
      <c r="B1772" s="6" t="s">
        <v>1828</v>
      </c>
      <c r="C1772" s="7" t="s">
        <v>624</v>
      </c>
      <c r="D1772" s="7" t="s">
        <v>61</v>
      </c>
      <c r="E1772" s="5" t="s">
        <v>43</v>
      </c>
      <c r="F1772" s="8"/>
      <c r="G1772" s="9">
        <f>H1772*(1-15%)*(1-F1772)</f>
        <v>242.16499999999996</v>
      </c>
      <c r="H1772" s="9">
        <v>284.89999999999998</v>
      </c>
      <c r="I1772" s="9">
        <f>H1772-G1772</f>
        <v>42.735000000000014</v>
      </c>
    </row>
    <row r="1773" ht="14.25">
      <c r="A1773" s="5">
        <v>57452</v>
      </c>
      <c r="B1773" s="6" t="s">
        <v>1829</v>
      </c>
      <c r="C1773" s="7" t="s">
        <v>10</v>
      </c>
      <c r="D1773" s="7" t="s">
        <v>61</v>
      </c>
      <c r="E1773" s="5" t="s">
        <v>43</v>
      </c>
      <c r="F1773" s="8"/>
      <c r="G1773" s="9">
        <f>H1773*(1-15%)*(1-F1773)</f>
        <v>208.16499999999999</v>
      </c>
      <c r="H1773" s="9">
        <v>244.90000000000001</v>
      </c>
      <c r="I1773" s="9">
        <f>H1773-G1773</f>
        <v>36.735000000000014</v>
      </c>
    </row>
    <row r="1774" ht="14.25">
      <c r="A1774" s="5">
        <v>57453</v>
      </c>
      <c r="B1774" s="6" t="s">
        <v>1830</v>
      </c>
      <c r="C1774" s="7" t="s">
        <v>25</v>
      </c>
      <c r="D1774" s="7" t="s">
        <v>61</v>
      </c>
      <c r="E1774" s="5" t="s">
        <v>43</v>
      </c>
      <c r="F1774" s="8"/>
      <c r="G1774" s="9">
        <f>H1774*(1-15%)*(1-F1774)</f>
        <v>186.91499999999999</v>
      </c>
      <c r="H1774" s="9">
        <v>219.90000000000001</v>
      </c>
      <c r="I1774" s="9">
        <f>H1774-G1774</f>
        <v>32.985000000000014</v>
      </c>
    </row>
    <row r="1775" ht="14.25">
      <c r="A1775" s="5">
        <v>57454</v>
      </c>
      <c r="B1775" s="6" t="s">
        <v>1831</v>
      </c>
      <c r="C1775" s="7" t="s">
        <v>38</v>
      </c>
      <c r="D1775" s="7" t="s">
        <v>61</v>
      </c>
      <c r="E1775" s="5" t="s">
        <v>43</v>
      </c>
      <c r="F1775" s="8"/>
      <c r="G1775" s="9">
        <f>H1775*(1-15%)*(1-F1775)</f>
        <v>194.565</v>
      </c>
      <c r="H1775" s="9">
        <v>228.90000000000001</v>
      </c>
      <c r="I1775" s="9">
        <f>H1775-G1775</f>
        <v>34.335000000000008</v>
      </c>
    </row>
    <row r="1776" ht="14.25">
      <c r="A1776" s="5">
        <v>57456</v>
      </c>
      <c r="B1776" s="6" t="s">
        <v>1832</v>
      </c>
      <c r="C1776" s="7" t="s">
        <v>36</v>
      </c>
      <c r="D1776" s="7" t="s">
        <v>61</v>
      </c>
      <c r="E1776" s="5" t="s">
        <v>43</v>
      </c>
      <c r="F1776" s="8"/>
      <c r="G1776" s="9">
        <f>H1776*(1-15%)*(1-F1776)</f>
        <v>131.66499999999999</v>
      </c>
      <c r="H1776" s="9">
        <v>154.90000000000001</v>
      </c>
      <c r="I1776" s="9">
        <f>H1776-G1776</f>
        <v>23.235000000000014</v>
      </c>
    </row>
    <row r="1777" ht="14.25">
      <c r="A1777" s="5">
        <v>57457</v>
      </c>
      <c r="B1777" s="6" t="s">
        <v>1833</v>
      </c>
      <c r="C1777" s="7" t="s">
        <v>705</v>
      </c>
      <c r="D1777" s="7" t="s">
        <v>61</v>
      </c>
      <c r="E1777" s="5" t="s">
        <v>43</v>
      </c>
      <c r="F1777" s="8"/>
      <c r="G1777" s="9">
        <f>H1777*(1-15%)*(1-F1777)</f>
        <v>140.16499999999999</v>
      </c>
      <c r="H1777" s="9">
        <v>164.90000000000001</v>
      </c>
      <c r="I1777" s="9">
        <f>H1777-G1777</f>
        <v>24.735000000000014</v>
      </c>
    </row>
    <row r="1778" ht="14.25">
      <c r="A1778" s="5">
        <v>57458</v>
      </c>
      <c r="B1778" s="6" t="s">
        <v>1834</v>
      </c>
      <c r="C1778" s="7" t="s">
        <v>65</v>
      </c>
      <c r="D1778" s="7" t="s">
        <v>61</v>
      </c>
      <c r="E1778" s="5" t="s">
        <v>43</v>
      </c>
      <c r="F1778" s="8"/>
      <c r="G1778" s="9">
        <f>H1778*(1-15%)*(1-F1778)</f>
        <v>127.41500000000001</v>
      </c>
      <c r="H1778" s="9">
        <v>149.90000000000001</v>
      </c>
      <c r="I1778" s="9">
        <f>H1778-G1778</f>
        <v>22.484999999999999</v>
      </c>
    </row>
    <row r="1779" ht="14.25">
      <c r="A1779" s="5">
        <v>57459</v>
      </c>
      <c r="B1779" s="6" t="s">
        <v>1835</v>
      </c>
      <c r="C1779" s="7" t="s">
        <v>14</v>
      </c>
      <c r="D1779" s="7" t="s">
        <v>61</v>
      </c>
      <c r="E1779" s="5" t="s">
        <v>43</v>
      </c>
      <c r="F1779" s="8"/>
      <c r="G1779" s="9">
        <f>H1779*(1-15%)*(1-F1779)</f>
        <v>123.16500000000001</v>
      </c>
      <c r="H1779" s="9">
        <v>144.90000000000001</v>
      </c>
      <c r="I1779" s="9">
        <f>H1779-G1779</f>
        <v>21.734999999999999</v>
      </c>
    </row>
    <row r="1780" ht="14.25">
      <c r="A1780" s="5">
        <v>57460</v>
      </c>
      <c r="B1780" s="6" t="s">
        <v>1836</v>
      </c>
      <c r="C1780" s="7" t="s">
        <v>17</v>
      </c>
      <c r="D1780" s="7" t="s">
        <v>61</v>
      </c>
      <c r="E1780" s="5" t="s">
        <v>43</v>
      </c>
      <c r="F1780" s="8"/>
      <c r="G1780" s="9">
        <f>H1780*(1-15%)*(1-F1780)</f>
        <v>150.36500000000001</v>
      </c>
      <c r="H1780" s="9">
        <v>176.90000000000001</v>
      </c>
      <c r="I1780" s="9">
        <f>H1780-G1780</f>
        <v>26.534999999999997</v>
      </c>
    </row>
    <row r="1781" ht="14.25">
      <c r="A1781" s="5">
        <v>57461</v>
      </c>
      <c r="B1781" s="6" t="s">
        <v>1837</v>
      </c>
      <c r="C1781" s="7" t="s">
        <v>694</v>
      </c>
      <c r="D1781" s="7" t="s">
        <v>61</v>
      </c>
      <c r="E1781" s="5" t="s">
        <v>43</v>
      </c>
      <c r="F1781" s="8"/>
      <c r="G1781" s="9">
        <f>H1781*(1-15%)*(1-F1781)</f>
        <v>99.365000000000009</v>
      </c>
      <c r="H1781" s="9">
        <v>116.90000000000001</v>
      </c>
      <c r="I1781" s="9">
        <f>H1781-G1781</f>
        <v>17.534999999999997</v>
      </c>
    </row>
    <row r="1782" ht="14.25">
      <c r="A1782" s="5">
        <v>57462</v>
      </c>
      <c r="B1782" s="6" t="s">
        <v>1838</v>
      </c>
      <c r="C1782" s="7" t="s">
        <v>67</v>
      </c>
      <c r="D1782" s="7" t="s">
        <v>61</v>
      </c>
      <c r="E1782" s="5" t="s">
        <v>43</v>
      </c>
      <c r="F1782" s="8"/>
      <c r="G1782" s="9">
        <f>H1782*(1-15%)*(1-F1782)</f>
        <v>271.91499999999996</v>
      </c>
      <c r="H1782" s="9">
        <v>319.89999999999998</v>
      </c>
      <c r="I1782" s="9">
        <f>H1782-G1782</f>
        <v>47.985000000000014</v>
      </c>
    </row>
    <row r="1783" ht="14.25">
      <c r="A1783" s="5">
        <v>57492</v>
      </c>
      <c r="B1783" s="6" t="s">
        <v>1839</v>
      </c>
      <c r="C1783" s="7" t="s">
        <v>82</v>
      </c>
      <c r="D1783" s="7" t="s">
        <v>183</v>
      </c>
      <c r="E1783" s="5" t="s">
        <v>703</v>
      </c>
      <c r="F1783" s="8"/>
      <c r="G1783" s="9">
        <f>H1783*(1-15%)*(1-F1783)</f>
        <v>59.415000000000006</v>
      </c>
      <c r="H1783" s="9">
        <v>69.900000000000006</v>
      </c>
      <c r="I1783" s="9">
        <f>H1783-G1783</f>
        <v>10.484999999999999</v>
      </c>
    </row>
    <row r="1784" ht="14.25">
      <c r="A1784" s="5">
        <v>57545</v>
      </c>
      <c r="B1784" s="6" t="s">
        <v>1840</v>
      </c>
      <c r="C1784" s="7" t="s">
        <v>82</v>
      </c>
      <c r="D1784" s="7" t="s">
        <v>71</v>
      </c>
      <c r="E1784" s="5" t="s">
        <v>703</v>
      </c>
      <c r="F1784" s="8"/>
      <c r="G1784" s="9">
        <f>H1784*(1-15%)*(1-F1784)</f>
        <v>25.414999999999999</v>
      </c>
      <c r="H1784" s="9">
        <v>29.899999999999999</v>
      </c>
      <c r="I1784" s="9">
        <f>H1784-G1784</f>
        <v>4.4849999999999994</v>
      </c>
    </row>
    <row r="1785" ht="14.25">
      <c r="A1785" s="5">
        <v>58018</v>
      </c>
      <c r="B1785" s="6" t="s">
        <v>1841</v>
      </c>
      <c r="C1785" s="7" t="s">
        <v>10</v>
      </c>
      <c r="D1785" s="7" t="s">
        <v>61</v>
      </c>
      <c r="E1785" s="5" t="s">
        <v>43</v>
      </c>
      <c r="F1785" s="8"/>
      <c r="G1785" s="9">
        <f>H1785*(1-15%)*(1-F1785)</f>
        <v>169.91499999999999</v>
      </c>
      <c r="H1785" s="9">
        <v>199.90000000000001</v>
      </c>
      <c r="I1785" s="9">
        <f>H1785-G1785</f>
        <v>29.985000000000014</v>
      </c>
    </row>
    <row r="1786" ht="14.25">
      <c r="A1786" s="5">
        <v>58050</v>
      </c>
      <c r="B1786" s="6" t="s">
        <v>1842</v>
      </c>
      <c r="C1786" s="7" t="s">
        <v>82</v>
      </c>
      <c r="D1786" s="7" t="s">
        <v>11</v>
      </c>
      <c r="E1786" s="5" t="s">
        <v>703</v>
      </c>
      <c r="F1786" s="8"/>
      <c r="G1786" s="9">
        <f>H1786*(1-15%)*(1-F1786)</f>
        <v>78.965000000000003</v>
      </c>
      <c r="H1786" s="9">
        <v>92.900000000000006</v>
      </c>
      <c r="I1786" s="9">
        <f>H1786-G1786</f>
        <v>13.935000000000002</v>
      </c>
    </row>
    <row r="1787" ht="14.25">
      <c r="A1787" s="5">
        <v>58378</v>
      </c>
      <c r="B1787" s="6" t="s">
        <v>1843</v>
      </c>
      <c r="C1787" s="7" t="s">
        <v>10</v>
      </c>
      <c r="D1787" s="7" t="s">
        <v>183</v>
      </c>
      <c r="E1787" s="5" t="s">
        <v>15</v>
      </c>
      <c r="F1787" s="8"/>
      <c r="G1787" s="9">
        <f>H1787*(1-15%)*(1-F1787)</f>
        <v>59.415000000000006</v>
      </c>
      <c r="H1787" s="9">
        <v>69.900000000000006</v>
      </c>
      <c r="I1787" s="9">
        <f>H1787-G1787</f>
        <v>10.484999999999999</v>
      </c>
    </row>
    <row r="1788" ht="14.25">
      <c r="A1788" s="5">
        <v>58380</v>
      </c>
      <c r="B1788" s="6" t="s">
        <v>1844</v>
      </c>
      <c r="C1788" s="7" t="s">
        <v>201</v>
      </c>
      <c r="D1788" s="7" t="s">
        <v>183</v>
      </c>
      <c r="E1788" s="5" t="s">
        <v>68</v>
      </c>
      <c r="F1788" s="8"/>
      <c r="G1788" s="9">
        <f>H1788*(1-15%)*(1-F1788)</f>
        <v>50.914999999999999</v>
      </c>
      <c r="H1788" s="9">
        <v>59.899999999999999</v>
      </c>
      <c r="I1788" s="9">
        <f>H1788-G1788</f>
        <v>8.9849999999999994</v>
      </c>
    </row>
    <row r="1789" ht="14.25">
      <c r="A1789" s="5">
        <v>58484</v>
      </c>
      <c r="B1789" s="6" t="s">
        <v>1845</v>
      </c>
      <c r="C1789" s="7" t="s">
        <v>65</v>
      </c>
      <c r="D1789" s="7" t="s">
        <v>61</v>
      </c>
      <c r="E1789" s="5" t="s">
        <v>43</v>
      </c>
      <c r="F1789" s="8"/>
      <c r="G1789" s="9">
        <f>H1789*(1-15%)*(1-F1789)</f>
        <v>61.115000000000002</v>
      </c>
      <c r="H1789" s="9">
        <v>71.900000000000006</v>
      </c>
      <c r="I1789" s="9">
        <f>H1789-G1789</f>
        <v>10.785000000000004</v>
      </c>
    </row>
    <row r="1790" ht="14.25">
      <c r="A1790" s="5">
        <v>58493</v>
      </c>
      <c r="B1790" s="6" t="s">
        <v>1846</v>
      </c>
      <c r="C1790" s="7" t="s">
        <v>21</v>
      </c>
      <c r="D1790" s="7" t="s">
        <v>45</v>
      </c>
      <c r="E1790" s="5" t="s">
        <v>15</v>
      </c>
      <c r="F1790" s="8"/>
      <c r="G1790" s="9">
        <f>H1790*(1-15%)*(1-F1790)</f>
        <v>57.715000000000003</v>
      </c>
      <c r="H1790" s="9">
        <v>67.900000000000006</v>
      </c>
      <c r="I1790" s="9">
        <f>H1790-G1790</f>
        <v>10.185000000000002</v>
      </c>
    </row>
    <row r="1791" ht="14.25">
      <c r="A1791" s="5">
        <v>58638</v>
      </c>
      <c r="B1791" s="6" t="s">
        <v>1847</v>
      </c>
      <c r="C1791" s="7" t="s">
        <v>14</v>
      </c>
      <c r="D1791" s="7" t="s">
        <v>71</v>
      </c>
      <c r="E1791" s="5" t="s">
        <v>26</v>
      </c>
      <c r="F1791" s="8"/>
      <c r="G1791" s="9">
        <f>H1791*(1-15%)*(1-F1791)</f>
        <v>42.414999999999999</v>
      </c>
      <c r="H1791" s="9">
        <v>49.899999999999999</v>
      </c>
      <c r="I1791" s="9">
        <f>H1791-G1791</f>
        <v>7.4849999999999994</v>
      </c>
    </row>
    <row r="1792" ht="14.25">
      <c r="A1792" s="5">
        <v>59017</v>
      </c>
      <c r="B1792" s="6" t="s">
        <v>1848</v>
      </c>
      <c r="C1792" s="7" t="s">
        <v>10</v>
      </c>
      <c r="D1792" s="7" t="s">
        <v>45</v>
      </c>
      <c r="E1792" s="5" t="s">
        <v>39</v>
      </c>
      <c r="F1792" s="8"/>
      <c r="G1792" s="9">
        <f>H1792*(1-15%)*(1-F1792)</f>
        <v>29.664999999999999</v>
      </c>
      <c r="H1792" s="9">
        <v>34.899999999999999</v>
      </c>
      <c r="I1792" s="9">
        <f>H1792-G1792</f>
        <v>5.2349999999999994</v>
      </c>
    </row>
    <row r="1793" ht="14.25">
      <c r="A1793" s="5">
        <v>59154</v>
      </c>
      <c r="B1793" s="6" t="s">
        <v>1849</v>
      </c>
      <c r="C1793" s="7" t="s">
        <v>82</v>
      </c>
      <c r="D1793" s="7" t="s">
        <v>61</v>
      </c>
      <c r="E1793" s="5" t="s">
        <v>703</v>
      </c>
      <c r="F1793" s="8"/>
      <c r="G1793" s="9">
        <f>H1793*(1-15%)*(1-F1793)</f>
        <v>107.86500000000001</v>
      </c>
      <c r="H1793" s="9">
        <v>126.90000000000001</v>
      </c>
      <c r="I1793" s="9">
        <f>H1793-G1793</f>
        <v>19.034999999999997</v>
      </c>
    </row>
    <row r="1794" ht="14.25">
      <c r="A1794" s="5">
        <v>86825</v>
      </c>
      <c r="B1794" s="6" t="s">
        <v>1850</v>
      </c>
      <c r="C1794" s="7" t="s">
        <v>10</v>
      </c>
      <c r="D1794" s="7" t="s">
        <v>61</v>
      </c>
      <c r="E1794" s="5" t="s">
        <v>15</v>
      </c>
      <c r="F1794" s="8"/>
      <c r="G1794" s="9">
        <f>H1794*(1-15%)*(1-F1794)</f>
        <v>127.41500000000001</v>
      </c>
      <c r="H1794" s="9">
        <v>149.90000000000001</v>
      </c>
      <c r="I1794" s="9">
        <f>H1794-G1794</f>
        <v>22.484999999999999</v>
      </c>
    </row>
    <row r="1795" ht="14.25">
      <c r="A1795" s="5">
        <v>54150</v>
      </c>
      <c r="B1795" s="6" t="s">
        <v>1851</v>
      </c>
      <c r="C1795" s="7" t="s">
        <v>10</v>
      </c>
      <c r="D1795" s="7" t="s">
        <v>11</v>
      </c>
      <c r="E1795" s="5" t="s">
        <v>12</v>
      </c>
      <c r="F1795" s="8"/>
      <c r="G1795" s="9">
        <f>H1795*(1-15%)*(1-F1795)</f>
        <v>178.41499999999999</v>
      </c>
      <c r="H1795" s="9">
        <v>209.90000000000001</v>
      </c>
      <c r="I1795" s="9">
        <f>H1795-G1795</f>
        <v>31.485000000000014</v>
      </c>
    </row>
    <row r="1796" ht="14.25">
      <c r="A1796" s="5">
        <v>54154</v>
      </c>
      <c r="B1796" s="6" t="s">
        <v>1852</v>
      </c>
      <c r="C1796" s="7" t="s">
        <v>10</v>
      </c>
      <c r="D1796" s="7" t="s">
        <v>71</v>
      </c>
      <c r="E1796" s="5" t="s">
        <v>43</v>
      </c>
      <c r="F1796" s="8"/>
      <c r="G1796" s="9">
        <f>H1796*(1-15%)*(1-F1796)</f>
        <v>33.914999999999999</v>
      </c>
      <c r="H1796" s="9">
        <v>39.899999999999999</v>
      </c>
      <c r="I1796" s="9">
        <f>H1796-G1796</f>
        <v>5.9849999999999994</v>
      </c>
    </row>
    <row r="1797" ht="14.25">
      <c r="A1797" s="5">
        <v>55968</v>
      </c>
      <c r="B1797" s="6" t="s">
        <v>1853</v>
      </c>
      <c r="C1797" s="7" t="s">
        <v>65</v>
      </c>
      <c r="D1797" s="7" t="s">
        <v>95</v>
      </c>
      <c r="E1797" s="5" t="s">
        <v>26</v>
      </c>
      <c r="F1797" s="8"/>
      <c r="G1797" s="9">
        <f>H1797*(1-15%)*(1-F1797)</f>
        <v>38.164999999999999</v>
      </c>
      <c r="H1797" s="9">
        <v>44.899999999999999</v>
      </c>
      <c r="I1797" s="9">
        <f>H1797-G1797</f>
        <v>6.7349999999999994</v>
      </c>
    </row>
    <row r="1798" ht="14.25">
      <c r="A1798" s="5">
        <v>55975</v>
      </c>
      <c r="B1798" s="6" t="s">
        <v>1854</v>
      </c>
      <c r="C1798" s="7" t="s">
        <v>65</v>
      </c>
      <c r="D1798" s="7" t="s">
        <v>95</v>
      </c>
      <c r="E1798" s="5" t="s">
        <v>68</v>
      </c>
      <c r="F1798" s="8"/>
      <c r="G1798" s="9">
        <f>H1798*(1-15%)*(1-F1798)</f>
        <v>36.464999999999996</v>
      </c>
      <c r="H1798" s="9">
        <v>42.899999999999999</v>
      </c>
      <c r="I1798" s="9">
        <f>H1798-G1798</f>
        <v>6.4350000000000023</v>
      </c>
    </row>
    <row r="1799" ht="14.25">
      <c r="A1799" s="5">
        <v>55993</v>
      </c>
      <c r="B1799" s="6" t="s">
        <v>1855</v>
      </c>
      <c r="C1799" s="7" t="s">
        <v>65</v>
      </c>
      <c r="D1799" s="7" t="s">
        <v>95</v>
      </c>
      <c r="E1799" s="5" t="s">
        <v>68</v>
      </c>
      <c r="F1799" s="8"/>
      <c r="G1799" s="9">
        <f>H1799*(1-15%)*(1-F1799)</f>
        <v>49.214999999999996</v>
      </c>
      <c r="H1799" s="9">
        <v>57.899999999999999</v>
      </c>
      <c r="I1799" s="9">
        <f>H1799-G1799</f>
        <v>8.6850000000000023</v>
      </c>
    </row>
    <row r="1800" ht="14.25">
      <c r="A1800" s="5">
        <v>56001</v>
      </c>
      <c r="B1800" s="6" t="s">
        <v>1856</v>
      </c>
      <c r="C1800" s="7" t="s">
        <v>65</v>
      </c>
      <c r="D1800" s="7" t="s">
        <v>45</v>
      </c>
      <c r="E1800" s="5" t="s">
        <v>26</v>
      </c>
      <c r="F1800" s="8"/>
      <c r="G1800" s="9">
        <f>H1800*(1-15%)*(1-F1800)</f>
        <v>42.414999999999999</v>
      </c>
      <c r="H1800" s="9">
        <v>49.899999999999999</v>
      </c>
      <c r="I1800" s="9">
        <f>H1800-G1800</f>
        <v>7.4849999999999994</v>
      </c>
    </row>
    <row r="1801" ht="14.25">
      <c r="A1801" s="5">
        <v>56004</v>
      </c>
      <c r="B1801" s="6" t="s">
        <v>1857</v>
      </c>
      <c r="C1801" s="7" t="s">
        <v>65</v>
      </c>
      <c r="D1801" s="7" t="s">
        <v>45</v>
      </c>
      <c r="E1801" s="5" t="s">
        <v>39</v>
      </c>
      <c r="F1801" s="8"/>
      <c r="G1801" s="9">
        <f>H1801*(1-15%)*(1-F1801)</f>
        <v>33.914999999999999</v>
      </c>
      <c r="H1801" s="9">
        <v>39.899999999999999</v>
      </c>
      <c r="I1801" s="9">
        <f>H1801-G1801</f>
        <v>5.9849999999999994</v>
      </c>
    </row>
    <row r="1802" ht="14.25">
      <c r="A1802" s="5">
        <v>56005</v>
      </c>
      <c r="B1802" s="6" t="s">
        <v>1858</v>
      </c>
      <c r="C1802" s="7" t="s">
        <v>65</v>
      </c>
      <c r="D1802" s="7" t="s">
        <v>174</v>
      </c>
      <c r="E1802" s="5" t="s">
        <v>26</v>
      </c>
      <c r="F1802" s="8"/>
      <c r="G1802" s="9">
        <f>H1802*(1-15%)*(1-F1802)</f>
        <v>50.914999999999999</v>
      </c>
      <c r="H1802" s="9">
        <v>59.899999999999999</v>
      </c>
      <c r="I1802" s="9">
        <f>H1802-G1802</f>
        <v>8.9849999999999994</v>
      </c>
    </row>
    <row r="1803" ht="14.25">
      <c r="A1803" s="5">
        <v>56025</v>
      </c>
      <c r="B1803" s="6" t="s">
        <v>1859</v>
      </c>
      <c r="C1803" s="7" t="s">
        <v>65</v>
      </c>
      <c r="D1803" s="7" t="s">
        <v>103</v>
      </c>
      <c r="E1803" s="5" t="s">
        <v>26</v>
      </c>
      <c r="F1803" s="8"/>
      <c r="G1803" s="9">
        <f>H1803*(1-15%)*(1-F1803)</f>
        <v>32.214999999999996</v>
      </c>
      <c r="H1803" s="9">
        <v>37.899999999999999</v>
      </c>
      <c r="I1803" s="9">
        <f>H1803-G1803</f>
        <v>5.6850000000000023</v>
      </c>
    </row>
    <row r="1804" ht="14.25">
      <c r="A1804" s="5">
        <v>56027</v>
      </c>
      <c r="B1804" s="6" t="s">
        <v>1860</v>
      </c>
      <c r="C1804" s="7" t="s">
        <v>65</v>
      </c>
      <c r="D1804" s="7" t="s">
        <v>103</v>
      </c>
      <c r="E1804" s="5" t="s">
        <v>68</v>
      </c>
      <c r="F1804" s="8"/>
      <c r="G1804" s="9">
        <f>H1804*(1-15%)*(1-F1804)</f>
        <v>23.715</v>
      </c>
      <c r="H1804" s="9">
        <v>27.899999999999999</v>
      </c>
      <c r="I1804" s="9">
        <f>H1804-G1804</f>
        <v>4.1849999999999987</v>
      </c>
    </row>
    <row r="1805" ht="14.25">
      <c r="A1805" s="5">
        <v>56028</v>
      </c>
      <c r="B1805" s="6" t="s">
        <v>1861</v>
      </c>
      <c r="C1805" s="7" t="s">
        <v>65</v>
      </c>
      <c r="D1805" s="7" t="s">
        <v>45</v>
      </c>
      <c r="E1805" s="5" t="s">
        <v>26</v>
      </c>
      <c r="F1805" s="8"/>
      <c r="G1805" s="9">
        <f>H1805*(1-15%)*(1-F1805)</f>
        <v>36.464999999999996</v>
      </c>
      <c r="H1805" s="9">
        <v>42.899999999999999</v>
      </c>
      <c r="I1805" s="9">
        <f>H1805-G1805</f>
        <v>6.4350000000000023</v>
      </c>
    </row>
    <row r="1806" ht="14.25">
      <c r="A1806" s="5">
        <v>57766</v>
      </c>
      <c r="B1806" s="6" t="s">
        <v>1862</v>
      </c>
      <c r="C1806" s="7" t="s">
        <v>271</v>
      </c>
      <c r="D1806" s="7" t="s">
        <v>110</v>
      </c>
      <c r="E1806" s="5" t="s">
        <v>39</v>
      </c>
      <c r="F1806" s="8"/>
      <c r="G1806" s="9">
        <f>H1806*(1-15%)*(1-F1806)</f>
        <v>15.214999999999998</v>
      </c>
      <c r="H1806" s="9">
        <v>17.899999999999999</v>
      </c>
      <c r="I1806" s="9">
        <f>H1806-G1806</f>
        <v>2.6850000000000005</v>
      </c>
    </row>
    <row r="1807" ht="14.25">
      <c r="A1807" s="5">
        <v>57767</v>
      </c>
      <c r="B1807" s="6" t="s">
        <v>1863</v>
      </c>
      <c r="C1807" s="7" t="s">
        <v>271</v>
      </c>
      <c r="D1807" s="7" t="s">
        <v>110</v>
      </c>
      <c r="E1807" s="5" t="s">
        <v>39</v>
      </c>
      <c r="F1807" s="8"/>
      <c r="G1807" s="9">
        <f>H1807*(1-15%)*(1-F1807)</f>
        <v>15.214999999999998</v>
      </c>
      <c r="H1807" s="9">
        <v>17.899999999999999</v>
      </c>
      <c r="I1807" s="9">
        <f>H1807-G1807</f>
        <v>2.6850000000000005</v>
      </c>
    </row>
    <row r="1808" ht="14.25">
      <c r="A1808" s="5">
        <v>58317</v>
      </c>
      <c r="B1808" s="6" t="s">
        <v>1864</v>
      </c>
      <c r="C1808" s="7" t="s">
        <v>82</v>
      </c>
      <c r="D1808" s="7" t="s">
        <v>61</v>
      </c>
      <c r="E1808" s="5" t="s">
        <v>15</v>
      </c>
      <c r="F1808" s="8"/>
      <c r="G1808" s="9">
        <f>H1808*(1-15%)*(1-F1808)</f>
        <v>48.322499999999998</v>
      </c>
      <c r="H1808" s="9">
        <v>56.850000000000001</v>
      </c>
      <c r="I1808" s="9">
        <f>H1808-G1808</f>
        <v>8.5275000000000034</v>
      </c>
    </row>
    <row r="1809" ht="14.25">
      <c r="A1809" s="5">
        <v>58318</v>
      </c>
      <c r="B1809" s="6" t="s">
        <v>1865</v>
      </c>
      <c r="C1809" s="7" t="s">
        <v>65</v>
      </c>
      <c r="D1809" s="7" t="s">
        <v>61</v>
      </c>
      <c r="E1809" s="5" t="s">
        <v>15</v>
      </c>
      <c r="F1809" s="8"/>
      <c r="G1809" s="9">
        <f>H1809*(1-15%)*(1-F1809)</f>
        <v>48.322499999999998</v>
      </c>
      <c r="H1809" s="9">
        <v>56.850000000000001</v>
      </c>
      <c r="I1809" s="9">
        <f>H1809-G1809</f>
        <v>8.5275000000000034</v>
      </c>
    </row>
    <row r="1810" ht="14.25">
      <c r="A1810" s="5">
        <v>58336</v>
      </c>
      <c r="B1810" s="6" t="s">
        <v>1866</v>
      </c>
      <c r="C1810" s="7" t="s">
        <v>82</v>
      </c>
      <c r="D1810" s="7" t="s">
        <v>61</v>
      </c>
      <c r="E1810" s="5" t="s">
        <v>15</v>
      </c>
      <c r="F1810" s="8"/>
      <c r="G1810" s="9">
        <f>H1810*(1-15%)*(1-F1810)</f>
        <v>50.872500000000002</v>
      </c>
      <c r="H1810" s="9">
        <v>59.850000000000001</v>
      </c>
      <c r="I1810" s="9">
        <f>H1810-G1810</f>
        <v>8.9774999999999991</v>
      </c>
    </row>
    <row r="1811" ht="14.25">
      <c r="A1811" s="5">
        <v>56990</v>
      </c>
      <c r="B1811" s="6" t="s">
        <v>1867</v>
      </c>
      <c r="C1811" s="7" t="s">
        <v>82</v>
      </c>
      <c r="D1811" s="7" t="s">
        <v>95</v>
      </c>
      <c r="E1811" s="5" t="s">
        <v>26</v>
      </c>
      <c r="F1811" s="8"/>
      <c r="G1811" s="9">
        <f>H1811*(1-15%)*(1-F1811)</f>
        <v>22.014999999999997</v>
      </c>
      <c r="H1811" s="9">
        <v>25.899999999999999</v>
      </c>
      <c r="I1811" s="9">
        <f>H1811-G1811</f>
        <v>3.8850000000000016</v>
      </c>
    </row>
    <row r="1812" ht="14.25">
      <c r="A1812" s="5">
        <v>56991</v>
      </c>
      <c r="B1812" s="6" t="s">
        <v>1868</v>
      </c>
      <c r="C1812" s="7" t="s">
        <v>82</v>
      </c>
      <c r="D1812" s="7" t="s">
        <v>95</v>
      </c>
      <c r="E1812" s="5" t="s">
        <v>68</v>
      </c>
      <c r="F1812" s="8"/>
      <c r="G1812" s="9">
        <f>H1812*(1-15%)*(1-F1812)</f>
        <v>25.414999999999999</v>
      </c>
      <c r="H1812" s="9">
        <v>29.899999999999999</v>
      </c>
      <c r="I1812" s="9">
        <f>H1812-G1812</f>
        <v>4.4849999999999994</v>
      </c>
    </row>
    <row r="1813" ht="14.25">
      <c r="A1813" s="5">
        <v>48685</v>
      </c>
      <c r="B1813" s="6" t="s">
        <v>1869</v>
      </c>
      <c r="C1813" s="7" t="s">
        <v>21</v>
      </c>
      <c r="D1813" s="7" t="s">
        <v>45</v>
      </c>
      <c r="E1813" s="5" t="s">
        <v>68</v>
      </c>
      <c r="F1813" s="8"/>
      <c r="G1813" s="9">
        <f>H1813*(1-15%)*(1-F1813)</f>
        <v>57.715000000000003</v>
      </c>
      <c r="H1813" s="9">
        <v>67.900000000000006</v>
      </c>
      <c r="I1813" s="9">
        <f>H1813-G1813</f>
        <v>10.185000000000002</v>
      </c>
    </row>
    <row r="1814" ht="14.25">
      <c r="A1814" s="5">
        <v>49013</v>
      </c>
      <c r="B1814" s="6" t="s">
        <v>1870</v>
      </c>
      <c r="C1814" s="7" t="s">
        <v>33</v>
      </c>
      <c r="D1814" s="7" t="s">
        <v>583</v>
      </c>
      <c r="E1814" s="5" t="s">
        <v>15</v>
      </c>
      <c r="F1814" s="8"/>
      <c r="G1814" s="9">
        <f>H1814*(1-15%)*(1-F1814)</f>
        <v>93.415000000000006</v>
      </c>
      <c r="H1814" s="9">
        <v>109.90000000000001</v>
      </c>
      <c r="I1814" s="9">
        <f>H1814-G1814</f>
        <v>16.484999999999999</v>
      </c>
    </row>
    <row r="1815" ht="14.25">
      <c r="A1815" s="5">
        <v>52865</v>
      </c>
      <c r="B1815" s="6" t="s">
        <v>1871</v>
      </c>
      <c r="C1815" s="7" t="s">
        <v>17</v>
      </c>
      <c r="D1815" s="7" t="s">
        <v>45</v>
      </c>
      <c r="E1815" s="5" t="s">
        <v>15</v>
      </c>
      <c r="F1815" s="8"/>
      <c r="G1815" s="9">
        <f>H1815*(1-15%)*(1-F1815)</f>
        <v>56.865000000000002</v>
      </c>
      <c r="H1815" s="9">
        <v>66.900000000000006</v>
      </c>
      <c r="I1815" s="9">
        <f>H1815-G1815</f>
        <v>10.035000000000004</v>
      </c>
    </row>
    <row r="1816" ht="14.25">
      <c r="A1816" s="5">
        <v>48253</v>
      </c>
      <c r="B1816" s="6" t="s">
        <v>1872</v>
      </c>
      <c r="C1816" s="7" t="s">
        <v>75</v>
      </c>
      <c r="D1816" s="7" t="s">
        <v>45</v>
      </c>
      <c r="E1816" s="5" t="s">
        <v>68</v>
      </c>
      <c r="F1816" s="8"/>
      <c r="G1816" s="9">
        <f>H1816*(1-15%)*(1-F1816)</f>
        <v>57.715000000000003</v>
      </c>
      <c r="H1816" s="9">
        <v>67.900000000000006</v>
      </c>
      <c r="I1816" s="9">
        <f>H1816-G1816</f>
        <v>10.185000000000002</v>
      </c>
    </row>
    <row r="1817" ht="14.25">
      <c r="A1817" s="5">
        <v>54483</v>
      </c>
      <c r="B1817" s="6" t="s">
        <v>1873</v>
      </c>
      <c r="C1817" s="7" t="s">
        <v>201</v>
      </c>
      <c r="D1817" s="7" t="s">
        <v>183</v>
      </c>
      <c r="E1817" s="5" t="s">
        <v>39</v>
      </c>
      <c r="F1817" s="8"/>
      <c r="G1817" s="9">
        <f>H1817*(1-15%)*(1-F1817)</f>
        <v>36.464999999999996</v>
      </c>
      <c r="H1817" s="9">
        <v>42.899999999999999</v>
      </c>
      <c r="I1817" s="9">
        <f>H1817-G1817</f>
        <v>6.4350000000000023</v>
      </c>
    </row>
    <row r="1818" ht="14.25">
      <c r="A1818" s="5">
        <v>55141</v>
      </c>
      <c r="B1818" s="6" t="s">
        <v>1874</v>
      </c>
      <c r="C1818" s="7" t="s">
        <v>1656</v>
      </c>
      <c r="D1818" s="7" t="s">
        <v>347</v>
      </c>
      <c r="E1818" s="5" t="s">
        <v>26</v>
      </c>
      <c r="F1818" s="8"/>
      <c r="G1818" s="9">
        <f>H1818*(1-15%)*(1-F1818)</f>
        <v>115.515</v>
      </c>
      <c r="H1818" s="9">
        <v>135.90000000000001</v>
      </c>
      <c r="I1818" s="9">
        <f>H1818-G1818</f>
        <v>20.385000000000005</v>
      </c>
    </row>
    <row r="1819" ht="14.25">
      <c r="A1819" s="5">
        <v>55758</v>
      </c>
      <c r="B1819" s="6" t="s">
        <v>1875</v>
      </c>
      <c r="C1819" s="7" t="s">
        <v>82</v>
      </c>
      <c r="D1819" s="7" t="s">
        <v>71</v>
      </c>
      <c r="E1819" s="5" t="s">
        <v>39</v>
      </c>
      <c r="F1819" s="8"/>
      <c r="G1819" s="9">
        <f>H1819*(1-15%)*(1-F1819)</f>
        <v>25.414999999999999</v>
      </c>
      <c r="H1819" s="9">
        <v>29.899999999999999</v>
      </c>
      <c r="I1819" s="9">
        <f>H1819-G1819</f>
        <v>4.4849999999999994</v>
      </c>
    </row>
    <row r="1820" ht="14.25">
      <c r="A1820" s="5">
        <v>56836</v>
      </c>
      <c r="B1820" s="6" t="s">
        <v>1876</v>
      </c>
      <c r="C1820" s="7" t="s">
        <v>82</v>
      </c>
      <c r="D1820" s="7" t="s">
        <v>183</v>
      </c>
      <c r="E1820" s="5" t="s">
        <v>43</v>
      </c>
      <c r="F1820" s="8"/>
      <c r="G1820" s="9">
        <f>H1820*(1-15%)*(1-F1820)</f>
        <v>61.965000000000003</v>
      </c>
      <c r="H1820" s="9">
        <v>72.900000000000006</v>
      </c>
      <c r="I1820" s="9">
        <f>H1820-G1820</f>
        <v>10.935000000000002</v>
      </c>
    </row>
    <row r="1821" ht="14.25">
      <c r="A1821" s="5">
        <v>57444</v>
      </c>
      <c r="B1821" s="6" t="s">
        <v>1877</v>
      </c>
      <c r="C1821" s="7" t="s">
        <v>109</v>
      </c>
      <c r="D1821" s="7" t="s">
        <v>110</v>
      </c>
      <c r="E1821" s="5" t="s">
        <v>15</v>
      </c>
      <c r="F1821" s="8"/>
      <c r="G1821" s="9">
        <f>H1821*(1-15%)*(1-F1821)</f>
        <v>76.415000000000006</v>
      </c>
      <c r="H1821" s="9">
        <v>89.900000000000006</v>
      </c>
      <c r="I1821" s="9">
        <f>H1821-G1821</f>
        <v>13.484999999999999</v>
      </c>
    </row>
    <row r="1822" ht="14.25">
      <c r="A1822" s="5">
        <v>57445</v>
      </c>
      <c r="B1822" s="6" t="s">
        <v>1878</v>
      </c>
      <c r="C1822" s="7" t="s">
        <v>109</v>
      </c>
      <c r="D1822" s="7" t="s">
        <v>110</v>
      </c>
      <c r="E1822" s="5" t="s">
        <v>15</v>
      </c>
      <c r="F1822" s="8"/>
      <c r="G1822" s="9">
        <f>H1822*(1-15%)*(1-F1822)</f>
        <v>76.415000000000006</v>
      </c>
      <c r="H1822" s="9">
        <v>89.900000000000006</v>
      </c>
      <c r="I1822" s="9">
        <f>H1822-G1822</f>
        <v>13.484999999999999</v>
      </c>
    </row>
    <row r="1823" ht="14.25">
      <c r="A1823" s="5">
        <v>57505</v>
      </c>
      <c r="B1823" s="6" t="s">
        <v>1879</v>
      </c>
      <c r="C1823" s="7" t="s">
        <v>109</v>
      </c>
      <c r="D1823" s="7" t="s">
        <v>110</v>
      </c>
      <c r="E1823" s="5" t="s">
        <v>39</v>
      </c>
      <c r="F1823" s="8"/>
      <c r="G1823" s="9">
        <f>H1823*(1-15%)*(1-F1823)</f>
        <v>212.41499999999999</v>
      </c>
      <c r="H1823" s="9">
        <v>249.90000000000001</v>
      </c>
      <c r="I1823" s="9">
        <f>H1823-G1823</f>
        <v>37.485000000000014</v>
      </c>
    </row>
    <row r="1824" ht="14.25">
      <c r="A1824" s="5">
        <v>57506</v>
      </c>
      <c r="B1824" s="6" t="s">
        <v>1880</v>
      </c>
      <c r="C1824" s="7" t="s">
        <v>109</v>
      </c>
      <c r="D1824" s="7" t="s">
        <v>110</v>
      </c>
      <c r="E1824" s="5" t="s">
        <v>39</v>
      </c>
      <c r="F1824" s="8"/>
      <c r="G1824" s="9">
        <f>H1824*(1-15%)*(1-F1824)</f>
        <v>186.91499999999999</v>
      </c>
      <c r="H1824" s="9">
        <v>219.90000000000001</v>
      </c>
      <c r="I1824" s="9">
        <f>H1824-G1824</f>
        <v>32.985000000000014</v>
      </c>
    </row>
    <row r="1825" ht="14.25">
      <c r="A1825" s="5">
        <v>58609</v>
      </c>
      <c r="B1825" s="6" t="s">
        <v>1881</v>
      </c>
      <c r="C1825" s="7" t="s">
        <v>1656</v>
      </c>
      <c r="D1825" s="7" t="s">
        <v>347</v>
      </c>
      <c r="E1825" s="5" t="s">
        <v>26</v>
      </c>
      <c r="F1825" s="8"/>
      <c r="G1825" s="9">
        <f>H1825*(1-15%)*(1-F1825)</f>
        <v>115.515</v>
      </c>
      <c r="H1825" s="9">
        <v>135.90000000000001</v>
      </c>
      <c r="I1825" s="9">
        <f>H1825-G1825</f>
        <v>20.385000000000005</v>
      </c>
    </row>
    <row r="1826" ht="14.25">
      <c r="A1826" s="5">
        <v>58610</v>
      </c>
      <c r="B1826" s="6" t="s">
        <v>1882</v>
      </c>
      <c r="C1826" s="7" t="s">
        <v>1656</v>
      </c>
      <c r="D1826" s="7" t="s">
        <v>347</v>
      </c>
      <c r="E1826" s="5" t="s">
        <v>43</v>
      </c>
      <c r="F1826" s="8"/>
      <c r="G1826" s="9">
        <f>H1826*(1-15%)*(1-F1826)</f>
        <v>115.515</v>
      </c>
      <c r="H1826" s="9">
        <v>135.90000000000001</v>
      </c>
      <c r="I1826" s="9">
        <f>H1826-G1826</f>
        <v>20.385000000000005</v>
      </c>
    </row>
    <row r="1827" ht="14.25">
      <c r="A1827" s="5">
        <v>58679</v>
      </c>
      <c r="B1827" s="6" t="s">
        <v>1883</v>
      </c>
      <c r="C1827" s="7" t="s">
        <v>1656</v>
      </c>
      <c r="D1827" s="7" t="s">
        <v>61</v>
      </c>
      <c r="E1827" s="5" t="s">
        <v>26</v>
      </c>
      <c r="F1827" s="8"/>
      <c r="G1827" s="9">
        <f>H1827*(1-15%)*(1-F1827)</f>
        <v>339.91499999999996</v>
      </c>
      <c r="H1827" s="9">
        <v>399.89999999999998</v>
      </c>
      <c r="I1827" s="9">
        <f>H1827-G1827</f>
        <v>59.985000000000014</v>
      </c>
    </row>
    <row r="1828" ht="14.25">
      <c r="A1828" s="5">
        <v>58919</v>
      </c>
      <c r="B1828" s="6" t="s">
        <v>1884</v>
      </c>
      <c r="C1828" s="7" t="s">
        <v>14</v>
      </c>
      <c r="D1828" s="7" t="s">
        <v>11</v>
      </c>
      <c r="E1828" s="5" t="s">
        <v>15</v>
      </c>
      <c r="F1828" s="8"/>
      <c r="G1828" s="9">
        <f>H1828*(1-15%)*(1-F1828)</f>
        <v>135.91499999999999</v>
      </c>
      <c r="H1828" s="9">
        <v>159.90000000000001</v>
      </c>
      <c r="I1828" s="9">
        <f>H1828-G1828</f>
        <v>23.985000000000014</v>
      </c>
    </row>
    <row r="1829" ht="14.25">
      <c r="A1829" s="5">
        <v>59403</v>
      </c>
      <c r="B1829" s="6" t="s">
        <v>1885</v>
      </c>
      <c r="C1829" s="7" t="s">
        <v>82</v>
      </c>
      <c r="D1829" s="7" t="s">
        <v>45</v>
      </c>
      <c r="E1829" s="5" t="s">
        <v>15</v>
      </c>
      <c r="F1829" s="8"/>
      <c r="G1829" s="9">
        <f>H1829*(1-15%)*(1-F1829)</f>
        <v>63.665000000000006</v>
      </c>
      <c r="H1829" s="9">
        <v>74.900000000000006</v>
      </c>
      <c r="I1829" s="9">
        <f>H1829-G1829</f>
        <v>11.234999999999999</v>
      </c>
    </row>
    <row r="1830" ht="14.25">
      <c r="A1830" s="5">
        <v>59404</v>
      </c>
      <c r="B1830" s="6" t="s">
        <v>1886</v>
      </c>
      <c r="C1830" s="7" t="s">
        <v>82</v>
      </c>
      <c r="D1830" s="7" t="s">
        <v>45</v>
      </c>
      <c r="E1830" s="5" t="s">
        <v>15</v>
      </c>
      <c r="F1830" s="8"/>
      <c r="G1830" s="9">
        <f>H1830*(1-15%)*(1-F1830)</f>
        <v>46.664999999999999</v>
      </c>
      <c r="H1830" s="9">
        <v>54.899999999999999</v>
      </c>
      <c r="I1830" s="9">
        <f>H1830-G1830</f>
        <v>8.2349999999999994</v>
      </c>
    </row>
    <row r="1831" ht="14.25">
      <c r="A1831" s="5">
        <v>59405</v>
      </c>
      <c r="B1831" s="6" t="s">
        <v>1887</v>
      </c>
      <c r="C1831" s="7" t="s">
        <v>82</v>
      </c>
      <c r="D1831" s="7" t="s">
        <v>45</v>
      </c>
      <c r="E1831" s="5" t="s">
        <v>15</v>
      </c>
      <c r="F1831" s="8"/>
      <c r="G1831" s="9">
        <f>H1831*(1-15%)*(1-F1831)</f>
        <v>38.164999999999999</v>
      </c>
      <c r="H1831" s="9">
        <v>44.899999999999999</v>
      </c>
      <c r="I1831" s="9">
        <f>H1831-G1831</f>
        <v>6.7349999999999994</v>
      </c>
    </row>
    <row r="1832" ht="14.25">
      <c r="A1832" s="5">
        <v>59407</v>
      </c>
      <c r="B1832" s="6" t="s">
        <v>1888</v>
      </c>
      <c r="C1832" s="7" t="s">
        <v>82</v>
      </c>
      <c r="D1832" s="7" t="s">
        <v>45</v>
      </c>
      <c r="E1832" s="5" t="s">
        <v>15</v>
      </c>
      <c r="F1832" s="8"/>
      <c r="G1832" s="9">
        <f>H1832*(1-15%)*(1-F1832)</f>
        <v>46.664999999999999</v>
      </c>
      <c r="H1832" s="9">
        <v>54.899999999999999</v>
      </c>
      <c r="I1832" s="9">
        <f>H1832-G1832</f>
        <v>8.2349999999999994</v>
      </c>
    </row>
    <row r="1833" ht="14.25">
      <c r="A1833" s="5">
        <v>86982</v>
      </c>
      <c r="B1833" s="6" t="s">
        <v>1889</v>
      </c>
      <c r="C1833" s="7" t="s">
        <v>14</v>
      </c>
      <c r="D1833" s="7" t="s">
        <v>11</v>
      </c>
      <c r="E1833" s="5" t="s">
        <v>26</v>
      </c>
      <c r="F1833" s="8"/>
      <c r="G1833" s="9">
        <f>H1833*(1-15%)*(1-F1833)</f>
        <v>135.91499999999999</v>
      </c>
      <c r="H1833" s="9">
        <v>159.90000000000001</v>
      </c>
      <c r="I1833" s="9">
        <f>H1833-G1833</f>
        <v>23.985000000000014</v>
      </c>
    </row>
    <row r="1834" ht="14.25">
      <c r="A1834" s="5">
        <v>52720</v>
      </c>
      <c r="B1834" s="6" t="s">
        <v>1890</v>
      </c>
      <c r="C1834" s="7" t="s">
        <v>201</v>
      </c>
      <c r="D1834" s="7" t="s">
        <v>183</v>
      </c>
      <c r="E1834" s="5" t="s">
        <v>15</v>
      </c>
      <c r="F1834" s="8"/>
      <c r="G1834" s="9">
        <f>H1834*(1-15%)*(1-F1834)</f>
        <v>42.414999999999999</v>
      </c>
      <c r="H1834" s="9">
        <v>49.899999999999999</v>
      </c>
      <c r="I1834" s="9">
        <f>H1834-G1834</f>
        <v>7.4849999999999994</v>
      </c>
    </row>
    <row r="1835" ht="14.25">
      <c r="A1835" s="5">
        <v>52709</v>
      </c>
      <c r="B1835" s="6" t="s">
        <v>1891</v>
      </c>
      <c r="C1835" s="7" t="s">
        <v>201</v>
      </c>
      <c r="D1835" s="7" t="s">
        <v>183</v>
      </c>
      <c r="E1835" s="5" t="s">
        <v>15</v>
      </c>
      <c r="F1835" s="8"/>
      <c r="G1835" s="9">
        <f>H1835*(1-15%)*(1-F1835)</f>
        <v>42.414999999999999</v>
      </c>
      <c r="H1835" s="9">
        <v>49.899999999999999</v>
      </c>
      <c r="I1835" s="9">
        <f>H1835-G1835</f>
        <v>7.4849999999999994</v>
      </c>
    </row>
    <row r="1836" ht="14.25">
      <c r="A1836" s="5">
        <v>52704</v>
      </c>
      <c r="B1836" s="6" t="s">
        <v>1892</v>
      </c>
      <c r="C1836" s="7" t="s">
        <v>201</v>
      </c>
      <c r="D1836" s="7" t="s">
        <v>183</v>
      </c>
      <c r="E1836" s="5" t="s">
        <v>15</v>
      </c>
      <c r="F1836" s="8"/>
      <c r="G1836" s="9">
        <f>H1836*(1-15%)*(1-F1836)</f>
        <v>50.914999999999999</v>
      </c>
      <c r="H1836" s="9">
        <v>59.899999999999999</v>
      </c>
      <c r="I1836" s="9">
        <f>H1836-G1836</f>
        <v>8.9849999999999994</v>
      </c>
    </row>
    <row r="1837" ht="14.25">
      <c r="A1837" s="5">
        <v>52665</v>
      </c>
      <c r="B1837" s="6" t="s">
        <v>1893</v>
      </c>
      <c r="C1837" s="7" t="s">
        <v>75</v>
      </c>
      <c r="D1837" s="7" t="s">
        <v>45</v>
      </c>
      <c r="E1837" s="5" t="s">
        <v>15</v>
      </c>
      <c r="F1837" s="8"/>
      <c r="G1837" s="9">
        <f>H1837*(1-15%)*(1-F1837)</f>
        <v>59.415000000000006</v>
      </c>
      <c r="H1837" s="9">
        <v>69.900000000000006</v>
      </c>
      <c r="I1837" s="9">
        <f>H1837-G1837</f>
        <v>10.484999999999999</v>
      </c>
    </row>
    <row r="1838" ht="14.25">
      <c r="A1838" s="5">
        <v>53476</v>
      </c>
      <c r="B1838" s="6" t="s">
        <v>1894</v>
      </c>
      <c r="C1838" s="7" t="s">
        <v>87</v>
      </c>
      <c r="D1838" s="7" t="s">
        <v>52</v>
      </c>
      <c r="E1838" s="5" t="s">
        <v>15</v>
      </c>
      <c r="F1838" s="8"/>
      <c r="G1838" s="9">
        <f>H1838*(1-15%)*(1-F1838)</f>
        <v>38.164999999999999</v>
      </c>
      <c r="H1838" s="9">
        <v>44.899999999999999</v>
      </c>
      <c r="I1838" s="9">
        <f>H1838-G1838</f>
        <v>6.7349999999999994</v>
      </c>
    </row>
    <row r="1839" ht="14.25">
      <c r="A1839" s="5">
        <v>84270</v>
      </c>
      <c r="B1839" s="6" t="s">
        <v>1895</v>
      </c>
      <c r="C1839" s="7" t="s">
        <v>251</v>
      </c>
      <c r="D1839" s="7" t="s">
        <v>71</v>
      </c>
      <c r="E1839" s="5" t="s">
        <v>15</v>
      </c>
      <c r="F1839" s="8"/>
      <c r="G1839" s="9">
        <f>H1839*(1-15%)*(1-F1839)</f>
        <v>32.214999999999996</v>
      </c>
      <c r="H1839" s="9">
        <v>37.899999999999999</v>
      </c>
      <c r="I1839" s="9">
        <f>H1839-G1839</f>
        <v>5.6850000000000023</v>
      </c>
    </row>
    <row r="1840" ht="14.25">
      <c r="A1840" s="5">
        <v>83968</v>
      </c>
      <c r="B1840" s="6" t="s">
        <v>1896</v>
      </c>
      <c r="C1840" s="7" t="s">
        <v>82</v>
      </c>
      <c r="D1840" s="7" t="s">
        <v>347</v>
      </c>
      <c r="E1840" s="5" t="s">
        <v>15</v>
      </c>
      <c r="F1840" s="8"/>
      <c r="G1840" s="9">
        <f>H1840*(1-15%)*(1-F1840)</f>
        <v>59.415000000000006</v>
      </c>
      <c r="H1840" s="9">
        <v>69.900000000000006</v>
      </c>
      <c r="I1840" s="9">
        <f>H1840-G1840</f>
        <v>10.484999999999999</v>
      </c>
    </row>
    <row r="1841" ht="14.25">
      <c r="A1841" s="5">
        <v>51530</v>
      </c>
      <c r="B1841" s="6" t="s">
        <v>1897</v>
      </c>
      <c r="C1841" s="7" t="s">
        <v>17</v>
      </c>
      <c r="D1841" s="7" t="s">
        <v>71</v>
      </c>
      <c r="E1841" s="5" t="s">
        <v>15</v>
      </c>
      <c r="F1841" s="8"/>
      <c r="G1841" s="9">
        <f>H1841*(1-15%)*(1-F1841)</f>
        <v>32.214999999999996</v>
      </c>
      <c r="H1841" s="9">
        <v>37.899999999999999</v>
      </c>
      <c r="I1841" s="9">
        <f>H1841-G1841</f>
        <v>5.6850000000000023</v>
      </c>
    </row>
    <row r="1842" ht="14.25">
      <c r="A1842" s="5">
        <v>49026</v>
      </c>
      <c r="B1842" s="6" t="s">
        <v>1898</v>
      </c>
      <c r="C1842" s="7" t="s">
        <v>30</v>
      </c>
      <c r="D1842" s="7" t="s">
        <v>71</v>
      </c>
      <c r="E1842" s="5" t="s">
        <v>15</v>
      </c>
      <c r="F1842" s="8"/>
      <c r="G1842" s="9">
        <f>H1842*(1-15%)*(1-F1842)</f>
        <v>32.214999999999996</v>
      </c>
      <c r="H1842" s="9">
        <v>37.899999999999999</v>
      </c>
      <c r="I1842" s="9">
        <f>H1842-G1842</f>
        <v>5.6850000000000023</v>
      </c>
    </row>
    <row r="1843" ht="14.25">
      <c r="A1843" s="5">
        <v>48654</v>
      </c>
      <c r="B1843" s="6" t="s">
        <v>1899</v>
      </c>
      <c r="C1843" s="7" t="s">
        <v>17</v>
      </c>
      <c r="D1843" s="7" t="s">
        <v>71</v>
      </c>
      <c r="E1843" s="5" t="s">
        <v>15</v>
      </c>
      <c r="F1843" s="8"/>
      <c r="G1843" s="9">
        <f>H1843*(1-15%)*(1-F1843)</f>
        <v>33.914999999999999</v>
      </c>
      <c r="H1843" s="9">
        <v>39.899999999999999</v>
      </c>
      <c r="I1843" s="9">
        <f>H1843-G1843</f>
        <v>5.9849999999999994</v>
      </c>
    </row>
    <row r="1844" ht="14.25">
      <c r="A1844" s="5">
        <v>49033</v>
      </c>
      <c r="B1844" s="6" t="s">
        <v>1900</v>
      </c>
      <c r="C1844" s="7" t="s">
        <v>10</v>
      </c>
      <c r="D1844" s="7" t="s">
        <v>11</v>
      </c>
      <c r="E1844" s="5" t="s">
        <v>39</v>
      </c>
      <c r="F1844" s="8"/>
      <c r="G1844" s="9">
        <f>H1844*(1-15%)*(1-F1844)</f>
        <v>110.41500000000001</v>
      </c>
      <c r="H1844" s="9">
        <v>129.90000000000001</v>
      </c>
      <c r="I1844" s="9">
        <f>H1844-G1844</f>
        <v>19.484999999999999</v>
      </c>
    </row>
    <row r="1845" ht="14.25">
      <c r="A1845" s="5">
        <v>52636</v>
      </c>
      <c r="B1845" s="6" t="s">
        <v>1901</v>
      </c>
      <c r="C1845" s="7" t="s">
        <v>75</v>
      </c>
      <c r="D1845" s="7" t="s">
        <v>45</v>
      </c>
      <c r="E1845" s="5" t="s">
        <v>15</v>
      </c>
      <c r="F1845" s="8"/>
      <c r="G1845" s="9">
        <f>H1845*(1-15%)*(1-F1845)</f>
        <v>59.415000000000006</v>
      </c>
      <c r="H1845" s="9">
        <v>69.900000000000006</v>
      </c>
      <c r="I1845" s="9">
        <f>H1845-G1845</f>
        <v>10.484999999999999</v>
      </c>
    </row>
    <row r="1846" ht="14.25">
      <c r="A1846" s="5">
        <v>48994</v>
      </c>
      <c r="B1846" s="6" t="s">
        <v>1902</v>
      </c>
      <c r="C1846" s="7" t="s">
        <v>75</v>
      </c>
      <c r="D1846" s="7" t="s">
        <v>95</v>
      </c>
      <c r="E1846" s="5" t="s">
        <v>26</v>
      </c>
      <c r="F1846" s="8"/>
      <c r="G1846" s="9">
        <f>H1846*(1-15%)*(1-F1846)</f>
        <v>57.715000000000003</v>
      </c>
      <c r="H1846" s="9">
        <v>67.900000000000006</v>
      </c>
      <c r="I1846" s="9">
        <f>H1846-G1846</f>
        <v>10.185000000000002</v>
      </c>
    </row>
    <row r="1847" ht="14.25">
      <c r="A1847" s="5">
        <v>48367</v>
      </c>
      <c r="B1847" s="6" t="s">
        <v>1903</v>
      </c>
      <c r="C1847" s="7" t="s">
        <v>624</v>
      </c>
      <c r="D1847" s="7" t="s">
        <v>71</v>
      </c>
      <c r="E1847" s="5" t="s">
        <v>15</v>
      </c>
      <c r="F1847" s="8"/>
      <c r="G1847" s="9">
        <f>H1847*(1-15%)*(1-F1847)</f>
        <v>33.914999999999999</v>
      </c>
      <c r="H1847" s="9">
        <v>39.899999999999999</v>
      </c>
      <c r="I1847" s="9">
        <f>H1847-G1847</f>
        <v>5.9849999999999994</v>
      </c>
    </row>
    <row r="1848" ht="14.25">
      <c r="A1848" s="5">
        <v>52259</v>
      </c>
      <c r="B1848" s="6" t="s">
        <v>1904</v>
      </c>
      <c r="C1848" s="7" t="s">
        <v>271</v>
      </c>
      <c r="D1848" s="7" t="s">
        <v>110</v>
      </c>
      <c r="E1848" s="5" t="s">
        <v>15</v>
      </c>
      <c r="F1848" s="8"/>
      <c r="G1848" s="9">
        <f>H1848*(1-15%)*(1-F1848)</f>
        <v>29.664999999999999</v>
      </c>
      <c r="H1848" s="9">
        <v>34.899999999999999</v>
      </c>
      <c r="I1848" s="9">
        <f>H1848-G1848</f>
        <v>5.2349999999999994</v>
      </c>
    </row>
    <row r="1849" ht="14.25">
      <c r="A1849" s="5">
        <v>49032</v>
      </c>
      <c r="B1849" s="6" t="s">
        <v>1905</v>
      </c>
      <c r="C1849" s="7" t="s">
        <v>17</v>
      </c>
      <c r="D1849" s="7" t="s">
        <v>71</v>
      </c>
      <c r="E1849" s="5" t="s">
        <v>15</v>
      </c>
      <c r="F1849" s="8"/>
      <c r="G1849" s="9">
        <f>H1849*(1-15%)*(1-F1849)</f>
        <v>32.214999999999996</v>
      </c>
      <c r="H1849" s="9">
        <v>37.899999999999999</v>
      </c>
      <c r="I1849" s="9">
        <f>H1849-G1849</f>
        <v>5.6850000000000023</v>
      </c>
    </row>
    <row r="1850" ht="14.25">
      <c r="A1850" s="5">
        <v>84209</v>
      </c>
      <c r="B1850" s="6" t="s">
        <v>1906</v>
      </c>
      <c r="C1850" s="7" t="s">
        <v>251</v>
      </c>
      <c r="D1850" s="7" t="s">
        <v>11</v>
      </c>
      <c r="E1850" s="5" t="s">
        <v>15</v>
      </c>
      <c r="F1850" s="8"/>
      <c r="G1850" s="9">
        <f>H1850*(1-15%)*(1-F1850)</f>
        <v>161.41499999999999</v>
      </c>
      <c r="H1850" s="9">
        <v>189.90000000000001</v>
      </c>
      <c r="I1850" s="9">
        <f>H1850-G1850</f>
        <v>28.485000000000014</v>
      </c>
    </row>
    <row r="1851" ht="14.25">
      <c r="A1851" s="5">
        <v>49093</v>
      </c>
      <c r="B1851" s="6" t="s">
        <v>1907</v>
      </c>
      <c r="C1851" s="7" t="s">
        <v>94</v>
      </c>
      <c r="D1851" s="7" t="s">
        <v>95</v>
      </c>
      <c r="E1851" s="5" t="s">
        <v>43</v>
      </c>
      <c r="F1851" s="8"/>
      <c r="G1851" s="9">
        <f>H1851*(1-15%)*(1-F1851)</f>
        <v>33.914999999999999</v>
      </c>
      <c r="H1851" s="9">
        <v>39.899999999999999</v>
      </c>
      <c r="I1851" s="9">
        <f>H1851-G1851</f>
        <v>5.9849999999999994</v>
      </c>
    </row>
    <row r="1852" ht="14.25">
      <c r="A1852" s="5">
        <v>56754</v>
      </c>
      <c r="B1852" s="6" t="s">
        <v>1908</v>
      </c>
      <c r="C1852" s="7" t="s">
        <v>75</v>
      </c>
      <c r="D1852" s="7" t="s">
        <v>103</v>
      </c>
      <c r="E1852" s="5" t="s">
        <v>26</v>
      </c>
      <c r="F1852" s="8"/>
      <c r="G1852" s="9">
        <f>H1852*(1-15%)*(1-F1852)</f>
        <v>46.664999999999999</v>
      </c>
      <c r="H1852" s="9">
        <v>54.899999999999999</v>
      </c>
      <c r="I1852" s="9">
        <f>H1852-G1852</f>
        <v>8.2349999999999994</v>
      </c>
    </row>
    <row r="1853" ht="14.25">
      <c r="A1853" s="5">
        <v>53410</v>
      </c>
      <c r="B1853" s="6" t="s">
        <v>1909</v>
      </c>
      <c r="C1853" s="7" t="s">
        <v>75</v>
      </c>
      <c r="D1853" s="7" t="s">
        <v>103</v>
      </c>
      <c r="E1853" s="5" t="s">
        <v>26</v>
      </c>
      <c r="F1853" s="8"/>
      <c r="G1853" s="9">
        <f>H1853*(1-15%)*(1-F1853)</f>
        <v>38.164999999999999</v>
      </c>
      <c r="H1853" s="9">
        <v>44.899999999999999</v>
      </c>
      <c r="I1853" s="9">
        <f>H1853-G1853</f>
        <v>6.7349999999999994</v>
      </c>
    </row>
    <row r="1854" ht="14.25">
      <c r="A1854" s="5">
        <v>56803</v>
      </c>
      <c r="B1854" s="6" t="s">
        <v>1910</v>
      </c>
      <c r="C1854" s="7" t="s">
        <v>94</v>
      </c>
      <c r="D1854" s="7" t="s">
        <v>95</v>
      </c>
      <c r="E1854" s="5" t="s">
        <v>43</v>
      </c>
      <c r="F1854" s="8"/>
      <c r="G1854" s="9">
        <f>H1854*(1-15%)*(1-F1854)</f>
        <v>29.664999999999999</v>
      </c>
      <c r="H1854" s="9">
        <v>34.899999999999999</v>
      </c>
      <c r="I1854" s="9">
        <f>H1854-G1854</f>
        <v>5.2349999999999994</v>
      </c>
    </row>
    <row r="1855" ht="14.25">
      <c r="A1855" s="5">
        <v>48286</v>
      </c>
      <c r="B1855" s="6" t="s">
        <v>1911</v>
      </c>
      <c r="C1855" s="7" t="s">
        <v>75</v>
      </c>
      <c r="D1855" s="7" t="s">
        <v>103</v>
      </c>
      <c r="E1855" s="5" t="s">
        <v>68</v>
      </c>
      <c r="F1855" s="8"/>
      <c r="G1855" s="9">
        <f>H1855*(1-15%)*(1-F1855)</f>
        <v>57.715000000000003</v>
      </c>
      <c r="H1855" s="9">
        <v>67.900000000000006</v>
      </c>
      <c r="I1855" s="9">
        <f>H1855-G1855</f>
        <v>10.185000000000002</v>
      </c>
    </row>
    <row r="1856" ht="14.25">
      <c r="A1856" s="5">
        <v>48361</v>
      </c>
      <c r="B1856" s="6" t="s">
        <v>1912</v>
      </c>
      <c r="C1856" s="7" t="s">
        <v>38</v>
      </c>
      <c r="D1856" s="7" t="s">
        <v>11</v>
      </c>
      <c r="E1856" s="5" t="s">
        <v>26</v>
      </c>
      <c r="F1856" s="8"/>
      <c r="G1856" s="9">
        <f>H1856*(1-15%)*(1-F1856)</f>
        <v>191.16499999999999</v>
      </c>
      <c r="H1856" s="9">
        <v>224.90000000000001</v>
      </c>
      <c r="I1856" s="9">
        <f>H1856-G1856</f>
        <v>33.735000000000014</v>
      </c>
    </row>
    <row r="1857" ht="14.25">
      <c r="A1857" s="5">
        <v>59183</v>
      </c>
      <c r="B1857" s="6" t="s">
        <v>1913</v>
      </c>
      <c r="C1857" s="7" t="s">
        <v>251</v>
      </c>
      <c r="D1857" s="7" t="s">
        <v>45</v>
      </c>
      <c r="E1857" s="5" t="s">
        <v>15</v>
      </c>
      <c r="F1857" s="8"/>
      <c r="G1857" s="9">
        <f>H1857*(1-15%)*(1-F1857)</f>
        <v>56.865000000000002</v>
      </c>
      <c r="H1857" s="9">
        <v>66.900000000000006</v>
      </c>
      <c r="I1857" s="9">
        <f>H1857-G1857</f>
        <v>10.035000000000004</v>
      </c>
    </row>
    <row r="1858" ht="14.25">
      <c r="A1858" s="5">
        <v>53411</v>
      </c>
      <c r="B1858" s="6" t="s">
        <v>1914</v>
      </c>
      <c r="C1858" s="7" t="s">
        <v>75</v>
      </c>
      <c r="D1858" s="7" t="s">
        <v>103</v>
      </c>
      <c r="E1858" s="5" t="s">
        <v>39</v>
      </c>
      <c r="F1858" s="8"/>
      <c r="G1858" s="9">
        <f>H1858*(1-15%)*(1-F1858)</f>
        <v>38.164999999999999</v>
      </c>
      <c r="H1858" s="9">
        <v>44.899999999999999</v>
      </c>
      <c r="I1858" s="9">
        <f>H1858-G1858</f>
        <v>6.7349999999999994</v>
      </c>
    </row>
    <row r="1859" ht="14.25">
      <c r="A1859" s="5">
        <v>74740</v>
      </c>
      <c r="B1859" s="6" t="s">
        <v>1915</v>
      </c>
      <c r="C1859" s="7" t="s">
        <v>251</v>
      </c>
      <c r="D1859" s="7" t="s">
        <v>45</v>
      </c>
      <c r="E1859" s="5" t="s">
        <v>39</v>
      </c>
      <c r="F1859" s="8"/>
      <c r="G1859" s="9">
        <f>H1859*(1-15%)*(1-F1859)</f>
        <v>56.865000000000002</v>
      </c>
      <c r="H1859" s="9">
        <v>66.900000000000006</v>
      </c>
      <c r="I1859" s="9">
        <f>H1859-G1859</f>
        <v>10.035000000000004</v>
      </c>
    </row>
    <row r="1860" ht="14.25">
      <c r="A1860" s="5">
        <v>48646</v>
      </c>
      <c r="B1860" s="6" t="s">
        <v>1916</v>
      </c>
      <c r="C1860" s="7" t="s">
        <v>17</v>
      </c>
      <c r="D1860" s="7" t="s">
        <v>45</v>
      </c>
      <c r="E1860" s="5" t="s">
        <v>39</v>
      </c>
      <c r="F1860" s="8"/>
      <c r="G1860" s="9">
        <f>H1860*(1-15%)*(1-F1860)</f>
        <v>56.865000000000002</v>
      </c>
      <c r="H1860" s="9">
        <v>66.900000000000006</v>
      </c>
      <c r="I1860" s="9">
        <f>H1860-G1860</f>
        <v>10.035000000000004</v>
      </c>
    </row>
    <row r="1861" ht="14.25">
      <c r="A1861" s="5">
        <v>49258</v>
      </c>
      <c r="B1861" s="6" t="s">
        <v>1917</v>
      </c>
      <c r="C1861" s="7" t="s">
        <v>17</v>
      </c>
      <c r="D1861" s="7" t="s">
        <v>103</v>
      </c>
      <c r="E1861" s="5" t="s">
        <v>15</v>
      </c>
      <c r="F1861" s="8"/>
      <c r="G1861" s="9">
        <f>H1861*(1-15%)*(1-F1861)</f>
        <v>32.214999999999996</v>
      </c>
      <c r="H1861" s="9">
        <v>37.899999999999999</v>
      </c>
      <c r="I1861" s="9">
        <f>H1861-G1861</f>
        <v>5.6850000000000023</v>
      </c>
    </row>
    <row r="1862" ht="14.25">
      <c r="A1862" s="5">
        <v>83372</v>
      </c>
      <c r="B1862" s="6" t="s">
        <v>1918</v>
      </c>
      <c r="C1862" s="7" t="s">
        <v>251</v>
      </c>
      <c r="D1862" s="7" t="s">
        <v>11</v>
      </c>
      <c r="E1862" s="5" t="s">
        <v>26</v>
      </c>
      <c r="F1862" s="8"/>
      <c r="G1862" s="9">
        <f>H1862*(1-15%)*(1-F1862)</f>
        <v>84.915000000000006</v>
      </c>
      <c r="H1862" s="9">
        <v>99.900000000000006</v>
      </c>
      <c r="I1862" s="9">
        <f>H1862-G1862</f>
        <v>14.984999999999999</v>
      </c>
    </row>
    <row r="1863" ht="14.25">
      <c r="A1863" s="5">
        <v>52263</v>
      </c>
      <c r="B1863" s="6" t="s">
        <v>1919</v>
      </c>
      <c r="C1863" s="7" t="s">
        <v>271</v>
      </c>
      <c r="D1863" s="7" t="s">
        <v>110</v>
      </c>
      <c r="E1863" s="5" t="s">
        <v>68</v>
      </c>
      <c r="F1863" s="8"/>
      <c r="G1863" s="9">
        <f>H1863*(1-15%)*(1-F1863)</f>
        <v>29.664999999999999</v>
      </c>
      <c r="H1863" s="9">
        <v>34.899999999999999</v>
      </c>
      <c r="I1863" s="9">
        <f>H1863-G1863</f>
        <v>5.2349999999999994</v>
      </c>
    </row>
    <row r="1864" ht="14.25">
      <c r="A1864" s="5">
        <v>48992</v>
      </c>
      <c r="B1864" s="6" t="s">
        <v>1920</v>
      </c>
      <c r="C1864" s="7" t="s">
        <v>271</v>
      </c>
      <c r="D1864" s="7" t="s">
        <v>45</v>
      </c>
      <c r="E1864" s="5" t="s">
        <v>15</v>
      </c>
      <c r="F1864" s="8"/>
      <c r="G1864" s="9">
        <f>H1864*(1-15%)*(1-F1864)</f>
        <v>38.164999999999999</v>
      </c>
      <c r="H1864" s="9">
        <v>44.899999999999999</v>
      </c>
      <c r="I1864" s="9">
        <f>H1864-G1864</f>
        <v>6.7349999999999994</v>
      </c>
    </row>
    <row r="1865" ht="14.25">
      <c r="A1865" s="5">
        <v>52261</v>
      </c>
      <c r="B1865" s="6" t="s">
        <v>1921</v>
      </c>
      <c r="C1865" s="7" t="s">
        <v>271</v>
      </c>
      <c r="D1865" s="7" t="s">
        <v>110</v>
      </c>
      <c r="E1865" s="5" t="s">
        <v>68</v>
      </c>
      <c r="F1865" s="8"/>
      <c r="G1865" s="9">
        <f>H1865*(1-15%)*(1-F1865)</f>
        <v>29.664999999999999</v>
      </c>
      <c r="H1865" s="9">
        <v>34.899999999999999</v>
      </c>
      <c r="I1865" s="9">
        <f>H1865-G1865</f>
        <v>5.2349999999999994</v>
      </c>
    </row>
    <row r="1866" ht="14.25">
      <c r="A1866" s="5">
        <v>53725</v>
      </c>
      <c r="B1866" s="6" t="s">
        <v>1922</v>
      </c>
      <c r="C1866" s="7" t="s">
        <v>226</v>
      </c>
      <c r="D1866" s="7" t="s">
        <v>183</v>
      </c>
      <c r="E1866" s="5" t="s">
        <v>43</v>
      </c>
      <c r="F1866" s="8"/>
      <c r="G1866" s="9">
        <f>H1866*(1-15%)*(1-F1866)</f>
        <v>135.91499999999999</v>
      </c>
      <c r="H1866" s="9">
        <v>159.90000000000001</v>
      </c>
      <c r="I1866" s="9">
        <f>H1866-G1866</f>
        <v>23.985000000000014</v>
      </c>
    </row>
    <row r="1867" ht="14.25">
      <c r="A1867" s="5">
        <v>53726</v>
      </c>
      <c r="B1867" s="6" t="s">
        <v>1923</v>
      </c>
      <c r="C1867" s="7" t="s">
        <v>226</v>
      </c>
      <c r="D1867" s="7" t="s">
        <v>183</v>
      </c>
      <c r="E1867" s="5" t="s">
        <v>26</v>
      </c>
      <c r="F1867" s="8"/>
      <c r="G1867" s="9">
        <f>H1867*(1-15%)*(1-F1867)</f>
        <v>237.91499999999996</v>
      </c>
      <c r="H1867" s="9">
        <v>279.89999999999998</v>
      </c>
      <c r="I1867" s="9">
        <f>H1867-G1867</f>
        <v>41.985000000000014</v>
      </c>
    </row>
    <row r="1868" ht="14.25">
      <c r="A1868" s="5">
        <v>50089</v>
      </c>
      <c r="B1868" s="6" t="s">
        <v>1924</v>
      </c>
      <c r="C1868" s="7" t="s">
        <v>201</v>
      </c>
      <c r="D1868" s="7" t="s">
        <v>183</v>
      </c>
      <c r="E1868" s="5" t="s">
        <v>15</v>
      </c>
      <c r="F1868" s="8"/>
      <c r="G1868" s="9">
        <f>H1868*(1-15%)*(1-F1868)</f>
        <v>5.8650000000000002</v>
      </c>
      <c r="H1868" s="9">
        <v>6.9000000000000004</v>
      </c>
      <c r="I1868" s="9">
        <f>H1868-G1868</f>
        <v>1.0350000000000001</v>
      </c>
    </row>
    <row r="1869" ht="14.25">
      <c r="A1869" s="5">
        <v>49305</v>
      </c>
      <c r="B1869" s="6" t="s">
        <v>1925</v>
      </c>
      <c r="C1869" s="7" t="s">
        <v>201</v>
      </c>
      <c r="D1869" s="7" t="s">
        <v>183</v>
      </c>
      <c r="E1869" s="5" t="s">
        <v>15</v>
      </c>
      <c r="F1869" s="8"/>
      <c r="G1869" s="9">
        <f>H1869*(1-15%)*(1-F1869)</f>
        <v>42.414999999999999</v>
      </c>
      <c r="H1869" s="9">
        <v>49.899999999999999</v>
      </c>
      <c r="I1869" s="9">
        <f>H1869-G1869</f>
        <v>7.4849999999999994</v>
      </c>
    </row>
    <row r="1870" ht="14.25">
      <c r="A1870" s="5">
        <v>56711</v>
      </c>
      <c r="B1870" s="6" t="s">
        <v>1926</v>
      </c>
      <c r="C1870" s="7" t="s">
        <v>201</v>
      </c>
      <c r="D1870" s="7" t="s">
        <v>183</v>
      </c>
      <c r="E1870" s="5" t="s">
        <v>703</v>
      </c>
      <c r="F1870" s="8"/>
      <c r="G1870" s="9">
        <f>H1870*(1-15%)*(1-F1870)</f>
        <v>64.515000000000001</v>
      </c>
      <c r="H1870" s="9">
        <v>75.900000000000006</v>
      </c>
      <c r="I1870" s="9">
        <f>H1870-G1870</f>
        <v>11.385000000000005</v>
      </c>
    </row>
    <row r="1871" ht="14.25">
      <c r="A1871" s="5">
        <v>56579</v>
      </c>
      <c r="B1871" s="6" t="s">
        <v>1927</v>
      </c>
      <c r="C1871" s="7" t="s">
        <v>201</v>
      </c>
      <c r="D1871" s="7" t="s">
        <v>183</v>
      </c>
      <c r="E1871" s="5" t="s">
        <v>26</v>
      </c>
      <c r="F1871" s="8"/>
      <c r="G1871" s="9">
        <f>H1871*(1-15%)*(1-F1871)</f>
        <v>67.915000000000006</v>
      </c>
      <c r="H1871" s="9">
        <v>79.900000000000006</v>
      </c>
      <c r="I1871" s="9">
        <f>H1871-G1871</f>
        <v>11.984999999999999</v>
      </c>
    </row>
    <row r="1872" ht="14.25">
      <c r="A1872" s="5">
        <v>58138</v>
      </c>
      <c r="B1872" s="6" t="s">
        <v>1928</v>
      </c>
      <c r="C1872" s="7" t="s">
        <v>201</v>
      </c>
      <c r="D1872" s="7" t="s">
        <v>183</v>
      </c>
      <c r="E1872" s="5" t="s">
        <v>26</v>
      </c>
      <c r="F1872" s="8"/>
      <c r="G1872" s="9">
        <f>H1872*(1-15%)*(1-F1872)</f>
        <v>44.964999999999996</v>
      </c>
      <c r="H1872" s="9">
        <v>52.899999999999999</v>
      </c>
      <c r="I1872" s="9">
        <f>H1872-G1872</f>
        <v>7.9350000000000023</v>
      </c>
    </row>
    <row r="1873" ht="14.25">
      <c r="A1873" s="5">
        <v>57639</v>
      </c>
      <c r="B1873" s="6" t="s">
        <v>1929</v>
      </c>
      <c r="C1873" s="7" t="s">
        <v>201</v>
      </c>
      <c r="D1873" s="7" t="s">
        <v>183</v>
      </c>
      <c r="E1873" s="5" t="s">
        <v>26</v>
      </c>
      <c r="F1873" s="8"/>
      <c r="G1873" s="9">
        <f>H1873*(1-15%)*(1-F1873)</f>
        <v>76.415000000000006</v>
      </c>
      <c r="H1873" s="9">
        <v>89.900000000000006</v>
      </c>
      <c r="I1873" s="9">
        <f>H1873-G1873</f>
        <v>13.484999999999999</v>
      </c>
    </row>
    <row r="1874" ht="14.25">
      <c r="A1874" s="5">
        <v>56583</v>
      </c>
      <c r="B1874" s="6" t="s">
        <v>1930</v>
      </c>
      <c r="C1874" s="7" t="s">
        <v>201</v>
      </c>
      <c r="D1874" s="7" t="s">
        <v>183</v>
      </c>
      <c r="E1874" s="5" t="s">
        <v>39</v>
      </c>
      <c r="F1874" s="8"/>
      <c r="G1874" s="9">
        <f>H1874*(1-15%)*(1-F1874)</f>
        <v>33.914999999999999</v>
      </c>
      <c r="H1874" s="9">
        <v>39.899999999999999</v>
      </c>
      <c r="I1874" s="9">
        <f>H1874-G1874</f>
        <v>5.9849999999999994</v>
      </c>
    </row>
    <row r="1875" ht="14.25">
      <c r="A1875" s="5">
        <v>56159</v>
      </c>
      <c r="B1875" s="6" t="s">
        <v>1931</v>
      </c>
      <c r="C1875" s="7" t="s">
        <v>201</v>
      </c>
      <c r="D1875" s="7" t="s">
        <v>183</v>
      </c>
      <c r="E1875" s="5" t="s">
        <v>26</v>
      </c>
      <c r="F1875" s="8"/>
      <c r="G1875" s="9">
        <f>H1875*(1-15%)*(1-F1875)</f>
        <v>56.015000000000001</v>
      </c>
      <c r="H1875" s="9">
        <v>65.900000000000006</v>
      </c>
      <c r="I1875" s="9">
        <f>H1875-G1875</f>
        <v>9.8850000000000051</v>
      </c>
    </row>
    <row r="1876" ht="14.25">
      <c r="A1876" s="5">
        <v>58123</v>
      </c>
      <c r="B1876" s="6" t="s">
        <v>1932</v>
      </c>
      <c r="C1876" s="7" t="s">
        <v>201</v>
      </c>
      <c r="D1876" s="7" t="s">
        <v>183</v>
      </c>
      <c r="E1876" s="5" t="s">
        <v>68</v>
      </c>
      <c r="F1876" s="8"/>
      <c r="G1876" s="9">
        <f>H1876*(1-15%)*(1-F1876)</f>
        <v>74.715000000000003</v>
      </c>
      <c r="H1876" s="9">
        <v>87.900000000000006</v>
      </c>
      <c r="I1876" s="9">
        <f>H1876-G1876</f>
        <v>13.185000000000002</v>
      </c>
    </row>
    <row r="1877" ht="14.25">
      <c r="A1877" s="5">
        <v>57791</v>
      </c>
      <c r="B1877" s="6" t="s">
        <v>1933</v>
      </c>
      <c r="C1877" s="7" t="s">
        <v>426</v>
      </c>
      <c r="D1877" s="7" t="s">
        <v>183</v>
      </c>
      <c r="E1877" s="5" t="s">
        <v>26</v>
      </c>
      <c r="F1877" s="8"/>
      <c r="G1877" s="9">
        <f>H1877*(1-15%)*(1-F1877)</f>
        <v>97.665000000000006</v>
      </c>
      <c r="H1877" s="9">
        <v>114.90000000000001</v>
      </c>
      <c r="I1877" s="9">
        <f>H1877-G1877</f>
        <v>17.234999999999999</v>
      </c>
    </row>
    <row r="1878" ht="14.25">
      <c r="A1878" s="5">
        <v>58511</v>
      </c>
      <c r="B1878" s="6" t="s">
        <v>1934</v>
      </c>
      <c r="C1878" s="7" t="s">
        <v>87</v>
      </c>
      <c r="D1878" s="7" t="s">
        <v>183</v>
      </c>
      <c r="E1878" s="5" t="s">
        <v>43</v>
      </c>
      <c r="F1878" s="8"/>
      <c r="G1878" s="9">
        <f>H1878*(1-15%)*(1-F1878)</f>
        <v>50.914999999999999</v>
      </c>
      <c r="H1878" s="9">
        <v>59.899999999999999</v>
      </c>
      <c r="I1878" s="9">
        <f>H1878-G1878</f>
        <v>8.9849999999999994</v>
      </c>
    </row>
    <row r="1879" ht="14.25">
      <c r="A1879" s="5">
        <v>84607</v>
      </c>
      <c r="B1879" s="6" t="s">
        <v>1935</v>
      </c>
      <c r="C1879" s="7" t="s">
        <v>19</v>
      </c>
      <c r="D1879" s="7" t="s">
        <v>183</v>
      </c>
      <c r="E1879" s="5" t="s">
        <v>43</v>
      </c>
      <c r="F1879" s="8"/>
      <c r="G1879" s="9">
        <f>H1879*(1-15%)*(1-F1879)</f>
        <v>50.914999999999999</v>
      </c>
      <c r="H1879" s="9">
        <v>59.899999999999999</v>
      </c>
      <c r="I1879" s="9">
        <f>H1879-G1879</f>
        <v>8.9849999999999994</v>
      </c>
    </row>
    <row r="1880" ht="14.25">
      <c r="A1880" s="5">
        <v>58512</v>
      </c>
      <c r="B1880" s="6" t="s">
        <v>1936</v>
      </c>
      <c r="C1880" s="7" t="s">
        <v>853</v>
      </c>
      <c r="D1880" s="7" t="s">
        <v>183</v>
      </c>
      <c r="E1880" s="5" t="s">
        <v>26</v>
      </c>
      <c r="F1880" s="8"/>
      <c r="G1880" s="9">
        <f>H1880*(1-15%)*(1-F1880)</f>
        <v>49.214999999999996</v>
      </c>
      <c r="H1880" s="9">
        <v>57.899999999999999</v>
      </c>
      <c r="I1880" s="9">
        <f>H1880-G1880</f>
        <v>8.6850000000000023</v>
      </c>
    </row>
    <row r="1881" ht="14.25">
      <c r="A1881" s="5">
        <v>56586</v>
      </c>
      <c r="B1881" s="6" t="s">
        <v>1937</v>
      </c>
      <c r="C1881" s="7" t="s">
        <v>109</v>
      </c>
      <c r="D1881" s="7" t="s">
        <v>183</v>
      </c>
      <c r="E1881" s="5" t="s">
        <v>39</v>
      </c>
      <c r="F1881" s="8"/>
      <c r="G1881" s="9">
        <f>H1881*(1-15%)*(1-F1881)</f>
        <v>135.91499999999999</v>
      </c>
      <c r="H1881" s="9">
        <v>159.90000000000001</v>
      </c>
      <c r="I1881" s="9">
        <f>H1881-G1881</f>
        <v>23.985000000000014</v>
      </c>
    </row>
    <row r="1882" ht="14.25">
      <c r="A1882" s="5">
        <v>56837</v>
      </c>
      <c r="B1882" s="6" t="s">
        <v>1938</v>
      </c>
      <c r="C1882" s="7" t="s">
        <v>109</v>
      </c>
      <c r="D1882" s="7" t="s">
        <v>183</v>
      </c>
      <c r="E1882" s="5" t="s">
        <v>39</v>
      </c>
      <c r="F1882" s="8"/>
      <c r="G1882" s="9">
        <f>H1882*(1-15%)*(1-F1882)</f>
        <v>67.915000000000006</v>
      </c>
      <c r="H1882" s="9">
        <v>79.900000000000006</v>
      </c>
      <c r="I1882" s="9">
        <f>H1882-G1882</f>
        <v>11.984999999999999</v>
      </c>
    </row>
    <row r="1883" ht="14.25">
      <c r="A1883" s="5">
        <v>53906</v>
      </c>
      <c r="B1883" s="6" t="s">
        <v>1939</v>
      </c>
      <c r="C1883" s="7" t="s">
        <v>109</v>
      </c>
      <c r="D1883" s="7" t="s">
        <v>183</v>
      </c>
      <c r="E1883" s="5" t="s">
        <v>26</v>
      </c>
      <c r="F1883" s="8"/>
      <c r="G1883" s="9">
        <f>H1883*(1-15%)*(1-F1883)</f>
        <v>49.214999999999996</v>
      </c>
      <c r="H1883" s="9">
        <v>57.899999999999999</v>
      </c>
      <c r="I1883" s="9">
        <f>H1883-G1883</f>
        <v>8.6850000000000023</v>
      </c>
    </row>
    <row r="1884" ht="14.25">
      <c r="A1884" s="5">
        <v>53847</v>
      </c>
      <c r="B1884" s="6" t="s">
        <v>1940</v>
      </c>
      <c r="C1884" s="7" t="s">
        <v>109</v>
      </c>
      <c r="D1884" s="7" t="s">
        <v>183</v>
      </c>
      <c r="E1884" s="5" t="s">
        <v>39</v>
      </c>
      <c r="F1884" s="8"/>
      <c r="G1884" s="9">
        <f>H1884*(1-15%)*(1-F1884)</f>
        <v>32.214999999999996</v>
      </c>
      <c r="H1884" s="9">
        <v>37.899999999999999</v>
      </c>
      <c r="I1884" s="9">
        <f>H1884-G1884</f>
        <v>5.6850000000000023</v>
      </c>
    </row>
    <row r="1885" ht="14.25">
      <c r="A1885" s="5">
        <v>53910</v>
      </c>
      <c r="B1885" s="6" t="s">
        <v>1941</v>
      </c>
      <c r="C1885" s="7" t="s">
        <v>109</v>
      </c>
      <c r="D1885" s="7" t="s">
        <v>183</v>
      </c>
      <c r="E1885" s="5" t="s">
        <v>39</v>
      </c>
      <c r="F1885" s="8"/>
      <c r="G1885" s="9">
        <f>H1885*(1-15%)*(1-F1885)</f>
        <v>72.165000000000006</v>
      </c>
      <c r="H1885" s="9">
        <v>84.900000000000006</v>
      </c>
      <c r="I1885" s="9">
        <f>H1885-G1885</f>
        <v>12.734999999999999</v>
      </c>
    </row>
    <row r="1886" ht="14.25">
      <c r="A1886" s="5">
        <v>53936</v>
      </c>
      <c r="B1886" s="6" t="s">
        <v>1942</v>
      </c>
      <c r="C1886" s="7" t="s">
        <v>109</v>
      </c>
      <c r="D1886" s="7" t="s">
        <v>183</v>
      </c>
      <c r="E1886" s="5" t="s">
        <v>39</v>
      </c>
      <c r="F1886" s="8"/>
      <c r="G1886" s="9">
        <f>H1886*(1-15%)*(1-F1886)</f>
        <v>72.165000000000006</v>
      </c>
      <c r="H1886" s="9">
        <v>84.900000000000006</v>
      </c>
      <c r="I1886" s="9">
        <f>H1886-G1886</f>
        <v>12.734999999999999</v>
      </c>
    </row>
    <row r="1887" ht="14.25">
      <c r="A1887" s="5">
        <v>53907</v>
      </c>
      <c r="B1887" s="6" t="s">
        <v>1943</v>
      </c>
      <c r="C1887" s="7" t="s">
        <v>109</v>
      </c>
      <c r="D1887" s="7" t="s">
        <v>183</v>
      </c>
      <c r="E1887" s="5" t="s">
        <v>39</v>
      </c>
      <c r="F1887" s="8"/>
      <c r="G1887" s="9">
        <f>H1887*(1-15%)*(1-F1887)</f>
        <v>72.165000000000006</v>
      </c>
      <c r="H1887" s="9">
        <v>84.900000000000006</v>
      </c>
      <c r="I1887" s="9">
        <f>H1887-G1887</f>
        <v>12.734999999999999</v>
      </c>
    </row>
    <row r="1888" ht="14.25">
      <c r="A1888" s="5">
        <v>53904</v>
      </c>
      <c r="B1888" s="6" t="s">
        <v>1944</v>
      </c>
      <c r="C1888" s="7" t="s">
        <v>109</v>
      </c>
      <c r="D1888" s="7" t="s">
        <v>183</v>
      </c>
      <c r="E1888" s="5" t="s">
        <v>39</v>
      </c>
      <c r="F1888" s="8"/>
      <c r="G1888" s="9">
        <f>H1888*(1-15%)*(1-F1888)</f>
        <v>72.165000000000006</v>
      </c>
      <c r="H1888" s="9">
        <v>84.900000000000006</v>
      </c>
      <c r="I1888" s="9">
        <f>H1888-G1888</f>
        <v>12.734999999999999</v>
      </c>
    </row>
    <row r="1889" ht="14.25">
      <c r="A1889" s="5">
        <v>49923</v>
      </c>
      <c r="B1889" s="6" t="s">
        <v>1945</v>
      </c>
      <c r="C1889" s="7" t="s">
        <v>10</v>
      </c>
      <c r="D1889" s="7" t="s">
        <v>183</v>
      </c>
      <c r="E1889" s="5" t="s">
        <v>15</v>
      </c>
      <c r="F1889" s="8"/>
      <c r="G1889" s="9">
        <f>H1889*(1-15%)*(1-F1889)</f>
        <v>67.915000000000006</v>
      </c>
      <c r="H1889" s="9">
        <v>79.900000000000006</v>
      </c>
      <c r="I1889" s="9">
        <f>H1889-G1889</f>
        <v>11.984999999999999</v>
      </c>
    </row>
    <row r="1890" ht="14.25">
      <c r="A1890" s="5">
        <v>53787</v>
      </c>
      <c r="B1890" s="6" t="s">
        <v>1946</v>
      </c>
      <c r="C1890" s="7" t="s">
        <v>94</v>
      </c>
      <c r="D1890" s="7" t="s">
        <v>183</v>
      </c>
      <c r="E1890" s="5" t="s">
        <v>68</v>
      </c>
      <c r="F1890" s="8"/>
      <c r="G1890" s="9">
        <f>H1890*(1-15%)*(1-F1890)</f>
        <v>49.214999999999996</v>
      </c>
      <c r="H1890" s="9">
        <v>57.899999999999999</v>
      </c>
      <c r="I1890" s="9">
        <f>H1890-G1890</f>
        <v>8.6850000000000023</v>
      </c>
    </row>
    <row r="1891" ht="14.25">
      <c r="A1891" s="5">
        <v>56841</v>
      </c>
      <c r="B1891" s="6" t="s">
        <v>1947</v>
      </c>
      <c r="C1891" s="7" t="s">
        <v>75</v>
      </c>
      <c r="D1891" s="7" t="s">
        <v>183</v>
      </c>
      <c r="E1891" s="5" t="s">
        <v>68</v>
      </c>
      <c r="F1891" s="8"/>
      <c r="G1891" s="9">
        <f>H1891*(1-15%)*(1-F1891)</f>
        <v>33.914999999999999</v>
      </c>
      <c r="H1891" s="9">
        <v>39.899999999999999</v>
      </c>
      <c r="I1891" s="9">
        <f>H1891-G1891</f>
        <v>5.9849999999999994</v>
      </c>
    </row>
    <row r="1892" ht="14.25">
      <c r="A1892" s="5">
        <v>56585</v>
      </c>
      <c r="B1892" s="6" t="s">
        <v>1948</v>
      </c>
      <c r="C1892" s="7" t="s">
        <v>109</v>
      </c>
      <c r="D1892" s="7" t="s">
        <v>183</v>
      </c>
      <c r="E1892" s="5" t="s">
        <v>43</v>
      </c>
      <c r="F1892" s="8"/>
      <c r="G1892" s="9">
        <f>H1892*(1-15%)*(1-F1892)</f>
        <v>194.65000000000001</v>
      </c>
      <c r="H1892" s="9">
        <v>229</v>
      </c>
      <c r="I1892" s="9">
        <f>H1892-G1892</f>
        <v>34.349999999999994</v>
      </c>
    </row>
    <row r="1893" ht="14.25">
      <c r="A1893" s="5">
        <v>59197</v>
      </c>
      <c r="B1893" s="6" t="s">
        <v>1949</v>
      </c>
      <c r="C1893" s="7" t="s">
        <v>82</v>
      </c>
      <c r="D1893" s="7" t="s">
        <v>95</v>
      </c>
      <c r="E1893" s="5" t="s">
        <v>68</v>
      </c>
      <c r="F1893" s="8"/>
      <c r="G1893" s="9">
        <f>H1893*(1-15%)*(1-F1893)</f>
        <v>25.414999999999999</v>
      </c>
      <c r="H1893" s="9">
        <v>29.899999999999999</v>
      </c>
      <c r="I1893" s="9">
        <f>H1893-G1893</f>
        <v>4.4849999999999994</v>
      </c>
    </row>
    <row r="1894" ht="14.25">
      <c r="A1894" s="5">
        <v>58521</v>
      </c>
      <c r="B1894" s="6" t="s">
        <v>1950</v>
      </c>
      <c r="C1894" s="7" t="s">
        <v>82</v>
      </c>
      <c r="D1894" s="7" t="s">
        <v>95</v>
      </c>
      <c r="E1894" s="5" t="s">
        <v>26</v>
      </c>
      <c r="F1894" s="8"/>
      <c r="G1894" s="9">
        <f>H1894*(1-15%)*(1-F1894)</f>
        <v>46.664999999999999</v>
      </c>
      <c r="H1894" s="9">
        <v>54.899999999999999</v>
      </c>
      <c r="I1894" s="9">
        <f>H1894-G1894</f>
        <v>8.2349999999999994</v>
      </c>
    </row>
    <row r="1895" ht="14.25">
      <c r="A1895" s="5">
        <v>59198</v>
      </c>
      <c r="B1895" s="6" t="s">
        <v>1951</v>
      </c>
      <c r="C1895" s="7" t="s">
        <v>82</v>
      </c>
      <c r="D1895" s="7" t="s">
        <v>95</v>
      </c>
      <c r="E1895" s="5" t="s">
        <v>43</v>
      </c>
      <c r="F1895" s="8"/>
      <c r="G1895" s="9">
        <f>H1895*(1-15%)*(1-F1895)</f>
        <v>15.214999999999998</v>
      </c>
      <c r="H1895" s="9">
        <v>17.899999999999999</v>
      </c>
      <c r="I1895" s="9">
        <f>H1895-G1895</f>
        <v>2.6850000000000005</v>
      </c>
    </row>
    <row r="1896" ht="14.25">
      <c r="A1896" s="5">
        <v>84744</v>
      </c>
      <c r="B1896" s="6" t="s">
        <v>1952</v>
      </c>
      <c r="C1896" s="7" t="s">
        <v>94</v>
      </c>
      <c r="D1896" s="7" t="s">
        <v>95</v>
      </c>
      <c r="E1896" s="5" t="s">
        <v>43</v>
      </c>
      <c r="F1896" s="8"/>
      <c r="G1896" s="9">
        <f>H1896*(1-15%)*(1-F1896)</f>
        <v>29.664999999999999</v>
      </c>
      <c r="H1896" s="9">
        <v>34.899999999999999</v>
      </c>
      <c r="I1896" s="9">
        <f>H1896-G1896</f>
        <v>5.2349999999999994</v>
      </c>
    </row>
    <row r="1897" ht="14.25">
      <c r="A1897" s="5">
        <v>47920</v>
      </c>
      <c r="B1897" s="6" t="s">
        <v>1953</v>
      </c>
      <c r="C1897" s="7" t="s">
        <v>94</v>
      </c>
      <c r="D1897" s="7" t="s">
        <v>95</v>
      </c>
      <c r="E1897" s="5" t="s">
        <v>26</v>
      </c>
      <c r="F1897" s="8"/>
      <c r="G1897" s="9">
        <f>H1897*(1-15%)*(1-F1897)</f>
        <v>57.715000000000003</v>
      </c>
      <c r="H1897" s="9">
        <v>67.900000000000006</v>
      </c>
      <c r="I1897" s="9">
        <f>H1897-G1897</f>
        <v>10.185000000000002</v>
      </c>
    </row>
    <row r="1898" ht="14.25">
      <c r="A1898" s="5">
        <v>56811</v>
      </c>
      <c r="B1898" s="6" t="s">
        <v>1954</v>
      </c>
      <c r="C1898" s="7" t="s">
        <v>94</v>
      </c>
      <c r="D1898" s="7" t="s">
        <v>95</v>
      </c>
      <c r="E1898" s="5" t="s">
        <v>43</v>
      </c>
      <c r="F1898" s="8"/>
      <c r="G1898" s="9">
        <f>H1898*(1-15%)*(1-F1898)</f>
        <v>59.415000000000006</v>
      </c>
      <c r="H1898" s="9">
        <v>69.900000000000006</v>
      </c>
      <c r="I1898" s="9">
        <f>H1898-G1898</f>
        <v>10.484999999999999</v>
      </c>
    </row>
    <row r="1899" ht="14.25">
      <c r="A1899" s="5">
        <v>56798</v>
      </c>
      <c r="B1899" s="6" t="s">
        <v>1955</v>
      </c>
      <c r="C1899" s="7" t="s">
        <v>94</v>
      </c>
      <c r="D1899" s="7" t="s">
        <v>95</v>
      </c>
      <c r="E1899" s="5" t="s">
        <v>43</v>
      </c>
      <c r="F1899" s="8"/>
      <c r="G1899" s="9">
        <f>H1899*(1-15%)*(1-F1899)</f>
        <v>59.415000000000006</v>
      </c>
      <c r="H1899" s="9">
        <v>69.900000000000006</v>
      </c>
      <c r="I1899" s="9">
        <f>H1899-G1899</f>
        <v>10.484999999999999</v>
      </c>
    </row>
    <row r="1900" ht="14.25">
      <c r="A1900" s="5">
        <v>57780</v>
      </c>
      <c r="B1900" s="6" t="s">
        <v>1956</v>
      </c>
      <c r="C1900" s="7" t="s">
        <v>94</v>
      </c>
      <c r="D1900" s="7" t="s">
        <v>95</v>
      </c>
      <c r="E1900" s="5" t="s">
        <v>15</v>
      </c>
      <c r="F1900" s="8"/>
      <c r="G1900" s="9">
        <f>H1900*(1-15%)*(1-F1900)</f>
        <v>25.414999999999999</v>
      </c>
      <c r="H1900" s="9">
        <v>29.899999999999999</v>
      </c>
      <c r="I1900" s="9">
        <f>H1900-G1900</f>
        <v>4.4849999999999994</v>
      </c>
    </row>
    <row r="1901" ht="14.25">
      <c r="A1901" s="5">
        <v>57765</v>
      </c>
      <c r="B1901" s="6" t="s">
        <v>1957</v>
      </c>
      <c r="C1901" s="7" t="s">
        <v>94</v>
      </c>
      <c r="D1901" s="7" t="s">
        <v>95</v>
      </c>
      <c r="E1901" s="5" t="s">
        <v>15</v>
      </c>
      <c r="F1901" s="8"/>
      <c r="G1901" s="9">
        <f>H1901*(1-15%)*(1-F1901)</f>
        <v>25.414999999999999</v>
      </c>
      <c r="H1901" s="9">
        <v>29.899999999999999</v>
      </c>
      <c r="I1901" s="9">
        <f>H1901-G1901</f>
        <v>4.4849999999999994</v>
      </c>
    </row>
    <row r="1902" ht="14.25">
      <c r="A1902" s="5">
        <v>48294</v>
      </c>
      <c r="B1902" s="6" t="s">
        <v>1958</v>
      </c>
      <c r="C1902" s="7" t="s">
        <v>1959</v>
      </c>
      <c r="D1902" s="7" t="s">
        <v>95</v>
      </c>
      <c r="E1902" s="5" t="s">
        <v>26</v>
      </c>
      <c r="F1902" s="8"/>
      <c r="G1902" s="9">
        <f>H1902*(1-15%)*(1-F1902)</f>
        <v>63.665000000000006</v>
      </c>
      <c r="H1902" s="9">
        <v>74.900000000000006</v>
      </c>
      <c r="I1902" s="9">
        <f>H1902-G1902</f>
        <v>11.234999999999999</v>
      </c>
    </row>
    <row r="1903" ht="14.25">
      <c r="A1903" s="5">
        <v>56799</v>
      </c>
      <c r="B1903" s="6" t="s">
        <v>1960</v>
      </c>
      <c r="C1903" s="7" t="s">
        <v>94</v>
      </c>
      <c r="D1903" s="7" t="s">
        <v>95</v>
      </c>
      <c r="E1903" s="5" t="s">
        <v>43</v>
      </c>
      <c r="F1903" s="8"/>
      <c r="G1903" s="9">
        <f>H1903*(1-15%)*(1-F1903)</f>
        <v>38.164999999999999</v>
      </c>
      <c r="H1903" s="9">
        <v>44.899999999999999</v>
      </c>
      <c r="I1903" s="9">
        <f>H1903-G1903</f>
        <v>6.7349999999999994</v>
      </c>
    </row>
    <row r="1904" ht="14.25">
      <c r="A1904" s="5">
        <v>59583</v>
      </c>
      <c r="B1904" s="6" t="s">
        <v>1961</v>
      </c>
      <c r="C1904" s="7" t="s">
        <v>94</v>
      </c>
      <c r="D1904" s="7" t="s">
        <v>95</v>
      </c>
      <c r="E1904" s="5" t="s">
        <v>43</v>
      </c>
      <c r="F1904" s="8"/>
      <c r="G1904" s="9">
        <f>H1904*(1-15%)*(1-F1904)</f>
        <v>39.015000000000001</v>
      </c>
      <c r="H1904" s="9">
        <v>45.899999999999999</v>
      </c>
      <c r="I1904" s="9">
        <f>H1904-G1904</f>
        <v>6.884999999999998</v>
      </c>
    </row>
    <row r="1905" ht="14.25">
      <c r="A1905" s="5">
        <v>48288</v>
      </c>
      <c r="B1905" s="6" t="s">
        <v>1962</v>
      </c>
      <c r="C1905" s="7" t="s">
        <v>75</v>
      </c>
      <c r="D1905" s="7" t="s">
        <v>95</v>
      </c>
      <c r="E1905" s="5" t="s">
        <v>26</v>
      </c>
      <c r="F1905" s="8"/>
      <c r="G1905" s="9">
        <f>H1905*(1-15%)*(1-F1905)</f>
        <v>44.964999999999996</v>
      </c>
      <c r="H1905" s="9">
        <v>52.899999999999999</v>
      </c>
      <c r="I1905" s="9">
        <f>H1905-G1905</f>
        <v>7.9350000000000023</v>
      </c>
    </row>
    <row r="1906" ht="14.25">
      <c r="A1906" s="5">
        <v>52882</v>
      </c>
      <c r="B1906" s="6" t="s">
        <v>1963</v>
      </c>
      <c r="C1906" s="7" t="s">
        <v>30</v>
      </c>
      <c r="D1906" s="7" t="s">
        <v>45</v>
      </c>
      <c r="E1906" s="5" t="s">
        <v>15</v>
      </c>
      <c r="F1906" s="8"/>
      <c r="G1906" s="9">
        <f>H1906*(1-15%)*(1-F1906)</f>
        <v>39.015000000000001</v>
      </c>
      <c r="H1906" s="9">
        <v>45.899999999999999</v>
      </c>
      <c r="I1906" s="9">
        <f>H1906-G1906</f>
        <v>6.884999999999998</v>
      </c>
    </row>
    <row r="1907" ht="14.25">
      <c r="A1907" s="5">
        <v>57046</v>
      </c>
      <c r="B1907" s="6" t="s">
        <v>1964</v>
      </c>
      <c r="C1907" s="7" t="s">
        <v>82</v>
      </c>
      <c r="D1907" s="7" t="s">
        <v>45</v>
      </c>
      <c r="E1907" s="5" t="s">
        <v>26</v>
      </c>
      <c r="F1907" s="8"/>
      <c r="G1907" s="9">
        <f>H1907*(1-15%)*(1-F1907)</f>
        <v>66.215000000000003</v>
      </c>
      <c r="H1907" s="9">
        <v>77.900000000000006</v>
      </c>
      <c r="I1907" s="9">
        <f>H1907-G1907</f>
        <v>11.685000000000002</v>
      </c>
    </row>
    <row r="1908" ht="14.25">
      <c r="A1908" s="5">
        <v>58601</v>
      </c>
      <c r="B1908" s="6" t="s">
        <v>1965</v>
      </c>
      <c r="C1908" s="7" t="s">
        <v>82</v>
      </c>
      <c r="D1908" s="7" t="s">
        <v>45</v>
      </c>
      <c r="E1908" s="5" t="s">
        <v>43</v>
      </c>
      <c r="F1908" s="8"/>
      <c r="G1908" s="9">
        <f>H1908*(1-15%)*(1-F1908)</f>
        <v>46.664999999999999</v>
      </c>
      <c r="H1908" s="9">
        <v>54.899999999999999</v>
      </c>
      <c r="I1908" s="9">
        <f>H1908-G1908</f>
        <v>8.2349999999999994</v>
      </c>
    </row>
    <row r="1909" ht="14.25">
      <c r="A1909" s="5">
        <v>58227</v>
      </c>
      <c r="B1909" s="6" t="s">
        <v>1966</v>
      </c>
      <c r="C1909" s="7" t="s">
        <v>82</v>
      </c>
      <c r="D1909" s="7" t="s">
        <v>45</v>
      </c>
      <c r="E1909" s="5" t="s">
        <v>43</v>
      </c>
      <c r="F1909" s="8"/>
      <c r="G1909" s="9">
        <f>H1909*(1-15%)*(1-F1909)</f>
        <v>63.665000000000006</v>
      </c>
      <c r="H1909" s="9">
        <v>74.900000000000006</v>
      </c>
      <c r="I1909" s="9">
        <f>H1909-G1909</f>
        <v>11.234999999999999</v>
      </c>
    </row>
    <row r="1910" ht="14.25">
      <c r="A1910" s="5">
        <v>52723</v>
      </c>
      <c r="B1910" s="6" t="s">
        <v>1967</v>
      </c>
      <c r="C1910" s="7" t="s">
        <v>399</v>
      </c>
      <c r="D1910" s="7" t="s">
        <v>45</v>
      </c>
      <c r="E1910" s="5" t="s">
        <v>26</v>
      </c>
      <c r="F1910" s="8"/>
      <c r="G1910" s="9">
        <f>H1910*(1-15%)*(1-F1910)</f>
        <v>38.164999999999999</v>
      </c>
      <c r="H1910" s="9">
        <v>44.899999999999999</v>
      </c>
      <c r="I1910" s="9">
        <f>H1910-G1910</f>
        <v>6.7349999999999994</v>
      </c>
    </row>
    <row r="1911" ht="14.25">
      <c r="A1911" s="5">
        <v>57044</v>
      </c>
      <c r="B1911" s="6" t="s">
        <v>1968</v>
      </c>
      <c r="C1911" s="7" t="s">
        <v>82</v>
      </c>
      <c r="D1911" s="7" t="s">
        <v>45</v>
      </c>
      <c r="E1911" s="5" t="s">
        <v>15</v>
      </c>
      <c r="F1911" s="8"/>
      <c r="G1911" s="9">
        <f>H1911*(1-15%)*(1-F1911)</f>
        <v>36.464999999999996</v>
      </c>
      <c r="H1911" s="9">
        <v>42.899999999999999</v>
      </c>
      <c r="I1911" s="9">
        <f>H1911-G1911</f>
        <v>6.4350000000000023</v>
      </c>
    </row>
    <row r="1912" ht="14.25">
      <c r="A1912" s="5">
        <v>57043</v>
      </c>
      <c r="B1912" s="6" t="s">
        <v>1969</v>
      </c>
      <c r="C1912" s="7" t="s">
        <v>82</v>
      </c>
      <c r="D1912" s="7" t="s">
        <v>45</v>
      </c>
      <c r="E1912" s="5" t="s">
        <v>26</v>
      </c>
      <c r="F1912" s="8"/>
      <c r="G1912" s="9">
        <f>H1912*(1-15%)*(1-F1912)</f>
        <v>46.664999999999999</v>
      </c>
      <c r="H1912" s="9">
        <v>54.899999999999999</v>
      </c>
      <c r="I1912" s="9">
        <f>H1912-G1912</f>
        <v>8.2349999999999994</v>
      </c>
    </row>
    <row r="1913" ht="14.25">
      <c r="A1913" s="5">
        <v>58237</v>
      </c>
      <c r="B1913" s="6" t="s">
        <v>1970</v>
      </c>
      <c r="C1913" s="7" t="s">
        <v>82</v>
      </c>
      <c r="D1913" s="7" t="s">
        <v>45</v>
      </c>
      <c r="E1913" s="5" t="s">
        <v>68</v>
      </c>
      <c r="F1913" s="8"/>
      <c r="G1913" s="9">
        <f>H1913*(1-15%)*(1-F1913)</f>
        <v>46.664999999999999</v>
      </c>
      <c r="H1913" s="9">
        <v>54.899999999999999</v>
      </c>
      <c r="I1913" s="9">
        <f>H1913-G1913</f>
        <v>8.2349999999999994</v>
      </c>
    </row>
    <row r="1914" ht="14.25">
      <c r="A1914" s="5">
        <v>51461</v>
      </c>
      <c r="B1914" s="6" t="s">
        <v>1971</v>
      </c>
      <c r="C1914" s="7" t="s">
        <v>17</v>
      </c>
      <c r="D1914" s="7" t="s">
        <v>45</v>
      </c>
      <c r="E1914" s="5" t="s">
        <v>15</v>
      </c>
      <c r="F1914" s="8"/>
      <c r="G1914" s="9">
        <f>H1914*(1-15%)*(1-F1914)</f>
        <v>56.865000000000002</v>
      </c>
      <c r="H1914" s="9">
        <v>66.900000000000006</v>
      </c>
      <c r="I1914" s="9">
        <f>H1914-G1914</f>
        <v>10.035000000000004</v>
      </c>
    </row>
    <row r="1915" ht="14.25">
      <c r="A1915" s="5">
        <v>86987</v>
      </c>
      <c r="B1915" s="6" t="s">
        <v>1972</v>
      </c>
      <c r="C1915" s="7" t="s">
        <v>17</v>
      </c>
      <c r="D1915" s="7" t="s">
        <v>45</v>
      </c>
      <c r="E1915" s="5" t="s">
        <v>43</v>
      </c>
      <c r="F1915" s="8"/>
      <c r="G1915" s="9">
        <f>H1915*(1-15%)*(1-F1915)</f>
        <v>101.91500000000001</v>
      </c>
      <c r="H1915" s="9">
        <v>119.90000000000001</v>
      </c>
      <c r="I1915" s="9">
        <f>H1915-G1915</f>
        <v>17.984999999999999</v>
      </c>
    </row>
    <row r="1916" ht="14.25">
      <c r="A1916" s="5">
        <v>52671</v>
      </c>
      <c r="B1916" s="6" t="s">
        <v>1973</v>
      </c>
      <c r="C1916" s="7" t="s">
        <v>17</v>
      </c>
      <c r="D1916" s="7" t="s">
        <v>45</v>
      </c>
      <c r="E1916" s="5" t="s">
        <v>15</v>
      </c>
      <c r="F1916" s="8"/>
      <c r="G1916" s="9">
        <f>H1916*(1-15%)*(1-F1916)</f>
        <v>38.164999999999999</v>
      </c>
      <c r="H1916" s="9">
        <v>44.899999999999999</v>
      </c>
      <c r="I1916" s="9">
        <f>H1916-G1916</f>
        <v>6.7349999999999994</v>
      </c>
    </row>
    <row r="1917" ht="14.25">
      <c r="A1917" s="5">
        <v>75082</v>
      </c>
      <c r="B1917" s="6" t="s">
        <v>1974</v>
      </c>
      <c r="C1917" s="7" t="s">
        <v>17</v>
      </c>
      <c r="D1917" s="7" t="s">
        <v>45</v>
      </c>
      <c r="E1917" s="5" t="s">
        <v>15</v>
      </c>
      <c r="F1917" s="8"/>
      <c r="G1917" s="9">
        <f>H1917*(1-15%)*(1-F1917)</f>
        <v>38.164999999999999</v>
      </c>
      <c r="H1917" s="9">
        <v>44.899999999999999</v>
      </c>
      <c r="I1917" s="9">
        <f>H1917-G1917</f>
        <v>6.7349999999999994</v>
      </c>
    </row>
    <row r="1918" ht="14.25">
      <c r="A1918" s="5">
        <v>53024</v>
      </c>
      <c r="B1918" s="6" t="s">
        <v>1975</v>
      </c>
      <c r="C1918" s="7" t="s">
        <v>17</v>
      </c>
      <c r="D1918" s="7" t="s">
        <v>45</v>
      </c>
      <c r="E1918" s="5" t="s">
        <v>15</v>
      </c>
      <c r="F1918" s="8"/>
      <c r="G1918" s="9">
        <f>H1918*(1-15%)*(1-F1918)</f>
        <v>38.164999999999999</v>
      </c>
      <c r="H1918" s="9">
        <v>44.899999999999999</v>
      </c>
      <c r="I1918" s="9">
        <f>H1918-G1918</f>
        <v>6.7349999999999994</v>
      </c>
    </row>
    <row r="1919" ht="14.25">
      <c r="A1919" s="5">
        <v>49787</v>
      </c>
      <c r="B1919" s="6" t="s">
        <v>1976</v>
      </c>
      <c r="C1919" s="7" t="s">
        <v>251</v>
      </c>
      <c r="D1919" s="7" t="s">
        <v>45</v>
      </c>
      <c r="E1919" s="5" t="s">
        <v>15</v>
      </c>
      <c r="F1919" s="8"/>
      <c r="G1919" s="9">
        <f>H1919*(1-15%)*(1-F1919)</f>
        <v>50.302999999999997</v>
      </c>
      <c r="H1919" s="9">
        <v>59.18</v>
      </c>
      <c r="I1919" s="9">
        <f>H1919-G1919</f>
        <v>8.8770000000000024</v>
      </c>
    </row>
    <row r="1920" ht="14.25">
      <c r="A1920" s="5">
        <v>58236</v>
      </c>
      <c r="B1920" s="6" t="s">
        <v>1977</v>
      </c>
      <c r="C1920" s="7" t="s">
        <v>82</v>
      </c>
      <c r="D1920" s="7" t="s">
        <v>45</v>
      </c>
      <c r="E1920" s="5" t="s">
        <v>15</v>
      </c>
      <c r="F1920" s="8"/>
      <c r="G1920" s="9">
        <f>H1920*(1-15%)*(1-F1920)</f>
        <v>63.665000000000006</v>
      </c>
      <c r="H1920" s="9">
        <v>74.900000000000006</v>
      </c>
      <c r="I1920" s="9">
        <f>H1920-G1920</f>
        <v>11.234999999999999</v>
      </c>
    </row>
    <row r="1921" ht="14.25">
      <c r="A1921" s="5">
        <v>52668</v>
      </c>
      <c r="B1921" s="6" t="s">
        <v>1978</v>
      </c>
      <c r="C1921" s="7" t="s">
        <v>70</v>
      </c>
      <c r="D1921" s="7" t="s">
        <v>45</v>
      </c>
      <c r="E1921" s="5" t="s">
        <v>26</v>
      </c>
      <c r="F1921" s="8"/>
      <c r="G1921" s="9">
        <f>H1921*(1-15%)*(1-F1921)</f>
        <v>44.964999999999996</v>
      </c>
      <c r="H1921" s="9">
        <v>52.899999999999999</v>
      </c>
      <c r="I1921" s="9">
        <f>H1921-G1921</f>
        <v>7.9350000000000023</v>
      </c>
    </row>
    <row r="1922" ht="14.25">
      <c r="A1922" s="5">
        <v>57890</v>
      </c>
      <c r="B1922" s="6" t="s">
        <v>1979</v>
      </c>
      <c r="C1922" s="7" t="s">
        <v>70</v>
      </c>
      <c r="D1922" s="7" t="s">
        <v>45</v>
      </c>
      <c r="E1922" s="5" t="s">
        <v>26</v>
      </c>
      <c r="F1922" s="8"/>
      <c r="G1922" s="9">
        <f>H1922*(1-15%)*(1-F1922)</f>
        <v>123.16500000000001</v>
      </c>
      <c r="H1922" s="9">
        <v>144.90000000000001</v>
      </c>
      <c r="I1922" s="9">
        <f>H1922-G1922</f>
        <v>21.734999999999999</v>
      </c>
    </row>
    <row r="1923" ht="14.25">
      <c r="A1923" s="5">
        <v>50172</v>
      </c>
      <c r="B1923" s="6" t="s">
        <v>1980</v>
      </c>
      <c r="C1923" s="7" t="s">
        <v>70</v>
      </c>
      <c r="D1923" s="7" t="s">
        <v>45</v>
      </c>
      <c r="E1923" s="5" t="s">
        <v>26</v>
      </c>
      <c r="F1923" s="8"/>
      <c r="G1923" s="9">
        <f>H1923*(1-15%)*(1-F1923)</f>
        <v>29.664999999999999</v>
      </c>
      <c r="H1923" s="9">
        <v>34.899999999999999</v>
      </c>
      <c r="I1923" s="9">
        <f>H1923-G1923</f>
        <v>5.2349999999999994</v>
      </c>
    </row>
    <row r="1924" ht="14.25">
      <c r="A1924" s="5">
        <v>58244</v>
      </c>
      <c r="B1924" s="6" t="s">
        <v>1981</v>
      </c>
      <c r="C1924" s="7" t="s">
        <v>19</v>
      </c>
      <c r="D1924" s="7" t="s">
        <v>45</v>
      </c>
      <c r="E1924" s="5" t="s">
        <v>15</v>
      </c>
      <c r="F1924" s="8"/>
      <c r="G1924" s="9">
        <f>H1924*(1-15%)*(1-F1924)</f>
        <v>25.414999999999999</v>
      </c>
      <c r="H1924" s="9">
        <v>29.899999999999999</v>
      </c>
      <c r="I1924" s="9">
        <f>H1924-G1924</f>
        <v>4.4849999999999994</v>
      </c>
    </row>
    <row r="1925" ht="14.25">
      <c r="A1925" s="5">
        <v>58591</v>
      </c>
      <c r="B1925" s="6" t="s">
        <v>1982</v>
      </c>
      <c r="C1925" s="7" t="s">
        <v>19</v>
      </c>
      <c r="D1925" s="7" t="s">
        <v>45</v>
      </c>
      <c r="E1925" s="5" t="s">
        <v>15</v>
      </c>
      <c r="F1925" s="8"/>
      <c r="G1925" s="9">
        <f>H1925*(1-15%)*(1-F1925)</f>
        <v>35.614999999999995</v>
      </c>
      <c r="H1925" s="9">
        <v>41.899999999999999</v>
      </c>
      <c r="I1925" s="9">
        <f>H1925-G1925</f>
        <v>6.2850000000000037</v>
      </c>
    </row>
    <row r="1926" ht="14.25">
      <c r="A1926" s="5">
        <v>57835</v>
      </c>
      <c r="B1926" s="6" t="s">
        <v>1983</v>
      </c>
      <c r="C1926" s="7" t="s">
        <v>75</v>
      </c>
      <c r="D1926" s="7" t="s">
        <v>45</v>
      </c>
      <c r="E1926" s="5" t="s">
        <v>15</v>
      </c>
      <c r="F1926" s="8"/>
      <c r="G1926" s="9">
        <f>H1926*(1-15%)*(1-F1926)</f>
        <v>73.865000000000009</v>
      </c>
      <c r="H1926" s="9">
        <v>86.900000000000006</v>
      </c>
      <c r="I1926" s="9">
        <f>H1926-G1926</f>
        <v>13.034999999999997</v>
      </c>
    </row>
    <row r="1927" ht="14.25">
      <c r="A1927" s="5">
        <v>58596</v>
      </c>
      <c r="B1927" s="6" t="s">
        <v>1984</v>
      </c>
      <c r="C1927" s="7" t="s">
        <v>75</v>
      </c>
      <c r="D1927" s="7" t="s">
        <v>45</v>
      </c>
      <c r="E1927" s="5" t="s">
        <v>15</v>
      </c>
      <c r="F1927" s="8"/>
      <c r="G1927" s="9">
        <f>H1927*(1-15%)*(1-F1927)</f>
        <v>25.414999999999999</v>
      </c>
      <c r="H1927" s="9">
        <v>29.899999999999999</v>
      </c>
      <c r="I1927" s="9">
        <f>H1927-G1927</f>
        <v>4.4849999999999994</v>
      </c>
    </row>
    <row r="1928" ht="14.25">
      <c r="A1928" s="5">
        <v>58988</v>
      </c>
      <c r="B1928" s="6" t="s">
        <v>1985</v>
      </c>
      <c r="C1928" s="7" t="s">
        <v>75</v>
      </c>
      <c r="D1928" s="7" t="s">
        <v>45</v>
      </c>
      <c r="E1928" s="5" t="s">
        <v>15</v>
      </c>
      <c r="F1928" s="8"/>
      <c r="G1928" s="9">
        <f>H1928*(1-15%)*(1-F1928)</f>
        <v>67.915000000000006</v>
      </c>
      <c r="H1928" s="9">
        <v>79.900000000000006</v>
      </c>
      <c r="I1928" s="9">
        <f>H1928-G1928</f>
        <v>11.984999999999999</v>
      </c>
    </row>
    <row r="1929" ht="14.25">
      <c r="A1929" s="5">
        <v>50937</v>
      </c>
      <c r="B1929" s="6" t="s">
        <v>1986</v>
      </c>
      <c r="C1929" s="7" t="s">
        <v>75</v>
      </c>
      <c r="D1929" s="7" t="s">
        <v>45</v>
      </c>
      <c r="E1929" s="5" t="s">
        <v>15</v>
      </c>
      <c r="F1929" s="8"/>
      <c r="G1929" s="9">
        <f>H1929*(1-15%)*(1-F1929)</f>
        <v>33.914999999999999</v>
      </c>
      <c r="H1929" s="9">
        <v>39.899999999999999</v>
      </c>
      <c r="I1929" s="9">
        <f>H1929-G1929</f>
        <v>5.9849999999999994</v>
      </c>
    </row>
    <row r="1930" ht="14.25">
      <c r="A1930" s="5">
        <v>48676</v>
      </c>
      <c r="B1930" s="6" t="s">
        <v>1987</v>
      </c>
      <c r="C1930" s="7" t="s">
        <v>75</v>
      </c>
      <c r="D1930" s="7" t="s">
        <v>45</v>
      </c>
      <c r="E1930" s="5" t="s">
        <v>39</v>
      </c>
      <c r="F1930" s="8"/>
      <c r="G1930" s="9">
        <f>H1930*(1-15%)*(1-F1930)</f>
        <v>57.715000000000003</v>
      </c>
      <c r="H1930" s="9">
        <v>67.900000000000006</v>
      </c>
      <c r="I1930" s="9">
        <f>H1930-G1930</f>
        <v>10.185000000000002</v>
      </c>
    </row>
    <row r="1931" ht="14.25">
      <c r="A1931" s="5">
        <v>52634</v>
      </c>
      <c r="B1931" s="6" t="s">
        <v>1988</v>
      </c>
      <c r="C1931" s="7" t="s">
        <v>75</v>
      </c>
      <c r="D1931" s="7" t="s">
        <v>45</v>
      </c>
      <c r="E1931" s="5" t="s">
        <v>15</v>
      </c>
      <c r="F1931" s="8"/>
      <c r="G1931" s="9">
        <f>H1931*(1-15%)*(1-F1931)</f>
        <v>59.415000000000006</v>
      </c>
      <c r="H1931" s="9">
        <v>69.900000000000006</v>
      </c>
      <c r="I1931" s="9">
        <f>H1931-G1931</f>
        <v>10.484999999999999</v>
      </c>
    </row>
    <row r="1932" ht="14.25">
      <c r="A1932" s="5">
        <v>58978</v>
      </c>
      <c r="B1932" s="6" t="s">
        <v>1989</v>
      </c>
      <c r="C1932" s="7" t="s">
        <v>75</v>
      </c>
      <c r="D1932" s="7" t="s">
        <v>45</v>
      </c>
      <c r="E1932" s="5" t="s">
        <v>12</v>
      </c>
      <c r="F1932" s="8"/>
      <c r="G1932" s="9">
        <f>H1932*(1-15%)*(1-F1932)</f>
        <v>73.865000000000009</v>
      </c>
      <c r="H1932" s="9">
        <v>86.900000000000006</v>
      </c>
      <c r="I1932" s="9">
        <f>H1932-G1932</f>
        <v>13.034999999999997</v>
      </c>
    </row>
    <row r="1933" ht="14.25">
      <c r="A1933" s="5">
        <v>56689</v>
      </c>
      <c r="B1933" s="6" t="s">
        <v>1990</v>
      </c>
      <c r="C1933" s="7" t="s">
        <v>33</v>
      </c>
      <c r="D1933" s="7" t="s">
        <v>583</v>
      </c>
      <c r="E1933" s="5" t="s">
        <v>68</v>
      </c>
      <c r="F1933" s="8"/>
      <c r="G1933" s="9">
        <f>H1933*(1-15%)*(1-F1933)</f>
        <v>121.465</v>
      </c>
      <c r="H1933" s="9">
        <v>142.90000000000001</v>
      </c>
      <c r="I1933" s="9">
        <f>H1933-G1933</f>
        <v>21.435000000000002</v>
      </c>
    </row>
    <row r="1934" ht="14.25">
      <c r="A1934" s="5">
        <v>58342</v>
      </c>
      <c r="B1934" s="6" t="s">
        <v>1991</v>
      </c>
      <c r="C1934" s="7" t="s">
        <v>82</v>
      </c>
      <c r="D1934" s="7" t="s">
        <v>583</v>
      </c>
      <c r="E1934" s="5" t="s">
        <v>26</v>
      </c>
      <c r="F1934" s="8"/>
      <c r="G1934" s="9">
        <f>H1934*(1-15%)*(1-F1934)</f>
        <v>49.214999999999996</v>
      </c>
      <c r="H1934" s="9">
        <v>57.899999999999999</v>
      </c>
      <c r="I1934" s="9">
        <f>H1934-G1934</f>
        <v>8.6850000000000023</v>
      </c>
    </row>
    <row r="1935" ht="14.25">
      <c r="A1935" s="5">
        <v>58383</v>
      </c>
      <c r="B1935" s="6" t="s">
        <v>1992</v>
      </c>
      <c r="C1935" s="7" t="s">
        <v>75</v>
      </c>
      <c r="D1935" s="7" t="s">
        <v>583</v>
      </c>
      <c r="E1935" s="5" t="s">
        <v>15</v>
      </c>
      <c r="F1935" s="8"/>
      <c r="G1935" s="9">
        <f>H1935*(1-15%)*(1-F1935)</f>
        <v>121.465</v>
      </c>
      <c r="H1935" s="9">
        <v>142.90000000000001</v>
      </c>
      <c r="I1935" s="9">
        <f>H1935-G1935</f>
        <v>21.435000000000002</v>
      </c>
    </row>
    <row r="1936" ht="14.25">
      <c r="A1936" s="5">
        <v>48182</v>
      </c>
      <c r="B1936" s="6" t="s">
        <v>1993</v>
      </c>
      <c r="C1936" s="7" t="s">
        <v>75</v>
      </c>
      <c r="D1936" s="7" t="s">
        <v>583</v>
      </c>
      <c r="E1936" s="5" t="s">
        <v>15</v>
      </c>
      <c r="F1936" s="8"/>
      <c r="G1936" s="9">
        <f>H1936*(1-15%)*(1-F1936)</f>
        <v>80.665000000000006</v>
      </c>
      <c r="H1936" s="9">
        <v>94.900000000000006</v>
      </c>
      <c r="I1936" s="9">
        <f>H1936-G1936</f>
        <v>14.234999999999999</v>
      </c>
    </row>
    <row r="1937" ht="14.25">
      <c r="A1937" s="5">
        <v>58229</v>
      </c>
      <c r="B1937" s="6" t="s">
        <v>1994</v>
      </c>
      <c r="C1937" s="7" t="s">
        <v>82</v>
      </c>
      <c r="D1937" s="7" t="s">
        <v>103</v>
      </c>
      <c r="E1937" s="5" t="s">
        <v>43</v>
      </c>
      <c r="F1937" s="8"/>
      <c r="G1937" s="9">
        <f>H1937*(1-15%)*(1-F1937)</f>
        <v>38.164999999999999</v>
      </c>
      <c r="H1937" s="9">
        <v>44.899999999999999</v>
      </c>
      <c r="I1937" s="9">
        <f>H1937-G1937</f>
        <v>6.7349999999999994</v>
      </c>
    </row>
    <row r="1938" ht="14.25">
      <c r="A1938" s="5">
        <v>58231</v>
      </c>
      <c r="B1938" s="6" t="s">
        <v>1995</v>
      </c>
      <c r="C1938" s="7" t="s">
        <v>82</v>
      </c>
      <c r="D1938" s="7" t="s">
        <v>103</v>
      </c>
      <c r="E1938" s="5" t="s">
        <v>15</v>
      </c>
      <c r="F1938" s="8"/>
      <c r="G1938" s="9">
        <f>H1938*(1-15%)*(1-F1938)</f>
        <v>16.064999999999998</v>
      </c>
      <c r="H1938" s="9">
        <v>18.899999999999999</v>
      </c>
      <c r="I1938" s="9">
        <f>H1938-G1938</f>
        <v>2.8350000000000009</v>
      </c>
    </row>
    <row r="1939" ht="14.25">
      <c r="A1939" s="5">
        <v>86143</v>
      </c>
      <c r="B1939" s="6" t="s">
        <v>1996</v>
      </c>
      <c r="C1939" s="7" t="s">
        <v>82</v>
      </c>
      <c r="D1939" s="7" t="s">
        <v>103</v>
      </c>
      <c r="E1939" s="5" t="s">
        <v>15</v>
      </c>
      <c r="F1939" s="8"/>
      <c r="G1939" s="9">
        <f>H1939*(1-15%)*(1-F1939)</f>
        <v>18.614999999999998</v>
      </c>
      <c r="H1939" s="9">
        <v>21.899999999999999</v>
      </c>
      <c r="I1939" s="9">
        <f>H1939-G1939</f>
        <v>3.2850000000000001</v>
      </c>
    </row>
    <row r="1940" ht="14.25">
      <c r="A1940" s="5">
        <v>87373</v>
      </c>
      <c r="B1940" s="6" t="s">
        <v>1997</v>
      </c>
      <c r="C1940" s="7" t="s">
        <v>82</v>
      </c>
      <c r="D1940" s="7" t="s">
        <v>103</v>
      </c>
      <c r="E1940" s="5" t="s">
        <v>15</v>
      </c>
      <c r="F1940" s="8"/>
      <c r="G1940" s="9">
        <f>H1940*(1-15%)*(1-F1940)</f>
        <v>20.314999999999998</v>
      </c>
      <c r="H1940" s="9">
        <v>23.899999999999999</v>
      </c>
      <c r="I1940" s="9">
        <f>H1940-G1940</f>
        <v>3.5850000000000009</v>
      </c>
    </row>
    <row r="1941" ht="14.25">
      <c r="A1941" s="5">
        <v>58239</v>
      </c>
      <c r="B1941" s="6" t="s">
        <v>1998</v>
      </c>
      <c r="C1941" s="7" t="s">
        <v>82</v>
      </c>
      <c r="D1941" s="7" t="s">
        <v>103</v>
      </c>
      <c r="E1941" s="5" t="s">
        <v>15</v>
      </c>
      <c r="F1941" s="8"/>
      <c r="G1941" s="9">
        <f>H1941*(1-15%)*(1-F1941)</f>
        <v>31.364999999999998</v>
      </c>
      <c r="H1941" s="9">
        <v>36.899999999999999</v>
      </c>
      <c r="I1941" s="9">
        <f>H1941-G1941</f>
        <v>5.5350000000000001</v>
      </c>
    </row>
    <row r="1942" ht="14.25">
      <c r="A1942" s="5">
        <v>58238</v>
      </c>
      <c r="B1942" s="6" t="s">
        <v>1999</v>
      </c>
      <c r="C1942" s="7" t="s">
        <v>82</v>
      </c>
      <c r="D1942" s="7" t="s">
        <v>103</v>
      </c>
      <c r="E1942" s="5" t="s">
        <v>15</v>
      </c>
      <c r="F1942" s="8"/>
      <c r="G1942" s="9">
        <f>H1942*(1-15%)*(1-F1942)</f>
        <v>38.164999999999999</v>
      </c>
      <c r="H1942" s="9">
        <v>44.899999999999999</v>
      </c>
      <c r="I1942" s="9">
        <f>H1942-G1942</f>
        <v>6.7349999999999994</v>
      </c>
    </row>
    <row r="1943" ht="14.25">
      <c r="A1943" s="5">
        <v>51423</v>
      </c>
      <c r="B1943" s="6" t="s">
        <v>2000</v>
      </c>
      <c r="C1943" s="7" t="s">
        <v>75</v>
      </c>
      <c r="D1943" s="7" t="s">
        <v>103</v>
      </c>
      <c r="E1943" s="5" t="s">
        <v>39</v>
      </c>
      <c r="F1943" s="8"/>
      <c r="G1943" s="9">
        <f>H1943*(1-15%)*(1-F1943)</f>
        <v>36.464999999999996</v>
      </c>
      <c r="H1943" s="9">
        <v>42.899999999999999</v>
      </c>
      <c r="I1943" s="9">
        <f>H1943-G1943</f>
        <v>6.4350000000000023</v>
      </c>
    </row>
    <row r="1944" ht="14.25">
      <c r="A1944" s="5">
        <v>58985</v>
      </c>
      <c r="B1944" s="6" t="s">
        <v>2001</v>
      </c>
      <c r="C1944" s="7" t="s">
        <v>75</v>
      </c>
      <c r="D1944" s="7" t="s">
        <v>103</v>
      </c>
      <c r="E1944" s="5" t="s">
        <v>39</v>
      </c>
      <c r="F1944" s="8"/>
      <c r="G1944" s="9">
        <f>H1944*(1-15%)*(1-F1944)</f>
        <v>49.214999999999996</v>
      </c>
      <c r="H1944" s="9">
        <v>57.899999999999999</v>
      </c>
      <c r="I1944" s="9">
        <f>H1944-G1944</f>
        <v>8.6850000000000023</v>
      </c>
    </row>
    <row r="1945" ht="14.25">
      <c r="A1945" s="5">
        <v>48696</v>
      </c>
      <c r="B1945" s="6" t="s">
        <v>2002</v>
      </c>
      <c r="C1945" s="7" t="s">
        <v>70</v>
      </c>
      <c r="D1945" s="7" t="s">
        <v>71</v>
      </c>
      <c r="E1945" s="5" t="s">
        <v>39</v>
      </c>
      <c r="F1945" s="8"/>
      <c r="G1945" s="9">
        <f>H1945*(1-15%)*(1-F1945)</f>
        <v>33.914999999999999</v>
      </c>
      <c r="H1945" s="9">
        <v>39.899999999999999</v>
      </c>
      <c r="I1945" s="9">
        <f>H1945-G1945</f>
        <v>5.9849999999999994</v>
      </c>
    </row>
    <row r="1946" ht="14.25">
      <c r="A1946" s="5">
        <v>48761</v>
      </c>
      <c r="B1946" s="6" t="s">
        <v>2003</v>
      </c>
      <c r="C1946" s="7" t="s">
        <v>14</v>
      </c>
      <c r="D1946" s="7" t="s">
        <v>71</v>
      </c>
      <c r="E1946" s="5" t="s">
        <v>43</v>
      </c>
      <c r="F1946" s="8"/>
      <c r="G1946" s="9">
        <f>H1946*(1-15%)*(1-F1946)</f>
        <v>33.914999999999999</v>
      </c>
      <c r="H1946" s="9">
        <v>39.899999999999999</v>
      </c>
      <c r="I1946" s="9">
        <f>H1946-G1946</f>
        <v>5.9849999999999994</v>
      </c>
    </row>
    <row r="1947" ht="14.25">
      <c r="A1947" s="5">
        <v>84225</v>
      </c>
      <c r="B1947" s="6" t="s">
        <v>2004</v>
      </c>
      <c r="C1947" s="7" t="s">
        <v>251</v>
      </c>
      <c r="D1947" s="7" t="s">
        <v>71</v>
      </c>
      <c r="E1947" s="5" t="s">
        <v>26</v>
      </c>
      <c r="F1947" s="8"/>
      <c r="G1947" s="9">
        <f>H1947*(1-15%)*(1-F1947)</f>
        <v>33.914999999999999</v>
      </c>
      <c r="H1947" s="9">
        <v>39.899999999999999</v>
      </c>
      <c r="I1947" s="9">
        <f>H1947-G1947</f>
        <v>5.9849999999999994</v>
      </c>
    </row>
    <row r="1948" ht="14.25">
      <c r="A1948" s="5">
        <v>52041</v>
      </c>
      <c r="B1948" s="6" t="s">
        <v>2005</v>
      </c>
      <c r="C1948" s="7" t="s">
        <v>70</v>
      </c>
      <c r="D1948" s="7" t="s">
        <v>71</v>
      </c>
      <c r="E1948" s="5" t="s">
        <v>15</v>
      </c>
      <c r="F1948" s="8"/>
      <c r="G1948" s="9">
        <f>H1948*(1-15%)*(1-F1948)</f>
        <v>33.914999999999999</v>
      </c>
      <c r="H1948" s="9">
        <v>39.899999999999999</v>
      </c>
      <c r="I1948" s="9">
        <f>H1948-G1948</f>
        <v>5.9849999999999994</v>
      </c>
    </row>
    <row r="1949" ht="14.25">
      <c r="A1949" s="5">
        <v>55652</v>
      </c>
      <c r="B1949" s="6" t="s">
        <v>2006</v>
      </c>
      <c r="C1949" s="7" t="s">
        <v>65</v>
      </c>
      <c r="D1949" s="7" t="s">
        <v>71</v>
      </c>
      <c r="E1949" s="5" t="s">
        <v>703</v>
      </c>
      <c r="F1949" s="8"/>
      <c r="G1949" s="9">
        <f>H1949*(1-15%)*(1-F1949)</f>
        <v>36.464999999999996</v>
      </c>
      <c r="H1949" s="9">
        <v>42.899999999999999</v>
      </c>
      <c r="I1949" s="9">
        <f>H1949-G1949</f>
        <v>6.4350000000000023</v>
      </c>
    </row>
    <row r="1950" ht="14.25">
      <c r="A1950" s="5">
        <v>48785</v>
      </c>
      <c r="B1950" s="6" t="s">
        <v>2007</v>
      </c>
      <c r="C1950" s="7" t="s">
        <v>10</v>
      </c>
      <c r="D1950" s="7" t="s">
        <v>71</v>
      </c>
      <c r="E1950" s="5" t="s">
        <v>43</v>
      </c>
      <c r="F1950" s="8"/>
      <c r="G1950" s="9">
        <f>H1950*(1-15%)*(1-F1950)</f>
        <v>42.414999999999999</v>
      </c>
      <c r="H1950" s="9">
        <v>49.899999999999999</v>
      </c>
      <c r="I1950" s="9">
        <f>H1950-G1950</f>
        <v>7.4849999999999994</v>
      </c>
    </row>
    <row r="1951" ht="14.25">
      <c r="A1951" s="5">
        <v>48774</v>
      </c>
      <c r="B1951" s="6" t="s">
        <v>2008</v>
      </c>
      <c r="C1951" s="7" t="s">
        <v>75</v>
      </c>
      <c r="D1951" s="7" t="s">
        <v>71</v>
      </c>
      <c r="E1951" s="5" t="s">
        <v>133</v>
      </c>
      <c r="F1951" s="8"/>
      <c r="G1951" s="9">
        <f>H1951*(1-15%)*(1-F1951)</f>
        <v>33.914999999999999</v>
      </c>
      <c r="H1951" s="9">
        <v>39.899999999999999</v>
      </c>
      <c r="I1951" s="9">
        <f>H1951-G1951</f>
        <v>5.9849999999999994</v>
      </c>
    </row>
    <row r="1952" ht="14.25">
      <c r="A1952" s="5">
        <v>55642</v>
      </c>
      <c r="B1952" s="6" t="s">
        <v>2009</v>
      </c>
      <c r="C1952" s="7" t="s">
        <v>705</v>
      </c>
      <c r="D1952" s="7" t="s">
        <v>71</v>
      </c>
      <c r="E1952" s="5" t="s">
        <v>26</v>
      </c>
      <c r="F1952" s="8"/>
      <c r="G1952" s="9">
        <f>H1952*(1-15%)*(1-F1952)</f>
        <v>50.872500000000002</v>
      </c>
      <c r="H1952" s="9">
        <v>59.850000000000001</v>
      </c>
      <c r="I1952" s="9">
        <f>H1952-G1952</f>
        <v>8.9774999999999991</v>
      </c>
    </row>
    <row r="1953" ht="14.25">
      <c r="A1953" s="5">
        <v>51453</v>
      </c>
      <c r="B1953" s="6" t="s">
        <v>2010</v>
      </c>
      <c r="C1953" s="7" t="s">
        <v>17</v>
      </c>
      <c r="D1953" s="7" t="s">
        <v>71</v>
      </c>
      <c r="E1953" s="5" t="s">
        <v>68</v>
      </c>
      <c r="F1953" s="8"/>
      <c r="G1953" s="9">
        <f>H1953*(1-15%)*(1-F1953)</f>
        <v>32.214999999999996</v>
      </c>
      <c r="H1953" s="9">
        <v>37.899999999999999</v>
      </c>
      <c r="I1953" s="9">
        <f>H1953-G1953</f>
        <v>5.6850000000000023</v>
      </c>
    </row>
    <row r="1954" ht="14.25">
      <c r="A1954" s="5">
        <v>50659</v>
      </c>
      <c r="B1954" s="6" t="s">
        <v>2011</v>
      </c>
      <c r="C1954" s="7" t="s">
        <v>25</v>
      </c>
      <c r="D1954" s="7" t="s">
        <v>71</v>
      </c>
      <c r="E1954" s="5" t="s">
        <v>39</v>
      </c>
      <c r="F1954" s="8"/>
      <c r="G1954" s="9">
        <f>H1954*(1-15%)*(1-F1954)</f>
        <v>33.914999999999999</v>
      </c>
      <c r="H1954" s="9">
        <v>39.899999999999999</v>
      </c>
      <c r="I1954" s="9">
        <f>H1954-G1954</f>
        <v>5.9849999999999994</v>
      </c>
    </row>
    <row r="1955" ht="14.25">
      <c r="A1955" s="5">
        <v>87284</v>
      </c>
      <c r="B1955" s="6" t="s">
        <v>2012</v>
      </c>
      <c r="C1955" s="7" t="s">
        <v>82</v>
      </c>
      <c r="D1955" s="7" t="s">
        <v>11</v>
      </c>
      <c r="E1955" s="5" t="s">
        <v>68</v>
      </c>
      <c r="F1955" s="8"/>
      <c r="G1955" s="9">
        <f>H1955*(1-15%)*(1-F1955)</f>
        <v>78.965000000000003</v>
      </c>
      <c r="H1955" s="9">
        <v>92.900000000000006</v>
      </c>
      <c r="I1955" s="9">
        <f>H1955-G1955</f>
        <v>13.935000000000002</v>
      </c>
    </row>
    <row r="1956" ht="14.25">
      <c r="A1956" s="5">
        <v>48634</v>
      </c>
      <c r="B1956" s="6" t="s">
        <v>2013</v>
      </c>
      <c r="C1956" s="7" t="s">
        <v>91</v>
      </c>
      <c r="D1956" s="7" t="s">
        <v>11</v>
      </c>
      <c r="E1956" s="5" t="s">
        <v>68</v>
      </c>
      <c r="F1956" s="8"/>
      <c r="G1956" s="9">
        <f>H1956*(1-15%)*(1-F1956)</f>
        <v>93.415000000000006</v>
      </c>
      <c r="H1956" s="9">
        <v>109.90000000000001</v>
      </c>
      <c r="I1956" s="9">
        <f>H1956-G1956</f>
        <v>16.484999999999999</v>
      </c>
    </row>
    <row r="1957" ht="14.25">
      <c r="A1957" s="5">
        <v>47908</v>
      </c>
      <c r="B1957" s="6" t="s">
        <v>2014</v>
      </c>
      <c r="C1957" s="7" t="s">
        <v>91</v>
      </c>
      <c r="D1957" s="7" t="s">
        <v>11</v>
      </c>
      <c r="E1957" s="5" t="s">
        <v>68</v>
      </c>
      <c r="F1957" s="8"/>
      <c r="G1957" s="9">
        <f>H1957*(1-15%)*(1-F1957)</f>
        <v>93.415000000000006</v>
      </c>
      <c r="H1957" s="9">
        <v>109.90000000000001</v>
      </c>
      <c r="I1957" s="9">
        <f>H1957-G1957</f>
        <v>16.484999999999999</v>
      </c>
    </row>
    <row r="1958" ht="14.25">
      <c r="A1958" s="5">
        <v>58612</v>
      </c>
      <c r="B1958" s="6" t="s">
        <v>2015</v>
      </c>
      <c r="C1958" s="7" t="s">
        <v>75</v>
      </c>
      <c r="D1958" s="7" t="s">
        <v>11</v>
      </c>
      <c r="E1958" s="5" t="s">
        <v>15</v>
      </c>
      <c r="F1958" s="8"/>
      <c r="G1958" s="9">
        <f>H1958*(1-15%)*(1-F1958)</f>
        <v>41.564999999999998</v>
      </c>
      <c r="H1958" s="9">
        <v>48.899999999999999</v>
      </c>
      <c r="I1958" s="9">
        <f>H1958-G1958</f>
        <v>7.3350000000000009</v>
      </c>
    </row>
    <row r="1959" ht="14.25">
      <c r="A1959" s="5">
        <v>58351</v>
      </c>
      <c r="B1959" s="6" t="s">
        <v>2016</v>
      </c>
      <c r="C1959" s="7" t="s">
        <v>426</v>
      </c>
      <c r="D1959" s="7" t="s">
        <v>219</v>
      </c>
      <c r="E1959" s="5" t="s">
        <v>68</v>
      </c>
      <c r="F1959" s="8"/>
      <c r="G1959" s="9">
        <f>H1959*(1-15%)*(1-F1959)</f>
        <v>61.965000000000003</v>
      </c>
      <c r="H1959" s="9">
        <v>72.900000000000006</v>
      </c>
      <c r="I1959" s="9">
        <f>H1959-G1959</f>
        <v>10.935000000000002</v>
      </c>
    </row>
    <row r="1960" ht="14.25">
      <c r="A1960" s="5">
        <v>55403</v>
      </c>
      <c r="B1960" s="6" t="s">
        <v>2017</v>
      </c>
      <c r="C1960" s="7" t="s">
        <v>426</v>
      </c>
      <c r="D1960" s="7" t="s">
        <v>219</v>
      </c>
      <c r="E1960" s="5" t="s">
        <v>133</v>
      </c>
      <c r="F1960" s="8"/>
      <c r="G1960" s="9">
        <f>H1960*(1-15%)*(1-F1960)</f>
        <v>169.91499999999999</v>
      </c>
      <c r="H1960" s="9">
        <v>199.90000000000001</v>
      </c>
      <c r="I1960" s="9">
        <f>H1960-G1960</f>
        <v>29.985000000000014</v>
      </c>
    </row>
    <row r="1961" ht="14.25">
      <c r="A1961" s="5">
        <v>49196</v>
      </c>
      <c r="B1961" s="6" t="s">
        <v>2018</v>
      </c>
      <c r="C1961" s="7" t="s">
        <v>201</v>
      </c>
      <c r="D1961" s="7" t="s">
        <v>183</v>
      </c>
      <c r="E1961" s="5" t="s">
        <v>15</v>
      </c>
      <c r="F1961" s="8"/>
      <c r="G1961" s="9">
        <f>H1961*(1-15%)*(1-F1961)</f>
        <v>5.5249999999999995</v>
      </c>
      <c r="H1961" s="9">
        <v>6.5</v>
      </c>
      <c r="I1961" s="9">
        <f>H1961-G1961</f>
        <v>0.97500000000000053</v>
      </c>
    </row>
    <row r="1962" ht="14.25">
      <c r="A1962" s="5">
        <v>56317</v>
      </c>
      <c r="B1962" s="6" t="s">
        <v>2019</v>
      </c>
      <c r="C1962" s="7" t="s">
        <v>201</v>
      </c>
      <c r="D1962" s="7" t="s">
        <v>183</v>
      </c>
      <c r="E1962" s="5" t="s">
        <v>15</v>
      </c>
      <c r="F1962" s="8"/>
      <c r="G1962" s="9">
        <f>H1962*(1-15%)*(1-F1962)</f>
        <v>50.914999999999999</v>
      </c>
      <c r="H1962" s="9">
        <v>59.899999999999999</v>
      </c>
      <c r="I1962" s="9">
        <f>H1962-G1962</f>
        <v>8.9849999999999994</v>
      </c>
    </row>
    <row r="1963" ht="14.25">
      <c r="A1963" s="5">
        <v>49163</v>
      </c>
      <c r="B1963" s="6" t="s">
        <v>2020</v>
      </c>
      <c r="C1963" s="7" t="s">
        <v>201</v>
      </c>
      <c r="D1963" s="7" t="s">
        <v>183</v>
      </c>
      <c r="E1963" s="5" t="s">
        <v>15</v>
      </c>
      <c r="F1963" s="8"/>
      <c r="G1963" s="9">
        <f>H1963*(1-15%)*(1-F1963)</f>
        <v>5.8650000000000002</v>
      </c>
      <c r="H1963" s="9">
        <v>6.9000000000000004</v>
      </c>
      <c r="I1963" s="9">
        <f>H1963-G1963</f>
        <v>1.0350000000000001</v>
      </c>
    </row>
    <row r="1964" ht="14.25">
      <c r="A1964" s="5">
        <v>49213</v>
      </c>
      <c r="B1964" s="6" t="s">
        <v>2021</v>
      </c>
      <c r="C1964" s="7" t="s">
        <v>201</v>
      </c>
      <c r="D1964" s="7" t="s">
        <v>183</v>
      </c>
      <c r="E1964" s="5" t="s">
        <v>15</v>
      </c>
      <c r="F1964" s="8"/>
      <c r="G1964" s="9">
        <f>H1964*(1-15%)*(1-F1964)</f>
        <v>5.8650000000000002</v>
      </c>
      <c r="H1964" s="9">
        <v>6.9000000000000004</v>
      </c>
      <c r="I1964" s="9">
        <f>H1964-G1964</f>
        <v>1.0350000000000001</v>
      </c>
    </row>
    <row r="1965" ht="14.25">
      <c r="A1965" s="5">
        <v>56320</v>
      </c>
      <c r="B1965" s="6" t="s">
        <v>2022</v>
      </c>
      <c r="C1965" s="7" t="s">
        <v>201</v>
      </c>
      <c r="D1965" s="7" t="s">
        <v>183</v>
      </c>
      <c r="E1965" s="5" t="s">
        <v>15</v>
      </c>
      <c r="F1965" s="8"/>
      <c r="G1965" s="9">
        <f>H1965*(1-15%)*(1-F1965)</f>
        <v>42.414999999999999</v>
      </c>
      <c r="H1965" s="9">
        <v>49.899999999999999</v>
      </c>
      <c r="I1965" s="9">
        <f>H1965-G1965</f>
        <v>7.4849999999999994</v>
      </c>
    </row>
    <row r="1966" ht="14.25">
      <c r="A1966" s="5">
        <v>58788</v>
      </c>
      <c r="B1966" s="6" t="s">
        <v>2023</v>
      </c>
      <c r="C1966" s="7" t="s">
        <v>201</v>
      </c>
      <c r="D1966" s="7" t="s">
        <v>183</v>
      </c>
      <c r="E1966" s="5" t="s">
        <v>15</v>
      </c>
      <c r="F1966" s="8"/>
      <c r="G1966" s="9">
        <f>H1966*(1-15%)*(1-F1966)</f>
        <v>36.549999999999997</v>
      </c>
      <c r="H1966" s="9">
        <v>43</v>
      </c>
      <c r="I1966" s="9">
        <f>H1966-G1966</f>
        <v>6.4500000000000028</v>
      </c>
    </row>
    <row r="1967" ht="14.25">
      <c r="A1967" s="5">
        <v>58869</v>
      </c>
      <c r="B1967" s="6" t="s">
        <v>2024</v>
      </c>
      <c r="C1967" s="7" t="s">
        <v>201</v>
      </c>
      <c r="D1967" s="7" t="s">
        <v>183</v>
      </c>
      <c r="E1967" s="5" t="s">
        <v>15</v>
      </c>
      <c r="F1967" s="8"/>
      <c r="G1967" s="9">
        <f>H1967*(1-15%)*(1-F1967)</f>
        <v>42.414999999999999</v>
      </c>
      <c r="H1967" s="9">
        <v>49.899999999999999</v>
      </c>
      <c r="I1967" s="9">
        <f>H1967-G1967</f>
        <v>7.4849999999999994</v>
      </c>
    </row>
    <row r="1968" ht="14.25">
      <c r="A1968" s="5">
        <v>58865</v>
      </c>
      <c r="B1968" s="6" t="s">
        <v>2025</v>
      </c>
      <c r="C1968" s="7" t="s">
        <v>201</v>
      </c>
      <c r="D1968" s="7" t="s">
        <v>183</v>
      </c>
      <c r="E1968" s="5" t="s">
        <v>15</v>
      </c>
      <c r="F1968" s="8"/>
      <c r="G1968" s="9">
        <f>H1968*(1-15%)*(1-F1968)</f>
        <v>76.415000000000006</v>
      </c>
      <c r="H1968" s="9">
        <v>89.900000000000006</v>
      </c>
      <c r="I1968" s="9">
        <f>H1968-G1968</f>
        <v>13.484999999999999</v>
      </c>
    </row>
    <row r="1969" ht="14.25">
      <c r="A1969" s="5">
        <v>58868</v>
      </c>
      <c r="B1969" s="6" t="s">
        <v>2026</v>
      </c>
      <c r="C1969" s="7" t="s">
        <v>201</v>
      </c>
      <c r="D1969" s="7" t="s">
        <v>183</v>
      </c>
      <c r="E1969" s="5" t="s">
        <v>15</v>
      </c>
      <c r="F1969" s="8"/>
      <c r="G1969" s="9">
        <f>H1969*(1-15%)*(1-F1969)</f>
        <v>50.914999999999999</v>
      </c>
      <c r="H1969" s="9">
        <v>59.899999999999999</v>
      </c>
      <c r="I1969" s="9">
        <f>H1969-G1969</f>
        <v>8.9849999999999994</v>
      </c>
    </row>
    <row r="1970" ht="14.25">
      <c r="A1970" s="5">
        <v>56312</v>
      </c>
      <c r="B1970" s="6" t="s">
        <v>2027</v>
      </c>
      <c r="C1970" s="7" t="s">
        <v>201</v>
      </c>
      <c r="D1970" s="7" t="s">
        <v>183</v>
      </c>
      <c r="E1970" s="5" t="s">
        <v>15</v>
      </c>
      <c r="F1970" s="8"/>
      <c r="G1970" s="9">
        <f>H1970*(1-15%)*(1-F1970)</f>
        <v>46.664999999999999</v>
      </c>
      <c r="H1970" s="9">
        <v>54.899999999999999</v>
      </c>
      <c r="I1970" s="9">
        <f>H1970-G1970</f>
        <v>8.2349999999999994</v>
      </c>
    </row>
    <row r="1971" ht="14.25">
      <c r="A1971" s="5">
        <v>84605</v>
      </c>
      <c r="B1971" s="6" t="s">
        <v>2028</v>
      </c>
      <c r="C1971" s="7" t="s">
        <v>17</v>
      </c>
      <c r="D1971" s="7" t="s">
        <v>183</v>
      </c>
      <c r="E1971" s="5" t="s">
        <v>15</v>
      </c>
      <c r="F1971" s="8"/>
      <c r="G1971" s="9">
        <f>H1971*(1-15%)*(1-F1971)</f>
        <v>59.415000000000006</v>
      </c>
      <c r="H1971" s="9">
        <v>69.900000000000006</v>
      </c>
      <c r="I1971" s="9">
        <f>H1971-G1971</f>
        <v>10.484999999999999</v>
      </c>
    </row>
    <row r="1972" ht="14.25">
      <c r="A1972" s="5">
        <v>84625</v>
      </c>
      <c r="B1972" s="6" t="s">
        <v>2029</v>
      </c>
      <c r="C1972" s="7" t="s">
        <v>75</v>
      </c>
      <c r="D1972" s="7" t="s">
        <v>183</v>
      </c>
      <c r="E1972" s="5" t="s">
        <v>15</v>
      </c>
      <c r="F1972" s="8"/>
      <c r="G1972" s="9">
        <f>H1972*(1-15%)*(1-F1972)</f>
        <v>27.964999999999996</v>
      </c>
      <c r="H1972" s="9">
        <v>32.899999999999999</v>
      </c>
      <c r="I1972" s="9">
        <f>H1972-G1972</f>
        <v>4.9350000000000023</v>
      </c>
    </row>
    <row r="1973" ht="14.25">
      <c r="A1973" s="5">
        <v>58455</v>
      </c>
      <c r="B1973" s="6" t="s">
        <v>2030</v>
      </c>
      <c r="C1973" s="7" t="s">
        <v>705</v>
      </c>
      <c r="D1973" s="7" t="s">
        <v>61</v>
      </c>
      <c r="E1973" s="5" t="s">
        <v>43</v>
      </c>
      <c r="F1973" s="8"/>
      <c r="G1973" s="9">
        <f>H1973*(1-15%)*(1-F1973)</f>
        <v>165.66499999999999</v>
      </c>
      <c r="H1973" s="9">
        <v>194.90000000000001</v>
      </c>
      <c r="I1973" s="9">
        <f>H1973-G1973</f>
        <v>29.235000000000014</v>
      </c>
    </row>
    <row r="1974" ht="14.25">
      <c r="A1974" s="5">
        <v>58452</v>
      </c>
      <c r="B1974" s="6" t="s">
        <v>2031</v>
      </c>
      <c r="C1974" s="7" t="s">
        <v>397</v>
      </c>
      <c r="D1974" s="7" t="s">
        <v>61</v>
      </c>
      <c r="E1974" s="5" t="s">
        <v>43</v>
      </c>
      <c r="F1974" s="8"/>
      <c r="G1974" s="9">
        <f>H1974*(1-15%)*(1-F1974)</f>
        <v>220.91499999999996</v>
      </c>
      <c r="H1974" s="9">
        <v>259.89999999999998</v>
      </c>
      <c r="I1974" s="9">
        <f>H1974-G1974</f>
        <v>38.985000000000014</v>
      </c>
    </row>
    <row r="1975" ht="14.25">
      <c r="A1975" s="5">
        <v>58456</v>
      </c>
      <c r="B1975" s="6" t="s">
        <v>2032</v>
      </c>
      <c r="C1975" s="7" t="s">
        <v>38</v>
      </c>
      <c r="D1975" s="7" t="s">
        <v>61</v>
      </c>
      <c r="E1975" s="5" t="s">
        <v>43</v>
      </c>
      <c r="F1975" s="8"/>
      <c r="G1975" s="9">
        <f>H1975*(1-15%)*(1-F1975)</f>
        <v>144.41499999999999</v>
      </c>
      <c r="H1975" s="9">
        <v>169.90000000000001</v>
      </c>
      <c r="I1975" s="9">
        <f>H1975-G1975</f>
        <v>25.485000000000014</v>
      </c>
    </row>
    <row r="1976" ht="14.25">
      <c r="A1976" s="5">
        <v>59564</v>
      </c>
      <c r="B1976" s="6" t="s">
        <v>2033</v>
      </c>
      <c r="C1976" s="7" t="s">
        <v>426</v>
      </c>
      <c r="D1976" s="7" t="s">
        <v>61</v>
      </c>
      <c r="E1976" s="5" t="s">
        <v>68</v>
      </c>
      <c r="F1976" s="8"/>
      <c r="G1976" s="9">
        <f>H1976*(1-15%)*(1-F1976)</f>
        <v>157.16499999999999</v>
      </c>
      <c r="H1976" s="9">
        <v>184.90000000000001</v>
      </c>
      <c r="I1976" s="9">
        <f>H1976-G1976</f>
        <v>27.735000000000014</v>
      </c>
    </row>
    <row r="1977" ht="14.25">
      <c r="A1977" s="5">
        <v>58770</v>
      </c>
      <c r="B1977" s="6" t="s">
        <v>2034</v>
      </c>
      <c r="C1977" s="7" t="s">
        <v>1656</v>
      </c>
      <c r="D1977" s="7" t="s">
        <v>61</v>
      </c>
      <c r="E1977" s="5" t="s">
        <v>43</v>
      </c>
      <c r="F1977" s="8"/>
      <c r="G1977" s="9">
        <f>H1977*(1-15%)*(1-F1977)</f>
        <v>110.41500000000001</v>
      </c>
      <c r="H1977" s="9">
        <v>129.90000000000001</v>
      </c>
      <c r="I1977" s="9">
        <f>H1977-G1977</f>
        <v>19.484999999999999</v>
      </c>
    </row>
    <row r="1978" ht="14.25">
      <c r="A1978" s="5">
        <v>58462</v>
      </c>
      <c r="B1978" s="6" t="s">
        <v>2035</v>
      </c>
      <c r="C1978" s="7" t="s">
        <v>82</v>
      </c>
      <c r="D1978" s="7" t="s">
        <v>61</v>
      </c>
      <c r="E1978" s="5" t="s">
        <v>43</v>
      </c>
      <c r="F1978" s="8"/>
      <c r="G1978" s="9">
        <f>H1978*(1-15%)*(1-F1978)</f>
        <v>112.965</v>
      </c>
      <c r="H1978" s="9">
        <v>132.90000000000001</v>
      </c>
      <c r="I1978" s="9">
        <f>H1978-G1978</f>
        <v>19.935000000000002</v>
      </c>
    </row>
    <row r="1979" ht="14.25">
      <c r="A1979" s="5">
        <v>87424</v>
      </c>
      <c r="B1979" s="6" t="s">
        <v>2036</v>
      </c>
      <c r="C1979" s="7" t="s">
        <v>82</v>
      </c>
      <c r="D1979" s="7" t="s">
        <v>61</v>
      </c>
      <c r="E1979" s="5" t="s">
        <v>43</v>
      </c>
      <c r="F1979" s="8"/>
      <c r="G1979" s="9">
        <f>H1979*(1-15%)*(1-F1979)</f>
        <v>74.715000000000003</v>
      </c>
      <c r="H1979" s="9">
        <v>87.900000000000006</v>
      </c>
      <c r="I1979" s="9">
        <f>H1979-G1979</f>
        <v>13.185000000000002</v>
      </c>
    </row>
    <row r="1980" ht="14.25">
      <c r="A1980" s="5">
        <v>58468</v>
      </c>
      <c r="B1980" s="6" t="s">
        <v>2037</v>
      </c>
      <c r="C1980" s="7" t="s">
        <v>82</v>
      </c>
      <c r="D1980" s="7" t="s">
        <v>61</v>
      </c>
      <c r="E1980" s="5" t="s">
        <v>43</v>
      </c>
      <c r="F1980" s="8"/>
      <c r="G1980" s="9">
        <f>H1980*(1-15%)*(1-F1980)</f>
        <v>84.915000000000006</v>
      </c>
      <c r="H1980" s="9">
        <v>99.900000000000006</v>
      </c>
      <c r="I1980" s="9">
        <f>H1980-G1980</f>
        <v>14.984999999999999</v>
      </c>
    </row>
    <row r="1981" ht="14.25">
      <c r="A1981" s="5">
        <v>58471</v>
      </c>
      <c r="B1981" s="6" t="s">
        <v>2038</v>
      </c>
      <c r="C1981" s="7" t="s">
        <v>82</v>
      </c>
      <c r="D1981" s="7" t="s">
        <v>61</v>
      </c>
      <c r="E1981" s="5" t="s">
        <v>43</v>
      </c>
      <c r="F1981" s="8"/>
      <c r="G1981" s="9">
        <f>H1981*(1-15%)*(1-F1981)</f>
        <v>33.914999999999999</v>
      </c>
      <c r="H1981" s="9">
        <v>39.899999999999999</v>
      </c>
      <c r="I1981" s="9">
        <f>H1981-G1981</f>
        <v>5.9849999999999994</v>
      </c>
    </row>
    <row r="1982" ht="14.25">
      <c r="A1982" s="5">
        <v>87423</v>
      </c>
      <c r="B1982" s="6" t="s">
        <v>2039</v>
      </c>
      <c r="C1982" s="7" t="s">
        <v>82</v>
      </c>
      <c r="D1982" s="7" t="s">
        <v>61</v>
      </c>
      <c r="E1982" s="5" t="s">
        <v>43</v>
      </c>
      <c r="F1982" s="8"/>
      <c r="G1982" s="9">
        <f>H1982*(1-15%)*(1-F1982)</f>
        <v>50.914999999999999</v>
      </c>
      <c r="H1982" s="9">
        <v>59.899999999999999</v>
      </c>
      <c r="I1982" s="9">
        <f>H1982-G1982</f>
        <v>8.9849999999999994</v>
      </c>
    </row>
    <row r="1983" ht="14.25">
      <c r="A1983" s="5">
        <v>58467</v>
      </c>
      <c r="B1983" s="6" t="s">
        <v>2040</v>
      </c>
      <c r="C1983" s="7" t="s">
        <v>694</v>
      </c>
      <c r="D1983" s="7" t="s">
        <v>61</v>
      </c>
      <c r="E1983" s="5" t="s">
        <v>43</v>
      </c>
      <c r="F1983" s="8"/>
      <c r="G1983" s="9">
        <f>H1983*(1-15%)*(1-F1983)</f>
        <v>93.415000000000006</v>
      </c>
      <c r="H1983" s="9">
        <v>109.90000000000001</v>
      </c>
      <c r="I1983" s="9">
        <f>H1983-G1983</f>
        <v>16.484999999999999</v>
      </c>
    </row>
    <row r="1984" ht="14.25">
      <c r="A1984" s="5">
        <v>58466</v>
      </c>
      <c r="B1984" s="6" t="s">
        <v>2041</v>
      </c>
      <c r="C1984" s="7" t="s">
        <v>694</v>
      </c>
      <c r="D1984" s="7" t="s">
        <v>61</v>
      </c>
      <c r="E1984" s="5" t="s">
        <v>43</v>
      </c>
      <c r="F1984" s="8"/>
      <c r="G1984" s="9">
        <f>H1984*(1-15%)*(1-F1984)</f>
        <v>93.415000000000006</v>
      </c>
      <c r="H1984" s="9">
        <v>109.90000000000001</v>
      </c>
      <c r="I1984" s="9">
        <f>H1984-G1984</f>
        <v>16.484999999999999</v>
      </c>
    </row>
    <row r="1985" ht="14.25">
      <c r="A1985" s="5">
        <v>87422</v>
      </c>
      <c r="B1985" s="6" t="s">
        <v>2042</v>
      </c>
      <c r="C1985" s="7" t="s">
        <v>694</v>
      </c>
      <c r="D1985" s="7" t="s">
        <v>61</v>
      </c>
      <c r="E1985" s="5" t="s">
        <v>43</v>
      </c>
      <c r="F1985" s="8"/>
      <c r="G1985" s="9">
        <f>H1985*(1-15%)*(1-F1985)</f>
        <v>101.91500000000001</v>
      </c>
      <c r="H1985" s="9">
        <v>119.90000000000001</v>
      </c>
      <c r="I1985" s="9">
        <f>H1985-G1985</f>
        <v>17.984999999999999</v>
      </c>
    </row>
    <row r="1986" ht="14.25">
      <c r="A1986" s="5">
        <v>58482</v>
      </c>
      <c r="B1986" s="6" t="s">
        <v>2043</v>
      </c>
      <c r="C1986" s="7" t="s">
        <v>21</v>
      </c>
      <c r="D1986" s="7" t="s">
        <v>61</v>
      </c>
      <c r="E1986" s="5" t="s">
        <v>43</v>
      </c>
      <c r="F1986" s="8"/>
      <c r="G1986" s="9">
        <f>H1986*(1-15%)*(1-F1986)</f>
        <v>169.91499999999999</v>
      </c>
      <c r="H1986" s="9">
        <v>199.90000000000001</v>
      </c>
      <c r="I1986" s="9">
        <f>H1986-G1986</f>
        <v>29.985000000000014</v>
      </c>
    </row>
    <row r="1987" ht="14.25">
      <c r="A1987" s="5">
        <v>87411</v>
      </c>
      <c r="B1987" s="6" t="s">
        <v>2044</v>
      </c>
      <c r="C1987" s="7" t="s">
        <v>21</v>
      </c>
      <c r="D1987" s="7" t="s">
        <v>61</v>
      </c>
      <c r="E1987" s="5" t="s">
        <v>12</v>
      </c>
      <c r="F1987" s="8"/>
      <c r="G1987" s="9">
        <f>H1987*(1-15%)*(1-F1987)</f>
        <v>220.91499999999996</v>
      </c>
      <c r="H1987" s="9">
        <v>259.89999999999998</v>
      </c>
      <c r="I1987" s="9">
        <f>H1987-G1987</f>
        <v>38.985000000000014</v>
      </c>
    </row>
    <row r="1988" ht="14.25">
      <c r="A1988" s="5">
        <v>58444</v>
      </c>
      <c r="B1988" s="6" t="s">
        <v>2045</v>
      </c>
      <c r="C1988" s="7" t="s">
        <v>21</v>
      </c>
      <c r="D1988" s="7" t="s">
        <v>61</v>
      </c>
      <c r="E1988" s="5" t="s">
        <v>43</v>
      </c>
      <c r="F1988" s="8"/>
      <c r="G1988" s="9">
        <f>H1988*(1-15%)*(1-F1988)</f>
        <v>250.66499999999996</v>
      </c>
      <c r="H1988" s="9">
        <v>294.89999999999998</v>
      </c>
      <c r="I1988" s="9">
        <f>H1988-G1988</f>
        <v>44.235000000000014</v>
      </c>
    </row>
    <row r="1989" ht="14.25">
      <c r="A1989" s="5">
        <v>58928</v>
      </c>
      <c r="B1989" s="6" t="s">
        <v>2046</v>
      </c>
      <c r="C1989" s="7" t="s">
        <v>87</v>
      </c>
      <c r="D1989" s="7" t="s">
        <v>61</v>
      </c>
      <c r="E1989" s="5" t="s">
        <v>43</v>
      </c>
      <c r="F1989" s="8"/>
      <c r="G1989" s="9">
        <f>H1989*(1-15%)*(1-F1989)</f>
        <v>125.715</v>
      </c>
      <c r="H1989" s="9">
        <v>147.90000000000001</v>
      </c>
      <c r="I1989" s="9">
        <f>H1989-G1989</f>
        <v>22.185000000000002</v>
      </c>
    </row>
    <row r="1990" ht="14.25">
      <c r="A1990" s="5">
        <v>58929</v>
      </c>
      <c r="B1990" s="6" t="s">
        <v>2047</v>
      </c>
      <c r="C1990" s="7" t="s">
        <v>87</v>
      </c>
      <c r="D1990" s="7" t="s">
        <v>61</v>
      </c>
      <c r="E1990" s="5" t="s">
        <v>43</v>
      </c>
      <c r="F1990" s="8"/>
      <c r="G1990" s="9">
        <f>H1990*(1-15%)*(1-F1990)</f>
        <v>125.715</v>
      </c>
      <c r="H1990" s="9">
        <v>147.90000000000001</v>
      </c>
      <c r="I1990" s="9">
        <f>H1990-G1990</f>
        <v>22.185000000000002</v>
      </c>
    </row>
    <row r="1991" ht="14.25">
      <c r="A1991" s="5">
        <v>53159</v>
      </c>
      <c r="B1991" s="6" t="s">
        <v>2048</v>
      </c>
      <c r="C1991" s="7" t="s">
        <v>87</v>
      </c>
      <c r="D1991" s="7" t="s">
        <v>61</v>
      </c>
      <c r="E1991" s="5" t="s">
        <v>39</v>
      </c>
      <c r="F1991" s="8"/>
      <c r="G1991" s="9">
        <f>H1991*(1-15%)*(1-F1991)</f>
        <v>89.165000000000006</v>
      </c>
      <c r="H1991" s="9">
        <v>104.90000000000001</v>
      </c>
      <c r="I1991" s="9">
        <f>H1991-G1991</f>
        <v>15.734999999999999</v>
      </c>
    </row>
    <row r="1992" ht="14.25">
      <c r="A1992" s="5">
        <v>58465</v>
      </c>
      <c r="B1992" s="6" t="s">
        <v>2049</v>
      </c>
      <c r="C1992" s="7" t="s">
        <v>14</v>
      </c>
      <c r="D1992" s="7" t="s">
        <v>61</v>
      </c>
      <c r="E1992" s="5" t="s">
        <v>43</v>
      </c>
      <c r="F1992" s="8"/>
      <c r="G1992" s="9">
        <f>H1992*(1-15%)*(1-F1992)</f>
        <v>118.91500000000001</v>
      </c>
      <c r="H1992" s="9">
        <v>139.90000000000001</v>
      </c>
      <c r="I1992" s="9">
        <f>H1992-G1992</f>
        <v>20.984999999999999</v>
      </c>
    </row>
    <row r="1993" ht="14.25">
      <c r="A1993" s="5">
        <v>87416</v>
      </c>
      <c r="B1993" s="6" t="s">
        <v>2050</v>
      </c>
      <c r="C1993" s="7" t="s">
        <v>14</v>
      </c>
      <c r="D1993" s="7" t="s">
        <v>61</v>
      </c>
      <c r="E1993" s="5" t="s">
        <v>43</v>
      </c>
      <c r="F1993" s="8"/>
      <c r="G1993" s="9">
        <f>H1993*(1-15%)*(1-F1993)</f>
        <v>168.215</v>
      </c>
      <c r="H1993" s="9">
        <v>197.90000000000001</v>
      </c>
      <c r="I1993" s="9">
        <f>H1993-G1993</f>
        <v>29.685000000000002</v>
      </c>
    </row>
    <row r="1994" ht="14.25">
      <c r="A1994" s="5">
        <v>58454</v>
      </c>
      <c r="B1994" s="6" t="s">
        <v>2051</v>
      </c>
      <c r="C1994" s="7" t="s">
        <v>14</v>
      </c>
      <c r="D1994" s="7" t="s">
        <v>61</v>
      </c>
      <c r="E1994" s="5" t="s">
        <v>43</v>
      </c>
      <c r="F1994" s="8"/>
      <c r="G1994" s="9">
        <f>H1994*(1-15%)*(1-F1994)</f>
        <v>152.91499999999999</v>
      </c>
      <c r="H1994" s="9">
        <v>179.90000000000001</v>
      </c>
      <c r="I1994" s="9">
        <f>H1994-G1994</f>
        <v>26.985000000000014</v>
      </c>
    </row>
    <row r="1995" ht="14.25">
      <c r="A1995" s="5">
        <v>87419</v>
      </c>
      <c r="B1995" s="6" t="s">
        <v>2052</v>
      </c>
      <c r="C1995" s="7" t="s">
        <v>14</v>
      </c>
      <c r="D1995" s="7" t="s">
        <v>61</v>
      </c>
      <c r="E1995" s="5" t="s">
        <v>12</v>
      </c>
      <c r="F1995" s="8"/>
      <c r="G1995" s="9">
        <f>H1995*(1-15%)*(1-F1995)</f>
        <v>152.91499999999999</v>
      </c>
      <c r="H1995" s="9">
        <v>179.90000000000001</v>
      </c>
      <c r="I1995" s="9">
        <f>H1995-G1995</f>
        <v>26.985000000000014</v>
      </c>
    </row>
    <row r="1996" ht="14.25">
      <c r="A1996" s="5">
        <v>58457</v>
      </c>
      <c r="B1996" s="6" t="s">
        <v>2053</v>
      </c>
      <c r="C1996" s="7" t="s">
        <v>14</v>
      </c>
      <c r="D1996" s="7" t="s">
        <v>61</v>
      </c>
      <c r="E1996" s="5" t="s">
        <v>43</v>
      </c>
      <c r="F1996" s="8"/>
      <c r="G1996" s="9">
        <f>H1996*(1-15%)*(1-F1996)</f>
        <v>169.91499999999999</v>
      </c>
      <c r="H1996" s="9">
        <v>199.90000000000001</v>
      </c>
      <c r="I1996" s="9">
        <f>H1996-G1996</f>
        <v>29.985000000000014</v>
      </c>
    </row>
    <row r="1997" ht="14.25">
      <c r="A1997" s="5">
        <v>87409</v>
      </c>
      <c r="B1997" s="6" t="s">
        <v>2054</v>
      </c>
      <c r="C1997" s="7" t="s">
        <v>33</v>
      </c>
      <c r="D1997" s="7" t="s">
        <v>61</v>
      </c>
      <c r="E1997" s="5" t="s">
        <v>43</v>
      </c>
      <c r="F1997" s="8"/>
      <c r="G1997" s="9">
        <f>H1997*(1-15%)*(1-F1997)</f>
        <v>305.91499999999996</v>
      </c>
      <c r="H1997" s="9">
        <v>359.89999999999998</v>
      </c>
      <c r="I1997" s="9">
        <f>H1997-G1997</f>
        <v>53.985000000000014</v>
      </c>
    </row>
    <row r="1998" ht="14.25">
      <c r="A1998" s="5">
        <v>53988</v>
      </c>
      <c r="B1998" s="6" t="s">
        <v>2055</v>
      </c>
      <c r="C1998" s="7" t="s">
        <v>33</v>
      </c>
      <c r="D1998" s="7" t="s">
        <v>61</v>
      </c>
      <c r="E1998" s="5" t="s">
        <v>68</v>
      </c>
      <c r="F1998" s="8"/>
      <c r="G1998" s="9">
        <f>H1998*(1-15%)*(1-F1998)</f>
        <v>138.465</v>
      </c>
      <c r="H1998" s="9">
        <v>162.90000000000001</v>
      </c>
      <c r="I1998" s="9">
        <f>H1998-G1998</f>
        <v>24.435000000000002</v>
      </c>
    </row>
    <row r="1999" ht="14.25">
      <c r="A1999" s="5">
        <v>58450</v>
      </c>
      <c r="B1999" s="6" t="s">
        <v>2056</v>
      </c>
      <c r="C1999" s="7" t="s">
        <v>17</v>
      </c>
      <c r="D1999" s="7" t="s">
        <v>61</v>
      </c>
      <c r="E1999" s="5" t="s">
        <v>43</v>
      </c>
      <c r="F1999" s="8"/>
      <c r="G1999" s="9">
        <f>H1999*(1-15%)*(1-F1999)</f>
        <v>186.91499999999999</v>
      </c>
      <c r="H1999" s="9">
        <v>219.90000000000001</v>
      </c>
      <c r="I1999" s="9">
        <f>H1999-G1999</f>
        <v>32.985000000000014</v>
      </c>
    </row>
    <row r="2000" ht="14.25">
      <c r="A2000" s="5">
        <v>87410</v>
      </c>
      <c r="B2000" s="6" t="s">
        <v>2057</v>
      </c>
      <c r="C2000" s="7" t="s">
        <v>17</v>
      </c>
      <c r="D2000" s="7" t="s">
        <v>61</v>
      </c>
      <c r="E2000" s="5" t="s">
        <v>12</v>
      </c>
      <c r="F2000" s="8"/>
      <c r="G2000" s="9">
        <f>H2000*(1-15%)*(1-F2000)</f>
        <v>246.41499999999996</v>
      </c>
      <c r="H2000" s="9">
        <v>289.89999999999998</v>
      </c>
      <c r="I2000" s="9">
        <f>H2000-G2000</f>
        <v>43.485000000000014</v>
      </c>
    </row>
    <row r="2001" ht="14.25">
      <c r="A2001" s="5">
        <v>58464</v>
      </c>
      <c r="B2001" s="6" t="s">
        <v>2058</v>
      </c>
      <c r="C2001" s="7" t="s">
        <v>17</v>
      </c>
      <c r="D2001" s="7" t="s">
        <v>61</v>
      </c>
      <c r="E2001" s="5" t="s">
        <v>43</v>
      </c>
      <c r="F2001" s="8"/>
      <c r="G2001" s="9">
        <f>H2001*(1-15%)*(1-F2001)</f>
        <v>101.91500000000001</v>
      </c>
      <c r="H2001" s="9">
        <v>119.90000000000001</v>
      </c>
      <c r="I2001" s="9">
        <f>H2001-G2001</f>
        <v>17.984999999999999</v>
      </c>
    </row>
    <row r="2002" ht="14.25">
      <c r="A2002" s="5">
        <v>52639</v>
      </c>
      <c r="B2002" s="6" t="s">
        <v>2059</v>
      </c>
      <c r="C2002" s="7" t="s">
        <v>17</v>
      </c>
      <c r="D2002" s="7" t="s">
        <v>61</v>
      </c>
      <c r="E2002" s="5" t="s">
        <v>68</v>
      </c>
      <c r="F2002" s="8"/>
      <c r="G2002" s="9">
        <f>H2002*(1-15%)*(1-F2002)</f>
        <v>98.515000000000001</v>
      </c>
      <c r="H2002" s="9">
        <v>115.90000000000001</v>
      </c>
      <c r="I2002" s="9">
        <f>H2002-G2002</f>
        <v>17.385000000000005</v>
      </c>
    </row>
    <row r="2003" ht="14.25">
      <c r="A2003" s="5">
        <v>58449</v>
      </c>
      <c r="B2003" s="6" t="s">
        <v>2060</v>
      </c>
      <c r="C2003" s="7" t="s">
        <v>251</v>
      </c>
      <c r="D2003" s="7" t="s">
        <v>61</v>
      </c>
      <c r="E2003" s="5" t="s">
        <v>43</v>
      </c>
      <c r="F2003" s="8"/>
      <c r="G2003" s="9">
        <f>H2003*(1-15%)*(1-F2003)</f>
        <v>161.41499999999999</v>
      </c>
      <c r="H2003" s="9">
        <v>189.90000000000001</v>
      </c>
      <c r="I2003" s="9">
        <f>H2003-G2003</f>
        <v>28.485000000000014</v>
      </c>
    </row>
    <row r="2004" ht="14.25">
      <c r="A2004" s="5">
        <v>87414</v>
      </c>
      <c r="B2004" s="6" t="s">
        <v>2061</v>
      </c>
      <c r="C2004" s="7" t="s">
        <v>251</v>
      </c>
      <c r="D2004" s="7" t="s">
        <v>61</v>
      </c>
      <c r="E2004" s="5" t="s">
        <v>43</v>
      </c>
      <c r="F2004" s="8"/>
      <c r="G2004" s="9">
        <f>H2004*(1-15%)*(1-F2004)</f>
        <v>189.465</v>
      </c>
      <c r="H2004" s="9">
        <v>222.90000000000001</v>
      </c>
      <c r="I2004" s="9">
        <f>H2004-G2004</f>
        <v>33.435000000000002</v>
      </c>
    </row>
    <row r="2005" ht="14.25">
      <c r="A2005" s="5">
        <v>58446</v>
      </c>
      <c r="B2005" s="6" t="s">
        <v>2062</v>
      </c>
      <c r="C2005" s="7" t="s">
        <v>1241</v>
      </c>
      <c r="D2005" s="7" t="s">
        <v>61</v>
      </c>
      <c r="E2005" s="5" t="s">
        <v>43</v>
      </c>
      <c r="F2005" s="8"/>
      <c r="G2005" s="9">
        <f>H2005*(1-15%)*(1-F2005)</f>
        <v>209.01499999999999</v>
      </c>
      <c r="H2005" s="9">
        <v>245.90000000000001</v>
      </c>
      <c r="I2005" s="9">
        <f>H2005-G2005</f>
        <v>36.885000000000019</v>
      </c>
    </row>
    <row r="2006" ht="14.25">
      <c r="A2006" s="5">
        <v>58445</v>
      </c>
      <c r="B2006" s="6" t="s">
        <v>2063</v>
      </c>
      <c r="C2006" s="7" t="s">
        <v>70</v>
      </c>
      <c r="D2006" s="7" t="s">
        <v>61</v>
      </c>
      <c r="E2006" s="5" t="s">
        <v>43</v>
      </c>
      <c r="F2006" s="8"/>
      <c r="G2006" s="9">
        <f>H2006*(1-15%)*(1-F2006)</f>
        <v>169.91499999999999</v>
      </c>
      <c r="H2006" s="9">
        <v>199.90000000000001</v>
      </c>
      <c r="I2006" s="9">
        <f>H2006-G2006</f>
        <v>29.985000000000014</v>
      </c>
    </row>
    <row r="2007" ht="14.25">
      <c r="A2007" s="5">
        <v>87418</v>
      </c>
      <c r="B2007" s="6" t="s">
        <v>2064</v>
      </c>
      <c r="C2007" s="7" t="s">
        <v>70</v>
      </c>
      <c r="D2007" s="7" t="s">
        <v>61</v>
      </c>
      <c r="E2007" s="5" t="s">
        <v>43</v>
      </c>
      <c r="F2007" s="8"/>
      <c r="G2007" s="9">
        <f>H2007*(1-15%)*(1-F2007)</f>
        <v>158.86500000000001</v>
      </c>
      <c r="H2007" s="9">
        <v>186.90000000000001</v>
      </c>
      <c r="I2007" s="9">
        <f>H2007-G2007</f>
        <v>28.034999999999997</v>
      </c>
    </row>
    <row r="2008" ht="14.25">
      <c r="A2008" s="5">
        <v>58470</v>
      </c>
      <c r="B2008" s="6" t="s">
        <v>2065</v>
      </c>
      <c r="C2008" s="7" t="s">
        <v>70</v>
      </c>
      <c r="D2008" s="7" t="s">
        <v>61</v>
      </c>
      <c r="E2008" s="5" t="s">
        <v>43</v>
      </c>
      <c r="F2008" s="8"/>
      <c r="G2008" s="9">
        <f>H2008*(1-15%)*(1-F2008)</f>
        <v>50.914999999999999</v>
      </c>
      <c r="H2008" s="9">
        <v>59.899999999999999</v>
      </c>
      <c r="I2008" s="9">
        <f>H2008-G2008</f>
        <v>8.9849999999999994</v>
      </c>
    </row>
    <row r="2009" ht="14.25">
      <c r="A2009" s="5">
        <v>58442</v>
      </c>
      <c r="B2009" s="6" t="s">
        <v>2066</v>
      </c>
      <c r="C2009" s="7" t="s">
        <v>70</v>
      </c>
      <c r="D2009" s="7" t="s">
        <v>61</v>
      </c>
      <c r="E2009" s="5" t="s">
        <v>43</v>
      </c>
      <c r="F2009" s="8"/>
      <c r="G2009" s="9">
        <f>H2009*(1-15%)*(1-F2009)</f>
        <v>322.91499999999996</v>
      </c>
      <c r="H2009" s="9">
        <v>379.89999999999998</v>
      </c>
      <c r="I2009" s="9">
        <f>H2009-G2009</f>
        <v>56.985000000000014</v>
      </c>
    </row>
    <row r="2010" ht="14.25">
      <c r="A2010" s="5">
        <v>52670</v>
      </c>
      <c r="B2010" s="6" t="s">
        <v>2067</v>
      </c>
      <c r="C2010" s="7" t="s">
        <v>70</v>
      </c>
      <c r="D2010" s="7" t="s">
        <v>61</v>
      </c>
      <c r="E2010" s="5" t="s">
        <v>15</v>
      </c>
      <c r="F2010" s="8"/>
      <c r="G2010" s="9">
        <f>H2010*(1-15%)*(1-F2010)</f>
        <v>240.46499999999997</v>
      </c>
      <c r="H2010" s="9">
        <v>282.89999999999998</v>
      </c>
      <c r="I2010" s="9">
        <f>H2010-G2010</f>
        <v>42.435000000000002</v>
      </c>
    </row>
    <row r="2011" ht="14.25">
      <c r="A2011" s="5">
        <v>87412</v>
      </c>
      <c r="B2011" s="6" t="s">
        <v>2068</v>
      </c>
      <c r="C2011" s="7" t="s">
        <v>70</v>
      </c>
      <c r="D2011" s="7" t="s">
        <v>61</v>
      </c>
      <c r="E2011" s="5" t="s">
        <v>43</v>
      </c>
      <c r="F2011" s="8"/>
      <c r="G2011" s="9">
        <f>H2011*(1-15%)*(1-F2011)</f>
        <v>217.51499999999999</v>
      </c>
      <c r="H2011" s="9">
        <v>255.90000000000001</v>
      </c>
      <c r="I2011" s="9">
        <f>H2011-G2011</f>
        <v>38.385000000000019</v>
      </c>
    </row>
    <row r="2012" ht="14.25">
      <c r="A2012" s="5">
        <v>58448</v>
      </c>
      <c r="B2012" s="6" t="s">
        <v>2069</v>
      </c>
      <c r="C2012" s="7" t="s">
        <v>70</v>
      </c>
      <c r="D2012" s="7" t="s">
        <v>61</v>
      </c>
      <c r="E2012" s="5" t="s">
        <v>43</v>
      </c>
      <c r="F2012" s="8"/>
      <c r="G2012" s="9">
        <f>H2012*(1-15%)*(1-F2012)</f>
        <v>209.78</v>
      </c>
      <c r="H2012" s="9">
        <v>246.80000000000001</v>
      </c>
      <c r="I2012" s="9">
        <f>H2012-G2012</f>
        <v>37.02000000000001</v>
      </c>
    </row>
    <row r="2013" ht="14.25">
      <c r="A2013" s="5">
        <v>87408</v>
      </c>
      <c r="B2013" s="6" t="s">
        <v>2070</v>
      </c>
      <c r="C2013" s="7" t="s">
        <v>70</v>
      </c>
      <c r="D2013" s="7" t="s">
        <v>61</v>
      </c>
      <c r="E2013" s="5" t="s">
        <v>12</v>
      </c>
      <c r="F2013" s="8"/>
      <c r="G2013" s="9">
        <f>H2013*(1-15%)*(1-F2013)</f>
        <v>317.815</v>
      </c>
      <c r="H2013" s="9">
        <v>373.89999999999998</v>
      </c>
      <c r="I2013" s="9">
        <f>H2013-G2013</f>
        <v>56.08499999999998</v>
      </c>
    </row>
    <row r="2014" ht="14.25">
      <c r="A2014" s="5">
        <v>58458</v>
      </c>
      <c r="B2014" s="6" t="s">
        <v>2071</v>
      </c>
      <c r="C2014" s="7" t="s">
        <v>19</v>
      </c>
      <c r="D2014" s="7" t="s">
        <v>61</v>
      </c>
      <c r="E2014" s="5" t="s">
        <v>43</v>
      </c>
      <c r="F2014" s="8"/>
      <c r="G2014" s="9">
        <f>H2014*(1-15%)*(1-F2014)</f>
        <v>144.41499999999999</v>
      </c>
      <c r="H2014" s="9">
        <v>169.90000000000001</v>
      </c>
      <c r="I2014" s="9">
        <f>H2014-G2014</f>
        <v>25.485000000000014</v>
      </c>
    </row>
    <row r="2015" ht="14.25">
      <c r="A2015" s="5">
        <v>87415</v>
      </c>
      <c r="B2015" s="6" t="s">
        <v>2072</v>
      </c>
      <c r="C2015" s="7" t="s">
        <v>19</v>
      </c>
      <c r="D2015" s="7" t="s">
        <v>61</v>
      </c>
      <c r="E2015" s="5" t="s">
        <v>12</v>
      </c>
      <c r="F2015" s="8"/>
      <c r="G2015" s="9">
        <f>H2015*(1-15%)*(1-F2015)</f>
        <v>186.065</v>
      </c>
      <c r="H2015" s="9">
        <v>218.90000000000001</v>
      </c>
      <c r="I2015" s="9">
        <f>H2015-G2015</f>
        <v>32.835000000000008</v>
      </c>
    </row>
    <row r="2016" ht="14.25">
      <c r="A2016" s="5">
        <v>87413</v>
      </c>
      <c r="B2016" s="6" t="s">
        <v>2073</v>
      </c>
      <c r="C2016" s="7" t="s">
        <v>399</v>
      </c>
      <c r="D2016" s="7" t="s">
        <v>61</v>
      </c>
      <c r="E2016" s="5" t="s">
        <v>12</v>
      </c>
      <c r="F2016" s="8"/>
      <c r="G2016" s="9">
        <f>H2016*(1-15%)*(1-F2016)</f>
        <v>163.965</v>
      </c>
      <c r="H2016" s="9">
        <v>192.90000000000001</v>
      </c>
      <c r="I2016" s="9">
        <f>H2016-G2016</f>
        <v>28.935000000000002</v>
      </c>
    </row>
    <row r="2017" ht="14.25">
      <c r="A2017" s="5">
        <v>58460</v>
      </c>
      <c r="B2017" s="6" t="s">
        <v>2074</v>
      </c>
      <c r="C2017" s="7" t="s">
        <v>399</v>
      </c>
      <c r="D2017" s="7" t="s">
        <v>61</v>
      </c>
      <c r="E2017" s="5" t="s">
        <v>43</v>
      </c>
      <c r="F2017" s="8"/>
      <c r="G2017" s="9">
        <f>H2017*(1-15%)*(1-F2017)</f>
        <v>135.91499999999999</v>
      </c>
      <c r="H2017" s="9">
        <v>159.90000000000001</v>
      </c>
      <c r="I2017" s="9">
        <f>H2017-G2017</f>
        <v>23.985000000000014</v>
      </c>
    </row>
    <row r="2018" ht="14.25">
      <c r="A2018" s="5">
        <v>87420</v>
      </c>
      <c r="B2018" s="6" t="s">
        <v>2075</v>
      </c>
      <c r="C2018" s="7" t="s">
        <v>399</v>
      </c>
      <c r="D2018" s="7" t="s">
        <v>61</v>
      </c>
      <c r="E2018" s="5" t="s">
        <v>43</v>
      </c>
      <c r="F2018" s="8"/>
      <c r="G2018" s="9">
        <f>H2018*(1-15%)*(1-F2018)</f>
        <v>140.16499999999999</v>
      </c>
      <c r="H2018" s="9">
        <v>164.90000000000001</v>
      </c>
      <c r="I2018" s="9">
        <f>H2018-G2018</f>
        <v>24.735000000000014</v>
      </c>
    </row>
    <row r="2019" ht="14.25">
      <c r="A2019" s="5">
        <v>58443</v>
      </c>
      <c r="B2019" s="6" t="s">
        <v>2076</v>
      </c>
      <c r="C2019" s="7" t="s">
        <v>10</v>
      </c>
      <c r="D2019" s="7" t="s">
        <v>61</v>
      </c>
      <c r="E2019" s="5" t="s">
        <v>43</v>
      </c>
      <c r="F2019" s="8"/>
      <c r="G2019" s="9">
        <f>H2019*(1-15%)*(1-F2019)</f>
        <v>220.91499999999996</v>
      </c>
      <c r="H2019" s="9">
        <v>259.89999999999998</v>
      </c>
      <c r="I2019" s="9">
        <f>H2019-G2019</f>
        <v>38.985000000000014</v>
      </c>
    </row>
    <row r="2020" ht="14.25">
      <c r="A2020" s="5">
        <v>49291</v>
      </c>
      <c r="B2020" s="6" t="s">
        <v>2077</v>
      </c>
      <c r="C2020" s="7" t="s">
        <v>10</v>
      </c>
      <c r="D2020" s="7" t="s">
        <v>61</v>
      </c>
      <c r="E2020" s="5" t="s">
        <v>39</v>
      </c>
      <c r="F2020" s="8"/>
      <c r="G2020" s="9">
        <f>H2020*(1-15%)*(1-F2020)</f>
        <v>157.16499999999999</v>
      </c>
      <c r="H2020" s="9">
        <v>184.90000000000001</v>
      </c>
      <c r="I2020" s="9">
        <f>H2020-G2020</f>
        <v>27.735000000000014</v>
      </c>
    </row>
    <row r="2021" ht="14.25">
      <c r="A2021" s="5">
        <v>58772</v>
      </c>
      <c r="B2021" s="6" t="s">
        <v>2078</v>
      </c>
      <c r="C2021" s="7" t="s">
        <v>10</v>
      </c>
      <c r="D2021" s="7" t="s">
        <v>61</v>
      </c>
      <c r="E2021" s="5" t="s">
        <v>43</v>
      </c>
      <c r="F2021" s="8"/>
      <c r="G2021" s="9">
        <f>H2021*(1-15%)*(1-F2021)</f>
        <v>208.16499999999999</v>
      </c>
      <c r="H2021" s="9">
        <v>244.90000000000001</v>
      </c>
      <c r="I2021" s="9">
        <f>H2021-G2021</f>
        <v>36.735000000000014</v>
      </c>
    </row>
    <row r="2022" ht="14.25">
      <c r="A2022" s="5">
        <v>58461</v>
      </c>
      <c r="B2022" s="6" t="s">
        <v>2079</v>
      </c>
      <c r="C2022" s="7" t="s">
        <v>75</v>
      </c>
      <c r="D2022" s="7" t="s">
        <v>61</v>
      </c>
      <c r="E2022" s="5" t="s">
        <v>43</v>
      </c>
      <c r="F2022" s="8"/>
      <c r="G2022" s="9">
        <f>H2022*(1-15%)*(1-F2022)</f>
        <v>135.91499999999999</v>
      </c>
      <c r="H2022" s="9">
        <v>159.90000000000001</v>
      </c>
      <c r="I2022" s="9">
        <f>H2022-G2022</f>
        <v>23.985000000000014</v>
      </c>
    </row>
    <row r="2023" ht="14.25">
      <c r="A2023" s="5">
        <v>58463</v>
      </c>
      <c r="B2023" s="6" t="s">
        <v>2080</v>
      </c>
      <c r="C2023" s="7" t="s">
        <v>75</v>
      </c>
      <c r="D2023" s="7" t="s">
        <v>61</v>
      </c>
      <c r="E2023" s="5" t="s">
        <v>43</v>
      </c>
      <c r="F2023" s="8"/>
      <c r="G2023" s="9">
        <f>H2023*(1-15%)*(1-F2023)</f>
        <v>98.515000000000001</v>
      </c>
      <c r="H2023" s="9">
        <v>115.90000000000001</v>
      </c>
      <c r="I2023" s="9">
        <f>H2023-G2023</f>
        <v>17.385000000000005</v>
      </c>
    </row>
    <row r="2024" ht="14.25">
      <c r="A2024" s="5">
        <v>87421</v>
      </c>
      <c r="B2024" s="6" t="s">
        <v>2081</v>
      </c>
      <c r="C2024" s="7" t="s">
        <v>75</v>
      </c>
      <c r="D2024" s="7" t="s">
        <v>61</v>
      </c>
      <c r="E2024" s="5" t="s">
        <v>43</v>
      </c>
      <c r="F2024" s="8"/>
      <c r="G2024" s="9">
        <f>H2024*(1-15%)*(1-F2024)</f>
        <v>116.36499999999999</v>
      </c>
      <c r="H2024" s="9">
        <v>136.90000000000001</v>
      </c>
      <c r="I2024" s="9">
        <f>H2024-G2024</f>
        <v>20.535000000000011</v>
      </c>
    </row>
    <row r="2025" ht="14.25">
      <c r="A2025" s="5">
        <v>58469</v>
      </c>
      <c r="B2025" s="6" t="s">
        <v>2082</v>
      </c>
      <c r="C2025" s="7" t="s">
        <v>75</v>
      </c>
      <c r="D2025" s="7" t="s">
        <v>61</v>
      </c>
      <c r="E2025" s="5" t="s">
        <v>43</v>
      </c>
      <c r="F2025" s="8"/>
      <c r="G2025" s="9">
        <f>H2025*(1-15%)*(1-F2025)</f>
        <v>42.414999999999999</v>
      </c>
      <c r="H2025" s="9">
        <v>49.899999999999999</v>
      </c>
      <c r="I2025" s="9">
        <f>H2025-G2025</f>
        <v>7.4849999999999994</v>
      </c>
    </row>
    <row r="2026" ht="14.25">
      <c r="A2026" s="5">
        <v>58453</v>
      </c>
      <c r="B2026" s="6" t="s">
        <v>2083</v>
      </c>
      <c r="C2026" s="7" t="s">
        <v>36</v>
      </c>
      <c r="D2026" s="7" t="s">
        <v>61</v>
      </c>
      <c r="E2026" s="5" t="s">
        <v>43</v>
      </c>
      <c r="F2026" s="8"/>
      <c r="G2026" s="9">
        <f>H2026*(1-15%)*(1-F2026)</f>
        <v>135.91499999999999</v>
      </c>
      <c r="H2026" s="9">
        <v>159.90000000000001</v>
      </c>
      <c r="I2026" s="9">
        <f>H2026-G2026</f>
        <v>23.985000000000014</v>
      </c>
    </row>
    <row r="2027" ht="14.25">
      <c r="A2027" s="5">
        <v>58451</v>
      </c>
      <c r="B2027" s="6" t="s">
        <v>2084</v>
      </c>
      <c r="C2027" s="7" t="s">
        <v>25</v>
      </c>
      <c r="D2027" s="7" t="s">
        <v>61</v>
      </c>
      <c r="E2027" s="5" t="s">
        <v>43</v>
      </c>
      <c r="F2027" s="8"/>
      <c r="G2027" s="9">
        <f>H2027*(1-15%)*(1-F2027)</f>
        <v>152.91499999999999</v>
      </c>
      <c r="H2027" s="9">
        <v>179.90000000000001</v>
      </c>
      <c r="I2027" s="9">
        <f>H2027-G2027</f>
        <v>26.985000000000014</v>
      </c>
    </row>
    <row r="2028" ht="14.25">
      <c r="A2028" s="5">
        <v>58480</v>
      </c>
      <c r="B2028" s="6" t="s">
        <v>2085</v>
      </c>
      <c r="C2028" s="7" t="s">
        <v>624</v>
      </c>
      <c r="D2028" s="7" t="s">
        <v>61</v>
      </c>
      <c r="E2028" s="5" t="s">
        <v>43</v>
      </c>
      <c r="F2028" s="8"/>
      <c r="G2028" s="9">
        <f>H2028*(1-15%)*(1-F2028)</f>
        <v>276.16499999999996</v>
      </c>
      <c r="H2028" s="9">
        <v>324.89999999999998</v>
      </c>
      <c r="I2028" s="9">
        <f>H2028-G2028</f>
        <v>48.735000000000014</v>
      </c>
    </row>
    <row r="2029" ht="14.25">
      <c r="A2029" s="5">
        <v>57081</v>
      </c>
      <c r="B2029" s="6" t="s">
        <v>2086</v>
      </c>
      <c r="C2029" s="7" t="s">
        <v>87</v>
      </c>
      <c r="D2029" s="7" t="s">
        <v>61</v>
      </c>
      <c r="E2029" s="5" t="s">
        <v>68</v>
      </c>
      <c r="F2029" s="8"/>
      <c r="G2029" s="9">
        <f>H2029*(1-15%)*(1-F2029)</f>
        <v>67.915000000000006</v>
      </c>
      <c r="H2029" s="9">
        <v>79.900000000000006</v>
      </c>
      <c r="I2029" s="9">
        <f>H2029-G2029</f>
        <v>11.984999999999999</v>
      </c>
    </row>
    <row r="2030" ht="14.25">
      <c r="A2030" s="5">
        <v>48711</v>
      </c>
      <c r="B2030" s="6" t="s">
        <v>2087</v>
      </c>
      <c r="C2030" s="7" t="s">
        <v>10</v>
      </c>
      <c r="D2030" s="7" t="s">
        <v>183</v>
      </c>
      <c r="E2030" s="5" t="s">
        <v>68</v>
      </c>
      <c r="F2030" s="8"/>
      <c r="G2030" s="9">
        <f>H2030*(1-15%)*(1-F2030)</f>
        <v>36.464999999999996</v>
      </c>
      <c r="H2030" s="9">
        <v>42.899999999999999</v>
      </c>
      <c r="I2030" s="9">
        <f>H2030-G2030</f>
        <v>6.4350000000000023</v>
      </c>
    </row>
    <row r="2031" ht="14.25">
      <c r="A2031" s="5">
        <v>56839</v>
      </c>
      <c r="B2031" s="6" t="s">
        <v>2088</v>
      </c>
      <c r="C2031" s="7" t="s">
        <v>65</v>
      </c>
      <c r="D2031" s="7" t="s">
        <v>183</v>
      </c>
      <c r="E2031" s="5" t="s">
        <v>703</v>
      </c>
      <c r="F2031" s="8"/>
      <c r="G2031" s="9">
        <f>H2031*(1-15%)*(1-F2031)</f>
        <v>63.665000000000006</v>
      </c>
      <c r="H2031" s="9">
        <v>74.900000000000006</v>
      </c>
      <c r="I2031" s="9">
        <f>H2031-G2031</f>
        <v>11.234999999999999</v>
      </c>
    </row>
    <row r="2032" ht="14.25">
      <c r="A2032" s="5">
        <v>59034</v>
      </c>
      <c r="B2032" s="6" t="s">
        <v>2089</v>
      </c>
      <c r="C2032" s="7" t="s">
        <v>10</v>
      </c>
      <c r="D2032" s="7" t="s">
        <v>95</v>
      </c>
      <c r="E2032" s="5" t="s">
        <v>26</v>
      </c>
      <c r="F2032" s="8"/>
      <c r="G2032" s="9">
        <f>H2032*(1-15%)*(1-F2032)</f>
        <v>49.214999999999996</v>
      </c>
      <c r="H2032" s="9">
        <v>57.899999999999999</v>
      </c>
      <c r="I2032" s="9">
        <f>H2032-G2032</f>
        <v>8.6850000000000023</v>
      </c>
    </row>
    <row r="2033" ht="14.25">
      <c r="A2033" s="5">
        <v>59037</v>
      </c>
      <c r="B2033" s="6" t="s">
        <v>2090</v>
      </c>
      <c r="C2033" s="7" t="s">
        <v>10</v>
      </c>
      <c r="D2033" s="7" t="s">
        <v>95</v>
      </c>
      <c r="E2033" s="5" t="s">
        <v>26</v>
      </c>
      <c r="F2033" s="8"/>
      <c r="G2033" s="9">
        <f>H2033*(1-15%)*(1-F2033)</f>
        <v>49.214999999999996</v>
      </c>
      <c r="H2033" s="9">
        <v>57.899999999999999</v>
      </c>
      <c r="I2033" s="9">
        <f>H2033-G2033</f>
        <v>8.6850000000000023</v>
      </c>
    </row>
    <row r="2034" ht="14.25">
      <c r="A2034" s="5">
        <v>59031</v>
      </c>
      <c r="B2034" s="6" t="s">
        <v>2091</v>
      </c>
      <c r="C2034" s="7" t="s">
        <v>10</v>
      </c>
      <c r="D2034" s="7" t="s">
        <v>95</v>
      </c>
      <c r="E2034" s="5" t="s">
        <v>26</v>
      </c>
      <c r="F2034" s="8"/>
      <c r="G2034" s="9">
        <f>H2034*(1-15%)*(1-F2034)</f>
        <v>47.515000000000001</v>
      </c>
      <c r="H2034" s="9">
        <v>55.899999999999999</v>
      </c>
      <c r="I2034" s="9">
        <f>H2034-G2034</f>
        <v>8.384999999999998</v>
      </c>
    </row>
    <row r="2035" ht="14.25">
      <c r="A2035" s="5">
        <v>59033</v>
      </c>
      <c r="B2035" s="6" t="s">
        <v>2092</v>
      </c>
      <c r="C2035" s="7" t="s">
        <v>10</v>
      </c>
      <c r="D2035" s="7" t="s">
        <v>95</v>
      </c>
      <c r="E2035" s="5" t="s">
        <v>26</v>
      </c>
      <c r="F2035" s="8"/>
      <c r="G2035" s="9">
        <f>H2035*(1-15%)*(1-F2035)</f>
        <v>50.914999999999999</v>
      </c>
      <c r="H2035" s="9">
        <v>59.899999999999999</v>
      </c>
      <c r="I2035" s="9">
        <f>H2035-G2035</f>
        <v>8.9849999999999994</v>
      </c>
    </row>
    <row r="2036" ht="14.25">
      <c r="A2036" s="5">
        <v>59036</v>
      </c>
      <c r="B2036" s="6" t="s">
        <v>2093</v>
      </c>
      <c r="C2036" s="7" t="s">
        <v>10</v>
      </c>
      <c r="D2036" s="7" t="s">
        <v>95</v>
      </c>
      <c r="E2036" s="5" t="s">
        <v>26</v>
      </c>
      <c r="F2036" s="8"/>
      <c r="G2036" s="9">
        <f>H2036*(1-15%)*(1-F2036)</f>
        <v>84.915000000000006</v>
      </c>
      <c r="H2036" s="9">
        <v>99.900000000000006</v>
      </c>
      <c r="I2036" s="9">
        <f>H2036-G2036</f>
        <v>14.984999999999999</v>
      </c>
    </row>
    <row r="2037" ht="14.25">
      <c r="A2037" s="5">
        <v>59024</v>
      </c>
      <c r="B2037" s="6" t="s">
        <v>2094</v>
      </c>
      <c r="C2037" s="7" t="s">
        <v>10</v>
      </c>
      <c r="D2037" s="7" t="s">
        <v>174</v>
      </c>
      <c r="E2037" s="5" t="s">
        <v>133</v>
      </c>
      <c r="F2037" s="8"/>
      <c r="G2037" s="9">
        <f>H2037*(1-15%)*(1-F2037)</f>
        <v>70.465000000000003</v>
      </c>
      <c r="H2037" s="9">
        <v>82.900000000000006</v>
      </c>
      <c r="I2037" s="9">
        <f>H2037-G2037</f>
        <v>12.435000000000002</v>
      </c>
    </row>
    <row r="2038" ht="14.25">
      <c r="A2038" s="5">
        <v>59029</v>
      </c>
      <c r="B2038" s="6" t="s">
        <v>2095</v>
      </c>
      <c r="C2038" s="7" t="s">
        <v>10</v>
      </c>
      <c r="D2038" s="7" t="s">
        <v>174</v>
      </c>
      <c r="E2038" s="5" t="s">
        <v>133</v>
      </c>
      <c r="F2038" s="8"/>
      <c r="G2038" s="9">
        <f>H2038*(1-15%)*(1-F2038)</f>
        <v>66.215000000000003</v>
      </c>
      <c r="H2038" s="9">
        <v>77.900000000000006</v>
      </c>
      <c r="I2038" s="9">
        <f>H2038-G2038</f>
        <v>11.685000000000002</v>
      </c>
    </row>
    <row r="2039" ht="14.25">
      <c r="A2039" s="5">
        <v>48684</v>
      </c>
      <c r="B2039" s="6" t="s">
        <v>2096</v>
      </c>
      <c r="C2039" s="7" t="s">
        <v>10</v>
      </c>
      <c r="D2039" s="7" t="s">
        <v>174</v>
      </c>
      <c r="E2039" s="5" t="s">
        <v>15</v>
      </c>
      <c r="F2039" s="8"/>
      <c r="G2039" s="9">
        <f>H2039*(1-15%)*(1-F2039)</f>
        <v>63.665000000000006</v>
      </c>
      <c r="H2039" s="9">
        <v>74.900000000000006</v>
      </c>
      <c r="I2039" s="9">
        <f>H2039-G2039</f>
        <v>11.234999999999999</v>
      </c>
    </row>
    <row r="2040" ht="14.25">
      <c r="A2040" s="5">
        <v>48368</v>
      </c>
      <c r="B2040" s="6" t="s">
        <v>2097</v>
      </c>
      <c r="C2040" s="7" t="s">
        <v>624</v>
      </c>
      <c r="D2040" s="7" t="s">
        <v>174</v>
      </c>
      <c r="E2040" s="5" t="s">
        <v>68</v>
      </c>
      <c r="F2040" s="8"/>
      <c r="G2040" s="9">
        <f>H2040*(1-15%)*(1-F2040)</f>
        <v>74.715000000000003</v>
      </c>
      <c r="H2040" s="9">
        <v>87.900000000000006</v>
      </c>
      <c r="I2040" s="9">
        <f>H2040-G2040</f>
        <v>13.185000000000002</v>
      </c>
    </row>
    <row r="2041" ht="14.25">
      <c r="A2041" s="5">
        <v>49036</v>
      </c>
      <c r="B2041" s="6" t="s">
        <v>2098</v>
      </c>
      <c r="C2041" s="7" t="s">
        <v>65</v>
      </c>
      <c r="D2041" s="7" t="s">
        <v>45</v>
      </c>
      <c r="E2041" s="5" t="s">
        <v>15</v>
      </c>
      <c r="F2041" s="8"/>
      <c r="G2041" s="9">
        <f>H2041*(1-15%)*(1-F2041)</f>
        <v>42.414999999999999</v>
      </c>
      <c r="H2041" s="9">
        <v>49.899999999999999</v>
      </c>
      <c r="I2041" s="9">
        <f>H2041-G2041</f>
        <v>7.4849999999999994</v>
      </c>
    </row>
    <row r="2042" ht="14.25">
      <c r="A2042" s="5">
        <v>56688</v>
      </c>
      <c r="B2042" s="6" t="s">
        <v>2099</v>
      </c>
      <c r="C2042" s="7" t="s">
        <v>10</v>
      </c>
      <c r="D2042" s="7" t="s">
        <v>219</v>
      </c>
      <c r="E2042" s="5" t="s">
        <v>26</v>
      </c>
      <c r="F2042" s="8"/>
      <c r="G2042" s="9">
        <f>H2042*(1-15%)*(1-F2042)</f>
        <v>84.915000000000006</v>
      </c>
      <c r="H2042" s="9">
        <v>99.900000000000006</v>
      </c>
      <c r="I2042" s="9">
        <f>H2042-G2042</f>
        <v>14.984999999999999</v>
      </c>
    </row>
    <row r="2043" ht="14.25">
      <c r="A2043" s="5">
        <v>56687</v>
      </c>
      <c r="B2043" s="6" t="s">
        <v>2100</v>
      </c>
      <c r="C2043" s="7" t="s">
        <v>10</v>
      </c>
      <c r="D2043" s="7" t="s">
        <v>219</v>
      </c>
      <c r="E2043" s="5" t="s">
        <v>26</v>
      </c>
      <c r="F2043" s="8"/>
      <c r="G2043" s="9">
        <f>H2043*(1-15%)*(1-F2043)</f>
        <v>127.41500000000001</v>
      </c>
      <c r="H2043" s="9">
        <v>149.90000000000001</v>
      </c>
      <c r="I2043" s="9">
        <f>H2043-G2043</f>
        <v>22.484999999999999</v>
      </c>
    </row>
    <row r="2044" ht="14.25">
      <c r="A2044" s="5">
        <v>58590</v>
      </c>
      <c r="B2044" s="6" t="s">
        <v>2101</v>
      </c>
      <c r="C2044" s="7" t="s">
        <v>397</v>
      </c>
      <c r="D2044" s="7" t="s">
        <v>103</v>
      </c>
      <c r="E2044" s="5" t="s">
        <v>15</v>
      </c>
      <c r="F2044" s="8"/>
      <c r="G2044" s="9">
        <f>H2044*(1-15%)*(1-F2044)</f>
        <v>36.464999999999996</v>
      </c>
      <c r="H2044" s="9">
        <v>42.899999999999999</v>
      </c>
      <c r="I2044" s="9">
        <f>H2044-G2044</f>
        <v>6.4350000000000023</v>
      </c>
    </row>
    <row r="2045" ht="14.25">
      <c r="A2045" s="5">
        <v>86870</v>
      </c>
      <c r="B2045" s="6" t="s">
        <v>2102</v>
      </c>
      <c r="C2045" s="7" t="s">
        <v>2103</v>
      </c>
      <c r="D2045" s="7" t="s">
        <v>103</v>
      </c>
      <c r="E2045" s="5" t="s">
        <v>43</v>
      </c>
      <c r="F2045" s="8"/>
      <c r="G2045" s="9">
        <f>H2045*(1-15%)*(1-F2045)</f>
        <v>25.414999999999999</v>
      </c>
      <c r="H2045" s="9">
        <v>29.899999999999999</v>
      </c>
      <c r="I2045" s="9">
        <f>H2045-G2045</f>
        <v>4.4849999999999994</v>
      </c>
    </row>
    <row r="2046" ht="14.25">
      <c r="A2046" s="5">
        <v>74131</v>
      </c>
      <c r="B2046" s="6" t="s">
        <v>2104</v>
      </c>
      <c r="C2046" s="7" t="s">
        <v>65</v>
      </c>
      <c r="D2046" s="7" t="s">
        <v>103</v>
      </c>
      <c r="E2046" s="5" t="s">
        <v>703</v>
      </c>
      <c r="F2046" s="8"/>
      <c r="G2046" s="9">
        <f>H2046*(1-15%)*(1-F2046)</f>
        <v>25.414999999999999</v>
      </c>
      <c r="H2046" s="9">
        <v>29.899999999999999</v>
      </c>
      <c r="I2046" s="9">
        <f>H2046-G2046</f>
        <v>4.4849999999999994</v>
      </c>
    </row>
    <row r="2047" ht="14.25">
      <c r="A2047" s="5">
        <v>74212</v>
      </c>
      <c r="B2047" s="6" t="s">
        <v>2105</v>
      </c>
      <c r="C2047" s="7" t="s">
        <v>65</v>
      </c>
      <c r="D2047" s="7" t="s">
        <v>103</v>
      </c>
      <c r="E2047" s="5" t="s">
        <v>703</v>
      </c>
      <c r="F2047" s="8"/>
      <c r="G2047" s="9">
        <f>H2047*(1-15%)*(1-F2047)</f>
        <v>40.714999999999996</v>
      </c>
      <c r="H2047" s="9">
        <v>47.899999999999999</v>
      </c>
      <c r="I2047" s="9">
        <f>H2047-G2047</f>
        <v>7.1850000000000023</v>
      </c>
    </row>
    <row r="2048" ht="14.25">
      <c r="A2048" s="5">
        <v>83391</v>
      </c>
      <c r="B2048" s="6" t="s">
        <v>2106</v>
      </c>
      <c r="C2048" s="7" t="s">
        <v>705</v>
      </c>
      <c r="D2048" s="7" t="s">
        <v>103</v>
      </c>
      <c r="E2048" s="5" t="s">
        <v>15</v>
      </c>
      <c r="F2048" s="8"/>
      <c r="G2048" s="9">
        <f>H2048*(1-15%)*(1-F2048)</f>
        <v>44.964999999999996</v>
      </c>
      <c r="H2048" s="9">
        <v>52.899999999999999</v>
      </c>
      <c r="I2048" s="9">
        <f>H2048-G2048</f>
        <v>7.9350000000000023</v>
      </c>
    </row>
    <row r="2049" ht="14.25">
      <c r="A2049" s="5">
        <v>49813</v>
      </c>
      <c r="B2049" s="6" t="s">
        <v>2107</v>
      </c>
      <c r="C2049" s="7" t="s">
        <v>14</v>
      </c>
      <c r="D2049" s="7" t="s">
        <v>103</v>
      </c>
      <c r="E2049" s="5" t="s">
        <v>43</v>
      </c>
      <c r="F2049" s="8"/>
      <c r="G2049" s="9">
        <f>H2049*(1-15%)*(1-F2049)</f>
        <v>49.214999999999996</v>
      </c>
      <c r="H2049" s="9">
        <v>57.899999999999999</v>
      </c>
      <c r="I2049" s="9">
        <f>H2049-G2049</f>
        <v>8.6850000000000023</v>
      </c>
    </row>
    <row r="2050" ht="14.25">
      <c r="A2050" s="5">
        <v>76756</v>
      </c>
      <c r="B2050" s="6" t="s">
        <v>2108</v>
      </c>
      <c r="C2050" s="7" t="s">
        <v>10</v>
      </c>
      <c r="D2050" s="7" t="s">
        <v>103</v>
      </c>
      <c r="E2050" s="5" t="s">
        <v>39</v>
      </c>
      <c r="F2050" s="8"/>
      <c r="G2050" s="9">
        <f>H2050*(1-15%)*(1-F2050)</f>
        <v>27.114999999999998</v>
      </c>
      <c r="H2050" s="9">
        <v>31.899999999999999</v>
      </c>
      <c r="I2050" s="9">
        <f>H2050-G2050</f>
        <v>4.7850000000000001</v>
      </c>
    </row>
    <row r="2051" ht="14.25">
      <c r="A2051" s="5">
        <v>58775</v>
      </c>
      <c r="B2051" s="6" t="s">
        <v>2109</v>
      </c>
      <c r="C2051" s="7" t="s">
        <v>10</v>
      </c>
      <c r="D2051" s="7" t="s">
        <v>103</v>
      </c>
      <c r="E2051" s="5" t="s">
        <v>15</v>
      </c>
      <c r="F2051" s="8"/>
      <c r="G2051" s="9">
        <f>H2051*(1-15%)*(1-F2051)</f>
        <v>29.664999999999999</v>
      </c>
      <c r="H2051" s="9">
        <v>34.899999999999999</v>
      </c>
      <c r="I2051" s="9">
        <f>H2051-G2051</f>
        <v>5.2349999999999994</v>
      </c>
    </row>
    <row r="2052" ht="14.25">
      <c r="A2052" s="5">
        <v>48777</v>
      </c>
      <c r="B2052" s="6" t="s">
        <v>2110</v>
      </c>
      <c r="C2052" s="7" t="s">
        <v>67</v>
      </c>
      <c r="D2052" s="7" t="s">
        <v>103</v>
      </c>
      <c r="E2052" s="5" t="s">
        <v>68</v>
      </c>
      <c r="F2052" s="8"/>
      <c r="G2052" s="9">
        <f>H2052*(1-15%)*(1-F2052)</f>
        <v>67.064999999999998</v>
      </c>
      <c r="H2052" s="9">
        <v>78.900000000000006</v>
      </c>
      <c r="I2052" s="9">
        <f>H2052-G2052</f>
        <v>11.835000000000008</v>
      </c>
    </row>
    <row r="2053" ht="14.25">
      <c r="A2053" s="5">
        <v>50797</v>
      </c>
      <c r="B2053" s="6" t="s">
        <v>2111</v>
      </c>
      <c r="C2053" s="7" t="s">
        <v>87</v>
      </c>
      <c r="D2053" s="7" t="s">
        <v>52</v>
      </c>
      <c r="E2053" s="5" t="s">
        <v>68</v>
      </c>
      <c r="F2053" s="8"/>
      <c r="G2053" s="9">
        <f>H2053*(1-15%)*(1-F2053)</f>
        <v>53.464999999999996</v>
      </c>
      <c r="H2053" s="9">
        <v>62.899999999999999</v>
      </c>
      <c r="I2053" s="9">
        <f>H2053-G2053</f>
        <v>9.4350000000000023</v>
      </c>
    </row>
    <row r="2054" ht="14.25">
      <c r="A2054" s="5">
        <v>48745</v>
      </c>
      <c r="B2054" s="6" t="s">
        <v>2112</v>
      </c>
      <c r="C2054" s="7" t="s">
        <v>87</v>
      </c>
      <c r="D2054" s="7" t="s">
        <v>52</v>
      </c>
      <c r="E2054" s="5" t="s">
        <v>15</v>
      </c>
      <c r="F2054" s="8"/>
      <c r="G2054" s="9">
        <f>H2054*(1-15%)*(1-F2054)</f>
        <v>42.414999999999999</v>
      </c>
      <c r="H2054" s="9">
        <v>49.899999999999999</v>
      </c>
      <c r="I2054" s="9">
        <f>H2054-G2054</f>
        <v>7.4849999999999994</v>
      </c>
    </row>
    <row r="2055" ht="14.25">
      <c r="A2055" s="5">
        <v>56605</v>
      </c>
      <c r="B2055" s="6" t="s">
        <v>2113</v>
      </c>
      <c r="C2055" s="7" t="s">
        <v>87</v>
      </c>
      <c r="D2055" s="7" t="s">
        <v>52</v>
      </c>
      <c r="E2055" s="5" t="s">
        <v>15</v>
      </c>
      <c r="F2055" s="8"/>
      <c r="G2055" s="9">
        <f>H2055*(1-15%)*(1-F2055)</f>
        <v>50.914999999999999</v>
      </c>
      <c r="H2055" s="9">
        <v>59.899999999999999</v>
      </c>
      <c r="I2055" s="9">
        <f>H2055-G2055</f>
        <v>8.9849999999999994</v>
      </c>
    </row>
    <row r="2056" ht="14.25">
      <c r="A2056" s="5">
        <v>51436</v>
      </c>
      <c r="B2056" s="6" t="s">
        <v>2114</v>
      </c>
      <c r="C2056" s="7" t="s">
        <v>87</v>
      </c>
      <c r="D2056" s="7" t="s">
        <v>52</v>
      </c>
      <c r="E2056" s="5" t="s">
        <v>39</v>
      </c>
      <c r="F2056" s="8"/>
      <c r="G2056" s="9">
        <f>H2056*(1-15%)*(1-F2056)</f>
        <v>38.164999999999999</v>
      </c>
      <c r="H2056" s="9">
        <v>44.899999999999999</v>
      </c>
      <c r="I2056" s="9">
        <f>H2056-G2056</f>
        <v>6.7349999999999994</v>
      </c>
    </row>
    <row r="2057" ht="14.25">
      <c r="A2057" s="5">
        <v>57730</v>
      </c>
      <c r="B2057" s="6" t="s">
        <v>2115</v>
      </c>
      <c r="C2057" s="7" t="s">
        <v>2116</v>
      </c>
      <c r="D2057" s="7" t="s">
        <v>52</v>
      </c>
      <c r="E2057" s="5" t="s">
        <v>703</v>
      </c>
      <c r="F2057" s="8"/>
      <c r="G2057" s="9">
        <f>H2057*(1-15%)*(1-F2057)</f>
        <v>42.414999999999999</v>
      </c>
      <c r="H2057" s="9">
        <v>49.899999999999999</v>
      </c>
      <c r="I2057" s="9">
        <f>H2057-G2057</f>
        <v>7.4849999999999994</v>
      </c>
    </row>
    <row r="2058" ht="14.25">
      <c r="A2058" s="5">
        <v>57368</v>
      </c>
      <c r="B2058" s="6" t="s">
        <v>2117</v>
      </c>
      <c r="C2058" s="7" t="s">
        <v>2116</v>
      </c>
      <c r="D2058" s="7" t="s">
        <v>52</v>
      </c>
      <c r="E2058" s="5" t="s">
        <v>703</v>
      </c>
      <c r="F2058" s="8"/>
      <c r="G2058" s="9">
        <f>H2058*(1-15%)*(1-F2058)</f>
        <v>42.414999999999999</v>
      </c>
      <c r="H2058" s="9">
        <v>49.899999999999999</v>
      </c>
      <c r="I2058" s="9">
        <f>H2058-G2058</f>
        <v>7.4849999999999994</v>
      </c>
    </row>
    <row r="2059" ht="14.25">
      <c r="A2059" s="5">
        <v>55310</v>
      </c>
      <c r="B2059" s="6" t="s">
        <v>2118</v>
      </c>
      <c r="C2059" s="7" t="s">
        <v>84</v>
      </c>
      <c r="D2059" s="7" t="s">
        <v>52</v>
      </c>
      <c r="E2059" s="5" t="s">
        <v>703</v>
      </c>
      <c r="F2059" s="8"/>
      <c r="G2059" s="9">
        <f>H2059*(1-15%)*(1-F2059)</f>
        <v>78.965000000000003</v>
      </c>
      <c r="H2059" s="9">
        <v>92.900000000000006</v>
      </c>
      <c r="I2059" s="9">
        <f>H2059-G2059</f>
        <v>13.935000000000002</v>
      </c>
    </row>
    <row r="2060" ht="14.25">
      <c r="A2060" s="5">
        <v>55306</v>
      </c>
      <c r="B2060" s="6" t="s">
        <v>2119</v>
      </c>
      <c r="C2060" s="7" t="s">
        <v>79</v>
      </c>
      <c r="D2060" s="7" t="s">
        <v>52</v>
      </c>
      <c r="E2060" s="5" t="s">
        <v>703</v>
      </c>
      <c r="F2060" s="8"/>
      <c r="G2060" s="9">
        <f>H2060*(1-15%)*(1-F2060)</f>
        <v>84.915000000000006</v>
      </c>
      <c r="H2060" s="9">
        <v>99.900000000000006</v>
      </c>
      <c r="I2060" s="9">
        <f>H2060-G2060</f>
        <v>14.984999999999999</v>
      </c>
    </row>
    <row r="2061" ht="14.25">
      <c r="A2061" s="5">
        <v>49264</v>
      </c>
      <c r="B2061" s="6" t="s">
        <v>2120</v>
      </c>
      <c r="C2061" s="7" t="s">
        <v>79</v>
      </c>
      <c r="D2061" s="7" t="s">
        <v>52</v>
      </c>
      <c r="E2061" s="5" t="s">
        <v>39</v>
      </c>
      <c r="F2061" s="8"/>
      <c r="G2061" s="9">
        <f>H2061*(1-15%)*(1-F2061)</f>
        <v>42.414999999999999</v>
      </c>
      <c r="H2061" s="9">
        <v>49.899999999999999</v>
      </c>
      <c r="I2061" s="9">
        <f>H2061-G2061</f>
        <v>7.4849999999999994</v>
      </c>
    </row>
    <row r="2062" ht="14.25">
      <c r="A2062" s="5">
        <v>59170</v>
      </c>
      <c r="B2062" s="6" t="s">
        <v>2121</v>
      </c>
      <c r="C2062" s="7" t="s">
        <v>79</v>
      </c>
      <c r="D2062" s="7" t="s">
        <v>52</v>
      </c>
      <c r="E2062" s="5" t="s">
        <v>26</v>
      </c>
      <c r="F2062" s="8"/>
      <c r="G2062" s="9">
        <f>H2062*(1-15%)*(1-F2062)</f>
        <v>44.114999999999995</v>
      </c>
      <c r="H2062" s="9">
        <v>51.899999999999999</v>
      </c>
      <c r="I2062" s="9">
        <f>H2062-G2062</f>
        <v>7.7850000000000037</v>
      </c>
    </row>
    <row r="2063" ht="14.25">
      <c r="A2063" s="5">
        <v>59131</v>
      </c>
      <c r="B2063" s="6" t="s">
        <v>2122</v>
      </c>
      <c r="C2063" s="7" t="s">
        <v>853</v>
      </c>
      <c r="D2063" s="7" t="s">
        <v>103</v>
      </c>
      <c r="E2063" s="5" t="s">
        <v>15</v>
      </c>
      <c r="F2063" s="8"/>
      <c r="G2063" s="9">
        <f>H2063*(1-15%)*(1-F2063)</f>
        <v>25.414999999999999</v>
      </c>
      <c r="H2063" s="9">
        <v>29.899999999999999</v>
      </c>
      <c r="I2063" s="9">
        <f>H2063-G2063</f>
        <v>4.4849999999999994</v>
      </c>
    </row>
    <row r="2064" ht="14.25">
      <c r="A2064" s="5">
        <v>52159</v>
      </c>
      <c r="B2064" s="6" t="s">
        <v>2123</v>
      </c>
      <c r="C2064" s="7" t="s">
        <v>271</v>
      </c>
      <c r="D2064" s="7" t="s">
        <v>110</v>
      </c>
      <c r="E2064" s="5" t="s">
        <v>68</v>
      </c>
      <c r="F2064" s="8"/>
      <c r="G2064" s="9">
        <f>H2064*(1-15%)*(1-F2064)</f>
        <v>50.914999999999999</v>
      </c>
      <c r="H2064" s="9">
        <v>59.899999999999999</v>
      </c>
      <c r="I2064" s="9">
        <f>H2064-G2064</f>
        <v>8.9849999999999994</v>
      </c>
    </row>
    <row r="2065" ht="14.25">
      <c r="A2065" s="5">
        <v>52160</v>
      </c>
      <c r="B2065" s="6" t="s">
        <v>2124</v>
      </c>
      <c r="C2065" s="7" t="s">
        <v>271</v>
      </c>
      <c r="D2065" s="7" t="s">
        <v>110</v>
      </c>
      <c r="E2065" s="5" t="s">
        <v>68</v>
      </c>
      <c r="F2065" s="8"/>
      <c r="G2065" s="9">
        <f>H2065*(1-15%)*(1-F2065)</f>
        <v>50.914999999999999</v>
      </c>
      <c r="H2065" s="9">
        <v>59.899999999999999</v>
      </c>
      <c r="I2065" s="9">
        <f>H2065-G2065</f>
        <v>8.9849999999999994</v>
      </c>
    </row>
    <row r="2066" ht="14.25">
      <c r="A2066" s="5">
        <v>87927</v>
      </c>
      <c r="B2066" s="6" t="s">
        <v>2125</v>
      </c>
      <c r="C2066" s="7" t="s">
        <v>271</v>
      </c>
      <c r="D2066" s="7" t="s">
        <v>110</v>
      </c>
      <c r="E2066" s="5" t="s">
        <v>39</v>
      </c>
      <c r="F2066" s="8"/>
      <c r="G2066" s="9">
        <f>H2066*(1-15%)*(1-F2066)</f>
        <v>32.214999999999996</v>
      </c>
      <c r="H2066" s="9">
        <v>37.899999999999999</v>
      </c>
      <c r="I2066" s="9">
        <f>H2066-G2066</f>
        <v>5.6850000000000023</v>
      </c>
    </row>
    <row r="2067" ht="14.25">
      <c r="A2067" s="5">
        <v>52281</v>
      </c>
      <c r="B2067" s="6" t="s">
        <v>2126</v>
      </c>
      <c r="C2067" s="7" t="s">
        <v>271</v>
      </c>
      <c r="D2067" s="7" t="s">
        <v>110</v>
      </c>
      <c r="E2067" s="5" t="s">
        <v>43</v>
      </c>
      <c r="F2067" s="8"/>
      <c r="G2067" s="9">
        <f>H2067*(1-15%)*(1-F2067)</f>
        <v>39.015000000000001</v>
      </c>
      <c r="H2067" s="9">
        <v>45.899999999999999</v>
      </c>
      <c r="I2067" s="9">
        <f>H2067-G2067</f>
        <v>6.884999999999998</v>
      </c>
    </row>
    <row r="2068" ht="14.25">
      <c r="A2068" s="5">
        <v>56257</v>
      </c>
      <c r="B2068" s="6" t="s">
        <v>2127</v>
      </c>
      <c r="C2068" s="7" t="s">
        <v>271</v>
      </c>
      <c r="D2068" s="7" t="s">
        <v>110</v>
      </c>
      <c r="E2068" s="5" t="s">
        <v>68</v>
      </c>
      <c r="F2068" s="8"/>
      <c r="G2068" s="9">
        <f>H2068*(1-15%)*(1-F2068)</f>
        <v>41.564999999999998</v>
      </c>
      <c r="H2068" s="9">
        <v>48.899999999999999</v>
      </c>
      <c r="I2068" s="9">
        <f>H2068-G2068</f>
        <v>7.3350000000000009</v>
      </c>
    </row>
    <row r="2069" ht="14.25">
      <c r="A2069" s="5">
        <v>59406</v>
      </c>
      <c r="B2069" s="6" t="s">
        <v>2128</v>
      </c>
      <c r="C2069" s="7" t="s">
        <v>271</v>
      </c>
      <c r="D2069" s="7" t="s">
        <v>110</v>
      </c>
      <c r="E2069" s="5" t="s">
        <v>68</v>
      </c>
      <c r="F2069" s="8"/>
      <c r="G2069" s="9">
        <f>H2069*(1-15%)*(1-F2069)</f>
        <v>41.564999999999998</v>
      </c>
      <c r="H2069" s="9">
        <v>48.899999999999999</v>
      </c>
      <c r="I2069" s="9">
        <f>H2069-G2069</f>
        <v>7.3350000000000009</v>
      </c>
    </row>
    <row r="2070" ht="14.25">
      <c r="A2070" s="5">
        <v>87103</v>
      </c>
      <c r="B2070" s="6" t="s">
        <v>2129</v>
      </c>
      <c r="C2070" s="7" t="s">
        <v>109</v>
      </c>
      <c r="D2070" s="7" t="s">
        <v>110</v>
      </c>
      <c r="E2070" s="5" t="s">
        <v>39</v>
      </c>
      <c r="F2070" s="8"/>
      <c r="G2070" s="9">
        <f>H2070*(1-15%)*(1-F2070)</f>
        <v>53.464999999999996</v>
      </c>
      <c r="H2070" s="9">
        <v>62.899999999999999</v>
      </c>
      <c r="I2070" s="9">
        <f>H2070-G2070</f>
        <v>9.4350000000000023</v>
      </c>
    </row>
    <row r="2071" ht="14.25">
      <c r="A2071" s="5">
        <v>87102</v>
      </c>
      <c r="B2071" s="6" t="s">
        <v>2130</v>
      </c>
      <c r="C2071" s="7" t="s">
        <v>109</v>
      </c>
      <c r="D2071" s="7" t="s">
        <v>110</v>
      </c>
      <c r="E2071" s="5" t="s">
        <v>39</v>
      </c>
      <c r="F2071" s="8"/>
      <c r="G2071" s="9">
        <f>H2071*(1-15%)*(1-F2071)</f>
        <v>53.464999999999996</v>
      </c>
      <c r="H2071" s="9">
        <v>62.899999999999999</v>
      </c>
      <c r="I2071" s="9">
        <f>H2071-G2071</f>
        <v>9.4350000000000023</v>
      </c>
    </row>
    <row r="2072" ht="14.25">
      <c r="A2072" s="5">
        <v>87046</v>
      </c>
      <c r="B2072" s="6" t="s">
        <v>2131</v>
      </c>
      <c r="C2072" s="7" t="s">
        <v>109</v>
      </c>
      <c r="D2072" s="7" t="s">
        <v>110</v>
      </c>
      <c r="E2072" s="5" t="s">
        <v>39</v>
      </c>
      <c r="F2072" s="8"/>
      <c r="G2072" s="9">
        <f>H2072*(1-15%)*(1-F2072)</f>
        <v>106.16500000000001</v>
      </c>
      <c r="H2072" s="9">
        <v>124.90000000000001</v>
      </c>
      <c r="I2072" s="9">
        <f>H2072-G2072</f>
        <v>18.734999999999999</v>
      </c>
    </row>
    <row r="2073" ht="14.25">
      <c r="A2073" s="5">
        <v>87049</v>
      </c>
      <c r="B2073" s="6" t="s">
        <v>2132</v>
      </c>
      <c r="C2073" s="7" t="s">
        <v>109</v>
      </c>
      <c r="D2073" s="7" t="s">
        <v>110</v>
      </c>
      <c r="E2073" s="5" t="s">
        <v>133</v>
      </c>
      <c r="F2073" s="8"/>
      <c r="G2073" s="9">
        <f>H2073*(1-15%)*(1-F2073)</f>
        <v>106.16500000000001</v>
      </c>
      <c r="H2073" s="9">
        <v>124.90000000000001</v>
      </c>
      <c r="I2073" s="9">
        <f>H2073-G2073</f>
        <v>18.734999999999999</v>
      </c>
    </row>
    <row r="2074" ht="14.25">
      <c r="A2074" s="5">
        <v>87039</v>
      </c>
      <c r="B2074" s="6" t="s">
        <v>2133</v>
      </c>
      <c r="C2074" s="7" t="s">
        <v>109</v>
      </c>
      <c r="D2074" s="7" t="s">
        <v>110</v>
      </c>
      <c r="E2074" s="5" t="s">
        <v>39</v>
      </c>
      <c r="F2074" s="8"/>
      <c r="G2074" s="9">
        <f>H2074*(1-15%)*(1-F2074)</f>
        <v>106.16500000000001</v>
      </c>
      <c r="H2074" s="9">
        <v>124.90000000000001</v>
      </c>
      <c r="I2074" s="9">
        <f>H2074-G2074</f>
        <v>18.734999999999999</v>
      </c>
    </row>
    <row r="2075" ht="14.25">
      <c r="A2075" s="5">
        <v>56051</v>
      </c>
      <c r="B2075" s="6" t="s">
        <v>2134</v>
      </c>
      <c r="C2075" s="7" t="s">
        <v>109</v>
      </c>
      <c r="D2075" s="7" t="s">
        <v>110</v>
      </c>
      <c r="E2075" s="5" t="s">
        <v>39</v>
      </c>
      <c r="F2075" s="8"/>
      <c r="G2075" s="9">
        <f>H2075*(1-15%)*(1-F2075)</f>
        <v>70.465000000000003</v>
      </c>
      <c r="H2075" s="9">
        <v>82.900000000000006</v>
      </c>
      <c r="I2075" s="9">
        <f>H2075-G2075</f>
        <v>12.435000000000002</v>
      </c>
    </row>
    <row r="2076" ht="14.25">
      <c r="A2076" s="5">
        <v>58566</v>
      </c>
      <c r="B2076" s="6" t="s">
        <v>2135</v>
      </c>
      <c r="C2076" s="7" t="s">
        <v>109</v>
      </c>
      <c r="D2076" s="7" t="s">
        <v>110</v>
      </c>
      <c r="E2076" s="5" t="s">
        <v>43</v>
      </c>
      <c r="F2076" s="8"/>
      <c r="G2076" s="9">
        <f>H2076*(1-15%)*(1-F2076)</f>
        <v>59.415000000000006</v>
      </c>
      <c r="H2076" s="9">
        <v>69.900000000000006</v>
      </c>
      <c r="I2076" s="9">
        <f>H2076-G2076</f>
        <v>10.484999999999999</v>
      </c>
    </row>
    <row r="2077" ht="14.25">
      <c r="A2077" s="5">
        <v>58629</v>
      </c>
      <c r="B2077" s="6" t="s">
        <v>2136</v>
      </c>
      <c r="C2077" s="7" t="s">
        <v>109</v>
      </c>
      <c r="D2077" s="7" t="s">
        <v>110</v>
      </c>
      <c r="E2077" s="5" t="s">
        <v>43</v>
      </c>
      <c r="F2077" s="8"/>
      <c r="G2077" s="9">
        <f>H2077*(1-15%)*(1-F2077)</f>
        <v>59.415000000000006</v>
      </c>
      <c r="H2077" s="9">
        <v>69.900000000000006</v>
      </c>
      <c r="I2077" s="9">
        <f>H2077-G2077</f>
        <v>10.484999999999999</v>
      </c>
    </row>
    <row r="2078" ht="14.25">
      <c r="A2078" s="5">
        <v>58630</v>
      </c>
      <c r="B2078" s="6" t="s">
        <v>2137</v>
      </c>
      <c r="C2078" s="7" t="s">
        <v>109</v>
      </c>
      <c r="D2078" s="7" t="s">
        <v>110</v>
      </c>
      <c r="E2078" s="5" t="s">
        <v>43</v>
      </c>
      <c r="F2078" s="8"/>
      <c r="G2078" s="9">
        <f>H2078*(1-15%)*(1-F2078)</f>
        <v>59.415000000000006</v>
      </c>
      <c r="H2078" s="9">
        <v>69.900000000000006</v>
      </c>
      <c r="I2078" s="9">
        <f>H2078-G2078</f>
        <v>10.484999999999999</v>
      </c>
    </row>
    <row r="2079" ht="14.25">
      <c r="A2079" s="5">
        <v>58631</v>
      </c>
      <c r="B2079" s="6" t="s">
        <v>2138</v>
      </c>
      <c r="C2079" s="7" t="s">
        <v>109</v>
      </c>
      <c r="D2079" s="7" t="s">
        <v>110</v>
      </c>
      <c r="E2079" s="5" t="s">
        <v>43</v>
      </c>
      <c r="F2079" s="8"/>
      <c r="G2079" s="9">
        <f>H2079*(1-15%)*(1-F2079)</f>
        <v>59.415000000000006</v>
      </c>
      <c r="H2079" s="9">
        <v>69.900000000000006</v>
      </c>
      <c r="I2079" s="9">
        <f>H2079-G2079</f>
        <v>10.484999999999999</v>
      </c>
    </row>
    <row r="2080" ht="14.25">
      <c r="A2080" s="5">
        <v>58632</v>
      </c>
      <c r="B2080" s="6" t="s">
        <v>2139</v>
      </c>
      <c r="C2080" s="7" t="s">
        <v>109</v>
      </c>
      <c r="D2080" s="7" t="s">
        <v>110</v>
      </c>
      <c r="E2080" s="5" t="s">
        <v>43</v>
      </c>
      <c r="F2080" s="8"/>
      <c r="G2080" s="9">
        <f>H2080*(1-15%)*(1-F2080)</f>
        <v>59.415000000000006</v>
      </c>
      <c r="H2080" s="9">
        <v>69.900000000000006</v>
      </c>
      <c r="I2080" s="9">
        <f>H2080-G2080</f>
        <v>10.484999999999999</v>
      </c>
    </row>
    <row r="2081" ht="14.25">
      <c r="A2081" s="5">
        <v>57474</v>
      </c>
      <c r="B2081" s="6" t="s">
        <v>2140</v>
      </c>
      <c r="C2081" s="7" t="s">
        <v>109</v>
      </c>
      <c r="D2081" s="7" t="s">
        <v>110</v>
      </c>
      <c r="E2081" s="5" t="s">
        <v>39</v>
      </c>
      <c r="F2081" s="8"/>
      <c r="G2081" s="9">
        <f>H2081*(1-15%)*(1-F2081)</f>
        <v>70.465000000000003</v>
      </c>
      <c r="H2081" s="9">
        <v>82.900000000000006</v>
      </c>
      <c r="I2081" s="9">
        <f>H2081-G2081</f>
        <v>12.435000000000002</v>
      </c>
    </row>
    <row r="2082" ht="14.25">
      <c r="A2082" s="5">
        <v>57473</v>
      </c>
      <c r="B2082" s="6" t="s">
        <v>2141</v>
      </c>
      <c r="C2082" s="7" t="s">
        <v>109</v>
      </c>
      <c r="D2082" s="7" t="s">
        <v>110</v>
      </c>
      <c r="E2082" s="5" t="s">
        <v>39</v>
      </c>
      <c r="F2082" s="8"/>
      <c r="G2082" s="9">
        <f>H2082*(1-15%)*(1-F2082)</f>
        <v>70.465000000000003</v>
      </c>
      <c r="H2082" s="9">
        <v>82.900000000000006</v>
      </c>
      <c r="I2082" s="9">
        <f>H2082-G2082</f>
        <v>12.435000000000002</v>
      </c>
    </row>
    <row r="2083" ht="14.25">
      <c r="A2083" s="5">
        <v>59134</v>
      </c>
      <c r="B2083" s="6" t="s">
        <v>2142</v>
      </c>
      <c r="C2083" s="7" t="s">
        <v>109</v>
      </c>
      <c r="D2083" s="7" t="s">
        <v>110</v>
      </c>
      <c r="E2083" s="5" t="s">
        <v>39</v>
      </c>
      <c r="F2083" s="8"/>
      <c r="G2083" s="9">
        <f>H2083*(1-15%)*(1-F2083)</f>
        <v>89.165000000000006</v>
      </c>
      <c r="H2083" s="9">
        <v>104.90000000000001</v>
      </c>
      <c r="I2083" s="9">
        <f>H2083-G2083</f>
        <v>15.734999999999999</v>
      </c>
    </row>
    <row r="2084" ht="14.25">
      <c r="A2084" s="5">
        <v>55502</v>
      </c>
      <c r="B2084" s="6" t="s">
        <v>2143</v>
      </c>
      <c r="C2084" s="7" t="s">
        <v>109</v>
      </c>
      <c r="D2084" s="7" t="s">
        <v>110</v>
      </c>
      <c r="E2084" s="5" t="s">
        <v>39</v>
      </c>
      <c r="F2084" s="8"/>
      <c r="G2084" s="9">
        <f>H2084*(1-15%)*(1-F2084)</f>
        <v>84.915000000000006</v>
      </c>
      <c r="H2084" s="9">
        <v>99.900000000000006</v>
      </c>
      <c r="I2084" s="9">
        <f>H2084-G2084</f>
        <v>14.984999999999999</v>
      </c>
    </row>
    <row r="2085" ht="14.25">
      <c r="A2085" s="5">
        <v>57500</v>
      </c>
      <c r="B2085" s="6" t="s">
        <v>2144</v>
      </c>
      <c r="C2085" s="7" t="s">
        <v>109</v>
      </c>
      <c r="D2085" s="7" t="s">
        <v>110</v>
      </c>
      <c r="E2085" s="5" t="s">
        <v>26</v>
      </c>
      <c r="F2085" s="8"/>
      <c r="G2085" s="9">
        <f>H2085*(1-15%)*(1-F2085)</f>
        <v>67.915000000000006</v>
      </c>
      <c r="H2085" s="9">
        <v>79.900000000000006</v>
      </c>
      <c r="I2085" s="9">
        <f>H2085-G2085</f>
        <v>11.984999999999999</v>
      </c>
    </row>
    <row r="2086" ht="14.25">
      <c r="A2086" s="5">
        <v>57493</v>
      </c>
      <c r="B2086" s="6" t="s">
        <v>2145</v>
      </c>
      <c r="C2086" s="7" t="s">
        <v>109</v>
      </c>
      <c r="D2086" s="7" t="s">
        <v>110</v>
      </c>
      <c r="E2086" s="5" t="s">
        <v>39</v>
      </c>
      <c r="F2086" s="8"/>
      <c r="G2086" s="9">
        <f>H2086*(1-15%)*(1-F2086)</f>
        <v>57.715000000000003</v>
      </c>
      <c r="H2086" s="9">
        <v>67.900000000000006</v>
      </c>
      <c r="I2086" s="9">
        <f>H2086-G2086</f>
        <v>10.185000000000002</v>
      </c>
    </row>
    <row r="2087" ht="14.25">
      <c r="A2087" s="5">
        <v>58813</v>
      </c>
      <c r="B2087" s="6" t="s">
        <v>2146</v>
      </c>
      <c r="C2087" s="7" t="s">
        <v>109</v>
      </c>
      <c r="D2087" s="7" t="s">
        <v>110</v>
      </c>
      <c r="E2087" s="5" t="s">
        <v>26</v>
      </c>
      <c r="F2087" s="8"/>
      <c r="G2087" s="9">
        <f>H2087*(1-15%)*(1-F2087)</f>
        <v>59.415000000000006</v>
      </c>
      <c r="H2087" s="9">
        <v>69.900000000000006</v>
      </c>
      <c r="I2087" s="9">
        <f>H2087-G2087</f>
        <v>10.484999999999999</v>
      </c>
    </row>
    <row r="2088" ht="14.25">
      <c r="A2088" s="5">
        <v>86166</v>
      </c>
      <c r="B2088" s="6" t="s">
        <v>2147</v>
      </c>
      <c r="C2088" s="7" t="s">
        <v>109</v>
      </c>
      <c r="D2088" s="7" t="s">
        <v>110</v>
      </c>
      <c r="E2088" s="5" t="s">
        <v>26</v>
      </c>
      <c r="F2088" s="8"/>
      <c r="G2088" s="9">
        <f>H2088*(1-15%)*(1-F2088)</f>
        <v>59.415000000000006</v>
      </c>
      <c r="H2088" s="9">
        <v>69.900000000000006</v>
      </c>
      <c r="I2088" s="9">
        <f>H2088-G2088</f>
        <v>10.484999999999999</v>
      </c>
    </row>
    <row r="2089" ht="14.25">
      <c r="A2089" s="5">
        <v>55981</v>
      </c>
      <c r="B2089" s="6" t="s">
        <v>2148</v>
      </c>
      <c r="C2089" s="7" t="s">
        <v>109</v>
      </c>
      <c r="D2089" s="7" t="s">
        <v>110</v>
      </c>
      <c r="E2089" s="5" t="s">
        <v>39</v>
      </c>
      <c r="F2089" s="8"/>
      <c r="G2089" s="9">
        <f>H2089*(1-15%)*(1-F2089)</f>
        <v>70.465000000000003</v>
      </c>
      <c r="H2089" s="9">
        <v>82.900000000000006</v>
      </c>
      <c r="I2089" s="9">
        <f>H2089-G2089</f>
        <v>12.435000000000002</v>
      </c>
    </row>
    <row r="2090" ht="14.25">
      <c r="A2090" s="5">
        <v>55505</v>
      </c>
      <c r="B2090" s="6" t="s">
        <v>2149</v>
      </c>
      <c r="C2090" s="7" t="s">
        <v>109</v>
      </c>
      <c r="D2090" s="7" t="s">
        <v>110</v>
      </c>
      <c r="E2090" s="5" t="s">
        <v>39</v>
      </c>
      <c r="F2090" s="8"/>
      <c r="G2090" s="9">
        <f>H2090*(1-15%)*(1-F2090)</f>
        <v>57.715000000000003</v>
      </c>
      <c r="H2090" s="9">
        <v>67.900000000000006</v>
      </c>
      <c r="I2090" s="9">
        <f>H2090-G2090</f>
        <v>10.185000000000002</v>
      </c>
    </row>
    <row r="2091" ht="14.25">
      <c r="A2091" s="5">
        <v>59436</v>
      </c>
      <c r="B2091" s="6" t="s">
        <v>2150</v>
      </c>
      <c r="C2091" s="7" t="s">
        <v>14</v>
      </c>
      <c r="D2091" s="7" t="s">
        <v>11</v>
      </c>
      <c r="E2091" s="5" t="s">
        <v>26</v>
      </c>
      <c r="F2091" s="8"/>
      <c r="G2091" s="9">
        <f>H2091*(1-15%)*(1-F2091)</f>
        <v>135.91499999999999</v>
      </c>
      <c r="H2091" s="9">
        <v>159.90000000000001</v>
      </c>
      <c r="I2091" s="9">
        <f>H2091-G2091</f>
        <v>23.985000000000014</v>
      </c>
    </row>
    <row r="2092" ht="14.25">
      <c r="A2092" s="5">
        <v>86895</v>
      </c>
      <c r="B2092" s="6" t="s">
        <v>2151</v>
      </c>
      <c r="C2092" s="7" t="s">
        <v>70</v>
      </c>
      <c r="D2092" s="7" t="s">
        <v>11</v>
      </c>
      <c r="E2092" s="5" t="s">
        <v>12</v>
      </c>
      <c r="F2092" s="8"/>
      <c r="G2092" s="9">
        <f>H2092*(1-15%)*(1-F2092)</f>
        <v>186.91499999999999</v>
      </c>
      <c r="H2092" s="9">
        <v>219.90000000000001</v>
      </c>
      <c r="I2092" s="9">
        <f>H2092-G2092</f>
        <v>32.985000000000014</v>
      </c>
    </row>
    <row r="2093" ht="14.25">
      <c r="A2093" s="5">
        <v>55363</v>
      </c>
      <c r="B2093" s="6" t="s">
        <v>2152</v>
      </c>
      <c r="C2093" s="7" t="s">
        <v>70</v>
      </c>
      <c r="D2093" s="7" t="s">
        <v>11</v>
      </c>
      <c r="E2093" s="5" t="s">
        <v>43</v>
      </c>
      <c r="F2093" s="8"/>
      <c r="G2093" s="9">
        <f>H2093*(1-15%)*(1-F2093)</f>
        <v>271.91499999999996</v>
      </c>
      <c r="H2093" s="9">
        <v>319.89999999999998</v>
      </c>
      <c r="I2093" s="9">
        <f>H2093-G2093</f>
        <v>47.985000000000014</v>
      </c>
    </row>
    <row r="2094" ht="14.25">
      <c r="A2094" s="5">
        <v>52482</v>
      </c>
      <c r="B2094" s="6" t="s">
        <v>2153</v>
      </c>
      <c r="C2094" s="7" t="s">
        <v>624</v>
      </c>
      <c r="D2094" s="7" t="s">
        <v>61</v>
      </c>
      <c r="E2094" s="5" t="s">
        <v>39</v>
      </c>
      <c r="F2094" s="8"/>
      <c r="G2094" s="9">
        <f>H2094*(1-15%)*(1-F2094)</f>
        <v>50.914999999999999</v>
      </c>
      <c r="H2094" s="9">
        <v>59.899999999999999</v>
      </c>
      <c r="I2094" s="9">
        <f>H2094-G2094</f>
        <v>8.9849999999999994</v>
      </c>
    </row>
    <row r="2095" ht="14.25">
      <c r="A2095" s="5">
        <v>54231</v>
      </c>
      <c r="B2095" s="6" t="s">
        <v>2154</v>
      </c>
      <c r="C2095" s="7" t="s">
        <v>10</v>
      </c>
      <c r="D2095" s="7" t="s">
        <v>11</v>
      </c>
      <c r="E2095" s="5" t="s">
        <v>12</v>
      </c>
      <c r="F2095" s="8"/>
      <c r="G2095" s="9">
        <f>H2095*(1-15%)*(1-F2095)</f>
        <v>186.91499999999999</v>
      </c>
      <c r="H2095" s="9">
        <v>219.90000000000001</v>
      </c>
      <c r="I2095" s="9">
        <f>H2095-G2095</f>
        <v>32.985000000000014</v>
      </c>
    </row>
    <row r="2096" ht="14.25">
      <c r="A2096" s="5">
        <v>84400</v>
      </c>
      <c r="B2096" s="6" t="s">
        <v>2155</v>
      </c>
      <c r="C2096" s="7" t="s">
        <v>10</v>
      </c>
      <c r="D2096" s="7" t="s">
        <v>11</v>
      </c>
      <c r="E2096" s="5" t="s">
        <v>26</v>
      </c>
      <c r="F2096" s="8"/>
      <c r="G2096" s="9">
        <f>H2096*(1-15%)*(1-F2096)</f>
        <v>186.91499999999999</v>
      </c>
      <c r="H2096" s="9">
        <v>219.90000000000001</v>
      </c>
      <c r="I2096" s="9">
        <f>H2096-G2096</f>
        <v>32.985000000000014</v>
      </c>
    </row>
    <row r="2097" ht="14.25">
      <c r="A2097" s="5">
        <v>49031</v>
      </c>
      <c r="B2097" s="6" t="s">
        <v>2156</v>
      </c>
      <c r="C2097" s="7" t="s">
        <v>10</v>
      </c>
      <c r="D2097" s="7" t="s">
        <v>11</v>
      </c>
      <c r="E2097" s="5" t="s">
        <v>39</v>
      </c>
      <c r="F2097" s="8"/>
      <c r="G2097" s="9">
        <f>H2097*(1-15%)*(1-F2097)</f>
        <v>178.41499999999999</v>
      </c>
      <c r="H2097" s="9">
        <v>209.90000000000001</v>
      </c>
      <c r="I2097" s="9">
        <f>H2097-G2097</f>
        <v>31.485000000000014</v>
      </c>
    </row>
    <row r="2098" ht="14.25">
      <c r="A2098" s="5">
        <v>55648</v>
      </c>
      <c r="B2098" s="6" t="s">
        <v>2157</v>
      </c>
      <c r="C2098" s="7" t="s">
        <v>65</v>
      </c>
      <c r="D2098" s="7" t="s">
        <v>11</v>
      </c>
      <c r="E2098" s="5" t="s">
        <v>703</v>
      </c>
      <c r="F2098" s="8"/>
      <c r="G2098" s="9">
        <f>H2098*(1-15%)*(1-F2098)</f>
        <v>152.91499999999999</v>
      </c>
      <c r="H2098" s="9">
        <v>179.90000000000001</v>
      </c>
      <c r="I2098" s="9">
        <f>H2098-G2098</f>
        <v>26.985000000000014</v>
      </c>
    </row>
    <row r="2099" ht="14.25">
      <c r="A2099" s="5">
        <v>50863</v>
      </c>
      <c r="B2099" s="6" t="s">
        <v>2158</v>
      </c>
      <c r="C2099" s="7" t="s">
        <v>36</v>
      </c>
      <c r="D2099" s="7" t="s">
        <v>11</v>
      </c>
      <c r="E2099" s="5" t="s">
        <v>39</v>
      </c>
      <c r="F2099" s="8"/>
      <c r="G2099" s="9">
        <f>H2099*(1-15%)*(1-F2099)</f>
        <v>110.41500000000001</v>
      </c>
      <c r="H2099" s="9">
        <v>129.90000000000001</v>
      </c>
      <c r="I2099" s="9">
        <f>H2099-G2099</f>
        <v>19.484999999999999</v>
      </c>
    </row>
    <row r="2100" ht="14.25">
      <c r="A2100" s="5">
        <v>50862</v>
      </c>
      <c r="B2100" s="6" t="s">
        <v>2159</v>
      </c>
      <c r="C2100" s="7" t="s">
        <v>36</v>
      </c>
      <c r="D2100" s="7" t="s">
        <v>11</v>
      </c>
      <c r="E2100" s="5" t="s">
        <v>39</v>
      </c>
      <c r="F2100" s="8"/>
      <c r="G2100" s="9">
        <f>H2100*(1-15%)*(1-F2100)</f>
        <v>110.41500000000001</v>
      </c>
      <c r="H2100" s="9">
        <v>129.90000000000001</v>
      </c>
      <c r="I2100" s="9">
        <f>H2100-G2100</f>
        <v>19.484999999999999</v>
      </c>
    </row>
    <row r="2101" ht="14.25">
      <c r="A2101" s="5">
        <v>1762</v>
      </c>
      <c r="B2101" s="6" t="s">
        <v>2160</v>
      </c>
      <c r="C2101" s="7" t="s">
        <v>82</v>
      </c>
      <c r="D2101" s="7" t="s">
        <v>183</v>
      </c>
      <c r="E2101" s="5" t="s">
        <v>15</v>
      </c>
      <c r="F2101" s="8"/>
      <c r="G2101" s="9">
        <f>H2101*(1-15%)*(1-F2101)</f>
        <v>5.8650000000000002</v>
      </c>
      <c r="H2101" s="9">
        <v>6.9000000000000004</v>
      </c>
      <c r="I2101" s="9">
        <f>H2101-G2101</f>
        <v>1.0350000000000001</v>
      </c>
    </row>
    <row r="2102" ht="14.25">
      <c r="A2102" s="5">
        <v>3013</v>
      </c>
      <c r="B2102" s="6" t="s">
        <v>2161</v>
      </c>
      <c r="C2102" s="7" t="s">
        <v>2162</v>
      </c>
      <c r="D2102" s="7" t="s">
        <v>174</v>
      </c>
      <c r="E2102" s="5" t="s">
        <v>26</v>
      </c>
      <c r="F2102" s="8"/>
      <c r="G2102" s="9">
        <f>H2102*(1-15%)*(1-F2102)</f>
        <v>49.214999999999996</v>
      </c>
      <c r="H2102" s="9">
        <v>57.899999999999999</v>
      </c>
      <c r="I2102" s="9">
        <f>H2102-G2102</f>
        <v>8.6850000000000023</v>
      </c>
    </row>
    <row r="2103" ht="14.25">
      <c r="A2103" s="5">
        <v>4480</v>
      </c>
      <c r="B2103" s="6" t="s">
        <v>2163</v>
      </c>
      <c r="C2103" s="7" t="s">
        <v>426</v>
      </c>
      <c r="D2103" s="7" t="s">
        <v>219</v>
      </c>
      <c r="E2103" s="5" t="s">
        <v>68</v>
      </c>
      <c r="F2103" s="8"/>
      <c r="G2103" s="9">
        <f>H2103*(1-15%)*(1-F2103)</f>
        <v>76.415000000000006</v>
      </c>
      <c r="H2103" s="9">
        <v>89.900000000000006</v>
      </c>
      <c r="I2103" s="9">
        <f>H2103-G2103</f>
        <v>13.484999999999999</v>
      </c>
    </row>
    <row r="2104" ht="14.25">
      <c r="A2104" s="5">
        <v>4481</v>
      </c>
      <c r="B2104" s="6" t="s">
        <v>2164</v>
      </c>
      <c r="C2104" s="7" t="s">
        <v>426</v>
      </c>
      <c r="D2104" s="7" t="s">
        <v>219</v>
      </c>
      <c r="E2104" s="5" t="s">
        <v>68</v>
      </c>
      <c r="F2104" s="8"/>
      <c r="G2104" s="9">
        <f>H2104*(1-15%)*(1-F2104)</f>
        <v>76.415000000000006</v>
      </c>
      <c r="H2104" s="9">
        <v>89.900000000000006</v>
      </c>
      <c r="I2104" s="9">
        <f>H2104-G2104</f>
        <v>13.484999999999999</v>
      </c>
    </row>
    <row r="2105" ht="14.25">
      <c r="A2105" s="5">
        <v>4971</v>
      </c>
      <c r="B2105" s="6" t="s">
        <v>2161</v>
      </c>
      <c r="C2105" s="7" t="s">
        <v>2162</v>
      </c>
      <c r="D2105" s="7" t="s">
        <v>174</v>
      </c>
      <c r="E2105" s="5" t="s">
        <v>26</v>
      </c>
      <c r="F2105" s="8"/>
      <c r="G2105" s="9">
        <f>H2105*(1-15%)*(1-F2105)</f>
        <v>49.214999999999996</v>
      </c>
      <c r="H2105" s="9">
        <v>57.899999999999999</v>
      </c>
      <c r="I2105" s="9">
        <f>H2105-G2105</f>
        <v>8.6850000000000023</v>
      </c>
    </row>
    <row r="2106" ht="14.25">
      <c r="A2106" s="5">
        <v>8458</v>
      </c>
      <c r="B2106" s="6" t="s">
        <v>1183</v>
      </c>
      <c r="C2106" s="7" t="s">
        <v>94</v>
      </c>
      <c r="D2106" s="7" t="s">
        <v>95</v>
      </c>
      <c r="E2106" s="5" t="s">
        <v>26</v>
      </c>
      <c r="F2106" s="8"/>
      <c r="G2106" s="9">
        <f>H2106*(1-15%)*(1-F2106)</f>
        <v>55.165000000000006</v>
      </c>
      <c r="H2106" s="9">
        <v>64.900000000000006</v>
      </c>
      <c r="I2106" s="9">
        <f>H2106-G2106</f>
        <v>9.7349999999999994</v>
      </c>
    </row>
    <row r="2107" ht="14.25">
      <c r="A2107" s="5">
        <v>10574</v>
      </c>
      <c r="B2107" s="6" t="s">
        <v>2165</v>
      </c>
      <c r="C2107" s="7" t="s">
        <v>2166</v>
      </c>
      <c r="D2107" s="7" t="s">
        <v>103</v>
      </c>
      <c r="E2107" s="5" t="s">
        <v>15</v>
      </c>
      <c r="F2107" s="8"/>
      <c r="G2107" s="9">
        <f>H2107*(1-15%)*(1-F2107)</f>
        <v>15.291499999999997</v>
      </c>
      <c r="H2107" s="9">
        <v>17.989999999999998</v>
      </c>
      <c r="I2107" s="9">
        <f>H2107-G2107</f>
        <v>2.698500000000001</v>
      </c>
    </row>
    <row r="2108" ht="14.25">
      <c r="A2108" s="5">
        <v>10695</v>
      </c>
      <c r="B2108" s="6" t="s">
        <v>2161</v>
      </c>
      <c r="C2108" s="7" t="s">
        <v>2162</v>
      </c>
      <c r="D2108" s="7" t="s">
        <v>174</v>
      </c>
      <c r="E2108" s="5" t="s">
        <v>26</v>
      </c>
      <c r="F2108" s="8"/>
      <c r="G2108" s="9">
        <f>H2108*(1-15%)*(1-F2108)</f>
        <v>49.214999999999996</v>
      </c>
      <c r="H2108" s="9">
        <v>57.899999999999999</v>
      </c>
      <c r="I2108" s="9">
        <f>H2108-G2108</f>
        <v>8.6850000000000023</v>
      </c>
    </row>
    <row r="2109" ht="14.25">
      <c r="A2109" s="5">
        <v>10764</v>
      </c>
      <c r="B2109" s="6" t="s">
        <v>2167</v>
      </c>
      <c r="C2109" s="7" t="s">
        <v>2168</v>
      </c>
      <c r="D2109" s="7" t="s">
        <v>11</v>
      </c>
      <c r="E2109" s="5" t="s">
        <v>15</v>
      </c>
      <c r="F2109" s="8"/>
      <c r="G2109" s="9">
        <f>H2109*(1-15%)*(1-F2109)</f>
        <v>67.149999999999991</v>
      </c>
      <c r="H2109" s="9">
        <v>79</v>
      </c>
      <c r="I2109" s="9">
        <f>H2109-G2109</f>
        <v>11.850000000000009</v>
      </c>
    </row>
    <row r="2110" ht="14.25">
      <c r="A2110" s="5">
        <v>10855</v>
      </c>
      <c r="B2110" s="6" t="s">
        <v>2169</v>
      </c>
      <c r="C2110" s="7" t="s">
        <v>2170</v>
      </c>
      <c r="D2110" s="7" t="s">
        <v>71</v>
      </c>
      <c r="E2110" s="5" t="s">
        <v>15</v>
      </c>
      <c r="F2110" s="8"/>
      <c r="G2110" s="9">
        <f>H2110*(1-15%)*(1-F2110)</f>
        <v>23.715</v>
      </c>
      <c r="H2110" s="9">
        <v>27.899999999999999</v>
      </c>
      <c r="I2110" s="9">
        <f>H2110-G2110</f>
        <v>4.1849999999999987</v>
      </c>
    </row>
    <row r="2111" ht="14.25">
      <c r="A2111" s="5">
        <v>10977</v>
      </c>
      <c r="B2111" s="6" t="s">
        <v>2171</v>
      </c>
      <c r="C2111" s="7" t="s">
        <v>14</v>
      </c>
      <c r="D2111" s="7" t="s">
        <v>11</v>
      </c>
      <c r="E2111" s="5" t="s">
        <v>15</v>
      </c>
      <c r="F2111" s="8"/>
      <c r="G2111" s="9">
        <f>H2111*(1-15%)*(1-F2111)</f>
        <v>110.41500000000001</v>
      </c>
      <c r="H2111" s="9">
        <v>129.90000000000001</v>
      </c>
      <c r="I2111" s="9">
        <f>H2111-G2111</f>
        <v>19.484999999999999</v>
      </c>
    </row>
    <row r="2112" ht="14.25">
      <c r="A2112" s="5">
        <v>11706</v>
      </c>
      <c r="B2112" s="6" t="s">
        <v>2172</v>
      </c>
      <c r="C2112" s="7" t="s">
        <v>75</v>
      </c>
      <c r="D2112" s="7" t="s">
        <v>11</v>
      </c>
      <c r="E2112" s="5" t="s">
        <v>15</v>
      </c>
      <c r="F2112" s="8"/>
      <c r="G2112" s="9">
        <f>H2112*(1-15%)*(1-F2112)</f>
        <v>37.391500000000001</v>
      </c>
      <c r="H2112" s="9">
        <v>43.990000000000002</v>
      </c>
      <c r="I2112" s="9">
        <f>H2112-G2112</f>
        <v>6.5985000000000014</v>
      </c>
    </row>
    <row r="2113" ht="14.25">
      <c r="A2113" s="5">
        <v>11721</v>
      </c>
      <c r="B2113" s="6" t="s">
        <v>2173</v>
      </c>
      <c r="C2113" s="7" t="s">
        <v>2174</v>
      </c>
      <c r="D2113" s="7" t="s">
        <v>174</v>
      </c>
      <c r="E2113" s="5" t="s">
        <v>15</v>
      </c>
      <c r="F2113" s="8"/>
      <c r="G2113" s="9">
        <f>H2113*(1-15%)*(1-F2113)</f>
        <v>33.141500000000001</v>
      </c>
      <c r="H2113" s="9">
        <v>38.990000000000002</v>
      </c>
      <c r="I2113" s="9">
        <f>H2113-G2113</f>
        <v>5.8485000000000014</v>
      </c>
    </row>
    <row r="2114" ht="14.25">
      <c r="A2114" s="5">
        <v>11807</v>
      </c>
      <c r="B2114" s="6" t="s">
        <v>2175</v>
      </c>
      <c r="C2114" s="7" t="s">
        <v>36</v>
      </c>
      <c r="D2114" s="7" t="s">
        <v>11</v>
      </c>
      <c r="E2114" s="5" t="s">
        <v>15</v>
      </c>
      <c r="F2114" s="8"/>
      <c r="G2114" s="9">
        <f>H2114*(1-15%)*(1-F2114)</f>
        <v>148.66499999999999</v>
      </c>
      <c r="H2114" s="9">
        <v>174.90000000000001</v>
      </c>
      <c r="I2114" s="9">
        <f>H2114-G2114</f>
        <v>26.235000000000014</v>
      </c>
    </row>
    <row r="2115" ht="14.25">
      <c r="A2115" s="5">
        <v>11808</v>
      </c>
      <c r="B2115" s="6" t="s">
        <v>2176</v>
      </c>
      <c r="C2115" s="7" t="s">
        <v>38</v>
      </c>
      <c r="D2115" s="7" t="s">
        <v>11</v>
      </c>
      <c r="E2115" s="5" t="s">
        <v>133</v>
      </c>
      <c r="F2115" s="8"/>
      <c r="G2115" s="9">
        <f>H2115*(1-15%)*(1-F2115)</f>
        <v>165.66499999999999</v>
      </c>
      <c r="H2115" s="9">
        <v>194.90000000000001</v>
      </c>
      <c r="I2115" s="9">
        <f>H2115-G2115</f>
        <v>29.235000000000014</v>
      </c>
    </row>
    <row r="2116" ht="14.25">
      <c r="A2116" s="5">
        <v>12582</v>
      </c>
      <c r="B2116" s="6" t="s">
        <v>2177</v>
      </c>
      <c r="C2116" s="7" t="s">
        <v>2178</v>
      </c>
      <c r="D2116" s="7" t="s">
        <v>219</v>
      </c>
      <c r="E2116" s="5" t="s">
        <v>26</v>
      </c>
      <c r="F2116" s="8"/>
      <c r="G2116" s="9">
        <f>H2116*(1-15%)*(1-F2116)</f>
        <v>39.941499999999998</v>
      </c>
      <c r="H2116" s="9">
        <v>46.990000000000002</v>
      </c>
      <c r="I2116" s="9">
        <f>H2116-G2116</f>
        <v>7.0485000000000042</v>
      </c>
    </row>
    <row r="2117" ht="14.25">
      <c r="A2117" s="5">
        <v>12634</v>
      </c>
      <c r="B2117" s="6" t="s">
        <v>2179</v>
      </c>
      <c r="C2117" s="7" t="s">
        <v>109</v>
      </c>
      <c r="D2117" s="7" t="s">
        <v>110</v>
      </c>
      <c r="E2117" s="5" t="s">
        <v>15</v>
      </c>
      <c r="F2117" s="8"/>
      <c r="G2117" s="9">
        <f>H2117*(1-15%)*(1-F2117)</f>
        <v>25.491499999999998</v>
      </c>
      <c r="H2117" s="9">
        <v>29.989999999999998</v>
      </c>
      <c r="I2117" s="9">
        <f>H2117-G2117</f>
        <v>4.4984999999999999</v>
      </c>
    </row>
    <row r="2118" ht="14.25">
      <c r="A2118" s="5">
        <v>12981</v>
      </c>
      <c r="B2118" s="6" t="s">
        <v>2180</v>
      </c>
      <c r="C2118" s="7" t="s">
        <v>79</v>
      </c>
      <c r="D2118" s="7" t="s">
        <v>52</v>
      </c>
      <c r="E2118" s="5" t="s">
        <v>15</v>
      </c>
      <c r="F2118" s="8"/>
      <c r="G2118" s="9">
        <f>H2118*(1-15%)*(1-F2118)</f>
        <v>47.591500000000003</v>
      </c>
      <c r="H2118" s="9">
        <v>55.990000000000002</v>
      </c>
      <c r="I2118" s="9">
        <f>H2118-G2118</f>
        <v>8.3984999999999985</v>
      </c>
    </row>
    <row r="2119" ht="14.25">
      <c r="A2119" s="5">
        <v>12988</v>
      </c>
      <c r="B2119" s="6" t="s">
        <v>2181</v>
      </c>
      <c r="C2119" s="7" t="s">
        <v>79</v>
      </c>
      <c r="D2119" s="7" t="s">
        <v>52</v>
      </c>
      <c r="E2119" s="5" t="s">
        <v>15</v>
      </c>
      <c r="F2119" s="8"/>
      <c r="G2119" s="9">
        <f>H2119*(1-15%)*(1-F2119)</f>
        <v>13.5915</v>
      </c>
      <c r="H2119" s="9">
        <v>15.99</v>
      </c>
      <c r="I2119" s="9">
        <f>H2119-G2119</f>
        <v>2.3985000000000003</v>
      </c>
    </row>
    <row r="2120" ht="14.25">
      <c r="A2120" s="5">
        <v>12989</v>
      </c>
      <c r="B2120" s="6" t="s">
        <v>2182</v>
      </c>
      <c r="C2120" s="7" t="s">
        <v>79</v>
      </c>
      <c r="D2120" s="7" t="s">
        <v>52</v>
      </c>
      <c r="E2120" s="5" t="s">
        <v>15</v>
      </c>
      <c r="F2120" s="8"/>
      <c r="G2120" s="9">
        <f>H2120*(1-15%)*(1-F2120)</f>
        <v>12.7415</v>
      </c>
      <c r="H2120" s="9">
        <v>14.99</v>
      </c>
      <c r="I2120" s="9">
        <f>H2120-G2120</f>
        <v>2.2484999999999999</v>
      </c>
    </row>
    <row r="2121" ht="14.25">
      <c r="A2121" s="5">
        <v>12992</v>
      </c>
      <c r="B2121" s="6" t="s">
        <v>2183</v>
      </c>
      <c r="C2121" s="7" t="s">
        <v>853</v>
      </c>
      <c r="D2121" s="7" t="s">
        <v>52</v>
      </c>
      <c r="E2121" s="5" t="s">
        <v>15</v>
      </c>
      <c r="F2121" s="8"/>
      <c r="G2121" s="9">
        <f>H2121*(1-15%)*(1-F2121)</f>
        <v>25.491499999999998</v>
      </c>
      <c r="H2121" s="9">
        <v>29.989999999999998</v>
      </c>
      <c r="I2121" s="9">
        <f>H2121-G2121</f>
        <v>4.4984999999999999</v>
      </c>
    </row>
    <row r="2122" ht="14.25">
      <c r="A2122" s="5">
        <v>12993</v>
      </c>
      <c r="B2122" s="6" t="s">
        <v>2184</v>
      </c>
      <c r="C2122" s="7" t="s">
        <v>853</v>
      </c>
      <c r="D2122" s="7" t="s">
        <v>52</v>
      </c>
      <c r="E2122" s="5" t="s">
        <v>15</v>
      </c>
      <c r="F2122" s="8"/>
      <c r="G2122" s="9">
        <f>H2122*(1-15%)*(1-F2122)</f>
        <v>16.991499999999998</v>
      </c>
      <c r="H2122" s="9">
        <v>19.989999999999998</v>
      </c>
      <c r="I2122" s="9">
        <f>H2122-G2122</f>
        <v>2.9984999999999999</v>
      </c>
    </row>
    <row r="2123" ht="14.25">
      <c r="A2123" s="5">
        <v>12996</v>
      </c>
      <c r="B2123" s="6" t="s">
        <v>2185</v>
      </c>
      <c r="C2123" s="7" t="s">
        <v>853</v>
      </c>
      <c r="D2123" s="7" t="s">
        <v>52</v>
      </c>
      <c r="E2123" s="5" t="s">
        <v>15</v>
      </c>
      <c r="F2123" s="8"/>
      <c r="G2123" s="9">
        <f>H2123*(1-15%)*(1-F2123)</f>
        <v>20.391499999999997</v>
      </c>
      <c r="H2123" s="9">
        <v>23.989999999999998</v>
      </c>
      <c r="I2123" s="9">
        <f>H2123-G2123</f>
        <v>3.5985000000000014</v>
      </c>
    </row>
    <row r="2124" ht="14.25">
      <c r="A2124" s="5">
        <v>12997</v>
      </c>
      <c r="B2124" s="6" t="s">
        <v>2186</v>
      </c>
      <c r="C2124" s="7" t="s">
        <v>853</v>
      </c>
      <c r="D2124" s="7" t="s">
        <v>52</v>
      </c>
      <c r="E2124" s="5" t="s">
        <v>15</v>
      </c>
      <c r="F2124" s="8"/>
      <c r="G2124" s="9">
        <f>H2124*(1-15%)*(1-F2124)</f>
        <v>20.391499999999997</v>
      </c>
      <c r="H2124" s="9">
        <v>23.989999999999998</v>
      </c>
      <c r="I2124" s="9">
        <f>H2124-G2124</f>
        <v>3.5985000000000014</v>
      </c>
    </row>
    <row r="2125" ht="14.25">
      <c r="A2125" s="5">
        <v>13072</v>
      </c>
      <c r="B2125" s="6" t="s">
        <v>2187</v>
      </c>
      <c r="C2125" s="7" t="s">
        <v>65</v>
      </c>
      <c r="D2125" s="7" t="s">
        <v>174</v>
      </c>
      <c r="E2125" s="5" t="s">
        <v>15</v>
      </c>
      <c r="F2125" s="8"/>
      <c r="G2125" s="9">
        <f>H2125*(1-15%)*(1-F2125)</f>
        <v>50.064999999999998</v>
      </c>
      <c r="H2125" s="9">
        <v>58.899999999999999</v>
      </c>
      <c r="I2125" s="9">
        <f>H2125-G2125</f>
        <v>8.8350000000000009</v>
      </c>
    </row>
    <row r="2126" ht="14.25">
      <c r="A2126" s="5">
        <v>13092</v>
      </c>
      <c r="B2126" s="6" t="s">
        <v>2188</v>
      </c>
      <c r="C2126" s="7" t="s">
        <v>2166</v>
      </c>
      <c r="D2126" s="7" t="s">
        <v>45</v>
      </c>
      <c r="E2126" s="5" t="s">
        <v>15</v>
      </c>
      <c r="F2126" s="8"/>
      <c r="G2126" s="9">
        <f>H2126*(1-15%)*(1-F2126)</f>
        <v>25.491499999999998</v>
      </c>
      <c r="H2126" s="9">
        <v>29.989999999999998</v>
      </c>
      <c r="I2126" s="9">
        <f>H2126-G2126</f>
        <v>4.4984999999999999</v>
      </c>
    </row>
    <row r="2127" ht="14.25">
      <c r="A2127" s="5">
        <v>13094</v>
      </c>
      <c r="B2127" s="6" t="s">
        <v>2189</v>
      </c>
      <c r="C2127" s="7" t="s">
        <v>36</v>
      </c>
      <c r="D2127" s="7" t="s">
        <v>11</v>
      </c>
      <c r="E2127" s="5" t="s">
        <v>15</v>
      </c>
      <c r="F2127" s="8"/>
      <c r="G2127" s="9">
        <f>H2127*(1-15%)*(1-F2127)</f>
        <v>89.165000000000006</v>
      </c>
      <c r="H2127" s="9">
        <v>104.90000000000001</v>
      </c>
      <c r="I2127" s="9">
        <f>H2127-G2127</f>
        <v>15.734999999999999</v>
      </c>
    </row>
    <row r="2128" ht="14.25">
      <c r="A2128" s="5">
        <v>13100</v>
      </c>
      <c r="B2128" s="6" t="s">
        <v>2161</v>
      </c>
      <c r="C2128" s="7" t="s">
        <v>2162</v>
      </c>
      <c r="D2128" s="7" t="s">
        <v>174</v>
      </c>
      <c r="E2128" s="5" t="s">
        <v>26</v>
      </c>
      <c r="F2128" s="8"/>
      <c r="G2128" s="9">
        <f>H2128*(1-15%)*(1-F2128)</f>
        <v>49.214999999999996</v>
      </c>
      <c r="H2128" s="9">
        <v>57.899999999999999</v>
      </c>
      <c r="I2128" s="9">
        <f>H2128-G2128</f>
        <v>8.6850000000000023</v>
      </c>
    </row>
    <row r="2129" ht="14.25">
      <c r="A2129" s="5">
        <v>13647</v>
      </c>
      <c r="B2129" s="6" t="s">
        <v>2190</v>
      </c>
      <c r="C2129" s="7" t="s">
        <v>2191</v>
      </c>
      <c r="D2129" s="7" t="s">
        <v>11</v>
      </c>
      <c r="E2129" s="5" t="s">
        <v>15</v>
      </c>
      <c r="F2129" s="8"/>
      <c r="G2129" s="9">
        <f>H2129*(1-15%)*(1-F2129)</f>
        <v>41.641500000000001</v>
      </c>
      <c r="H2129" s="9">
        <v>48.990000000000002</v>
      </c>
      <c r="I2129" s="9">
        <f>H2129-G2129</f>
        <v>7.3485000000000014</v>
      </c>
    </row>
    <row r="2130" ht="14.25">
      <c r="A2130" s="5">
        <v>14233</v>
      </c>
      <c r="B2130" s="6" t="s">
        <v>2192</v>
      </c>
      <c r="C2130" s="7" t="s">
        <v>51</v>
      </c>
      <c r="D2130" s="7" t="s">
        <v>52</v>
      </c>
      <c r="E2130" s="5" t="s">
        <v>15</v>
      </c>
      <c r="F2130" s="8"/>
      <c r="G2130" s="9">
        <f>H2130*(1-15%)*(1-F2130)</f>
        <v>20.314999999999998</v>
      </c>
      <c r="H2130" s="9">
        <v>23.899999999999999</v>
      </c>
      <c r="I2130" s="9">
        <f>H2130-G2130</f>
        <v>3.5850000000000009</v>
      </c>
    </row>
    <row r="2131" ht="14.25">
      <c r="A2131" s="5">
        <v>14296</v>
      </c>
      <c r="B2131" s="6" t="s">
        <v>2193</v>
      </c>
      <c r="C2131" s="7" t="s">
        <v>75</v>
      </c>
      <c r="D2131" s="7" t="s">
        <v>45</v>
      </c>
      <c r="E2131" s="5" t="s">
        <v>15</v>
      </c>
      <c r="F2131" s="8"/>
      <c r="G2131" s="9">
        <f>H2131*(1-15%)*(1-F2131)</f>
        <v>40.791499999999999</v>
      </c>
      <c r="H2131" s="9">
        <v>47.990000000000002</v>
      </c>
      <c r="I2131" s="9">
        <f>H2131-G2131</f>
        <v>7.1985000000000028</v>
      </c>
    </row>
    <row r="2132" ht="14.25">
      <c r="A2132" s="5">
        <v>14314</v>
      </c>
      <c r="B2132" s="6" t="s">
        <v>2194</v>
      </c>
      <c r="C2132" s="7" t="s">
        <v>75</v>
      </c>
      <c r="D2132" s="7" t="s">
        <v>95</v>
      </c>
      <c r="E2132" s="5" t="s">
        <v>26</v>
      </c>
      <c r="F2132" s="8"/>
      <c r="G2132" s="9">
        <f>H2132*(1-15%)*(1-F2132)</f>
        <v>27.191499999999998</v>
      </c>
      <c r="H2132" s="9">
        <v>31.989999999999998</v>
      </c>
      <c r="I2132" s="9">
        <f>H2132-G2132</f>
        <v>4.7985000000000007</v>
      </c>
    </row>
    <row r="2133" ht="14.25">
      <c r="A2133" s="5">
        <v>14324</v>
      </c>
      <c r="B2133" s="6" t="s">
        <v>2195</v>
      </c>
      <c r="C2133" s="7" t="s">
        <v>75</v>
      </c>
      <c r="D2133" s="7" t="s">
        <v>45</v>
      </c>
      <c r="E2133" s="5" t="s">
        <v>15</v>
      </c>
      <c r="F2133" s="8"/>
      <c r="G2133" s="9">
        <f>H2133*(1-15%)*(1-F2133)</f>
        <v>25.491499999999998</v>
      </c>
      <c r="H2133" s="9">
        <v>29.989999999999998</v>
      </c>
      <c r="I2133" s="9">
        <f>H2133-G2133</f>
        <v>4.4984999999999999</v>
      </c>
    </row>
    <row r="2134" ht="14.25">
      <c r="A2134" s="5">
        <v>14329</v>
      </c>
      <c r="B2134" s="6" t="s">
        <v>2196</v>
      </c>
      <c r="C2134" s="7" t="s">
        <v>75</v>
      </c>
      <c r="D2134" s="7" t="s">
        <v>583</v>
      </c>
      <c r="E2134" s="5" t="s">
        <v>15</v>
      </c>
      <c r="F2134" s="8"/>
      <c r="G2134" s="9">
        <f>H2134*(1-15%)*(1-F2134)</f>
        <v>54.314999999999998</v>
      </c>
      <c r="H2134" s="9">
        <v>63.899999999999999</v>
      </c>
      <c r="I2134" s="9">
        <f>H2134-G2134</f>
        <v>9.5850000000000009</v>
      </c>
    </row>
    <row r="2135" ht="14.25">
      <c r="A2135" s="5">
        <v>14371</v>
      </c>
      <c r="B2135" s="6" t="s">
        <v>2197</v>
      </c>
      <c r="C2135" s="7" t="s">
        <v>75</v>
      </c>
      <c r="D2135" s="7" t="s">
        <v>103</v>
      </c>
      <c r="E2135" s="5" t="s">
        <v>15</v>
      </c>
      <c r="F2135" s="8"/>
      <c r="G2135" s="9">
        <f>H2135*(1-15%)*(1-F2135)</f>
        <v>7.6414999999999997</v>
      </c>
      <c r="H2135" s="9">
        <v>8.9900000000000002</v>
      </c>
      <c r="I2135" s="9">
        <f>H2135-G2135</f>
        <v>1.3485000000000005</v>
      </c>
    </row>
    <row r="2136" ht="14.25">
      <c r="A2136" s="5">
        <v>14374</v>
      </c>
      <c r="B2136" s="6" t="s">
        <v>2198</v>
      </c>
      <c r="C2136" s="7" t="s">
        <v>75</v>
      </c>
      <c r="D2136" s="7" t="s">
        <v>103</v>
      </c>
      <c r="E2136" s="5" t="s">
        <v>15</v>
      </c>
      <c r="F2136" s="8"/>
      <c r="G2136" s="9">
        <f>H2136*(1-15%)*(1-F2136)</f>
        <v>7.6414999999999997</v>
      </c>
      <c r="H2136" s="9">
        <v>8.9900000000000002</v>
      </c>
      <c r="I2136" s="9">
        <f>H2136-G2136</f>
        <v>1.3485000000000005</v>
      </c>
    </row>
    <row r="2137" ht="14.25">
      <c r="A2137" s="5">
        <v>14405</v>
      </c>
      <c r="B2137" s="6" t="s">
        <v>2199</v>
      </c>
      <c r="C2137" s="7" t="s">
        <v>75</v>
      </c>
      <c r="D2137" s="7" t="s">
        <v>95</v>
      </c>
      <c r="E2137" s="5" t="s">
        <v>26</v>
      </c>
      <c r="F2137" s="8"/>
      <c r="G2137" s="9">
        <f>H2137*(1-15%)*(1-F2137)</f>
        <v>26.341499999999996</v>
      </c>
      <c r="H2137" s="9">
        <v>30.989999999999998</v>
      </c>
      <c r="I2137" s="9">
        <f>H2137-G2137</f>
        <v>4.6485000000000021</v>
      </c>
    </row>
    <row r="2138" ht="14.25">
      <c r="A2138" s="5">
        <v>14701</v>
      </c>
      <c r="B2138" s="6" t="s">
        <v>2200</v>
      </c>
      <c r="C2138" s="7" t="s">
        <v>82</v>
      </c>
      <c r="D2138" s="7" t="s">
        <v>219</v>
      </c>
      <c r="E2138" s="5" t="s">
        <v>15</v>
      </c>
      <c r="F2138" s="8"/>
      <c r="G2138" s="9">
        <f>H2138*(1-15%)*(1-F2138)</f>
        <v>18.691499999999998</v>
      </c>
      <c r="H2138" s="9">
        <v>21.989999999999998</v>
      </c>
      <c r="I2138" s="9">
        <f>H2138-G2138</f>
        <v>3.2985000000000007</v>
      </c>
    </row>
    <row r="2139" ht="14.25">
      <c r="A2139" s="5">
        <v>14747</v>
      </c>
      <c r="B2139" s="6" t="s">
        <v>2201</v>
      </c>
      <c r="C2139" s="7" t="s">
        <v>2174</v>
      </c>
      <c r="D2139" s="7" t="s">
        <v>71</v>
      </c>
      <c r="E2139" s="5" t="s">
        <v>15</v>
      </c>
      <c r="F2139" s="8"/>
      <c r="G2139" s="9">
        <f>H2139*(1-15%)*(1-F2139)</f>
        <v>16.914999999999999</v>
      </c>
      <c r="H2139" s="9">
        <v>19.899999999999999</v>
      </c>
      <c r="I2139" s="9">
        <f>H2139-G2139</f>
        <v>2.9849999999999994</v>
      </c>
    </row>
    <row r="2140" ht="14.25">
      <c r="A2140" s="5">
        <v>14892</v>
      </c>
      <c r="B2140" s="6" t="s">
        <v>129</v>
      </c>
      <c r="C2140" s="7" t="s">
        <v>17</v>
      </c>
      <c r="D2140" s="7" t="s">
        <v>71</v>
      </c>
      <c r="E2140" s="5" t="s">
        <v>15</v>
      </c>
      <c r="F2140" s="8"/>
      <c r="G2140" s="9">
        <f>H2140*(1-15%)*(1-F2140)</f>
        <v>33.914999999999999</v>
      </c>
      <c r="H2140" s="9">
        <v>39.899999999999999</v>
      </c>
      <c r="I2140" s="9">
        <f>H2140-G2140</f>
        <v>5.9849999999999994</v>
      </c>
    </row>
    <row r="2141" ht="14.25">
      <c r="A2141" s="5">
        <v>15005</v>
      </c>
      <c r="B2141" s="6" t="s">
        <v>2202</v>
      </c>
      <c r="C2141" s="7" t="s">
        <v>75</v>
      </c>
      <c r="D2141" s="7" t="s">
        <v>103</v>
      </c>
      <c r="E2141" s="5" t="s">
        <v>15</v>
      </c>
      <c r="F2141" s="8"/>
      <c r="G2141" s="9">
        <f>H2141*(1-15%)*(1-F2141)</f>
        <v>26.264999999999997</v>
      </c>
      <c r="H2141" s="9">
        <v>30.899999999999999</v>
      </c>
      <c r="I2141" s="9">
        <f>H2141-G2141</f>
        <v>4.6350000000000016</v>
      </c>
    </row>
    <row r="2142" ht="14.25">
      <c r="A2142" s="5">
        <v>15364</v>
      </c>
      <c r="B2142" s="6" t="s">
        <v>2203</v>
      </c>
      <c r="C2142" s="7" t="s">
        <v>109</v>
      </c>
      <c r="D2142" s="7" t="s">
        <v>110</v>
      </c>
      <c r="E2142" s="5" t="s">
        <v>15</v>
      </c>
      <c r="F2142" s="8"/>
      <c r="G2142" s="9">
        <f>H2142*(1-15%)*(1-F2142)</f>
        <v>29.741500000000002</v>
      </c>
      <c r="H2142" s="9">
        <v>34.990000000000002</v>
      </c>
      <c r="I2142" s="9">
        <f>H2142-G2142</f>
        <v>5.2484999999999999</v>
      </c>
    </row>
    <row r="2143" ht="14.25">
      <c r="A2143" s="5">
        <v>15659</v>
      </c>
      <c r="B2143" s="6" t="s">
        <v>2204</v>
      </c>
      <c r="C2143" s="7" t="s">
        <v>75</v>
      </c>
      <c r="D2143" s="7" t="s">
        <v>95</v>
      </c>
      <c r="E2143" s="5" t="s">
        <v>15</v>
      </c>
      <c r="F2143" s="8"/>
      <c r="G2143" s="9">
        <f>H2143*(1-15%)*(1-F2143)</f>
        <v>27.191499999999998</v>
      </c>
      <c r="H2143" s="9">
        <v>31.989999999999998</v>
      </c>
      <c r="I2143" s="9">
        <f>H2143-G2143</f>
        <v>4.7985000000000007</v>
      </c>
    </row>
    <row r="2144" ht="14.25">
      <c r="A2144" s="5">
        <v>15787</v>
      </c>
      <c r="B2144" s="6" t="s">
        <v>2205</v>
      </c>
      <c r="C2144" s="7" t="s">
        <v>271</v>
      </c>
      <c r="D2144" s="7" t="s">
        <v>110</v>
      </c>
      <c r="E2144" s="5" t="s">
        <v>15</v>
      </c>
      <c r="F2144" s="8"/>
      <c r="G2144" s="9">
        <f>H2144*(1-15%)*(1-F2144)</f>
        <v>16.064999999999998</v>
      </c>
      <c r="H2144" s="9">
        <v>18.899999999999999</v>
      </c>
      <c r="I2144" s="9">
        <f>H2144-G2144</f>
        <v>2.8350000000000009</v>
      </c>
    </row>
    <row r="2145" ht="14.25">
      <c r="A2145" s="5">
        <v>16053</v>
      </c>
      <c r="B2145" s="6" t="s">
        <v>2206</v>
      </c>
      <c r="C2145" s="7" t="s">
        <v>271</v>
      </c>
      <c r="D2145" s="7" t="s">
        <v>110</v>
      </c>
      <c r="E2145" s="5" t="s">
        <v>15</v>
      </c>
      <c r="F2145" s="8"/>
      <c r="G2145" s="9">
        <f>H2145*(1-15%)*(1-F2145)</f>
        <v>22.864999999999998</v>
      </c>
      <c r="H2145" s="9">
        <v>26.899999999999999</v>
      </c>
      <c r="I2145" s="9">
        <f>H2145-G2145</f>
        <v>4.0350000000000001</v>
      </c>
    </row>
    <row r="2146" ht="14.25">
      <c r="A2146" s="5">
        <v>16054</v>
      </c>
      <c r="B2146" s="6" t="s">
        <v>2207</v>
      </c>
      <c r="C2146" s="7" t="s">
        <v>271</v>
      </c>
      <c r="D2146" s="7" t="s">
        <v>110</v>
      </c>
      <c r="E2146" s="5" t="s">
        <v>15</v>
      </c>
      <c r="F2146" s="8"/>
      <c r="G2146" s="9">
        <f>H2146*(1-15%)*(1-F2146)</f>
        <v>22.864999999999998</v>
      </c>
      <c r="H2146" s="9">
        <v>26.899999999999999</v>
      </c>
      <c r="I2146" s="9">
        <f>H2146-G2146</f>
        <v>4.0350000000000001</v>
      </c>
    </row>
    <row r="2147" ht="14.25">
      <c r="A2147" s="5">
        <v>16168</v>
      </c>
      <c r="B2147" s="6" t="s">
        <v>2208</v>
      </c>
      <c r="C2147" s="7" t="s">
        <v>2166</v>
      </c>
      <c r="D2147" s="7" t="s">
        <v>11</v>
      </c>
      <c r="E2147" s="5" t="s">
        <v>15</v>
      </c>
      <c r="F2147" s="8"/>
      <c r="G2147" s="9">
        <f>H2147*(1-15%)*(1-F2147)</f>
        <v>51.841500000000003</v>
      </c>
      <c r="H2147" s="9">
        <v>60.990000000000002</v>
      </c>
      <c r="I2147" s="9">
        <f>H2147-G2147</f>
        <v>9.1484999999999985</v>
      </c>
    </row>
    <row r="2148" ht="14.25">
      <c r="A2148" s="5">
        <v>16186</v>
      </c>
      <c r="B2148" s="6" t="s">
        <v>2209</v>
      </c>
      <c r="C2148" s="7" t="s">
        <v>17</v>
      </c>
      <c r="D2148" s="7" t="s">
        <v>583</v>
      </c>
      <c r="E2148" s="5" t="s">
        <v>15</v>
      </c>
      <c r="F2148" s="8"/>
      <c r="G2148" s="9">
        <f>H2148*(1-15%)*(1-F2148)</f>
        <v>42.414999999999999</v>
      </c>
      <c r="H2148" s="9">
        <v>49.899999999999999</v>
      </c>
      <c r="I2148" s="9">
        <f>H2148-G2148</f>
        <v>7.4849999999999994</v>
      </c>
    </row>
    <row r="2149" ht="14.25">
      <c r="A2149" s="5">
        <v>16247</v>
      </c>
      <c r="B2149" s="6" t="s">
        <v>2210</v>
      </c>
      <c r="C2149" s="7" t="s">
        <v>17</v>
      </c>
      <c r="D2149" s="7" t="s">
        <v>11</v>
      </c>
      <c r="E2149" s="5" t="s">
        <v>15</v>
      </c>
      <c r="F2149" s="8"/>
      <c r="G2149" s="9">
        <f>H2149*(1-15%)*(1-F2149)</f>
        <v>140.16499999999999</v>
      </c>
      <c r="H2149" s="9">
        <v>164.90000000000001</v>
      </c>
      <c r="I2149" s="9">
        <f>H2149-G2149</f>
        <v>24.735000000000014</v>
      </c>
    </row>
    <row r="2150" ht="14.25">
      <c r="A2150" s="5">
        <v>16484</v>
      </c>
      <c r="B2150" s="6" t="s">
        <v>2211</v>
      </c>
      <c r="C2150" s="7" t="s">
        <v>21</v>
      </c>
      <c r="D2150" s="7" t="s">
        <v>71</v>
      </c>
      <c r="E2150" s="5" t="s">
        <v>15</v>
      </c>
      <c r="F2150" s="8"/>
      <c r="G2150" s="9">
        <f>H2150*(1-15%)*(1-F2150)</f>
        <v>25.414999999999999</v>
      </c>
      <c r="H2150" s="9">
        <v>29.899999999999999</v>
      </c>
      <c r="I2150" s="9">
        <f>H2150-G2150</f>
        <v>4.4849999999999994</v>
      </c>
    </row>
    <row r="2151" ht="14.25">
      <c r="A2151" s="5">
        <v>16749</v>
      </c>
      <c r="B2151" s="6" t="s">
        <v>2212</v>
      </c>
      <c r="C2151" s="7" t="s">
        <v>75</v>
      </c>
      <c r="D2151" s="7" t="s">
        <v>95</v>
      </c>
      <c r="E2151" s="5" t="s">
        <v>26</v>
      </c>
      <c r="F2151" s="8"/>
      <c r="G2151" s="9">
        <f>H2151*(1-15%)*(1-F2151)</f>
        <v>22.014999999999997</v>
      </c>
      <c r="H2151" s="9">
        <v>25.899999999999999</v>
      </c>
      <c r="I2151" s="9">
        <f>H2151-G2151</f>
        <v>3.8850000000000016</v>
      </c>
    </row>
    <row r="2152" ht="14.25">
      <c r="A2152" s="5">
        <v>16775</v>
      </c>
      <c r="B2152" s="6" t="s">
        <v>2213</v>
      </c>
      <c r="C2152" s="7" t="s">
        <v>2214</v>
      </c>
      <c r="D2152" s="7" t="s">
        <v>199</v>
      </c>
      <c r="E2152" s="5" t="s">
        <v>15</v>
      </c>
      <c r="F2152" s="8"/>
      <c r="G2152" s="9">
        <f>H2152*(1-15%)*(1-F2152)</f>
        <v>46.741500000000002</v>
      </c>
      <c r="H2152" s="9">
        <v>54.990000000000002</v>
      </c>
      <c r="I2152" s="9">
        <f>H2152-G2152</f>
        <v>8.2484999999999999</v>
      </c>
    </row>
    <row r="2153" ht="14.25">
      <c r="A2153" s="5">
        <v>16910</v>
      </c>
      <c r="B2153" s="6" t="s">
        <v>2215</v>
      </c>
      <c r="C2153" s="7" t="s">
        <v>51</v>
      </c>
      <c r="D2153" s="7" t="s">
        <v>52</v>
      </c>
      <c r="E2153" s="5" t="s">
        <v>15</v>
      </c>
      <c r="F2153" s="8"/>
      <c r="G2153" s="9">
        <f>H2153*(1-15%)*(1-F2153)</f>
        <v>20.391499999999997</v>
      </c>
      <c r="H2153" s="9">
        <v>23.989999999999998</v>
      </c>
      <c r="I2153" s="9">
        <f>H2153-G2153</f>
        <v>3.5985000000000014</v>
      </c>
    </row>
    <row r="2154" ht="14.25">
      <c r="A2154" s="5">
        <v>16912</v>
      </c>
      <c r="B2154" s="6" t="s">
        <v>2216</v>
      </c>
      <c r="C2154" s="7" t="s">
        <v>2178</v>
      </c>
      <c r="D2154" s="7" t="s">
        <v>219</v>
      </c>
      <c r="E2154" s="5" t="s">
        <v>26</v>
      </c>
      <c r="F2154" s="8"/>
      <c r="G2154" s="9">
        <f>H2154*(1-15%)*(1-F2154)</f>
        <v>63.665000000000006</v>
      </c>
      <c r="H2154" s="9">
        <v>74.900000000000006</v>
      </c>
      <c r="I2154" s="9">
        <f>H2154-G2154</f>
        <v>11.234999999999999</v>
      </c>
    </row>
    <row r="2155" ht="14.25">
      <c r="A2155" s="5">
        <v>16916</v>
      </c>
      <c r="B2155" s="6" t="s">
        <v>2217</v>
      </c>
      <c r="C2155" s="7" t="s">
        <v>2178</v>
      </c>
      <c r="D2155" s="7" t="s">
        <v>219</v>
      </c>
      <c r="E2155" s="5" t="s">
        <v>26</v>
      </c>
      <c r="F2155" s="8"/>
      <c r="G2155" s="9">
        <f>H2155*(1-15%)*(1-F2155)</f>
        <v>66.215000000000003</v>
      </c>
      <c r="H2155" s="9">
        <v>77.900000000000006</v>
      </c>
      <c r="I2155" s="9">
        <f>H2155-G2155</f>
        <v>11.685000000000002</v>
      </c>
    </row>
    <row r="2156" ht="14.25">
      <c r="A2156" s="5">
        <v>16985</v>
      </c>
      <c r="B2156" s="6" t="s">
        <v>2218</v>
      </c>
      <c r="C2156" s="7" t="s">
        <v>271</v>
      </c>
      <c r="D2156" s="7" t="s">
        <v>110</v>
      </c>
      <c r="E2156" s="5" t="s">
        <v>15</v>
      </c>
      <c r="F2156" s="8"/>
      <c r="G2156" s="9">
        <f>H2156*(1-15%)*(1-F2156)</f>
        <v>16.064999999999998</v>
      </c>
      <c r="H2156" s="9">
        <v>18.899999999999999</v>
      </c>
      <c r="I2156" s="9">
        <f>H2156-G2156</f>
        <v>2.8350000000000009</v>
      </c>
    </row>
    <row r="2157" ht="14.25">
      <c r="A2157" s="5">
        <v>17020</v>
      </c>
      <c r="B2157" s="6" t="s">
        <v>2161</v>
      </c>
      <c r="C2157" s="7" t="s">
        <v>65</v>
      </c>
      <c r="D2157" s="7" t="s">
        <v>174</v>
      </c>
      <c r="E2157" s="5" t="s">
        <v>26</v>
      </c>
      <c r="F2157" s="8"/>
      <c r="G2157" s="9">
        <f>H2157*(1-15%)*(1-F2157)</f>
        <v>49.214999999999996</v>
      </c>
      <c r="H2157" s="9">
        <v>57.899999999999999</v>
      </c>
      <c r="I2157" s="9">
        <f>H2157-G2157</f>
        <v>8.6850000000000023</v>
      </c>
    </row>
    <row r="2158" ht="14.25">
      <c r="A2158" s="5">
        <v>17229</v>
      </c>
      <c r="B2158" s="6" t="s">
        <v>2219</v>
      </c>
      <c r="C2158" s="7" t="s">
        <v>2174</v>
      </c>
      <c r="D2158" s="7" t="s">
        <v>174</v>
      </c>
      <c r="E2158" s="5" t="s">
        <v>15</v>
      </c>
      <c r="F2158" s="8"/>
      <c r="G2158" s="9">
        <f>H2158*(1-15%)*(1-F2158)</f>
        <v>38.164999999999999</v>
      </c>
      <c r="H2158" s="9">
        <v>44.899999999999999</v>
      </c>
      <c r="I2158" s="9">
        <f>H2158-G2158</f>
        <v>6.7349999999999994</v>
      </c>
    </row>
    <row r="2159" ht="14.25">
      <c r="A2159" s="5">
        <v>17245</v>
      </c>
      <c r="B2159" s="6" t="s">
        <v>2220</v>
      </c>
      <c r="C2159" s="7" t="s">
        <v>82</v>
      </c>
      <c r="D2159" s="7" t="s">
        <v>103</v>
      </c>
      <c r="E2159" s="5" t="s">
        <v>15</v>
      </c>
      <c r="F2159" s="8"/>
      <c r="G2159" s="9">
        <f>H2159*(1-15%)*(1-F2159)</f>
        <v>10.115</v>
      </c>
      <c r="H2159" s="9">
        <v>11.9</v>
      </c>
      <c r="I2159" s="9">
        <f>H2159-G2159</f>
        <v>1.7850000000000001</v>
      </c>
    </row>
    <row r="2160" ht="14.25">
      <c r="A2160" s="5">
        <v>17420</v>
      </c>
      <c r="B2160" s="6" t="s">
        <v>2221</v>
      </c>
      <c r="C2160" s="7" t="s">
        <v>2214</v>
      </c>
      <c r="D2160" s="7" t="s">
        <v>61</v>
      </c>
      <c r="E2160" s="5" t="s">
        <v>15</v>
      </c>
      <c r="F2160" s="8"/>
      <c r="G2160" s="9">
        <f>H2160*(1-15%)*(1-F2160)</f>
        <v>59.491499999999995</v>
      </c>
      <c r="H2160" s="9">
        <v>69.989999999999995</v>
      </c>
      <c r="I2160" s="9">
        <f>H2160-G2160</f>
        <v>10.4985</v>
      </c>
    </row>
    <row r="2161" ht="14.25">
      <c r="A2161" s="5">
        <v>18571</v>
      </c>
      <c r="B2161" s="6" t="s">
        <v>2222</v>
      </c>
      <c r="C2161" s="7" t="s">
        <v>75</v>
      </c>
      <c r="D2161" s="7" t="s">
        <v>11</v>
      </c>
      <c r="E2161" s="5" t="s">
        <v>15</v>
      </c>
      <c r="F2161" s="8"/>
      <c r="G2161" s="9">
        <f>H2161*(1-15%)*(1-F2161)</f>
        <v>59.491499999999995</v>
      </c>
      <c r="H2161" s="9">
        <v>69.989999999999995</v>
      </c>
      <c r="I2161" s="9">
        <f>H2161-G2161</f>
        <v>10.4985</v>
      </c>
    </row>
    <row r="2162" ht="14.25">
      <c r="A2162" s="5">
        <v>19371</v>
      </c>
      <c r="B2162" s="6" t="s">
        <v>2223</v>
      </c>
      <c r="C2162" s="7" t="s">
        <v>109</v>
      </c>
      <c r="D2162" s="7" t="s">
        <v>110</v>
      </c>
      <c r="E2162" s="5" t="s">
        <v>15</v>
      </c>
      <c r="F2162" s="8"/>
      <c r="G2162" s="9">
        <f>H2162*(1-15%)*(1-F2162)</f>
        <v>35.691499999999998</v>
      </c>
      <c r="H2162" s="9">
        <v>41.990000000000002</v>
      </c>
      <c r="I2162" s="9">
        <f>H2162-G2162</f>
        <v>6.2985000000000042</v>
      </c>
    </row>
    <row r="2163" ht="14.25">
      <c r="A2163" s="5">
        <v>19540</v>
      </c>
      <c r="B2163" s="6" t="s">
        <v>2224</v>
      </c>
      <c r="C2163" s="7" t="s">
        <v>75</v>
      </c>
      <c r="D2163" s="7" t="s">
        <v>95</v>
      </c>
      <c r="E2163" s="5" t="s">
        <v>26</v>
      </c>
      <c r="F2163" s="8"/>
      <c r="G2163" s="9">
        <f>H2163*(1-15%)*(1-F2163)</f>
        <v>26.341499999999996</v>
      </c>
      <c r="H2163" s="9">
        <v>30.989999999999998</v>
      </c>
      <c r="I2163" s="9">
        <f>H2163-G2163</f>
        <v>4.6485000000000021</v>
      </c>
    </row>
    <row r="2164" ht="14.25">
      <c r="A2164" s="5">
        <v>21617</v>
      </c>
      <c r="B2164" s="6" t="s">
        <v>2225</v>
      </c>
      <c r="C2164" s="7" t="s">
        <v>109</v>
      </c>
      <c r="D2164" s="7" t="s">
        <v>110</v>
      </c>
      <c r="E2164" s="5" t="s">
        <v>15</v>
      </c>
      <c r="F2164" s="8"/>
      <c r="G2164" s="9">
        <f>H2164*(1-15%)*(1-F2164)</f>
        <v>59.491499999999995</v>
      </c>
      <c r="H2164" s="9">
        <v>69.989999999999995</v>
      </c>
      <c r="I2164" s="9">
        <f>H2164-G2164</f>
        <v>10.4985</v>
      </c>
    </row>
    <row r="2165" ht="14.25">
      <c r="A2165" s="5">
        <v>22369</v>
      </c>
      <c r="B2165" s="6" t="s">
        <v>2226</v>
      </c>
      <c r="C2165" s="7" t="s">
        <v>51</v>
      </c>
      <c r="D2165" s="7" t="s">
        <v>52</v>
      </c>
      <c r="E2165" s="5" t="s">
        <v>15</v>
      </c>
      <c r="F2165" s="8"/>
      <c r="G2165" s="9">
        <f>H2165*(1-15%)*(1-F2165)</f>
        <v>25.491499999999998</v>
      </c>
      <c r="H2165" s="9">
        <v>29.989999999999998</v>
      </c>
      <c r="I2165" s="9">
        <f>H2165-G2165</f>
        <v>4.4984999999999999</v>
      </c>
    </row>
    <row r="2166" ht="14.25">
      <c r="A2166" s="5">
        <v>22713</v>
      </c>
      <c r="B2166" s="6" t="s">
        <v>2227</v>
      </c>
      <c r="C2166" s="7" t="s">
        <v>109</v>
      </c>
      <c r="D2166" s="7" t="s">
        <v>110</v>
      </c>
      <c r="E2166" s="5" t="s">
        <v>15</v>
      </c>
      <c r="F2166" s="8"/>
      <c r="G2166" s="9">
        <f>H2166*(1-15%)*(1-F2166)</f>
        <v>35.691499999999998</v>
      </c>
      <c r="H2166" s="9">
        <v>41.990000000000002</v>
      </c>
      <c r="I2166" s="9">
        <f>H2166-G2166</f>
        <v>6.2985000000000042</v>
      </c>
    </row>
    <row r="2167" ht="14.25">
      <c r="A2167" s="5">
        <v>22719</v>
      </c>
      <c r="B2167" s="6" t="s">
        <v>2228</v>
      </c>
      <c r="C2167" s="7" t="s">
        <v>109</v>
      </c>
      <c r="D2167" s="7" t="s">
        <v>110</v>
      </c>
      <c r="E2167" s="5" t="s">
        <v>15</v>
      </c>
      <c r="F2167" s="8"/>
      <c r="G2167" s="9">
        <f>H2167*(1-15%)*(1-F2167)</f>
        <v>36.541499999999999</v>
      </c>
      <c r="H2167" s="9">
        <v>42.990000000000002</v>
      </c>
      <c r="I2167" s="9">
        <f>H2167-G2167</f>
        <v>6.4485000000000028</v>
      </c>
    </row>
    <row r="2168" ht="14.25">
      <c r="A2168" s="5">
        <v>24579</v>
      </c>
      <c r="B2168" s="6" t="s">
        <v>2229</v>
      </c>
      <c r="C2168" s="7" t="s">
        <v>109</v>
      </c>
      <c r="D2168" s="7" t="s">
        <v>110</v>
      </c>
      <c r="E2168" s="5" t="s">
        <v>15</v>
      </c>
      <c r="F2168" s="8"/>
      <c r="G2168" s="9">
        <f>H2168*(1-15%)*(1-F2168)</f>
        <v>57.791499999999992</v>
      </c>
      <c r="H2168" s="9">
        <v>67.989999999999995</v>
      </c>
      <c r="I2168" s="9">
        <f>H2168-G2168</f>
        <v>10.198500000000003</v>
      </c>
    </row>
    <row r="2169" ht="14.25">
      <c r="A2169" s="5">
        <v>24581</v>
      </c>
      <c r="B2169" s="6" t="s">
        <v>2230</v>
      </c>
      <c r="C2169" s="7" t="s">
        <v>109</v>
      </c>
      <c r="D2169" s="7" t="s">
        <v>110</v>
      </c>
      <c r="E2169" s="5" t="s">
        <v>15</v>
      </c>
      <c r="F2169" s="8"/>
      <c r="G2169" s="9">
        <f>H2169*(1-15%)*(1-F2169)</f>
        <v>57.791499999999992</v>
      </c>
      <c r="H2169" s="9">
        <v>67.989999999999995</v>
      </c>
      <c r="I2169" s="9">
        <f>H2169-G2169</f>
        <v>10.198500000000003</v>
      </c>
    </row>
    <row r="2170" ht="14.25">
      <c r="A2170" s="5">
        <v>24987</v>
      </c>
      <c r="B2170" s="6" t="s">
        <v>2231</v>
      </c>
      <c r="C2170" s="7" t="s">
        <v>271</v>
      </c>
      <c r="D2170" s="7" t="s">
        <v>110</v>
      </c>
      <c r="E2170" s="5" t="s">
        <v>15</v>
      </c>
      <c r="F2170" s="8"/>
      <c r="G2170" s="9">
        <f>H2170*(1-15%)*(1-F2170)</f>
        <v>28.891500000000001</v>
      </c>
      <c r="H2170" s="9">
        <v>33.990000000000002</v>
      </c>
      <c r="I2170" s="9">
        <f>H2170-G2170</f>
        <v>5.0985000000000014</v>
      </c>
    </row>
    <row r="2171" ht="14.25">
      <c r="A2171" s="5">
        <v>26289</v>
      </c>
      <c r="B2171" s="6" t="s">
        <v>2232</v>
      </c>
      <c r="C2171" s="7" t="s">
        <v>489</v>
      </c>
      <c r="D2171" s="7" t="s">
        <v>61</v>
      </c>
      <c r="E2171" s="5" t="s">
        <v>15</v>
      </c>
      <c r="F2171" s="8"/>
      <c r="G2171" s="9">
        <f>H2171*(1-15%)*(1-F2171)</f>
        <v>84.915000000000006</v>
      </c>
      <c r="H2171" s="9">
        <v>99.900000000000006</v>
      </c>
      <c r="I2171" s="9">
        <f>H2171-G2171</f>
        <v>14.984999999999999</v>
      </c>
    </row>
    <row r="2172" ht="14.25">
      <c r="A2172" s="5">
        <v>30190</v>
      </c>
      <c r="B2172" s="6" t="s">
        <v>2233</v>
      </c>
      <c r="C2172" s="7" t="s">
        <v>1446</v>
      </c>
      <c r="D2172" s="7" t="s">
        <v>1447</v>
      </c>
      <c r="E2172" s="5" t="s">
        <v>15</v>
      </c>
      <c r="F2172" s="8"/>
      <c r="G2172" s="9">
        <f>H2172*(1-15%)*(1-F2172)</f>
        <v>1.105</v>
      </c>
      <c r="H2172" s="9">
        <v>1.3</v>
      </c>
      <c r="I2172" s="9">
        <f>H2172-G2172</f>
        <v>0.19500000000000006</v>
      </c>
    </row>
    <row r="2173" ht="14.25">
      <c r="A2173" s="5">
        <v>35994</v>
      </c>
      <c r="B2173" s="6" t="s">
        <v>2234</v>
      </c>
      <c r="C2173" s="7" t="s">
        <v>201</v>
      </c>
      <c r="D2173" s="7" t="s">
        <v>183</v>
      </c>
      <c r="E2173" s="5" t="s">
        <v>15</v>
      </c>
      <c r="F2173" s="8"/>
      <c r="G2173" s="9">
        <f>H2173*(1-15%)*(1-F2173)</f>
        <v>7.5650000000000004</v>
      </c>
      <c r="H2173" s="9">
        <v>8.9000000000000004</v>
      </c>
      <c r="I2173" s="9">
        <f>H2173-G2173</f>
        <v>1.335</v>
      </c>
    </row>
    <row r="2174" ht="14.25">
      <c r="A2174" s="5">
        <v>38220</v>
      </c>
      <c r="B2174" s="6" t="s">
        <v>2235</v>
      </c>
      <c r="C2174" s="7" t="s">
        <v>359</v>
      </c>
      <c r="D2174" s="7" t="s">
        <v>183</v>
      </c>
      <c r="E2174" s="5" t="s">
        <v>15</v>
      </c>
      <c r="F2174" s="8"/>
      <c r="G2174" s="9">
        <f>H2174*(1-15%)*(1-F2174)</f>
        <v>1.615</v>
      </c>
      <c r="H2174" s="9">
        <v>1.8999999999999999</v>
      </c>
      <c r="I2174" s="9">
        <f>H2174-G2174</f>
        <v>0.28499999999999992</v>
      </c>
    </row>
    <row r="2175" ht="14.25">
      <c r="A2175" s="5">
        <v>38473</v>
      </c>
      <c r="B2175" s="6" t="s">
        <v>2236</v>
      </c>
      <c r="C2175" s="7" t="s">
        <v>109</v>
      </c>
      <c r="D2175" s="7" t="s">
        <v>183</v>
      </c>
      <c r="E2175" s="5" t="s">
        <v>15</v>
      </c>
      <c r="F2175" s="8"/>
      <c r="G2175" s="9">
        <f>H2175*(1-15%)*(1-F2175)</f>
        <v>46.664999999999999</v>
      </c>
      <c r="H2175" s="9">
        <v>54.899999999999999</v>
      </c>
      <c r="I2175" s="9">
        <f>H2175-G2175</f>
        <v>8.2349999999999994</v>
      </c>
    </row>
    <row r="2176" ht="14.25">
      <c r="A2176" s="5">
        <v>38475</v>
      </c>
      <c r="B2176" s="6" t="s">
        <v>2237</v>
      </c>
      <c r="C2176" s="7" t="s">
        <v>109</v>
      </c>
      <c r="D2176" s="7" t="s">
        <v>183</v>
      </c>
      <c r="E2176" s="5" t="s">
        <v>15</v>
      </c>
      <c r="F2176" s="8"/>
      <c r="G2176" s="9">
        <f>H2176*(1-15%)*(1-F2176)</f>
        <v>38.164999999999999</v>
      </c>
      <c r="H2176" s="9">
        <v>44.899999999999999</v>
      </c>
      <c r="I2176" s="9">
        <f>H2176-G2176</f>
        <v>6.7349999999999994</v>
      </c>
    </row>
    <row r="2177" ht="14.25">
      <c r="A2177" s="5">
        <v>38476</v>
      </c>
      <c r="B2177" s="6" t="s">
        <v>2238</v>
      </c>
      <c r="C2177" s="7" t="s">
        <v>109</v>
      </c>
      <c r="D2177" s="7" t="s">
        <v>183</v>
      </c>
      <c r="E2177" s="5" t="s">
        <v>15</v>
      </c>
      <c r="F2177" s="8"/>
      <c r="G2177" s="9">
        <f>H2177*(1-15%)*(1-F2177)</f>
        <v>21.164999999999999</v>
      </c>
      <c r="H2177" s="9">
        <v>24.899999999999999</v>
      </c>
      <c r="I2177" s="9">
        <f>H2177-G2177</f>
        <v>3.7349999999999994</v>
      </c>
    </row>
    <row r="2178" ht="14.25">
      <c r="A2178" s="5">
        <v>38478</v>
      </c>
      <c r="B2178" s="6" t="s">
        <v>2239</v>
      </c>
      <c r="C2178" s="7" t="s">
        <v>109</v>
      </c>
      <c r="D2178" s="7" t="s">
        <v>183</v>
      </c>
      <c r="E2178" s="5" t="s">
        <v>15</v>
      </c>
      <c r="F2178" s="8"/>
      <c r="G2178" s="9">
        <f>H2178*(1-15%)*(1-F2178)</f>
        <v>21.164999999999999</v>
      </c>
      <c r="H2178" s="9">
        <v>24.899999999999999</v>
      </c>
      <c r="I2178" s="9">
        <f>H2178-G2178</f>
        <v>3.7349999999999994</v>
      </c>
    </row>
    <row r="2179" ht="14.25">
      <c r="A2179" s="5">
        <v>38480</v>
      </c>
      <c r="B2179" s="6" t="s">
        <v>2240</v>
      </c>
      <c r="C2179" s="7" t="s">
        <v>109</v>
      </c>
      <c r="D2179" s="7" t="s">
        <v>183</v>
      </c>
      <c r="E2179" s="5" t="s">
        <v>15</v>
      </c>
      <c r="F2179" s="8"/>
      <c r="G2179" s="9">
        <f>H2179*(1-15%)*(1-F2179)</f>
        <v>20.314999999999998</v>
      </c>
      <c r="H2179" s="9">
        <v>23.899999999999999</v>
      </c>
      <c r="I2179" s="9">
        <f>H2179-G2179</f>
        <v>3.5850000000000009</v>
      </c>
    </row>
    <row r="2180" ht="14.25">
      <c r="A2180" s="5">
        <v>38483</v>
      </c>
      <c r="B2180" s="6" t="s">
        <v>2241</v>
      </c>
      <c r="C2180" s="7" t="s">
        <v>109</v>
      </c>
      <c r="D2180" s="7" t="s">
        <v>183</v>
      </c>
      <c r="E2180" s="5" t="s">
        <v>15</v>
      </c>
      <c r="F2180" s="8"/>
      <c r="G2180" s="9">
        <f>H2180*(1-15%)*(1-F2180)</f>
        <v>36.464999999999996</v>
      </c>
      <c r="H2180" s="9">
        <v>42.899999999999999</v>
      </c>
      <c r="I2180" s="9">
        <f>H2180-G2180</f>
        <v>6.4350000000000023</v>
      </c>
    </row>
    <row r="2181" ht="14.25">
      <c r="A2181" s="5">
        <v>38485</v>
      </c>
      <c r="B2181" s="6" t="s">
        <v>2242</v>
      </c>
      <c r="C2181" s="7" t="s">
        <v>201</v>
      </c>
      <c r="D2181" s="7" t="s">
        <v>183</v>
      </c>
      <c r="E2181" s="5" t="s">
        <v>15</v>
      </c>
      <c r="F2181" s="8"/>
      <c r="G2181" s="9">
        <f>H2181*(1-15%)*(1-F2181)</f>
        <v>18.614999999999998</v>
      </c>
      <c r="H2181" s="9">
        <v>21.899999999999999</v>
      </c>
      <c r="I2181" s="9">
        <f>H2181-G2181</f>
        <v>3.2850000000000001</v>
      </c>
    </row>
    <row r="2182" ht="14.25">
      <c r="A2182" s="5">
        <v>38502</v>
      </c>
      <c r="B2182" s="6" t="s">
        <v>2243</v>
      </c>
      <c r="C2182" s="7" t="s">
        <v>109</v>
      </c>
      <c r="D2182" s="7" t="s">
        <v>183</v>
      </c>
      <c r="E2182" s="5" t="s">
        <v>15</v>
      </c>
      <c r="F2182" s="8"/>
      <c r="G2182" s="9">
        <f>H2182*(1-15%)*(1-F2182)</f>
        <v>16.991499999999998</v>
      </c>
      <c r="H2182" s="9">
        <v>19.989999999999998</v>
      </c>
      <c r="I2182" s="9">
        <f>H2182-G2182</f>
        <v>2.9984999999999999</v>
      </c>
    </row>
    <row r="2183" ht="14.25">
      <c r="A2183" s="5">
        <v>38551</v>
      </c>
      <c r="B2183" s="6" t="s">
        <v>2244</v>
      </c>
      <c r="C2183" s="7" t="s">
        <v>82</v>
      </c>
      <c r="D2183" s="7" t="s">
        <v>183</v>
      </c>
      <c r="E2183" s="5" t="s">
        <v>15</v>
      </c>
      <c r="F2183" s="8"/>
      <c r="G2183" s="9">
        <f>H2183*(1-15%)*(1-F2183)</f>
        <v>6.7915000000000001</v>
      </c>
      <c r="H2183" s="9">
        <v>7.9900000000000002</v>
      </c>
      <c r="I2183" s="9">
        <f>H2183-G2183</f>
        <v>1.1985000000000001</v>
      </c>
    </row>
    <row r="2184" ht="14.25">
      <c r="A2184" s="5">
        <v>38592</v>
      </c>
      <c r="B2184" s="6" t="s">
        <v>2245</v>
      </c>
      <c r="C2184" s="7" t="s">
        <v>82</v>
      </c>
      <c r="D2184" s="7" t="s">
        <v>183</v>
      </c>
      <c r="E2184" s="5" t="s">
        <v>15</v>
      </c>
      <c r="F2184" s="8"/>
      <c r="G2184" s="9">
        <f>H2184*(1-15%)*(1-F2184)</f>
        <v>6.7915000000000001</v>
      </c>
      <c r="H2184" s="9">
        <v>7.9900000000000002</v>
      </c>
      <c r="I2184" s="9">
        <f>H2184-G2184</f>
        <v>1.1985000000000001</v>
      </c>
    </row>
    <row r="2185" ht="14.25">
      <c r="A2185" s="5">
        <v>38595</v>
      </c>
      <c r="B2185" s="6" t="s">
        <v>2246</v>
      </c>
      <c r="C2185" s="7" t="s">
        <v>109</v>
      </c>
      <c r="D2185" s="7" t="s">
        <v>183</v>
      </c>
      <c r="E2185" s="5" t="s">
        <v>15</v>
      </c>
      <c r="F2185" s="8"/>
      <c r="G2185" s="9">
        <f>H2185*(1-15%)*(1-F2185)</f>
        <v>32.291499999999999</v>
      </c>
      <c r="H2185" s="9">
        <v>37.990000000000002</v>
      </c>
      <c r="I2185" s="9">
        <f>H2185-G2185</f>
        <v>5.6985000000000028</v>
      </c>
    </row>
    <row r="2186" ht="14.25">
      <c r="A2186" s="5">
        <v>39186</v>
      </c>
      <c r="B2186" s="6" t="s">
        <v>2247</v>
      </c>
      <c r="C2186" s="7" t="s">
        <v>313</v>
      </c>
      <c r="D2186" s="7" t="s">
        <v>183</v>
      </c>
      <c r="E2186" s="5" t="s">
        <v>15</v>
      </c>
      <c r="F2186" s="8"/>
      <c r="G2186" s="9">
        <f>H2186*(1-15%)*(1-F2186)</f>
        <v>21.241499999999998</v>
      </c>
      <c r="H2186" s="9">
        <v>24.989999999999998</v>
      </c>
      <c r="I2186" s="9">
        <f>H2186-G2186</f>
        <v>3.7484999999999999</v>
      </c>
    </row>
    <row r="2187" ht="14.25">
      <c r="A2187" s="5">
        <v>39285</v>
      </c>
      <c r="B2187" s="6" t="s">
        <v>2248</v>
      </c>
      <c r="C2187" s="7" t="s">
        <v>201</v>
      </c>
      <c r="D2187" s="7" t="s">
        <v>183</v>
      </c>
      <c r="E2187" s="5" t="s">
        <v>15</v>
      </c>
      <c r="F2187" s="8"/>
      <c r="G2187" s="9">
        <f>H2187*(1-15%)*(1-F2187)</f>
        <v>82.450000000000003</v>
      </c>
      <c r="H2187" s="9">
        <v>97</v>
      </c>
      <c r="I2187" s="9">
        <f>H2187-G2187</f>
        <v>14.549999999999997</v>
      </c>
    </row>
    <row r="2188" ht="14.25">
      <c r="A2188" s="5">
        <v>39415</v>
      </c>
      <c r="B2188" s="6" t="s">
        <v>2249</v>
      </c>
      <c r="C2188" s="7" t="s">
        <v>109</v>
      </c>
      <c r="D2188" s="7" t="s">
        <v>183</v>
      </c>
      <c r="E2188" s="5" t="s">
        <v>15</v>
      </c>
      <c r="F2188" s="8"/>
      <c r="G2188" s="9">
        <f>H2188*(1-15%)*(1-F2188)</f>
        <v>33.991500000000002</v>
      </c>
      <c r="H2188" s="9">
        <v>39.990000000000002</v>
      </c>
      <c r="I2188" s="9">
        <f>H2188-G2188</f>
        <v>5.9984999999999999</v>
      </c>
    </row>
    <row r="2189" ht="14.25">
      <c r="A2189" s="5">
        <v>39416</v>
      </c>
      <c r="B2189" s="6" t="s">
        <v>2250</v>
      </c>
      <c r="C2189" s="7" t="s">
        <v>109</v>
      </c>
      <c r="D2189" s="7" t="s">
        <v>183</v>
      </c>
      <c r="E2189" s="5" t="s">
        <v>15</v>
      </c>
      <c r="F2189" s="8"/>
      <c r="G2189" s="9">
        <f>H2189*(1-15%)*(1-F2189)</f>
        <v>33.991500000000002</v>
      </c>
      <c r="H2189" s="9">
        <v>39.990000000000002</v>
      </c>
      <c r="I2189" s="9">
        <f>H2189-G2189</f>
        <v>5.9984999999999999</v>
      </c>
    </row>
    <row r="2190" ht="14.25">
      <c r="A2190" s="5">
        <v>39417</v>
      </c>
      <c r="B2190" s="6" t="s">
        <v>2251</v>
      </c>
      <c r="C2190" s="7" t="s">
        <v>109</v>
      </c>
      <c r="D2190" s="7" t="s">
        <v>183</v>
      </c>
      <c r="E2190" s="5" t="s">
        <v>15</v>
      </c>
      <c r="F2190" s="8"/>
      <c r="G2190" s="9">
        <f>H2190*(1-15%)*(1-F2190)</f>
        <v>33.991500000000002</v>
      </c>
      <c r="H2190" s="9">
        <v>39.990000000000002</v>
      </c>
      <c r="I2190" s="9">
        <f>H2190-G2190</f>
        <v>5.9984999999999999</v>
      </c>
    </row>
    <row r="2191" ht="14.25">
      <c r="A2191" s="5">
        <v>39950</v>
      </c>
      <c r="B2191" s="6" t="s">
        <v>2252</v>
      </c>
      <c r="C2191" s="7" t="s">
        <v>201</v>
      </c>
      <c r="D2191" s="7" t="s">
        <v>183</v>
      </c>
      <c r="E2191" s="5" t="s">
        <v>15</v>
      </c>
      <c r="F2191" s="8"/>
      <c r="G2191" s="9">
        <f>H2191*(1-15%)*(1-F2191)</f>
        <v>1.615</v>
      </c>
      <c r="H2191" s="9">
        <v>1.8999999999999999</v>
      </c>
      <c r="I2191" s="9">
        <f>H2191-G2191</f>
        <v>0.28499999999999992</v>
      </c>
    </row>
    <row r="2192" ht="14.25">
      <c r="A2192" s="5">
        <v>40019</v>
      </c>
      <c r="B2192" s="6" t="s">
        <v>2253</v>
      </c>
      <c r="C2192" s="7" t="s">
        <v>109</v>
      </c>
      <c r="D2192" s="7" t="s">
        <v>183</v>
      </c>
      <c r="E2192" s="5" t="s">
        <v>15</v>
      </c>
      <c r="F2192" s="8"/>
      <c r="G2192" s="9">
        <f>H2192*(1-15%)*(1-F2192)</f>
        <v>33.914999999999999</v>
      </c>
      <c r="H2192" s="9">
        <v>39.899999999999999</v>
      </c>
      <c r="I2192" s="9">
        <f>H2192-G2192</f>
        <v>5.9849999999999994</v>
      </c>
    </row>
    <row r="2193" ht="14.25">
      <c r="A2193" s="5">
        <v>40020</v>
      </c>
      <c r="B2193" s="6" t="s">
        <v>2254</v>
      </c>
      <c r="C2193" s="7" t="s">
        <v>109</v>
      </c>
      <c r="D2193" s="7" t="s">
        <v>183</v>
      </c>
      <c r="E2193" s="5" t="s">
        <v>15</v>
      </c>
      <c r="F2193" s="8"/>
      <c r="G2193" s="9">
        <f>H2193*(1-15%)*(1-F2193)</f>
        <v>42.414999999999999</v>
      </c>
      <c r="H2193" s="9">
        <v>49.899999999999999</v>
      </c>
      <c r="I2193" s="9">
        <f>H2193-G2193</f>
        <v>7.4849999999999994</v>
      </c>
    </row>
    <row r="2194" ht="14.25">
      <c r="A2194" s="5">
        <v>40075</v>
      </c>
      <c r="B2194" s="6" t="s">
        <v>2255</v>
      </c>
      <c r="C2194" s="7" t="s">
        <v>75</v>
      </c>
      <c r="D2194" s="7" t="s">
        <v>183</v>
      </c>
      <c r="E2194" s="5" t="s">
        <v>15</v>
      </c>
      <c r="F2194" s="8"/>
      <c r="G2194" s="9">
        <f>H2194*(1-15%)*(1-F2194)</f>
        <v>22.941499999999998</v>
      </c>
      <c r="H2194" s="9">
        <v>26.989999999999998</v>
      </c>
      <c r="I2194" s="9">
        <f>H2194-G2194</f>
        <v>4.0485000000000007</v>
      </c>
    </row>
    <row r="2195" ht="14.25">
      <c r="A2195" s="5">
        <v>40080</v>
      </c>
      <c r="B2195" s="6" t="s">
        <v>2256</v>
      </c>
      <c r="C2195" s="7" t="s">
        <v>75</v>
      </c>
      <c r="D2195" s="7" t="s">
        <v>183</v>
      </c>
      <c r="E2195" s="5" t="s">
        <v>15</v>
      </c>
      <c r="F2195" s="8"/>
      <c r="G2195" s="9">
        <f>H2195*(1-15%)*(1-F2195)</f>
        <v>20.314999999999998</v>
      </c>
      <c r="H2195" s="9">
        <v>23.899999999999999</v>
      </c>
      <c r="I2195" s="9">
        <f>H2195-G2195</f>
        <v>3.5850000000000009</v>
      </c>
    </row>
    <row r="2196" ht="14.25">
      <c r="A2196" s="5">
        <v>40121</v>
      </c>
      <c r="B2196" s="6" t="s">
        <v>2257</v>
      </c>
      <c r="C2196" s="7" t="s">
        <v>624</v>
      </c>
      <c r="D2196" s="7" t="s">
        <v>61</v>
      </c>
      <c r="E2196" s="5" t="s">
        <v>15</v>
      </c>
      <c r="F2196" s="8"/>
      <c r="G2196" s="9">
        <f>H2196*(1-15%)*(1-F2196)</f>
        <v>195.41499999999999</v>
      </c>
      <c r="H2196" s="9">
        <v>229.90000000000001</v>
      </c>
      <c r="I2196" s="9">
        <f>H2196-G2196</f>
        <v>34.485000000000014</v>
      </c>
    </row>
    <row r="2197" ht="14.25">
      <c r="A2197" s="5">
        <v>40719</v>
      </c>
      <c r="B2197" s="6" t="s">
        <v>2258</v>
      </c>
      <c r="C2197" s="7" t="s">
        <v>25</v>
      </c>
      <c r="D2197" s="7" t="s">
        <v>183</v>
      </c>
      <c r="E2197" s="5" t="s">
        <v>15</v>
      </c>
      <c r="F2197" s="8"/>
      <c r="G2197" s="9">
        <f>H2197*(1-15%)*(1-F2197)</f>
        <v>33.914999999999999</v>
      </c>
      <c r="H2197" s="9">
        <v>39.899999999999999</v>
      </c>
      <c r="I2197" s="9">
        <f>H2197-G2197</f>
        <v>5.9849999999999994</v>
      </c>
    </row>
    <row r="2198" ht="14.25">
      <c r="A2198" s="5">
        <v>40801</v>
      </c>
      <c r="B2198" s="6" t="s">
        <v>2259</v>
      </c>
      <c r="C2198" s="7" t="s">
        <v>82</v>
      </c>
      <c r="D2198" s="7" t="s">
        <v>183</v>
      </c>
      <c r="E2198" s="5" t="s">
        <v>15</v>
      </c>
      <c r="F2198" s="8"/>
      <c r="G2198" s="9">
        <f>H2198*(1-15%)*(1-F2198)</f>
        <v>16.141499999999997</v>
      </c>
      <c r="H2198" s="9">
        <v>18.989999999999998</v>
      </c>
      <c r="I2198" s="9">
        <f>H2198-G2198</f>
        <v>2.8485000000000014</v>
      </c>
    </row>
    <row r="2199" ht="14.25">
      <c r="A2199" s="5">
        <v>41091</v>
      </c>
      <c r="B2199" s="6" t="s">
        <v>2260</v>
      </c>
      <c r="C2199" s="7" t="s">
        <v>25</v>
      </c>
      <c r="D2199" s="7" t="s">
        <v>183</v>
      </c>
      <c r="E2199" s="5" t="s">
        <v>15</v>
      </c>
      <c r="F2199" s="8"/>
      <c r="G2199" s="9">
        <f>H2199*(1-15%)*(1-F2199)</f>
        <v>31.364999999999998</v>
      </c>
      <c r="H2199" s="9">
        <v>36.899999999999999</v>
      </c>
      <c r="I2199" s="9">
        <f>H2199-G2199</f>
        <v>5.5350000000000001</v>
      </c>
    </row>
    <row r="2200" ht="14.25">
      <c r="A2200" s="5">
        <v>41265</v>
      </c>
      <c r="B2200" s="6" t="s">
        <v>2261</v>
      </c>
      <c r="C2200" s="7" t="s">
        <v>201</v>
      </c>
      <c r="D2200" s="7" t="s">
        <v>1447</v>
      </c>
      <c r="E2200" s="5" t="s">
        <v>15</v>
      </c>
      <c r="F2200" s="8"/>
      <c r="G2200" s="9">
        <f>H2200*(1-15%)*(1-F2200)</f>
        <v>16.064999999999998</v>
      </c>
      <c r="H2200" s="9">
        <v>18.899999999999999</v>
      </c>
      <c r="I2200" s="9">
        <f>H2200-G2200</f>
        <v>2.8350000000000009</v>
      </c>
    </row>
    <row r="2201" ht="14.25">
      <c r="A2201" s="5">
        <v>41447</v>
      </c>
      <c r="B2201" s="6" t="s">
        <v>2262</v>
      </c>
      <c r="C2201" s="7" t="s">
        <v>75</v>
      </c>
      <c r="D2201" s="7" t="s">
        <v>183</v>
      </c>
      <c r="E2201" s="5" t="s">
        <v>15</v>
      </c>
      <c r="F2201" s="8"/>
      <c r="G2201" s="9">
        <f>H2201*(1-15%)*(1-F2201)</f>
        <v>16.064999999999998</v>
      </c>
      <c r="H2201" s="9">
        <v>18.899999999999999</v>
      </c>
      <c r="I2201" s="9">
        <f>H2201-G2201</f>
        <v>2.8350000000000009</v>
      </c>
    </row>
    <row r="2202" ht="14.25">
      <c r="A2202" s="5">
        <v>41544</v>
      </c>
      <c r="B2202" s="6" t="s">
        <v>2263</v>
      </c>
      <c r="C2202" s="7" t="s">
        <v>75</v>
      </c>
      <c r="D2202" s="7" t="s">
        <v>183</v>
      </c>
      <c r="E2202" s="5" t="s">
        <v>15</v>
      </c>
      <c r="F2202" s="8"/>
      <c r="G2202" s="9">
        <f>H2202*(1-15%)*(1-F2202)</f>
        <v>25.414999999999999</v>
      </c>
      <c r="H2202" s="9">
        <v>29.899999999999999</v>
      </c>
      <c r="I2202" s="9">
        <f>H2202-G2202</f>
        <v>4.4849999999999994</v>
      </c>
    </row>
    <row r="2203" ht="14.25">
      <c r="A2203" s="5">
        <v>41776</v>
      </c>
      <c r="B2203" s="6" t="s">
        <v>2264</v>
      </c>
      <c r="C2203" s="7" t="s">
        <v>1446</v>
      </c>
      <c r="D2203" s="7" t="s">
        <v>1447</v>
      </c>
      <c r="E2203" s="5" t="s">
        <v>15</v>
      </c>
      <c r="F2203" s="8"/>
      <c r="G2203" s="9">
        <f>H2203*(1-15%)*(1-F2203)</f>
        <v>2.5499999999999998</v>
      </c>
      <c r="H2203" s="9">
        <v>3</v>
      </c>
      <c r="I2203" s="9">
        <f>H2203-G2203</f>
        <v>0.45000000000000018</v>
      </c>
    </row>
    <row r="2204" ht="14.25">
      <c r="A2204" s="5">
        <v>41777</v>
      </c>
      <c r="B2204" s="6" t="s">
        <v>2265</v>
      </c>
      <c r="C2204" s="7" t="s">
        <v>1446</v>
      </c>
      <c r="D2204" s="7" t="s">
        <v>1447</v>
      </c>
      <c r="E2204" s="5" t="s">
        <v>15</v>
      </c>
      <c r="F2204" s="8"/>
      <c r="G2204" s="9">
        <f>H2204*(1-15%)*(1-F2204)</f>
        <v>2.5499999999999998</v>
      </c>
      <c r="H2204" s="9">
        <v>3</v>
      </c>
      <c r="I2204" s="9">
        <f>H2204-G2204</f>
        <v>0.45000000000000018</v>
      </c>
    </row>
    <row r="2205" ht="14.25">
      <c r="A2205" s="5">
        <v>41981</v>
      </c>
      <c r="B2205" s="6" t="s">
        <v>2266</v>
      </c>
      <c r="C2205" s="7" t="s">
        <v>201</v>
      </c>
      <c r="D2205" s="7" t="s">
        <v>183</v>
      </c>
      <c r="E2205" s="5" t="s">
        <v>15</v>
      </c>
      <c r="F2205" s="8"/>
      <c r="G2205" s="9">
        <f>H2205*(1-15%)*(1-F2205)</f>
        <v>27.964999999999996</v>
      </c>
      <c r="H2205" s="9">
        <v>32.899999999999999</v>
      </c>
      <c r="I2205" s="9">
        <f>H2205-G2205</f>
        <v>4.9350000000000023</v>
      </c>
    </row>
    <row r="2206" ht="14.25">
      <c r="A2206" s="5">
        <v>42496</v>
      </c>
      <c r="B2206" s="6" t="s">
        <v>2267</v>
      </c>
      <c r="C2206" s="7" t="s">
        <v>109</v>
      </c>
      <c r="D2206" s="7" t="s">
        <v>183</v>
      </c>
      <c r="E2206" s="5" t="s">
        <v>15</v>
      </c>
      <c r="F2206" s="8"/>
      <c r="G2206" s="9">
        <f>H2206*(1-15%)*(1-F2206)</f>
        <v>84.915000000000006</v>
      </c>
      <c r="H2206" s="9">
        <v>99.900000000000006</v>
      </c>
      <c r="I2206" s="9">
        <f>H2206-G2206</f>
        <v>14.984999999999999</v>
      </c>
    </row>
    <row r="2207" ht="14.25">
      <c r="A2207" s="5">
        <v>42993</v>
      </c>
      <c r="B2207" s="6" t="s">
        <v>2268</v>
      </c>
      <c r="C2207" s="7" t="s">
        <v>87</v>
      </c>
      <c r="D2207" s="7" t="s">
        <v>183</v>
      </c>
      <c r="E2207" s="5" t="s">
        <v>15</v>
      </c>
      <c r="F2207" s="8"/>
      <c r="G2207" s="9">
        <f>H2207*(1-15%)*(1-F2207)</f>
        <v>50.914999999999999</v>
      </c>
      <c r="H2207" s="9">
        <v>59.899999999999999</v>
      </c>
      <c r="I2207" s="9">
        <f>H2207-G2207</f>
        <v>8.9849999999999994</v>
      </c>
    </row>
    <row r="2208" ht="14.25">
      <c r="A2208" s="5">
        <v>43025</v>
      </c>
      <c r="B2208" s="6" t="s">
        <v>2269</v>
      </c>
      <c r="C2208" s="7" t="s">
        <v>201</v>
      </c>
      <c r="D2208" s="7" t="s">
        <v>183</v>
      </c>
      <c r="E2208" s="5" t="s">
        <v>15</v>
      </c>
      <c r="F2208" s="8"/>
      <c r="G2208" s="9">
        <f>H2208*(1-15%)*(1-F2208)</f>
        <v>31.364999999999998</v>
      </c>
      <c r="H2208" s="9">
        <v>36.899999999999999</v>
      </c>
      <c r="I2208" s="9">
        <f>H2208-G2208</f>
        <v>5.5350000000000001</v>
      </c>
    </row>
    <row r="2209" ht="14.25">
      <c r="A2209" s="5">
        <v>43344</v>
      </c>
      <c r="B2209" s="6" t="s">
        <v>2270</v>
      </c>
      <c r="C2209" s="7" t="s">
        <v>226</v>
      </c>
      <c r="D2209" s="7" t="s">
        <v>183</v>
      </c>
      <c r="E2209" s="5" t="s">
        <v>15</v>
      </c>
      <c r="F2209" s="8"/>
      <c r="G2209" s="9">
        <f>H2209*(1-15%)*(1-F2209)</f>
        <v>30.514999999999997</v>
      </c>
      <c r="H2209" s="9">
        <v>35.899999999999999</v>
      </c>
      <c r="I2209" s="9">
        <f>H2209-G2209</f>
        <v>5.3850000000000016</v>
      </c>
    </row>
    <row r="2210" ht="14.25">
      <c r="A2210" s="5">
        <v>43358</v>
      </c>
      <c r="B2210" s="6" t="s">
        <v>2271</v>
      </c>
      <c r="C2210" s="7" t="s">
        <v>87</v>
      </c>
      <c r="D2210" s="7" t="s">
        <v>183</v>
      </c>
      <c r="E2210" s="5" t="s">
        <v>15</v>
      </c>
      <c r="F2210" s="8"/>
      <c r="G2210" s="9">
        <f>H2210*(1-15%)*(1-F2210)</f>
        <v>33.064999999999998</v>
      </c>
      <c r="H2210" s="9">
        <v>38.899999999999999</v>
      </c>
      <c r="I2210" s="9">
        <f>H2210-G2210</f>
        <v>5.8350000000000009</v>
      </c>
    </row>
    <row r="2211" ht="14.25">
      <c r="A2211" s="5">
        <v>43763</v>
      </c>
      <c r="B2211" s="6" t="s">
        <v>2272</v>
      </c>
      <c r="C2211" s="7" t="s">
        <v>1446</v>
      </c>
      <c r="D2211" s="7" t="s">
        <v>1447</v>
      </c>
      <c r="E2211" s="5" t="s">
        <v>15</v>
      </c>
      <c r="F2211" s="8"/>
      <c r="G2211" s="9">
        <f>H2211*(1-15%)*(1-F2211)</f>
        <v>7.0550000000000006</v>
      </c>
      <c r="H2211" s="9">
        <v>8.3000000000000007</v>
      </c>
      <c r="I2211" s="9">
        <f>H2211-G2211</f>
        <v>1.2450000000000001</v>
      </c>
    </row>
    <row r="2212" ht="14.25">
      <c r="A2212" s="5">
        <v>43849</v>
      </c>
      <c r="B2212" s="6" t="s">
        <v>2273</v>
      </c>
      <c r="C2212" s="7" t="s">
        <v>109</v>
      </c>
      <c r="D2212" s="7" t="s">
        <v>183</v>
      </c>
      <c r="E2212" s="5" t="s">
        <v>15</v>
      </c>
      <c r="F2212" s="8"/>
      <c r="G2212" s="9">
        <f>H2212*(1-15%)*(1-F2212)</f>
        <v>27.964999999999996</v>
      </c>
      <c r="H2212" s="9">
        <v>32.899999999999999</v>
      </c>
      <c r="I2212" s="9">
        <f>H2212-G2212</f>
        <v>4.9350000000000023</v>
      </c>
    </row>
    <row r="2213" ht="14.25">
      <c r="A2213" s="5">
        <v>43915</v>
      </c>
      <c r="B2213" s="6" t="s">
        <v>2274</v>
      </c>
      <c r="C2213" s="7" t="s">
        <v>17</v>
      </c>
      <c r="D2213" s="7" t="s">
        <v>183</v>
      </c>
      <c r="E2213" s="5" t="s">
        <v>15</v>
      </c>
      <c r="F2213" s="8"/>
      <c r="G2213" s="9">
        <f>H2213*(1-15%)*(1-F2213)</f>
        <v>52.614999999999995</v>
      </c>
      <c r="H2213" s="9">
        <v>61.899999999999999</v>
      </c>
      <c r="I2213" s="9">
        <f>H2213-G2213</f>
        <v>9.2850000000000037</v>
      </c>
    </row>
    <row r="2214" ht="14.25">
      <c r="A2214" s="5">
        <v>43945</v>
      </c>
      <c r="B2214" s="6" t="s">
        <v>2275</v>
      </c>
      <c r="C2214" s="7" t="s">
        <v>109</v>
      </c>
      <c r="D2214" s="7" t="s">
        <v>183</v>
      </c>
      <c r="E2214" s="5" t="s">
        <v>15</v>
      </c>
      <c r="F2214" s="8"/>
      <c r="G2214" s="9">
        <f>H2214*(1-15%)*(1-F2214)</f>
        <v>27.964999999999996</v>
      </c>
      <c r="H2214" s="9">
        <v>32.899999999999999</v>
      </c>
      <c r="I2214" s="9">
        <f>H2214-G2214</f>
        <v>4.9350000000000023</v>
      </c>
    </row>
    <row r="2215" ht="14.25">
      <c r="A2215" s="5">
        <v>43960</v>
      </c>
      <c r="B2215" s="6" t="s">
        <v>2276</v>
      </c>
      <c r="C2215" s="7" t="s">
        <v>94</v>
      </c>
      <c r="D2215" s="7" t="s">
        <v>183</v>
      </c>
      <c r="E2215" s="5" t="s">
        <v>15</v>
      </c>
      <c r="F2215" s="8"/>
      <c r="G2215" s="9">
        <f>H2215*(1-15%)*(1-F2215)</f>
        <v>21.164999999999999</v>
      </c>
      <c r="H2215" s="9">
        <v>24.899999999999999</v>
      </c>
      <c r="I2215" s="9">
        <f>H2215-G2215</f>
        <v>3.7349999999999994</v>
      </c>
    </row>
    <row r="2216" ht="14.25">
      <c r="A2216" s="5">
        <v>43977</v>
      </c>
      <c r="B2216" s="6" t="s">
        <v>2277</v>
      </c>
      <c r="C2216" s="7" t="s">
        <v>271</v>
      </c>
      <c r="D2216" s="7" t="s">
        <v>183</v>
      </c>
      <c r="E2216" s="5" t="s">
        <v>15</v>
      </c>
      <c r="F2216" s="8"/>
      <c r="G2216" s="9">
        <f>H2216*(1-15%)*(1-F2216)</f>
        <v>25.414999999999999</v>
      </c>
      <c r="H2216" s="9">
        <v>29.899999999999999</v>
      </c>
      <c r="I2216" s="9">
        <f>H2216-G2216</f>
        <v>4.4849999999999994</v>
      </c>
    </row>
    <row r="2217" ht="14.25">
      <c r="A2217" s="5">
        <v>44150</v>
      </c>
      <c r="B2217" s="6" t="s">
        <v>2278</v>
      </c>
      <c r="C2217" s="7" t="s">
        <v>1446</v>
      </c>
      <c r="D2217" s="7" t="s">
        <v>1447</v>
      </c>
      <c r="E2217" s="5" t="s">
        <v>15</v>
      </c>
      <c r="F2217" s="8"/>
      <c r="G2217" s="9">
        <f>H2217*(1-15%)*(1-F2217)</f>
        <v>3.8249999999999997</v>
      </c>
      <c r="H2217" s="9">
        <v>4.5</v>
      </c>
      <c r="I2217" s="9">
        <f>H2217-G2217</f>
        <v>0.67500000000000027</v>
      </c>
    </row>
    <row r="2218" ht="14.25">
      <c r="A2218" s="5">
        <v>44345</v>
      </c>
      <c r="B2218" s="6" t="s">
        <v>2279</v>
      </c>
      <c r="C2218" s="7" t="s">
        <v>201</v>
      </c>
      <c r="D2218" s="7" t="s">
        <v>183</v>
      </c>
      <c r="E2218" s="5" t="s">
        <v>15</v>
      </c>
      <c r="F2218" s="8"/>
      <c r="G2218" s="9">
        <f>H2218*(1-15%)*(1-F2218)</f>
        <v>50.914999999999999</v>
      </c>
      <c r="H2218" s="9">
        <v>59.899999999999999</v>
      </c>
      <c r="I2218" s="9">
        <f>H2218-G2218</f>
        <v>8.9849999999999994</v>
      </c>
    </row>
    <row r="2219" ht="14.25">
      <c r="A2219" s="5">
        <v>44348</v>
      </c>
      <c r="B2219" s="6" t="s">
        <v>2280</v>
      </c>
      <c r="C2219" s="7" t="s">
        <v>201</v>
      </c>
      <c r="D2219" s="7" t="s">
        <v>183</v>
      </c>
      <c r="E2219" s="5" t="s">
        <v>15</v>
      </c>
      <c r="F2219" s="8"/>
      <c r="G2219" s="9">
        <f>H2219*(1-15%)*(1-F2219)</f>
        <v>20.314999999999998</v>
      </c>
      <c r="H2219" s="9">
        <v>23.899999999999999</v>
      </c>
      <c r="I2219" s="9">
        <f>H2219-G2219</f>
        <v>3.5850000000000009</v>
      </c>
    </row>
    <row r="2220" ht="14.25">
      <c r="A2220" s="5">
        <v>44405</v>
      </c>
      <c r="B2220" s="6" t="s">
        <v>2281</v>
      </c>
      <c r="C2220" s="7" t="s">
        <v>271</v>
      </c>
      <c r="D2220" s="7" t="s">
        <v>183</v>
      </c>
      <c r="E2220" s="5" t="s">
        <v>15</v>
      </c>
      <c r="F2220" s="8"/>
      <c r="G2220" s="9">
        <f>H2220*(1-15%)*(1-F2220)</f>
        <v>25.414999999999999</v>
      </c>
      <c r="H2220" s="9">
        <v>29.899999999999999</v>
      </c>
      <c r="I2220" s="9">
        <f>H2220-G2220</f>
        <v>4.4849999999999994</v>
      </c>
    </row>
    <row r="2221" ht="14.25">
      <c r="A2221" s="5">
        <v>44482</v>
      </c>
      <c r="B2221" s="6" t="s">
        <v>2282</v>
      </c>
      <c r="C2221" s="7" t="s">
        <v>201</v>
      </c>
      <c r="D2221" s="7" t="s">
        <v>183</v>
      </c>
      <c r="E2221" s="5" t="s">
        <v>15</v>
      </c>
      <c r="F2221" s="8"/>
      <c r="G2221" s="9">
        <f>H2221*(1-15%)*(1-F2221)</f>
        <v>12.664999999999999</v>
      </c>
      <c r="H2221" s="9">
        <v>14.9</v>
      </c>
      <c r="I2221" s="9">
        <f>H2221-G2221</f>
        <v>2.2350000000000012</v>
      </c>
    </row>
    <row r="2222" ht="14.25">
      <c r="A2222" s="5">
        <v>44520</v>
      </c>
      <c r="B2222" s="6" t="s">
        <v>2283</v>
      </c>
      <c r="C2222" s="7" t="s">
        <v>201</v>
      </c>
      <c r="D2222" s="7" t="s">
        <v>183</v>
      </c>
      <c r="E2222" s="5" t="s">
        <v>15</v>
      </c>
      <c r="F2222" s="8"/>
      <c r="G2222" s="9">
        <f>H2222*(1-15%)*(1-F2222)</f>
        <v>42.414999999999999</v>
      </c>
      <c r="H2222" s="9">
        <v>49.899999999999999</v>
      </c>
      <c r="I2222" s="9">
        <f>H2222-G2222</f>
        <v>7.4849999999999994</v>
      </c>
    </row>
    <row r="2223" ht="14.25">
      <c r="A2223" s="5">
        <v>44522</v>
      </c>
      <c r="B2223" s="6" t="s">
        <v>2284</v>
      </c>
      <c r="C2223" s="7" t="s">
        <v>201</v>
      </c>
      <c r="D2223" s="7" t="s">
        <v>183</v>
      </c>
      <c r="E2223" s="5" t="s">
        <v>15</v>
      </c>
      <c r="F2223" s="8"/>
      <c r="G2223" s="9">
        <f>H2223*(1-15%)*(1-F2223)</f>
        <v>42.414999999999999</v>
      </c>
      <c r="H2223" s="9">
        <v>49.899999999999999</v>
      </c>
      <c r="I2223" s="9">
        <f>H2223-G2223</f>
        <v>7.4849999999999994</v>
      </c>
    </row>
    <row r="2224" ht="14.25">
      <c r="A2224" s="5">
        <v>44801</v>
      </c>
      <c r="B2224" s="6" t="s">
        <v>2285</v>
      </c>
      <c r="C2224" s="7" t="s">
        <v>82</v>
      </c>
      <c r="D2224" s="7" t="s">
        <v>183</v>
      </c>
      <c r="E2224" s="5" t="s">
        <v>15</v>
      </c>
      <c r="F2224" s="8"/>
      <c r="G2224" s="9">
        <f>H2224*(1-15%)*(1-F2224)</f>
        <v>61.115000000000002</v>
      </c>
      <c r="H2224" s="9">
        <v>71.900000000000006</v>
      </c>
      <c r="I2224" s="9">
        <f>H2224-G2224</f>
        <v>10.785000000000004</v>
      </c>
    </row>
    <row r="2225" ht="14.25">
      <c r="A2225" s="5">
        <v>44847</v>
      </c>
      <c r="B2225" s="6" t="s">
        <v>2286</v>
      </c>
      <c r="C2225" s="7" t="s">
        <v>226</v>
      </c>
      <c r="D2225" s="7" t="s">
        <v>183</v>
      </c>
      <c r="E2225" s="5" t="s">
        <v>15</v>
      </c>
      <c r="F2225" s="8"/>
      <c r="G2225" s="9">
        <f>H2225*(1-15%)*(1-F2225)</f>
        <v>27.964999999999996</v>
      </c>
      <c r="H2225" s="9">
        <v>32.899999999999999</v>
      </c>
      <c r="I2225" s="9">
        <f>H2225-G2225</f>
        <v>4.9350000000000023</v>
      </c>
    </row>
    <row r="2226" ht="14.25">
      <c r="A2226" s="5">
        <v>45035</v>
      </c>
      <c r="B2226" s="6" t="s">
        <v>2287</v>
      </c>
      <c r="C2226" s="7" t="s">
        <v>201</v>
      </c>
      <c r="D2226" s="7" t="s">
        <v>183</v>
      </c>
      <c r="E2226" s="5" t="s">
        <v>15</v>
      </c>
      <c r="F2226" s="8"/>
      <c r="G2226" s="9">
        <f>H2226*(1-15%)*(1-F2226)</f>
        <v>33.914999999999999</v>
      </c>
      <c r="H2226" s="9">
        <v>39.899999999999999</v>
      </c>
      <c r="I2226" s="9">
        <f>H2226-G2226</f>
        <v>5.9849999999999994</v>
      </c>
    </row>
    <row r="2227" ht="14.25">
      <c r="A2227" s="5">
        <v>45036</v>
      </c>
      <c r="B2227" s="6" t="s">
        <v>2288</v>
      </c>
      <c r="C2227" s="7" t="s">
        <v>201</v>
      </c>
      <c r="D2227" s="7" t="s">
        <v>183</v>
      </c>
      <c r="E2227" s="5" t="s">
        <v>15</v>
      </c>
      <c r="F2227" s="8"/>
      <c r="G2227" s="9">
        <f>H2227*(1-15%)*(1-F2227)</f>
        <v>38.164999999999999</v>
      </c>
      <c r="H2227" s="9">
        <v>44.899999999999999</v>
      </c>
      <c r="I2227" s="9">
        <f>H2227-G2227</f>
        <v>6.7349999999999994</v>
      </c>
    </row>
    <row r="2228" ht="14.25">
      <c r="A2228" s="5">
        <v>45536</v>
      </c>
      <c r="B2228" s="6" t="s">
        <v>2289</v>
      </c>
      <c r="C2228" s="7" t="s">
        <v>82</v>
      </c>
      <c r="D2228" s="7" t="s">
        <v>183</v>
      </c>
      <c r="E2228" s="5" t="s">
        <v>15</v>
      </c>
      <c r="F2228" s="8"/>
      <c r="G2228" s="9">
        <f>H2228*(1-15%)*(1-F2228)</f>
        <v>50.914999999999999</v>
      </c>
      <c r="H2228" s="9">
        <v>59.899999999999999</v>
      </c>
      <c r="I2228" s="9">
        <f>H2228-G2228</f>
        <v>8.9849999999999994</v>
      </c>
    </row>
    <row r="2229" ht="14.25">
      <c r="A2229" s="5">
        <v>45600</v>
      </c>
      <c r="B2229" s="6" t="s">
        <v>2290</v>
      </c>
      <c r="C2229" s="7" t="s">
        <v>271</v>
      </c>
      <c r="D2229" s="7" t="s">
        <v>183</v>
      </c>
      <c r="E2229" s="5" t="s">
        <v>15</v>
      </c>
      <c r="F2229" s="8"/>
      <c r="G2229" s="9">
        <f>H2229*(1-15%)*(1-F2229)</f>
        <v>16.914999999999999</v>
      </c>
      <c r="H2229" s="9">
        <v>19.899999999999999</v>
      </c>
      <c r="I2229" s="9">
        <f>H2229-G2229</f>
        <v>2.9849999999999994</v>
      </c>
    </row>
    <row r="2230" ht="14.25">
      <c r="A2230" s="5">
        <v>45687</v>
      </c>
      <c r="B2230" s="6" t="s">
        <v>2291</v>
      </c>
      <c r="C2230" s="7" t="s">
        <v>201</v>
      </c>
      <c r="D2230" s="7" t="s">
        <v>183</v>
      </c>
      <c r="E2230" s="5" t="s">
        <v>15</v>
      </c>
      <c r="F2230" s="8"/>
      <c r="G2230" s="9">
        <f>H2230*(1-15%)*(1-F2230)</f>
        <v>8.4150000000000009</v>
      </c>
      <c r="H2230" s="9">
        <v>9.9000000000000004</v>
      </c>
      <c r="I2230" s="9">
        <f>H2230-G2230</f>
        <v>1.4849999999999994</v>
      </c>
    </row>
    <row r="2231" ht="14.25">
      <c r="A2231" s="5">
        <v>45867</v>
      </c>
      <c r="B2231" s="6" t="s">
        <v>2292</v>
      </c>
      <c r="C2231" s="7" t="s">
        <v>109</v>
      </c>
      <c r="D2231" s="7" t="s">
        <v>183</v>
      </c>
      <c r="E2231" s="5" t="s">
        <v>15</v>
      </c>
      <c r="F2231" s="8"/>
      <c r="G2231" s="9">
        <f>H2231*(1-15%)*(1-F2231)</f>
        <v>76.415000000000006</v>
      </c>
      <c r="H2231" s="9">
        <v>89.900000000000006</v>
      </c>
      <c r="I2231" s="9">
        <f>H2231-G2231</f>
        <v>13.484999999999999</v>
      </c>
    </row>
    <row r="2232" ht="14.25">
      <c r="A2232" s="5">
        <v>45970</v>
      </c>
      <c r="B2232" s="6" t="s">
        <v>2293</v>
      </c>
      <c r="C2232" s="7" t="s">
        <v>201</v>
      </c>
      <c r="D2232" s="7" t="s">
        <v>183</v>
      </c>
      <c r="E2232" s="5" t="s">
        <v>15</v>
      </c>
      <c r="F2232" s="8"/>
      <c r="G2232" s="9">
        <f>H2232*(1-15%)*(1-F2232)</f>
        <v>50.914999999999999</v>
      </c>
      <c r="H2232" s="9">
        <v>59.899999999999999</v>
      </c>
      <c r="I2232" s="9">
        <f>H2232-G2232</f>
        <v>8.9849999999999994</v>
      </c>
    </row>
    <row r="2233" ht="14.25">
      <c r="A2233" s="5">
        <v>45977</v>
      </c>
      <c r="B2233" s="6" t="s">
        <v>2294</v>
      </c>
      <c r="C2233" s="7" t="s">
        <v>75</v>
      </c>
      <c r="D2233" s="7" t="s">
        <v>183</v>
      </c>
      <c r="E2233" s="5" t="s">
        <v>15</v>
      </c>
      <c r="F2233" s="8"/>
      <c r="G2233" s="9">
        <f>H2233*(1-15%)*(1-F2233)</f>
        <v>55.165000000000006</v>
      </c>
      <c r="H2233" s="9">
        <v>64.900000000000006</v>
      </c>
      <c r="I2233" s="9">
        <f>H2233-G2233</f>
        <v>9.7349999999999994</v>
      </c>
    </row>
    <row r="2234" ht="14.25">
      <c r="A2234" s="5">
        <v>46013</v>
      </c>
      <c r="B2234" s="6" t="s">
        <v>2295</v>
      </c>
      <c r="C2234" s="7" t="s">
        <v>17</v>
      </c>
      <c r="D2234" s="7" t="s">
        <v>183</v>
      </c>
      <c r="E2234" s="5" t="s">
        <v>15</v>
      </c>
      <c r="F2234" s="8"/>
      <c r="G2234" s="9">
        <f>H2234*(1-15%)*(1-F2234)</f>
        <v>45.814999999999998</v>
      </c>
      <c r="H2234" s="9">
        <v>53.899999999999999</v>
      </c>
      <c r="I2234" s="9">
        <f>H2234-G2234</f>
        <v>8.0850000000000009</v>
      </c>
    </row>
    <row r="2235" ht="14.25">
      <c r="A2235" s="5">
        <v>46028</v>
      </c>
      <c r="B2235" s="6" t="s">
        <v>2296</v>
      </c>
      <c r="C2235" s="7" t="s">
        <v>82</v>
      </c>
      <c r="D2235" s="7" t="s">
        <v>183</v>
      </c>
      <c r="E2235" s="5" t="s">
        <v>15</v>
      </c>
      <c r="F2235" s="8"/>
      <c r="G2235" s="9">
        <f>H2235*(1-15%)*(1-F2235)</f>
        <v>14.364999999999998</v>
      </c>
      <c r="H2235" s="9">
        <v>16.899999999999999</v>
      </c>
      <c r="I2235" s="9">
        <f>H2235-G2235</f>
        <v>2.5350000000000001</v>
      </c>
    </row>
    <row r="2236" ht="14.25">
      <c r="A2236" s="5">
        <v>46048</v>
      </c>
      <c r="B2236" s="6" t="s">
        <v>2297</v>
      </c>
      <c r="C2236" s="7" t="s">
        <v>87</v>
      </c>
      <c r="D2236" s="7" t="s">
        <v>183</v>
      </c>
      <c r="E2236" s="5" t="s">
        <v>15</v>
      </c>
      <c r="F2236" s="8"/>
      <c r="G2236" s="9">
        <f>H2236*(1-15%)*(1-F2236)</f>
        <v>33.914999999999999</v>
      </c>
      <c r="H2236" s="9">
        <v>39.899999999999999</v>
      </c>
      <c r="I2236" s="9">
        <f>H2236-G2236</f>
        <v>5.9849999999999994</v>
      </c>
    </row>
    <row r="2237" ht="14.25">
      <c r="A2237" s="5">
        <v>46948</v>
      </c>
      <c r="B2237" s="6" t="s">
        <v>2298</v>
      </c>
      <c r="C2237" s="7" t="s">
        <v>705</v>
      </c>
      <c r="D2237" s="7" t="s">
        <v>103</v>
      </c>
      <c r="E2237" s="5" t="s">
        <v>39</v>
      </c>
      <c r="F2237" s="8"/>
      <c r="G2237" s="9">
        <f>H2237*(1-15%)*(1-F2237)</f>
        <v>29.664999999999999</v>
      </c>
      <c r="H2237" s="9">
        <v>34.899999999999999</v>
      </c>
      <c r="I2237" s="9">
        <f>H2237-G2237</f>
        <v>5.2349999999999994</v>
      </c>
    </row>
    <row r="2238" ht="14.25">
      <c r="A2238" s="5">
        <v>47173</v>
      </c>
      <c r="B2238" s="6" t="s">
        <v>2299</v>
      </c>
      <c r="C2238" s="7" t="s">
        <v>14</v>
      </c>
      <c r="D2238" s="7" t="s">
        <v>183</v>
      </c>
      <c r="E2238" s="5" t="s">
        <v>15</v>
      </c>
      <c r="F2238" s="8"/>
      <c r="G2238" s="9">
        <f>H2238*(1-15%)*(1-F2238)</f>
        <v>6.7149999999999999</v>
      </c>
      <c r="H2238" s="9">
        <v>7.9000000000000004</v>
      </c>
      <c r="I2238" s="9">
        <f>H2238-G2238</f>
        <v>1.1850000000000005</v>
      </c>
    </row>
    <row r="2239" ht="14.25">
      <c r="A2239" s="5">
        <v>47174</v>
      </c>
      <c r="B2239" s="6" t="s">
        <v>2300</v>
      </c>
      <c r="C2239" s="7" t="s">
        <v>14</v>
      </c>
      <c r="D2239" s="7" t="s">
        <v>183</v>
      </c>
      <c r="E2239" s="5" t="s">
        <v>15</v>
      </c>
      <c r="F2239" s="8"/>
      <c r="G2239" s="9">
        <f>H2239*(1-15%)*(1-F2239)</f>
        <v>6.7149999999999999</v>
      </c>
      <c r="H2239" s="9">
        <v>7.9000000000000004</v>
      </c>
      <c r="I2239" s="9">
        <f>H2239-G2239</f>
        <v>1.1850000000000005</v>
      </c>
    </row>
    <row r="2240" ht="14.25">
      <c r="A2240" s="5">
        <v>47270</v>
      </c>
      <c r="B2240" s="6" t="s">
        <v>2301</v>
      </c>
      <c r="C2240" s="7" t="s">
        <v>75</v>
      </c>
      <c r="D2240" s="7" t="s">
        <v>183</v>
      </c>
      <c r="E2240" s="5" t="s">
        <v>15</v>
      </c>
      <c r="F2240" s="8"/>
      <c r="G2240" s="9">
        <f>H2240*(1-15%)*(1-F2240)</f>
        <v>22.864999999999998</v>
      </c>
      <c r="H2240" s="9">
        <v>26.899999999999999</v>
      </c>
      <c r="I2240" s="9">
        <f>H2240-G2240</f>
        <v>4.0350000000000001</v>
      </c>
    </row>
    <row r="2241" ht="14.25">
      <c r="A2241" s="5">
        <v>47878</v>
      </c>
      <c r="B2241" s="6" t="s">
        <v>2302</v>
      </c>
      <c r="C2241" s="7" t="s">
        <v>10</v>
      </c>
      <c r="D2241" s="7" t="s">
        <v>183</v>
      </c>
      <c r="E2241" s="5" t="s">
        <v>15</v>
      </c>
      <c r="F2241" s="8"/>
      <c r="G2241" s="9">
        <f>H2241*(1-15%)*(1-F2241)</f>
        <v>138.465</v>
      </c>
      <c r="H2241" s="9">
        <v>162.90000000000001</v>
      </c>
      <c r="I2241" s="9">
        <f>H2241-G2241</f>
        <v>24.435000000000002</v>
      </c>
    </row>
    <row r="2242" ht="14.25">
      <c r="A2242" s="5">
        <v>47907</v>
      </c>
      <c r="B2242" s="6" t="s">
        <v>2303</v>
      </c>
      <c r="C2242" s="7" t="s">
        <v>65</v>
      </c>
      <c r="D2242" s="7" t="s">
        <v>174</v>
      </c>
      <c r="E2242" s="5" t="s">
        <v>26</v>
      </c>
      <c r="F2242" s="8"/>
      <c r="G2242" s="9">
        <f>H2242*(1-15%)*(1-F2242)</f>
        <v>49.214999999999996</v>
      </c>
      <c r="H2242" s="9">
        <v>57.899999999999999</v>
      </c>
      <c r="I2242" s="9">
        <f>H2242-G2242</f>
        <v>8.6850000000000023</v>
      </c>
    </row>
    <row r="2243" ht="14.25">
      <c r="A2243" s="5">
        <v>47912</v>
      </c>
      <c r="B2243" s="6" t="s">
        <v>2304</v>
      </c>
      <c r="C2243" s="7" t="s">
        <v>94</v>
      </c>
      <c r="D2243" s="7" t="s">
        <v>95</v>
      </c>
      <c r="E2243" s="5" t="s">
        <v>26</v>
      </c>
      <c r="F2243" s="8"/>
      <c r="G2243" s="9">
        <f>H2243*(1-15%)*(1-F2243)</f>
        <v>39.015000000000001</v>
      </c>
      <c r="H2243" s="9">
        <v>45.899999999999999</v>
      </c>
      <c r="I2243" s="9">
        <f>H2243-G2243</f>
        <v>6.884999999999998</v>
      </c>
    </row>
    <row r="2244" ht="14.25">
      <c r="A2244" s="5">
        <v>47913</v>
      </c>
      <c r="B2244" s="6" t="s">
        <v>2305</v>
      </c>
      <c r="C2244" s="7" t="s">
        <v>94</v>
      </c>
      <c r="D2244" s="7" t="s">
        <v>95</v>
      </c>
      <c r="E2244" s="5" t="s">
        <v>26</v>
      </c>
      <c r="F2244" s="8"/>
      <c r="G2244" s="9">
        <f>H2244*(1-15%)*(1-F2244)</f>
        <v>40.714999999999996</v>
      </c>
      <c r="H2244" s="9">
        <v>47.899999999999999</v>
      </c>
      <c r="I2244" s="9">
        <f>H2244-G2244</f>
        <v>7.1850000000000023</v>
      </c>
    </row>
    <row r="2245" ht="14.25">
      <c r="A2245" s="5">
        <v>47914</v>
      </c>
      <c r="B2245" s="6" t="s">
        <v>2306</v>
      </c>
      <c r="C2245" s="7" t="s">
        <v>94</v>
      </c>
      <c r="D2245" s="7" t="s">
        <v>95</v>
      </c>
      <c r="E2245" s="5" t="s">
        <v>26</v>
      </c>
      <c r="F2245" s="8"/>
      <c r="G2245" s="9">
        <f>H2245*(1-15%)*(1-F2245)</f>
        <v>53.464999999999996</v>
      </c>
      <c r="H2245" s="9">
        <v>62.899999999999999</v>
      </c>
      <c r="I2245" s="9">
        <f>H2245-G2245</f>
        <v>9.4350000000000023</v>
      </c>
    </row>
    <row r="2246" ht="14.25">
      <c r="A2246" s="5">
        <v>47917</v>
      </c>
      <c r="B2246" s="6" t="s">
        <v>2307</v>
      </c>
      <c r="C2246" s="7" t="s">
        <v>94</v>
      </c>
      <c r="D2246" s="7" t="s">
        <v>95</v>
      </c>
      <c r="E2246" s="5" t="s">
        <v>26</v>
      </c>
      <c r="F2246" s="8"/>
      <c r="G2246" s="9">
        <f>H2246*(1-15%)*(1-F2246)</f>
        <v>53.464999999999996</v>
      </c>
      <c r="H2246" s="9">
        <v>62.899999999999999</v>
      </c>
      <c r="I2246" s="9">
        <f>H2246-G2246</f>
        <v>9.4350000000000023</v>
      </c>
    </row>
    <row r="2247" ht="14.25">
      <c r="A2247" s="5">
        <v>47918</v>
      </c>
      <c r="B2247" s="6" t="s">
        <v>2308</v>
      </c>
      <c r="C2247" s="7" t="s">
        <v>94</v>
      </c>
      <c r="D2247" s="7" t="s">
        <v>95</v>
      </c>
      <c r="E2247" s="5" t="s">
        <v>26</v>
      </c>
      <c r="F2247" s="8"/>
      <c r="G2247" s="9">
        <f>H2247*(1-15%)*(1-F2247)</f>
        <v>61.965000000000003</v>
      </c>
      <c r="H2247" s="9">
        <v>72.900000000000006</v>
      </c>
      <c r="I2247" s="9">
        <f>H2247-G2247</f>
        <v>10.935000000000002</v>
      </c>
    </row>
    <row r="2248" ht="14.25">
      <c r="A2248" s="5">
        <v>47949</v>
      </c>
      <c r="B2248" s="6" t="s">
        <v>2309</v>
      </c>
      <c r="C2248" s="7" t="s">
        <v>67</v>
      </c>
      <c r="D2248" s="7" t="s">
        <v>11</v>
      </c>
      <c r="E2248" s="5" t="s">
        <v>12</v>
      </c>
      <c r="F2248" s="8"/>
      <c r="G2248" s="9">
        <f>H2248*(1-15%)*(1-F2248)</f>
        <v>305.91499999999996</v>
      </c>
      <c r="H2248" s="9">
        <v>359.89999999999998</v>
      </c>
      <c r="I2248" s="9">
        <f>H2248-G2248</f>
        <v>53.985000000000014</v>
      </c>
    </row>
    <row r="2249" ht="14.25">
      <c r="A2249" s="5">
        <v>47950</v>
      </c>
      <c r="B2249" s="6" t="s">
        <v>2310</v>
      </c>
      <c r="C2249" s="7" t="s">
        <v>624</v>
      </c>
      <c r="D2249" s="7" t="s">
        <v>11</v>
      </c>
      <c r="E2249" s="5" t="s">
        <v>12</v>
      </c>
      <c r="F2249" s="8"/>
      <c r="G2249" s="9">
        <f>H2249*(1-15%)*(1-F2249)</f>
        <v>280.41499999999996</v>
      </c>
      <c r="H2249" s="9">
        <v>329.89999999999998</v>
      </c>
      <c r="I2249" s="9">
        <f>H2249-G2249</f>
        <v>49.485000000000014</v>
      </c>
    </row>
    <row r="2250" ht="14.25">
      <c r="A2250" s="5">
        <v>47951</v>
      </c>
      <c r="B2250" s="6" t="s">
        <v>2311</v>
      </c>
      <c r="C2250" s="7" t="s">
        <v>624</v>
      </c>
      <c r="D2250" s="7" t="s">
        <v>11</v>
      </c>
      <c r="E2250" s="5" t="s">
        <v>68</v>
      </c>
      <c r="F2250" s="8"/>
      <c r="G2250" s="9">
        <f>H2250*(1-15%)*(1-F2250)</f>
        <v>280.41499999999996</v>
      </c>
      <c r="H2250" s="9">
        <v>329.89999999999998</v>
      </c>
      <c r="I2250" s="9">
        <f>H2250-G2250</f>
        <v>49.485000000000014</v>
      </c>
    </row>
    <row r="2251" ht="14.25">
      <c r="A2251" s="5">
        <v>47974</v>
      </c>
      <c r="B2251" s="6" t="s">
        <v>2312</v>
      </c>
      <c r="C2251" s="7" t="s">
        <v>82</v>
      </c>
      <c r="D2251" s="7" t="s">
        <v>103</v>
      </c>
      <c r="E2251" s="5" t="s">
        <v>43</v>
      </c>
      <c r="F2251" s="8"/>
      <c r="G2251" s="9">
        <f>H2251*(1-15%)*(1-F2251)</f>
        <v>40.714999999999996</v>
      </c>
      <c r="H2251" s="9">
        <v>47.899999999999999</v>
      </c>
      <c r="I2251" s="9">
        <f>H2251-G2251</f>
        <v>7.1850000000000023</v>
      </c>
    </row>
    <row r="2252" ht="14.25">
      <c r="A2252" s="5">
        <v>47976</v>
      </c>
      <c r="B2252" s="6" t="s">
        <v>2313</v>
      </c>
      <c r="C2252" s="7" t="s">
        <v>82</v>
      </c>
      <c r="D2252" s="7" t="s">
        <v>103</v>
      </c>
      <c r="E2252" s="5" t="s">
        <v>15</v>
      </c>
      <c r="F2252" s="8"/>
      <c r="G2252" s="9">
        <f>H2252*(1-15%)*(1-F2252)</f>
        <v>40.714999999999996</v>
      </c>
      <c r="H2252" s="9">
        <v>47.899999999999999</v>
      </c>
      <c r="I2252" s="9">
        <f>H2252-G2252</f>
        <v>7.1850000000000023</v>
      </c>
    </row>
    <row r="2253" ht="14.25">
      <c r="A2253" s="5">
        <v>48062</v>
      </c>
      <c r="B2253" s="6" t="s">
        <v>2314</v>
      </c>
      <c r="C2253" s="7" t="s">
        <v>70</v>
      </c>
      <c r="D2253" s="7" t="s">
        <v>45</v>
      </c>
      <c r="E2253" s="5" t="s">
        <v>12</v>
      </c>
      <c r="F2253" s="8"/>
      <c r="G2253" s="9">
        <f>H2253*(1-15%)*(1-F2253)</f>
        <v>84.915000000000006</v>
      </c>
      <c r="H2253" s="9">
        <v>99.900000000000006</v>
      </c>
      <c r="I2253" s="9">
        <f>H2253-G2253</f>
        <v>14.984999999999999</v>
      </c>
    </row>
    <row r="2254" ht="14.25">
      <c r="A2254" s="5">
        <v>48130</v>
      </c>
      <c r="B2254" s="6" t="s">
        <v>2315</v>
      </c>
      <c r="C2254" s="7" t="s">
        <v>10</v>
      </c>
      <c r="D2254" s="7" t="s">
        <v>11</v>
      </c>
      <c r="E2254" s="5" t="s">
        <v>12</v>
      </c>
      <c r="F2254" s="8"/>
      <c r="G2254" s="9">
        <f>H2254*(1-15%)*(1-F2254)</f>
        <v>178.41499999999999</v>
      </c>
      <c r="H2254" s="9">
        <v>209.90000000000001</v>
      </c>
      <c r="I2254" s="9">
        <f>H2254-G2254</f>
        <v>31.485000000000014</v>
      </c>
    </row>
    <row r="2255" ht="14.25">
      <c r="A2255" s="5">
        <v>48133</v>
      </c>
      <c r="B2255" s="6" t="s">
        <v>2316</v>
      </c>
      <c r="C2255" s="7" t="s">
        <v>10</v>
      </c>
      <c r="D2255" s="7" t="s">
        <v>11</v>
      </c>
      <c r="E2255" s="5" t="s">
        <v>39</v>
      </c>
      <c r="F2255" s="8"/>
      <c r="G2255" s="9">
        <f>H2255*(1-15%)*(1-F2255)</f>
        <v>186.91499999999999</v>
      </c>
      <c r="H2255" s="9">
        <v>219.90000000000001</v>
      </c>
      <c r="I2255" s="9">
        <f>H2255-G2255</f>
        <v>32.985000000000014</v>
      </c>
    </row>
    <row r="2256" ht="14.25">
      <c r="A2256" s="5">
        <v>48134</v>
      </c>
      <c r="B2256" s="6" t="s">
        <v>2317</v>
      </c>
      <c r="C2256" s="7" t="s">
        <v>10</v>
      </c>
      <c r="D2256" s="7" t="s">
        <v>11</v>
      </c>
      <c r="E2256" s="5" t="s">
        <v>39</v>
      </c>
      <c r="F2256" s="8"/>
      <c r="G2256" s="9">
        <f>H2256*(1-15%)*(1-F2256)</f>
        <v>297.41499999999996</v>
      </c>
      <c r="H2256" s="9">
        <v>349.89999999999998</v>
      </c>
      <c r="I2256" s="9">
        <f>H2256-G2256</f>
        <v>52.485000000000014</v>
      </c>
    </row>
    <row r="2257" ht="14.25">
      <c r="A2257" s="5">
        <v>48141</v>
      </c>
      <c r="B2257" s="6" t="s">
        <v>2318</v>
      </c>
      <c r="C2257" s="7" t="s">
        <v>30</v>
      </c>
      <c r="D2257" s="7" t="s">
        <v>11</v>
      </c>
      <c r="E2257" s="5" t="s">
        <v>26</v>
      </c>
      <c r="F2257" s="8"/>
      <c r="G2257" s="9">
        <f>H2257*(1-15%)*(1-F2257)</f>
        <v>208.16499999999999</v>
      </c>
      <c r="H2257" s="9">
        <v>244.90000000000001</v>
      </c>
      <c r="I2257" s="9">
        <f>H2257-G2257</f>
        <v>36.735000000000014</v>
      </c>
    </row>
    <row r="2258" ht="14.25">
      <c r="A2258" s="5">
        <v>48143</v>
      </c>
      <c r="B2258" s="6" t="s">
        <v>2319</v>
      </c>
      <c r="C2258" s="7" t="s">
        <v>33</v>
      </c>
      <c r="D2258" s="7" t="s">
        <v>11</v>
      </c>
      <c r="E2258" s="5" t="s">
        <v>39</v>
      </c>
      <c r="F2258" s="8"/>
      <c r="G2258" s="9">
        <f>H2258*(1-15%)*(1-F2258)</f>
        <v>271.91499999999996</v>
      </c>
      <c r="H2258" s="9">
        <v>319.89999999999998</v>
      </c>
      <c r="I2258" s="9">
        <f>H2258-G2258</f>
        <v>47.985000000000014</v>
      </c>
    </row>
    <row r="2259" ht="14.25">
      <c r="A2259" s="5">
        <v>48146</v>
      </c>
      <c r="B2259" s="6" t="s">
        <v>2320</v>
      </c>
      <c r="C2259" s="7" t="s">
        <v>33</v>
      </c>
      <c r="D2259" s="7" t="s">
        <v>11</v>
      </c>
      <c r="E2259" s="5" t="s">
        <v>26</v>
      </c>
      <c r="F2259" s="8"/>
      <c r="G2259" s="9">
        <f>H2259*(1-15%)*(1-F2259)</f>
        <v>271.91499999999996</v>
      </c>
      <c r="H2259" s="9">
        <v>319.89999999999998</v>
      </c>
      <c r="I2259" s="9">
        <f>H2259-G2259</f>
        <v>47.985000000000014</v>
      </c>
    </row>
    <row r="2260" ht="14.25">
      <c r="A2260" s="5">
        <v>48201</v>
      </c>
      <c r="B2260" s="6" t="s">
        <v>2321</v>
      </c>
      <c r="C2260" s="7" t="s">
        <v>10</v>
      </c>
      <c r="D2260" s="7" t="s">
        <v>174</v>
      </c>
      <c r="E2260" s="5" t="s">
        <v>133</v>
      </c>
      <c r="F2260" s="8"/>
      <c r="G2260" s="9">
        <f>H2260*(1-15%)*(1-F2260)</f>
        <v>70.465000000000003</v>
      </c>
      <c r="H2260" s="9">
        <v>82.900000000000006</v>
      </c>
      <c r="I2260" s="9">
        <f>H2260-G2260</f>
        <v>12.435000000000002</v>
      </c>
    </row>
    <row r="2261" ht="14.25">
      <c r="A2261" s="5">
        <v>48255</v>
      </c>
      <c r="B2261" s="6" t="s">
        <v>2322</v>
      </c>
      <c r="C2261" s="7" t="s">
        <v>75</v>
      </c>
      <c r="D2261" s="7" t="s">
        <v>45</v>
      </c>
      <c r="E2261" s="5" t="s">
        <v>15</v>
      </c>
      <c r="F2261" s="8"/>
      <c r="G2261" s="9">
        <f>H2261*(1-15%)*(1-F2261)</f>
        <v>55.165000000000006</v>
      </c>
      <c r="H2261" s="9">
        <v>64.900000000000006</v>
      </c>
      <c r="I2261" s="9">
        <f>H2261-G2261</f>
        <v>9.7349999999999994</v>
      </c>
    </row>
    <row r="2262" ht="14.25">
      <c r="A2262" s="5">
        <v>48284</v>
      </c>
      <c r="B2262" s="6" t="s">
        <v>2323</v>
      </c>
      <c r="C2262" s="7" t="s">
        <v>75</v>
      </c>
      <c r="D2262" s="7" t="s">
        <v>45</v>
      </c>
      <c r="E2262" s="5" t="s">
        <v>15</v>
      </c>
      <c r="F2262" s="8"/>
      <c r="G2262" s="9">
        <f>H2262*(1-15%)*(1-F2262)</f>
        <v>80.665000000000006</v>
      </c>
      <c r="H2262" s="9">
        <v>94.900000000000006</v>
      </c>
      <c r="I2262" s="9">
        <f>H2262-G2262</f>
        <v>14.234999999999999</v>
      </c>
    </row>
    <row r="2263" ht="14.25">
      <c r="A2263" s="5">
        <v>48285</v>
      </c>
      <c r="B2263" s="6" t="s">
        <v>2324</v>
      </c>
      <c r="C2263" s="7" t="s">
        <v>75</v>
      </c>
      <c r="D2263" s="7" t="s">
        <v>103</v>
      </c>
      <c r="E2263" s="5" t="s">
        <v>26</v>
      </c>
      <c r="F2263" s="8"/>
      <c r="G2263" s="9">
        <f>H2263*(1-15%)*(1-F2263)</f>
        <v>46.664999999999999</v>
      </c>
      <c r="H2263" s="9">
        <v>54.899999999999999</v>
      </c>
      <c r="I2263" s="9">
        <f>H2263-G2263</f>
        <v>8.2349999999999994</v>
      </c>
    </row>
    <row r="2264" ht="14.25">
      <c r="A2264" s="5">
        <v>48293</v>
      </c>
      <c r="B2264" s="6" t="s">
        <v>2325</v>
      </c>
      <c r="C2264" s="7" t="s">
        <v>1959</v>
      </c>
      <c r="D2264" s="7" t="s">
        <v>95</v>
      </c>
      <c r="E2264" s="5" t="s">
        <v>26</v>
      </c>
      <c r="F2264" s="8"/>
      <c r="G2264" s="9">
        <f>H2264*(1-15%)*(1-F2264)</f>
        <v>63.665000000000006</v>
      </c>
      <c r="H2264" s="9">
        <v>74.900000000000006</v>
      </c>
      <c r="I2264" s="9">
        <f>H2264-G2264</f>
        <v>11.234999999999999</v>
      </c>
    </row>
    <row r="2265" ht="14.25">
      <c r="A2265" s="5">
        <v>48352</v>
      </c>
      <c r="B2265" s="6" t="s">
        <v>2326</v>
      </c>
      <c r="C2265" s="7" t="s">
        <v>38</v>
      </c>
      <c r="D2265" s="7" t="s">
        <v>11</v>
      </c>
      <c r="E2265" s="5" t="s">
        <v>43</v>
      </c>
      <c r="F2265" s="8"/>
      <c r="G2265" s="9">
        <f>H2265*(1-15%)*(1-F2265)</f>
        <v>191.16499999999999</v>
      </c>
      <c r="H2265" s="9">
        <v>224.90000000000001</v>
      </c>
      <c r="I2265" s="9">
        <f>H2265-G2265</f>
        <v>33.735000000000014</v>
      </c>
    </row>
    <row r="2266" ht="14.25">
      <c r="A2266" s="5">
        <v>48365</v>
      </c>
      <c r="B2266" s="6" t="s">
        <v>2327</v>
      </c>
      <c r="C2266" s="7" t="s">
        <v>21</v>
      </c>
      <c r="D2266" s="7" t="s">
        <v>11</v>
      </c>
      <c r="E2266" s="5" t="s">
        <v>26</v>
      </c>
      <c r="F2266" s="8"/>
      <c r="G2266" s="9">
        <f>H2266*(1-15%)*(1-F2266)</f>
        <v>178.41499999999999</v>
      </c>
      <c r="H2266" s="9">
        <v>209.90000000000001</v>
      </c>
      <c r="I2266" s="9">
        <f>H2266-G2266</f>
        <v>31.485000000000014</v>
      </c>
    </row>
    <row r="2267" ht="14.25">
      <c r="A2267" s="5">
        <v>48366</v>
      </c>
      <c r="B2267" s="6" t="s">
        <v>2328</v>
      </c>
      <c r="C2267" s="7" t="s">
        <v>36</v>
      </c>
      <c r="D2267" s="7" t="s">
        <v>71</v>
      </c>
      <c r="E2267" s="5" t="s">
        <v>15</v>
      </c>
      <c r="F2267" s="8"/>
      <c r="G2267" s="9">
        <f>H2267*(1-15%)*(1-F2267)</f>
        <v>33.914999999999999</v>
      </c>
      <c r="H2267" s="9">
        <v>39.899999999999999</v>
      </c>
      <c r="I2267" s="9">
        <f>H2267-G2267</f>
        <v>5.9849999999999994</v>
      </c>
    </row>
    <row r="2268" ht="14.25">
      <c r="A2268" s="5">
        <v>48369</v>
      </c>
      <c r="B2268" s="6" t="s">
        <v>2329</v>
      </c>
      <c r="C2268" s="7" t="s">
        <v>36</v>
      </c>
      <c r="D2268" s="7" t="s">
        <v>71</v>
      </c>
      <c r="E2268" s="5" t="s">
        <v>15</v>
      </c>
      <c r="F2268" s="8"/>
      <c r="G2268" s="9">
        <f>H2268*(1-15%)*(1-F2268)</f>
        <v>42.414999999999999</v>
      </c>
      <c r="H2268" s="9">
        <v>49.899999999999999</v>
      </c>
      <c r="I2268" s="9">
        <f>H2268-G2268</f>
        <v>7.4849999999999994</v>
      </c>
    </row>
    <row r="2269" ht="14.25">
      <c r="A2269" s="5">
        <v>48370</v>
      </c>
      <c r="B2269" s="6" t="s">
        <v>2330</v>
      </c>
      <c r="C2269" s="7" t="s">
        <v>36</v>
      </c>
      <c r="D2269" s="7" t="s">
        <v>71</v>
      </c>
      <c r="E2269" s="5" t="s">
        <v>15</v>
      </c>
      <c r="F2269" s="8"/>
      <c r="G2269" s="9">
        <f>H2269*(1-15%)*(1-F2269)</f>
        <v>32.214999999999996</v>
      </c>
      <c r="H2269" s="9">
        <v>37.899999999999999</v>
      </c>
      <c r="I2269" s="9">
        <f>H2269-G2269</f>
        <v>5.6850000000000023</v>
      </c>
    </row>
    <row r="2270" ht="14.25">
      <c r="A2270" s="5">
        <v>48371</v>
      </c>
      <c r="B2270" s="6" t="s">
        <v>2331</v>
      </c>
      <c r="C2270" s="7" t="s">
        <v>36</v>
      </c>
      <c r="D2270" s="7" t="s">
        <v>103</v>
      </c>
      <c r="E2270" s="5" t="s">
        <v>39</v>
      </c>
      <c r="F2270" s="8"/>
      <c r="G2270" s="9">
        <f>H2270*(1-15%)*(1-F2270)</f>
        <v>44.114999999999995</v>
      </c>
      <c r="H2270" s="9">
        <v>51.899999999999999</v>
      </c>
      <c r="I2270" s="9">
        <f>H2270-G2270</f>
        <v>7.7850000000000037</v>
      </c>
    </row>
    <row r="2271" ht="14.25">
      <c r="A2271" s="5">
        <v>48376</v>
      </c>
      <c r="B2271" s="6" t="s">
        <v>2332</v>
      </c>
      <c r="C2271" s="7" t="s">
        <v>2333</v>
      </c>
      <c r="D2271" s="7" t="s">
        <v>11</v>
      </c>
      <c r="E2271" s="5" t="s">
        <v>15</v>
      </c>
      <c r="F2271" s="8"/>
      <c r="G2271" s="9">
        <f>H2271*(1-15%)*(1-F2271)</f>
        <v>330.64999999999998</v>
      </c>
      <c r="H2271" s="9">
        <v>389</v>
      </c>
      <c r="I2271" s="9">
        <f>H2271-G2271</f>
        <v>58.350000000000023</v>
      </c>
    </row>
    <row r="2272" ht="14.25">
      <c r="A2272" s="5">
        <v>48527</v>
      </c>
      <c r="B2272" s="6" t="s">
        <v>2334</v>
      </c>
      <c r="C2272" s="7" t="s">
        <v>82</v>
      </c>
      <c r="D2272" s="7" t="s">
        <v>95</v>
      </c>
      <c r="E2272" s="5" t="s">
        <v>26</v>
      </c>
      <c r="F2272" s="8"/>
      <c r="G2272" s="9">
        <f>H2272*(1-15%)*(1-F2272)</f>
        <v>29.664999999999999</v>
      </c>
      <c r="H2272" s="9">
        <v>34.899999999999999</v>
      </c>
      <c r="I2272" s="9">
        <f>H2272-G2272</f>
        <v>5.2349999999999994</v>
      </c>
    </row>
    <row r="2273" ht="14.25">
      <c r="A2273" s="5">
        <v>48531</v>
      </c>
      <c r="B2273" s="6" t="s">
        <v>2335</v>
      </c>
      <c r="C2273" s="7" t="s">
        <v>82</v>
      </c>
      <c r="D2273" s="7" t="s">
        <v>95</v>
      </c>
      <c r="E2273" s="5" t="s">
        <v>26</v>
      </c>
      <c r="F2273" s="8"/>
      <c r="G2273" s="9">
        <f>H2273*(1-15%)*(1-F2273)</f>
        <v>46.664999999999999</v>
      </c>
      <c r="H2273" s="9">
        <v>54.899999999999999</v>
      </c>
      <c r="I2273" s="9">
        <f>H2273-G2273</f>
        <v>8.2349999999999994</v>
      </c>
    </row>
    <row r="2274" ht="14.25">
      <c r="A2274" s="5">
        <v>48545</v>
      </c>
      <c r="B2274" s="6" t="s">
        <v>2336</v>
      </c>
      <c r="C2274" s="7" t="s">
        <v>82</v>
      </c>
      <c r="D2274" s="7" t="s">
        <v>45</v>
      </c>
      <c r="E2274" s="5" t="s">
        <v>43</v>
      </c>
      <c r="F2274" s="8"/>
      <c r="G2274" s="9">
        <f>H2274*(1-15%)*(1-F2274)</f>
        <v>46.664999999999999</v>
      </c>
      <c r="H2274" s="9">
        <v>54.899999999999999</v>
      </c>
      <c r="I2274" s="9">
        <f>H2274-G2274</f>
        <v>8.2349999999999994</v>
      </c>
    </row>
    <row r="2275" ht="14.25">
      <c r="A2275" s="5">
        <v>48547</v>
      </c>
      <c r="B2275" s="6" t="s">
        <v>2337</v>
      </c>
      <c r="C2275" s="7" t="s">
        <v>82</v>
      </c>
      <c r="D2275" s="7" t="s">
        <v>45</v>
      </c>
      <c r="E2275" s="5" t="s">
        <v>15</v>
      </c>
      <c r="F2275" s="8"/>
      <c r="G2275" s="9">
        <f>H2275*(1-15%)*(1-F2275)</f>
        <v>63.665000000000006</v>
      </c>
      <c r="H2275" s="9">
        <v>74.900000000000006</v>
      </c>
      <c r="I2275" s="9">
        <f>H2275-G2275</f>
        <v>11.234999999999999</v>
      </c>
    </row>
    <row r="2276" ht="14.25">
      <c r="A2276" s="5">
        <v>48551</v>
      </c>
      <c r="B2276" s="6" t="s">
        <v>2338</v>
      </c>
      <c r="C2276" s="7" t="s">
        <v>82</v>
      </c>
      <c r="D2276" s="7" t="s">
        <v>11</v>
      </c>
      <c r="E2276" s="5" t="s">
        <v>12</v>
      </c>
      <c r="F2276" s="8"/>
      <c r="G2276" s="9">
        <f>H2276*(1-15%)*(1-F2276)</f>
        <v>78.965000000000003</v>
      </c>
      <c r="H2276" s="9">
        <v>92.900000000000006</v>
      </c>
      <c r="I2276" s="9">
        <f>H2276-G2276</f>
        <v>13.935000000000002</v>
      </c>
    </row>
    <row r="2277" ht="14.25">
      <c r="A2277" s="5">
        <v>48562</v>
      </c>
      <c r="B2277" s="6" t="s">
        <v>2339</v>
      </c>
      <c r="C2277" s="7" t="s">
        <v>75</v>
      </c>
      <c r="D2277" s="7" t="s">
        <v>45</v>
      </c>
      <c r="E2277" s="5" t="s">
        <v>26</v>
      </c>
      <c r="F2277" s="8"/>
      <c r="G2277" s="9">
        <f>H2277*(1-15%)*(1-F2277)</f>
        <v>49.214999999999996</v>
      </c>
      <c r="H2277" s="9">
        <v>57.899999999999999</v>
      </c>
      <c r="I2277" s="9">
        <f>H2277-G2277</f>
        <v>8.6850000000000023</v>
      </c>
    </row>
    <row r="2278" ht="14.25">
      <c r="A2278" s="5">
        <v>48615</v>
      </c>
      <c r="B2278" s="6" t="s">
        <v>2340</v>
      </c>
      <c r="C2278" s="7" t="s">
        <v>82</v>
      </c>
      <c r="D2278" s="7" t="s">
        <v>45</v>
      </c>
      <c r="E2278" s="5" t="s">
        <v>15</v>
      </c>
      <c r="F2278" s="8"/>
      <c r="G2278" s="9">
        <f>H2278*(1-15%)*(1-F2278)</f>
        <v>46.664999999999999</v>
      </c>
      <c r="H2278" s="9">
        <v>54.899999999999999</v>
      </c>
      <c r="I2278" s="9">
        <f>H2278-G2278</f>
        <v>8.2349999999999994</v>
      </c>
    </row>
    <row r="2279" ht="14.25">
      <c r="A2279" s="5">
        <v>48619</v>
      </c>
      <c r="B2279" s="6" t="s">
        <v>2341</v>
      </c>
      <c r="C2279" s="7" t="s">
        <v>82</v>
      </c>
      <c r="D2279" s="7" t="s">
        <v>45</v>
      </c>
      <c r="E2279" s="5" t="s">
        <v>43</v>
      </c>
      <c r="F2279" s="8"/>
      <c r="G2279" s="9">
        <f>H2279*(1-15%)*(1-F2279)</f>
        <v>50.914999999999999</v>
      </c>
      <c r="H2279" s="9">
        <v>59.899999999999999</v>
      </c>
      <c r="I2279" s="9">
        <f>H2279-G2279</f>
        <v>8.9849999999999994</v>
      </c>
    </row>
    <row r="2280" ht="14.25">
      <c r="A2280" s="5">
        <v>48628</v>
      </c>
      <c r="B2280" s="6" t="s">
        <v>2342</v>
      </c>
      <c r="C2280" s="7" t="s">
        <v>82</v>
      </c>
      <c r="D2280" s="7" t="s">
        <v>45</v>
      </c>
      <c r="E2280" s="5" t="s">
        <v>43</v>
      </c>
      <c r="F2280" s="8"/>
      <c r="G2280" s="9">
        <f>H2280*(1-15%)*(1-F2280)</f>
        <v>63.665000000000006</v>
      </c>
      <c r="H2280" s="9">
        <v>74.900000000000006</v>
      </c>
      <c r="I2280" s="9">
        <f>H2280-G2280</f>
        <v>11.234999999999999</v>
      </c>
    </row>
    <row r="2281" ht="14.25">
      <c r="A2281" s="5">
        <v>48630</v>
      </c>
      <c r="B2281" s="6" t="s">
        <v>2343</v>
      </c>
      <c r="C2281" s="7" t="s">
        <v>2333</v>
      </c>
      <c r="D2281" s="7" t="s">
        <v>11</v>
      </c>
      <c r="E2281" s="5" t="s">
        <v>15</v>
      </c>
      <c r="F2281" s="8"/>
      <c r="G2281" s="9">
        <f>H2281*(1-15%)*(1-F2281)</f>
        <v>330.64999999999998</v>
      </c>
      <c r="H2281" s="9">
        <v>389</v>
      </c>
      <c r="I2281" s="9">
        <f>H2281-G2281</f>
        <v>58.350000000000023</v>
      </c>
    </row>
    <row r="2282" ht="14.25">
      <c r="A2282" s="5">
        <v>48631</v>
      </c>
      <c r="B2282" s="6" t="s">
        <v>2344</v>
      </c>
      <c r="C2282" s="7" t="s">
        <v>17</v>
      </c>
      <c r="D2282" s="7" t="s">
        <v>11</v>
      </c>
      <c r="E2282" s="5" t="s">
        <v>15</v>
      </c>
      <c r="F2282" s="8"/>
      <c r="G2282" s="9">
        <f>H2282*(1-15%)*(1-F2282)</f>
        <v>140.16499999999999</v>
      </c>
      <c r="H2282" s="9">
        <v>164.90000000000001</v>
      </c>
      <c r="I2282" s="9">
        <f>H2282-G2282</f>
        <v>24.735000000000014</v>
      </c>
    </row>
    <row r="2283" ht="14.25">
      <c r="A2283" s="5">
        <v>48651</v>
      </c>
      <c r="B2283" s="6" t="s">
        <v>2345</v>
      </c>
      <c r="C2283" s="7" t="s">
        <v>91</v>
      </c>
      <c r="D2283" s="7" t="s">
        <v>45</v>
      </c>
      <c r="E2283" s="5" t="s">
        <v>15</v>
      </c>
      <c r="F2283" s="8"/>
      <c r="G2283" s="9">
        <f>H2283*(1-15%)*(1-F2283)</f>
        <v>40.714999999999996</v>
      </c>
      <c r="H2283" s="9">
        <v>47.899999999999999</v>
      </c>
      <c r="I2283" s="9">
        <f>H2283-G2283</f>
        <v>7.1850000000000023</v>
      </c>
    </row>
    <row r="2284" ht="14.25">
      <c r="A2284" s="5">
        <v>48653</v>
      </c>
      <c r="B2284" s="6" t="s">
        <v>2346</v>
      </c>
      <c r="C2284" s="7" t="s">
        <v>33</v>
      </c>
      <c r="D2284" s="7" t="s">
        <v>71</v>
      </c>
      <c r="E2284" s="5" t="s">
        <v>68</v>
      </c>
      <c r="F2284" s="8"/>
      <c r="G2284" s="9">
        <f>H2284*(1-15%)*(1-F2284)</f>
        <v>33.914999999999999</v>
      </c>
      <c r="H2284" s="9">
        <v>39.899999999999999</v>
      </c>
      <c r="I2284" s="9">
        <f>H2284-G2284</f>
        <v>5.9849999999999994</v>
      </c>
    </row>
    <row r="2285" ht="14.25">
      <c r="A2285" s="5">
        <v>48657</v>
      </c>
      <c r="B2285" s="6" t="s">
        <v>2347</v>
      </c>
      <c r="C2285" s="7" t="s">
        <v>14</v>
      </c>
      <c r="D2285" s="7" t="s">
        <v>71</v>
      </c>
      <c r="E2285" s="5" t="s">
        <v>39</v>
      </c>
      <c r="F2285" s="8"/>
      <c r="G2285" s="9">
        <f>H2285*(1-15%)*(1-F2285)</f>
        <v>33.914999999999999</v>
      </c>
      <c r="H2285" s="9">
        <v>39.899999999999999</v>
      </c>
      <c r="I2285" s="9">
        <f>H2285-G2285</f>
        <v>5.9849999999999994</v>
      </c>
    </row>
    <row r="2286" ht="14.25">
      <c r="A2286" s="5">
        <v>48664</v>
      </c>
      <c r="B2286" s="6" t="s">
        <v>2348</v>
      </c>
      <c r="C2286" s="7" t="s">
        <v>38</v>
      </c>
      <c r="D2286" s="7" t="s">
        <v>11</v>
      </c>
      <c r="E2286" s="5" t="s">
        <v>133</v>
      </c>
      <c r="F2286" s="8"/>
      <c r="G2286" s="9">
        <f>H2286*(1-15%)*(1-F2286)</f>
        <v>165.66499999999999</v>
      </c>
      <c r="H2286" s="9">
        <v>194.90000000000001</v>
      </c>
      <c r="I2286" s="9">
        <f>H2286-G2286</f>
        <v>29.235000000000014</v>
      </c>
    </row>
    <row r="2287" ht="14.25">
      <c r="A2287" s="5">
        <v>48672</v>
      </c>
      <c r="B2287" s="6" t="s">
        <v>2349</v>
      </c>
      <c r="C2287" s="7" t="s">
        <v>75</v>
      </c>
      <c r="D2287" s="7" t="s">
        <v>45</v>
      </c>
      <c r="E2287" s="5" t="s">
        <v>26</v>
      </c>
      <c r="F2287" s="8"/>
      <c r="G2287" s="9">
        <f>H2287*(1-15%)*(1-F2287)</f>
        <v>55.165000000000006</v>
      </c>
      <c r="H2287" s="9">
        <v>64.900000000000006</v>
      </c>
      <c r="I2287" s="9">
        <f>H2287-G2287</f>
        <v>9.7349999999999994</v>
      </c>
    </row>
    <row r="2288" ht="14.25">
      <c r="A2288" s="5">
        <v>48673</v>
      </c>
      <c r="B2288" s="6" t="s">
        <v>2350</v>
      </c>
      <c r="C2288" s="7" t="s">
        <v>75</v>
      </c>
      <c r="D2288" s="7" t="s">
        <v>45</v>
      </c>
      <c r="E2288" s="5" t="s">
        <v>39</v>
      </c>
      <c r="F2288" s="8"/>
      <c r="G2288" s="9">
        <f>H2288*(1-15%)*(1-F2288)</f>
        <v>55.165000000000006</v>
      </c>
      <c r="H2288" s="9">
        <v>64.900000000000006</v>
      </c>
      <c r="I2288" s="9">
        <f>H2288-G2288</f>
        <v>9.7349999999999994</v>
      </c>
    </row>
    <row r="2289" ht="14.25">
      <c r="A2289" s="5">
        <v>48675</v>
      </c>
      <c r="B2289" s="6" t="s">
        <v>2351</v>
      </c>
      <c r="C2289" s="7" t="s">
        <v>75</v>
      </c>
      <c r="D2289" s="7" t="s">
        <v>45</v>
      </c>
      <c r="E2289" s="5" t="s">
        <v>26</v>
      </c>
      <c r="F2289" s="8"/>
      <c r="G2289" s="9">
        <f>H2289*(1-15%)*(1-F2289)</f>
        <v>57.715000000000003</v>
      </c>
      <c r="H2289" s="9">
        <v>67.900000000000006</v>
      </c>
      <c r="I2289" s="9">
        <f>H2289-G2289</f>
        <v>10.185000000000002</v>
      </c>
    </row>
    <row r="2290" ht="14.25">
      <c r="A2290" s="5">
        <v>48680</v>
      </c>
      <c r="B2290" s="6" t="s">
        <v>2352</v>
      </c>
      <c r="C2290" s="7" t="s">
        <v>75</v>
      </c>
      <c r="D2290" s="7" t="s">
        <v>45</v>
      </c>
      <c r="E2290" s="5" t="s">
        <v>15</v>
      </c>
      <c r="F2290" s="8"/>
      <c r="G2290" s="9">
        <f>H2290*(1-15%)*(1-F2290)</f>
        <v>57.715000000000003</v>
      </c>
      <c r="H2290" s="9">
        <v>67.900000000000006</v>
      </c>
      <c r="I2290" s="9">
        <f>H2290-G2290</f>
        <v>10.185000000000002</v>
      </c>
    </row>
    <row r="2291" ht="14.25">
      <c r="A2291" s="5">
        <v>48683</v>
      </c>
      <c r="B2291" s="6" t="s">
        <v>2353</v>
      </c>
      <c r="C2291" s="7" t="s">
        <v>10</v>
      </c>
      <c r="D2291" s="7" t="s">
        <v>45</v>
      </c>
      <c r="E2291" s="5" t="s">
        <v>39</v>
      </c>
      <c r="F2291" s="8"/>
      <c r="G2291" s="9">
        <f>H2291*(1-15%)*(1-F2291)</f>
        <v>57.715000000000003</v>
      </c>
      <c r="H2291" s="9">
        <v>67.900000000000006</v>
      </c>
      <c r="I2291" s="9">
        <f>H2291-G2291</f>
        <v>10.185000000000002</v>
      </c>
    </row>
    <row r="2292" ht="14.25">
      <c r="A2292" s="5">
        <v>48723</v>
      </c>
      <c r="B2292" s="6" t="s">
        <v>2354</v>
      </c>
      <c r="C2292" s="7" t="s">
        <v>51</v>
      </c>
      <c r="D2292" s="7" t="s">
        <v>11</v>
      </c>
      <c r="E2292" s="5" t="s">
        <v>15</v>
      </c>
      <c r="F2292" s="8"/>
      <c r="G2292" s="9">
        <f>H2292*(1-15%)*(1-F2292)</f>
        <v>84.915000000000006</v>
      </c>
      <c r="H2292" s="9">
        <v>99.900000000000006</v>
      </c>
      <c r="I2292" s="9">
        <f>H2292-G2292</f>
        <v>14.984999999999999</v>
      </c>
    </row>
    <row r="2293" ht="14.25">
      <c r="A2293" s="5">
        <v>48728</v>
      </c>
      <c r="B2293" s="6" t="s">
        <v>2355</v>
      </c>
      <c r="C2293" s="7" t="s">
        <v>82</v>
      </c>
      <c r="D2293" s="7" t="s">
        <v>45</v>
      </c>
      <c r="E2293" s="5" t="s">
        <v>26</v>
      </c>
      <c r="F2293" s="8"/>
      <c r="G2293" s="9">
        <f>H2293*(1-15%)*(1-F2293)</f>
        <v>63.665000000000006</v>
      </c>
      <c r="H2293" s="9">
        <v>74.900000000000006</v>
      </c>
      <c r="I2293" s="9">
        <f>H2293-G2293</f>
        <v>11.234999999999999</v>
      </c>
    </row>
    <row r="2294" ht="14.25">
      <c r="A2294" s="5">
        <v>48730</v>
      </c>
      <c r="B2294" s="6" t="s">
        <v>2356</v>
      </c>
      <c r="C2294" s="7" t="s">
        <v>82</v>
      </c>
      <c r="D2294" s="7" t="s">
        <v>45</v>
      </c>
      <c r="E2294" s="5" t="s">
        <v>39</v>
      </c>
      <c r="F2294" s="8"/>
      <c r="G2294" s="9">
        <f>H2294*(1-15%)*(1-F2294)</f>
        <v>46.664999999999999</v>
      </c>
      <c r="H2294" s="9">
        <v>54.899999999999999</v>
      </c>
      <c r="I2294" s="9">
        <f>H2294-G2294</f>
        <v>8.2349999999999994</v>
      </c>
    </row>
    <row r="2295" ht="14.25">
      <c r="A2295" s="5">
        <v>48731</v>
      </c>
      <c r="B2295" s="6" t="s">
        <v>2357</v>
      </c>
      <c r="C2295" s="7" t="s">
        <v>82</v>
      </c>
      <c r="D2295" s="7" t="s">
        <v>45</v>
      </c>
      <c r="E2295" s="5" t="s">
        <v>26</v>
      </c>
      <c r="F2295" s="8"/>
      <c r="G2295" s="9">
        <f>H2295*(1-15%)*(1-F2295)</f>
        <v>50.914999999999999</v>
      </c>
      <c r="H2295" s="9">
        <v>59.899999999999999</v>
      </c>
      <c r="I2295" s="9">
        <f>H2295-G2295</f>
        <v>8.9849999999999994</v>
      </c>
    </row>
    <row r="2296" ht="14.25">
      <c r="A2296" s="5">
        <v>48732</v>
      </c>
      <c r="B2296" s="6" t="s">
        <v>2358</v>
      </c>
      <c r="C2296" s="7" t="s">
        <v>82</v>
      </c>
      <c r="D2296" s="7" t="s">
        <v>45</v>
      </c>
      <c r="E2296" s="5" t="s">
        <v>15</v>
      </c>
      <c r="F2296" s="8"/>
      <c r="G2296" s="9">
        <f>H2296*(1-15%)*(1-F2296)</f>
        <v>22.864999999999998</v>
      </c>
      <c r="H2296" s="9">
        <v>26.899999999999999</v>
      </c>
      <c r="I2296" s="9">
        <f>H2296-G2296</f>
        <v>4.0350000000000001</v>
      </c>
    </row>
    <row r="2297" ht="14.25">
      <c r="A2297" s="5">
        <v>48733</v>
      </c>
      <c r="B2297" s="6" t="s">
        <v>2359</v>
      </c>
      <c r="C2297" s="7" t="s">
        <v>82</v>
      </c>
      <c r="D2297" s="7" t="s">
        <v>11</v>
      </c>
      <c r="E2297" s="5" t="s">
        <v>39</v>
      </c>
      <c r="F2297" s="8"/>
      <c r="G2297" s="9">
        <f>H2297*(1-15%)*(1-F2297)</f>
        <v>78.965000000000003</v>
      </c>
      <c r="H2297" s="9">
        <v>92.900000000000006</v>
      </c>
      <c r="I2297" s="9">
        <f>H2297-G2297</f>
        <v>13.935000000000002</v>
      </c>
    </row>
    <row r="2298" ht="14.25">
      <c r="A2298" s="5">
        <v>48739</v>
      </c>
      <c r="B2298" s="6" t="s">
        <v>2360</v>
      </c>
      <c r="C2298" s="7" t="s">
        <v>82</v>
      </c>
      <c r="D2298" s="7" t="s">
        <v>11</v>
      </c>
      <c r="E2298" s="5" t="s">
        <v>39</v>
      </c>
      <c r="F2298" s="8"/>
      <c r="G2298" s="9">
        <f>H2298*(1-15%)*(1-F2298)</f>
        <v>78.965000000000003</v>
      </c>
      <c r="H2298" s="9">
        <v>92.900000000000006</v>
      </c>
      <c r="I2298" s="9">
        <f>H2298-G2298</f>
        <v>13.935000000000002</v>
      </c>
    </row>
    <row r="2299" ht="14.25">
      <c r="A2299" s="5">
        <v>48742</v>
      </c>
      <c r="B2299" s="6" t="s">
        <v>2361</v>
      </c>
      <c r="C2299" s="7" t="s">
        <v>82</v>
      </c>
      <c r="D2299" s="7" t="s">
        <v>71</v>
      </c>
      <c r="E2299" s="5" t="s">
        <v>39</v>
      </c>
      <c r="F2299" s="8"/>
      <c r="G2299" s="9">
        <f>H2299*(1-15%)*(1-F2299)</f>
        <v>33.914999999999999</v>
      </c>
      <c r="H2299" s="9">
        <v>39.899999999999999</v>
      </c>
      <c r="I2299" s="9">
        <f>H2299-G2299</f>
        <v>5.9849999999999994</v>
      </c>
    </row>
    <row r="2300" ht="14.25">
      <c r="A2300" s="5">
        <v>48743</v>
      </c>
      <c r="B2300" s="6" t="s">
        <v>2362</v>
      </c>
      <c r="C2300" s="7" t="s">
        <v>87</v>
      </c>
      <c r="D2300" s="7" t="s">
        <v>52</v>
      </c>
      <c r="E2300" s="5" t="s">
        <v>15</v>
      </c>
      <c r="F2300" s="8"/>
      <c r="G2300" s="9">
        <f>H2300*(1-15%)*(1-F2300)</f>
        <v>37.314999999999998</v>
      </c>
      <c r="H2300" s="9">
        <v>43.899999999999999</v>
      </c>
      <c r="I2300" s="9">
        <f>H2300-G2300</f>
        <v>6.5850000000000009</v>
      </c>
    </row>
    <row r="2301" ht="14.25">
      <c r="A2301" s="5">
        <v>48744</v>
      </c>
      <c r="B2301" s="6" t="s">
        <v>2363</v>
      </c>
      <c r="C2301" s="7" t="s">
        <v>87</v>
      </c>
      <c r="D2301" s="7" t="s">
        <v>52</v>
      </c>
      <c r="E2301" s="5" t="s">
        <v>15</v>
      </c>
      <c r="F2301" s="8"/>
      <c r="G2301" s="9">
        <f>H2301*(1-15%)*(1-F2301)</f>
        <v>37.314999999999998</v>
      </c>
      <c r="H2301" s="9">
        <v>43.899999999999999</v>
      </c>
      <c r="I2301" s="9">
        <f>H2301-G2301</f>
        <v>6.5850000000000009</v>
      </c>
    </row>
    <row r="2302" ht="14.25">
      <c r="A2302" s="5">
        <v>48748</v>
      </c>
      <c r="B2302" s="6" t="s">
        <v>2364</v>
      </c>
      <c r="C2302" s="7" t="s">
        <v>51</v>
      </c>
      <c r="D2302" s="7" t="s">
        <v>52</v>
      </c>
      <c r="E2302" s="5" t="s">
        <v>15</v>
      </c>
      <c r="F2302" s="8"/>
      <c r="G2302" s="9">
        <f>H2302*(1-15%)*(1-F2302)</f>
        <v>84.915000000000006</v>
      </c>
      <c r="H2302" s="9">
        <v>99.900000000000006</v>
      </c>
      <c r="I2302" s="9">
        <f>H2302-G2302</f>
        <v>14.984999999999999</v>
      </c>
    </row>
    <row r="2303" ht="14.25">
      <c r="A2303" s="5">
        <v>48759</v>
      </c>
      <c r="B2303" s="6" t="s">
        <v>2365</v>
      </c>
      <c r="C2303" s="7" t="s">
        <v>10</v>
      </c>
      <c r="D2303" s="7" t="s">
        <v>11</v>
      </c>
      <c r="E2303" s="5" t="s">
        <v>39</v>
      </c>
      <c r="F2303" s="8"/>
      <c r="G2303" s="9">
        <f>H2303*(1-15%)*(1-F2303)</f>
        <v>123.16500000000001</v>
      </c>
      <c r="H2303" s="9">
        <v>144.90000000000001</v>
      </c>
      <c r="I2303" s="9">
        <f>H2303-G2303</f>
        <v>21.734999999999999</v>
      </c>
    </row>
    <row r="2304" ht="14.25">
      <c r="A2304" s="5">
        <v>48768</v>
      </c>
      <c r="B2304" s="6" t="s">
        <v>2366</v>
      </c>
      <c r="C2304" s="7" t="s">
        <v>75</v>
      </c>
      <c r="D2304" s="7" t="s">
        <v>45</v>
      </c>
      <c r="E2304" s="5" t="s">
        <v>39</v>
      </c>
      <c r="F2304" s="8"/>
      <c r="G2304" s="9">
        <f>H2304*(1-15%)*(1-F2304)</f>
        <v>49.214999999999996</v>
      </c>
      <c r="H2304" s="9">
        <v>57.899999999999999</v>
      </c>
      <c r="I2304" s="9">
        <f>H2304-G2304</f>
        <v>8.6850000000000023</v>
      </c>
    </row>
    <row r="2305" ht="14.25">
      <c r="A2305" s="5">
        <v>48776</v>
      </c>
      <c r="B2305" s="6" t="s">
        <v>2367</v>
      </c>
      <c r="C2305" s="7" t="s">
        <v>36</v>
      </c>
      <c r="D2305" s="7" t="s">
        <v>174</v>
      </c>
      <c r="E2305" s="5" t="s">
        <v>26</v>
      </c>
      <c r="F2305" s="8"/>
      <c r="G2305" s="9">
        <f>H2305*(1-15%)*(1-F2305)</f>
        <v>57.715000000000003</v>
      </c>
      <c r="H2305" s="9">
        <v>67.900000000000006</v>
      </c>
      <c r="I2305" s="9">
        <f>H2305-G2305</f>
        <v>10.185000000000002</v>
      </c>
    </row>
    <row r="2306" ht="14.25">
      <c r="A2306" s="5">
        <v>48778</v>
      </c>
      <c r="B2306" s="6" t="s">
        <v>2368</v>
      </c>
      <c r="C2306" s="7" t="s">
        <v>36</v>
      </c>
      <c r="D2306" s="7" t="s">
        <v>174</v>
      </c>
      <c r="E2306" s="5" t="s">
        <v>15</v>
      </c>
      <c r="F2306" s="8"/>
      <c r="G2306" s="9">
        <f>H2306*(1-15%)*(1-F2306)</f>
        <v>50.914999999999999</v>
      </c>
      <c r="H2306" s="9">
        <v>59.899999999999999</v>
      </c>
      <c r="I2306" s="9">
        <f>H2306-G2306</f>
        <v>8.9849999999999994</v>
      </c>
    </row>
    <row r="2307" ht="14.25">
      <c r="A2307" s="5">
        <v>48779</v>
      </c>
      <c r="B2307" s="6" t="s">
        <v>2369</v>
      </c>
      <c r="C2307" s="7" t="s">
        <v>38</v>
      </c>
      <c r="D2307" s="7" t="s">
        <v>71</v>
      </c>
      <c r="E2307" s="5" t="s">
        <v>39</v>
      </c>
      <c r="F2307" s="8"/>
      <c r="G2307" s="9">
        <f>H2307*(1-15%)*(1-F2307)</f>
        <v>42.414999999999999</v>
      </c>
      <c r="H2307" s="9">
        <v>49.899999999999999</v>
      </c>
      <c r="I2307" s="9">
        <f>H2307-G2307</f>
        <v>7.4849999999999994</v>
      </c>
    </row>
    <row r="2308" ht="14.25">
      <c r="A2308" s="5">
        <v>48780</v>
      </c>
      <c r="B2308" s="6" t="s">
        <v>2370</v>
      </c>
      <c r="C2308" s="7" t="s">
        <v>21</v>
      </c>
      <c r="D2308" s="7" t="s">
        <v>71</v>
      </c>
      <c r="E2308" s="5" t="s">
        <v>133</v>
      </c>
      <c r="F2308" s="8"/>
      <c r="G2308" s="9">
        <f>H2308*(1-15%)*(1-F2308)</f>
        <v>33.914999999999999</v>
      </c>
      <c r="H2308" s="9">
        <v>39.899999999999999</v>
      </c>
      <c r="I2308" s="9">
        <f>H2308-G2308</f>
        <v>5.9849999999999994</v>
      </c>
    </row>
    <row r="2309" ht="14.25">
      <c r="A2309" s="5">
        <v>48783</v>
      </c>
      <c r="B2309" s="6" t="s">
        <v>2371</v>
      </c>
      <c r="C2309" s="7" t="s">
        <v>65</v>
      </c>
      <c r="D2309" s="7" t="s">
        <v>174</v>
      </c>
      <c r="E2309" s="5" t="s">
        <v>15</v>
      </c>
      <c r="F2309" s="8"/>
      <c r="G2309" s="9">
        <f>H2309*(1-15%)*(1-F2309)</f>
        <v>55.165000000000006</v>
      </c>
      <c r="H2309" s="9">
        <v>64.900000000000006</v>
      </c>
      <c r="I2309" s="9">
        <f>H2309-G2309</f>
        <v>9.7349999999999994</v>
      </c>
    </row>
    <row r="2310" ht="14.25">
      <c r="A2310" s="5">
        <v>48784</v>
      </c>
      <c r="B2310" s="6" t="s">
        <v>2372</v>
      </c>
      <c r="C2310" s="7" t="s">
        <v>624</v>
      </c>
      <c r="D2310" s="7" t="s">
        <v>71</v>
      </c>
      <c r="E2310" s="5" t="s">
        <v>39</v>
      </c>
      <c r="F2310" s="8"/>
      <c r="G2310" s="9">
        <f>H2310*(1-15%)*(1-F2310)</f>
        <v>33.914999999999999</v>
      </c>
      <c r="H2310" s="9">
        <v>39.899999999999999</v>
      </c>
      <c r="I2310" s="9">
        <f>H2310-G2310</f>
        <v>5.9849999999999994</v>
      </c>
    </row>
    <row r="2311" ht="14.25">
      <c r="A2311" s="5">
        <v>48786</v>
      </c>
      <c r="B2311" s="6" t="s">
        <v>2373</v>
      </c>
      <c r="C2311" s="7" t="s">
        <v>10</v>
      </c>
      <c r="D2311" s="7" t="s">
        <v>11</v>
      </c>
      <c r="E2311" s="5" t="s">
        <v>39</v>
      </c>
      <c r="F2311" s="8"/>
      <c r="G2311" s="9">
        <f>H2311*(1-15%)*(1-F2311)</f>
        <v>178.41499999999999</v>
      </c>
      <c r="H2311" s="9">
        <v>209.90000000000001</v>
      </c>
      <c r="I2311" s="9">
        <f>H2311-G2311</f>
        <v>31.485000000000014</v>
      </c>
    </row>
    <row r="2312" ht="14.25">
      <c r="A2312" s="5">
        <v>48787</v>
      </c>
      <c r="B2312" s="6" t="s">
        <v>2374</v>
      </c>
      <c r="C2312" s="7" t="s">
        <v>10</v>
      </c>
      <c r="D2312" s="7" t="s">
        <v>11</v>
      </c>
      <c r="E2312" s="5" t="s">
        <v>39</v>
      </c>
      <c r="F2312" s="8"/>
      <c r="G2312" s="9">
        <f>H2312*(1-15%)*(1-F2312)</f>
        <v>186.91499999999999</v>
      </c>
      <c r="H2312" s="9">
        <v>219.90000000000001</v>
      </c>
      <c r="I2312" s="9">
        <f>H2312-G2312</f>
        <v>32.985000000000014</v>
      </c>
    </row>
    <row r="2313" ht="14.25">
      <c r="A2313" s="5">
        <v>48788</v>
      </c>
      <c r="B2313" s="6" t="s">
        <v>2375</v>
      </c>
      <c r="C2313" s="7" t="s">
        <v>38</v>
      </c>
      <c r="D2313" s="7" t="s">
        <v>71</v>
      </c>
      <c r="E2313" s="5" t="s">
        <v>15</v>
      </c>
      <c r="F2313" s="8"/>
      <c r="G2313" s="9">
        <f>H2313*(1-15%)*(1-F2313)</f>
        <v>32.214999999999996</v>
      </c>
      <c r="H2313" s="9">
        <v>37.899999999999999</v>
      </c>
      <c r="I2313" s="9">
        <f>H2313-G2313</f>
        <v>5.6850000000000023</v>
      </c>
    </row>
    <row r="2314" ht="14.25">
      <c r="A2314" s="5">
        <v>48789</v>
      </c>
      <c r="B2314" s="6" t="s">
        <v>2376</v>
      </c>
      <c r="C2314" s="7" t="s">
        <v>67</v>
      </c>
      <c r="D2314" s="7" t="s">
        <v>71</v>
      </c>
      <c r="E2314" s="5" t="s">
        <v>26</v>
      </c>
      <c r="F2314" s="8"/>
      <c r="G2314" s="9">
        <f>H2314*(1-15%)*(1-F2314)</f>
        <v>33.914999999999999</v>
      </c>
      <c r="H2314" s="9">
        <v>39.899999999999999</v>
      </c>
      <c r="I2314" s="9">
        <f>H2314-G2314</f>
        <v>5.9849999999999994</v>
      </c>
    </row>
    <row r="2315" ht="14.25">
      <c r="A2315" s="5">
        <v>48790</v>
      </c>
      <c r="B2315" s="6" t="s">
        <v>2377</v>
      </c>
      <c r="C2315" s="7" t="s">
        <v>10</v>
      </c>
      <c r="D2315" s="7" t="s">
        <v>71</v>
      </c>
      <c r="E2315" s="5" t="s">
        <v>39</v>
      </c>
      <c r="F2315" s="8"/>
      <c r="G2315" s="9">
        <f>H2315*(1-15%)*(1-F2315)</f>
        <v>32.214999999999996</v>
      </c>
      <c r="H2315" s="9">
        <v>37.899999999999999</v>
      </c>
      <c r="I2315" s="9">
        <f>H2315-G2315</f>
        <v>5.6850000000000023</v>
      </c>
    </row>
    <row r="2316" ht="14.25">
      <c r="A2316" s="5">
        <v>48957</v>
      </c>
      <c r="B2316" s="6" t="s">
        <v>2378</v>
      </c>
      <c r="C2316" s="7" t="s">
        <v>51</v>
      </c>
      <c r="D2316" s="7" t="s">
        <v>45</v>
      </c>
      <c r="E2316" s="5" t="s">
        <v>15</v>
      </c>
      <c r="F2316" s="8"/>
      <c r="G2316" s="9">
        <f>H2316*(1-15%)*(1-F2316)</f>
        <v>53.464999999999996</v>
      </c>
      <c r="H2316" s="9">
        <v>62.899999999999999</v>
      </c>
      <c r="I2316" s="9">
        <f>H2316-G2316</f>
        <v>9.4350000000000023</v>
      </c>
    </row>
    <row r="2317" ht="14.25">
      <c r="A2317" s="5">
        <v>48964</v>
      </c>
      <c r="B2317" s="6" t="s">
        <v>2379</v>
      </c>
      <c r="C2317" s="7" t="s">
        <v>82</v>
      </c>
      <c r="D2317" s="7" t="s">
        <v>45</v>
      </c>
      <c r="E2317" s="5" t="s">
        <v>15</v>
      </c>
      <c r="F2317" s="8"/>
      <c r="G2317" s="9">
        <f>H2317*(1-15%)*(1-F2317)</f>
        <v>22.864999999999998</v>
      </c>
      <c r="H2317" s="9">
        <v>26.899999999999999</v>
      </c>
      <c r="I2317" s="9">
        <f>H2317-G2317</f>
        <v>4.0350000000000001</v>
      </c>
    </row>
    <row r="2318" ht="14.25">
      <c r="A2318" s="5">
        <v>48967</v>
      </c>
      <c r="B2318" s="6" t="s">
        <v>2380</v>
      </c>
      <c r="C2318" s="7" t="s">
        <v>82</v>
      </c>
      <c r="D2318" s="7" t="s">
        <v>95</v>
      </c>
      <c r="E2318" s="5" t="s">
        <v>26</v>
      </c>
      <c r="F2318" s="8"/>
      <c r="G2318" s="9">
        <f>H2318*(1-15%)*(1-F2318)</f>
        <v>33.914999999999999</v>
      </c>
      <c r="H2318" s="9">
        <v>39.899999999999999</v>
      </c>
      <c r="I2318" s="9">
        <f>H2318-G2318</f>
        <v>5.9849999999999994</v>
      </c>
    </row>
    <row r="2319" ht="14.25">
      <c r="A2319" s="5">
        <v>48990</v>
      </c>
      <c r="B2319" s="6" t="s">
        <v>2381</v>
      </c>
      <c r="C2319" s="7" t="s">
        <v>271</v>
      </c>
      <c r="D2319" s="7" t="s">
        <v>11</v>
      </c>
      <c r="E2319" s="5" t="s">
        <v>15</v>
      </c>
      <c r="F2319" s="8"/>
      <c r="G2319" s="9">
        <f>H2319*(1-15%)*(1-F2319)</f>
        <v>101.91500000000001</v>
      </c>
      <c r="H2319" s="9">
        <v>119.90000000000001</v>
      </c>
      <c r="I2319" s="9">
        <f>H2319-G2319</f>
        <v>17.984999999999999</v>
      </c>
    </row>
    <row r="2320" ht="14.25">
      <c r="A2320" s="5">
        <v>49006</v>
      </c>
      <c r="B2320" s="6" t="s">
        <v>2382</v>
      </c>
      <c r="C2320" s="7" t="s">
        <v>82</v>
      </c>
      <c r="D2320" s="7" t="s">
        <v>103</v>
      </c>
      <c r="E2320" s="5" t="s">
        <v>15</v>
      </c>
      <c r="F2320" s="8"/>
      <c r="G2320" s="9">
        <f>H2320*(1-15%)*(1-F2320)</f>
        <v>44.964999999999996</v>
      </c>
      <c r="H2320" s="9">
        <v>52.899999999999999</v>
      </c>
      <c r="I2320" s="9">
        <f>H2320-G2320</f>
        <v>7.9350000000000023</v>
      </c>
    </row>
    <row r="2321" ht="14.25">
      <c r="A2321" s="5">
        <v>49010</v>
      </c>
      <c r="B2321" s="6" t="s">
        <v>2383</v>
      </c>
      <c r="C2321" s="7" t="s">
        <v>82</v>
      </c>
      <c r="D2321" s="7" t="s">
        <v>103</v>
      </c>
      <c r="E2321" s="5" t="s">
        <v>15</v>
      </c>
      <c r="F2321" s="8"/>
      <c r="G2321" s="9">
        <f>H2321*(1-15%)*(1-F2321)</f>
        <v>20.314999999999998</v>
      </c>
      <c r="H2321" s="9">
        <v>23.899999999999999</v>
      </c>
      <c r="I2321" s="9">
        <f>H2321-G2321</f>
        <v>3.5850000000000009</v>
      </c>
    </row>
    <row r="2322" ht="14.25">
      <c r="A2322" s="5">
        <v>49012</v>
      </c>
      <c r="B2322" s="6" t="s">
        <v>2384</v>
      </c>
      <c r="C2322" s="7" t="s">
        <v>17</v>
      </c>
      <c r="D2322" s="7" t="s">
        <v>45</v>
      </c>
      <c r="E2322" s="5" t="s">
        <v>68</v>
      </c>
      <c r="F2322" s="8"/>
      <c r="G2322" s="9">
        <f>H2322*(1-15%)*(1-F2322)</f>
        <v>56.865000000000002</v>
      </c>
      <c r="H2322" s="9">
        <v>66.900000000000006</v>
      </c>
      <c r="I2322" s="9">
        <f>H2322-G2322</f>
        <v>10.035000000000004</v>
      </c>
    </row>
    <row r="2323" ht="14.25">
      <c r="A2323" s="5">
        <v>49016</v>
      </c>
      <c r="B2323" s="6" t="s">
        <v>2385</v>
      </c>
      <c r="C2323" s="7" t="s">
        <v>30</v>
      </c>
      <c r="D2323" s="7" t="s">
        <v>71</v>
      </c>
      <c r="E2323" s="5" t="s">
        <v>43</v>
      </c>
      <c r="F2323" s="8"/>
      <c r="G2323" s="9">
        <f>H2323*(1-15%)*(1-F2323)</f>
        <v>42.414999999999999</v>
      </c>
      <c r="H2323" s="9">
        <v>49.899999999999999</v>
      </c>
      <c r="I2323" s="9">
        <f>H2323-G2323</f>
        <v>7.4849999999999994</v>
      </c>
    </row>
    <row r="2324" ht="14.25">
      <c r="A2324" s="5">
        <v>49022</v>
      </c>
      <c r="B2324" s="6" t="s">
        <v>2386</v>
      </c>
      <c r="C2324" s="7" t="s">
        <v>14</v>
      </c>
      <c r="D2324" s="7" t="s">
        <v>71</v>
      </c>
      <c r="E2324" s="5" t="s">
        <v>15</v>
      </c>
      <c r="F2324" s="8"/>
      <c r="G2324" s="9">
        <f>H2324*(1-15%)*(1-F2324)</f>
        <v>33.914999999999999</v>
      </c>
      <c r="H2324" s="9">
        <v>39.899999999999999</v>
      </c>
      <c r="I2324" s="9">
        <f>H2324-G2324</f>
        <v>5.9849999999999994</v>
      </c>
    </row>
    <row r="2325" ht="14.25">
      <c r="A2325" s="5">
        <v>49023</v>
      </c>
      <c r="B2325" s="6" t="s">
        <v>2387</v>
      </c>
      <c r="C2325" s="7" t="s">
        <v>91</v>
      </c>
      <c r="D2325" s="7" t="s">
        <v>45</v>
      </c>
      <c r="E2325" s="5" t="s">
        <v>68</v>
      </c>
      <c r="F2325" s="8"/>
      <c r="G2325" s="9">
        <f>H2325*(1-15%)*(1-F2325)</f>
        <v>40.714999999999996</v>
      </c>
      <c r="H2325" s="9">
        <v>47.899999999999999</v>
      </c>
      <c r="I2325" s="9">
        <f>H2325-G2325</f>
        <v>7.1850000000000023</v>
      </c>
    </row>
    <row r="2326" ht="14.25">
      <c r="A2326" s="5">
        <v>49025</v>
      </c>
      <c r="B2326" s="6" t="s">
        <v>2388</v>
      </c>
      <c r="C2326" s="7" t="s">
        <v>17</v>
      </c>
      <c r="D2326" s="7" t="s">
        <v>71</v>
      </c>
      <c r="E2326" s="5" t="s">
        <v>39</v>
      </c>
      <c r="F2326" s="8"/>
      <c r="G2326" s="9">
        <f>H2326*(1-15%)*(1-F2326)</f>
        <v>42.414999999999999</v>
      </c>
      <c r="H2326" s="9">
        <v>49.899999999999999</v>
      </c>
      <c r="I2326" s="9">
        <f>H2326-G2326</f>
        <v>7.4849999999999994</v>
      </c>
    </row>
    <row r="2327" ht="14.25">
      <c r="A2327" s="5">
        <v>49038</v>
      </c>
      <c r="B2327" s="6" t="s">
        <v>2389</v>
      </c>
      <c r="C2327" s="7" t="s">
        <v>624</v>
      </c>
      <c r="D2327" s="7" t="s">
        <v>174</v>
      </c>
      <c r="E2327" s="5" t="s">
        <v>15</v>
      </c>
      <c r="F2327" s="8"/>
      <c r="G2327" s="9">
        <f>H2327*(1-15%)*(1-F2327)</f>
        <v>78.965000000000003</v>
      </c>
      <c r="H2327" s="9">
        <v>92.900000000000006</v>
      </c>
      <c r="I2327" s="9">
        <f>H2327-G2327</f>
        <v>13.935000000000002</v>
      </c>
    </row>
    <row r="2328" ht="14.25">
      <c r="A2328" s="5">
        <v>49120</v>
      </c>
      <c r="B2328" s="6" t="s">
        <v>2390</v>
      </c>
      <c r="C2328" s="7" t="s">
        <v>201</v>
      </c>
      <c r="D2328" s="7" t="s">
        <v>183</v>
      </c>
      <c r="E2328" s="5" t="s">
        <v>15</v>
      </c>
      <c r="F2328" s="8"/>
      <c r="G2328" s="9">
        <f>H2328*(1-15%)*(1-F2328)</f>
        <v>5.5249999999999995</v>
      </c>
      <c r="H2328" s="9">
        <v>6.5</v>
      </c>
      <c r="I2328" s="9">
        <f>H2328-G2328</f>
        <v>0.97500000000000053</v>
      </c>
    </row>
    <row r="2329" ht="14.25">
      <c r="A2329" s="5">
        <v>49121</v>
      </c>
      <c r="B2329" s="6" t="s">
        <v>2391</v>
      </c>
      <c r="C2329" s="7" t="s">
        <v>201</v>
      </c>
      <c r="D2329" s="7" t="s">
        <v>183</v>
      </c>
      <c r="E2329" s="5" t="s">
        <v>15</v>
      </c>
      <c r="F2329" s="8"/>
      <c r="G2329" s="9">
        <f>H2329*(1-15%)*(1-F2329)</f>
        <v>5.5249999999999995</v>
      </c>
      <c r="H2329" s="9">
        <v>6.5</v>
      </c>
      <c r="I2329" s="9">
        <f>H2329-G2329</f>
        <v>0.97500000000000053</v>
      </c>
    </row>
    <row r="2330" ht="14.25">
      <c r="A2330" s="5">
        <v>49126</v>
      </c>
      <c r="B2330" s="6" t="s">
        <v>2392</v>
      </c>
      <c r="C2330" s="7" t="s">
        <v>109</v>
      </c>
      <c r="D2330" s="7" t="s">
        <v>110</v>
      </c>
      <c r="E2330" s="5" t="s">
        <v>133</v>
      </c>
      <c r="F2330" s="8"/>
      <c r="G2330" s="9">
        <f>H2330*(1-15%)*(1-F2330)</f>
        <v>80.665000000000006</v>
      </c>
      <c r="H2330" s="9">
        <v>94.900000000000006</v>
      </c>
      <c r="I2330" s="9">
        <f>H2330-G2330</f>
        <v>14.234999999999999</v>
      </c>
    </row>
    <row r="2331" ht="14.25">
      <c r="A2331" s="5">
        <v>49259</v>
      </c>
      <c r="B2331" s="6" t="s">
        <v>2393</v>
      </c>
      <c r="C2331" s="7" t="s">
        <v>10</v>
      </c>
      <c r="D2331" s="7" t="s">
        <v>71</v>
      </c>
      <c r="E2331" s="5" t="s">
        <v>15</v>
      </c>
      <c r="F2331" s="8"/>
      <c r="G2331" s="9">
        <f>H2331*(1-15%)*(1-F2331)</f>
        <v>25.414999999999999</v>
      </c>
      <c r="H2331" s="9">
        <v>29.899999999999999</v>
      </c>
      <c r="I2331" s="9">
        <f>H2331-G2331</f>
        <v>4.4849999999999994</v>
      </c>
    </row>
    <row r="2332" ht="14.25">
      <c r="A2332" s="5">
        <v>49263</v>
      </c>
      <c r="B2332" s="6" t="s">
        <v>2394</v>
      </c>
      <c r="C2332" s="7" t="s">
        <v>79</v>
      </c>
      <c r="D2332" s="7" t="s">
        <v>61</v>
      </c>
      <c r="E2332" s="5" t="s">
        <v>15</v>
      </c>
      <c r="F2332" s="8"/>
      <c r="G2332" s="9">
        <f>H2332*(1-15%)*(1-F2332)</f>
        <v>73.015000000000001</v>
      </c>
      <c r="H2332" s="9">
        <v>85.900000000000006</v>
      </c>
      <c r="I2332" s="9">
        <f>H2332-G2332</f>
        <v>12.885000000000005</v>
      </c>
    </row>
    <row r="2333" ht="14.25">
      <c r="A2333" s="5">
        <v>49265</v>
      </c>
      <c r="B2333" s="6" t="s">
        <v>2395</v>
      </c>
      <c r="C2333" s="7" t="s">
        <v>79</v>
      </c>
      <c r="D2333" s="7" t="s">
        <v>52</v>
      </c>
      <c r="E2333" s="5" t="s">
        <v>39</v>
      </c>
      <c r="F2333" s="8"/>
      <c r="G2333" s="9">
        <f>H2333*(1-15%)*(1-F2333)</f>
        <v>42.414999999999999</v>
      </c>
      <c r="H2333" s="9">
        <v>49.899999999999999</v>
      </c>
      <c r="I2333" s="9">
        <f>H2333-G2333</f>
        <v>7.4849999999999994</v>
      </c>
    </row>
    <row r="2334" ht="14.25">
      <c r="A2334" s="5">
        <v>49267</v>
      </c>
      <c r="B2334" s="6" t="s">
        <v>2396</v>
      </c>
      <c r="C2334" s="7" t="s">
        <v>21</v>
      </c>
      <c r="D2334" s="7" t="s">
        <v>45</v>
      </c>
      <c r="E2334" s="5" t="s">
        <v>26</v>
      </c>
      <c r="F2334" s="8"/>
      <c r="G2334" s="9">
        <f>H2334*(1-15%)*(1-F2334)</f>
        <v>32.214999999999996</v>
      </c>
      <c r="H2334" s="9">
        <v>37.899999999999999</v>
      </c>
      <c r="I2334" s="9">
        <f>H2334-G2334</f>
        <v>5.6850000000000023</v>
      </c>
    </row>
    <row r="2335" ht="14.25">
      <c r="A2335" s="5">
        <v>49286</v>
      </c>
      <c r="B2335" s="6" t="s">
        <v>2397</v>
      </c>
      <c r="C2335" s="7" t="s">
        <v>624</v>
      </c>
      <c r="D2335" s="7" t="s">
        <v>174</v>
      </c>
      <c r="E2335" s="5" t="s">
        <v>39</v>
      </c>
      <c r="F2335" s="8"/>
      <c r="G2335" s="9">
        <f>H2335*(1-15%)*(1-F2335)</f>
        <v>25.414999999999999</v>
      </c>
      <c r="H2335" s="9">
        <v>29.899999999999999</v>
      </c>
      <c r="I2335" s="9">
        <f>H2335-G2335</f>
        <v>4.4849999999999994</v>
      </c>
    </row>
    <row r="2336" ht="14.25">
      <c r="A2336" s="5">
        <v>49764</v>
      </c>
      <c r="B2336" s="6" t="s">
        <v>2398</v>
      </c>
      <c r="C2336" s="7" t="s">
        <v>82</v>
      </c>
      <c r="D2336" s="7" t="s">
        <v>103</v>
      </c>
      <c r="E2336" s="5" t="s">
        <v>15</v>
      </c>
      <c r="F2336" s="8"/>
      <c r="G2336" s="9">
        <f>H2336*(1-15%)*(1-F2336)</f>
        <v>33.064999999999998</v>
      </c>
      <c r="H2336" s="9">
        <v>38.899999999999999</v>
      </c>
      <c r="I2336" s="9">
        <f>H2336-G2336</f>
        <v>5.8350000000000009</v>
      </c>
    </row>
    <row r="2337" ht="14.25">
      <c r="A2337" s="5">
        <v>49769</v>
      </c>
      <c r="B2337" s="6" t="s">
        <v>2399</v>
      </c>
      <c r="C2337" s="7" t="s">
        <v>82</v>
      </c>
      <c r="D2337" s="7" t="s">
        <v>103</v>
      </c>
      <c r="E2337" s="5" t="s">
        <v>15</v>
      </c>
      <c r="F2337" s="8"/>
      <c r="G2337" s="9">
        <f>H2337*(1-15%)*(1-F2337)</f>
        <v>33.064999999999998</v>
      </c>
      <c r="H2337" s="9">
        <v>38.899999999999999</v>
      </c>
      <c r="I2337" s="9">
        <f>H2337-G2337</f>
        <v>5.8350000000000009</v>
      </c>
    </row>
    <row r="2338" ht="14.25">
      <c r="A2338" s="5">
        <v>49922</v>
      </c>
      <c r="B2338" s="6" t="s">
        <v>2400</v>
      </c>
      <c r="C2338" s="7" t="s">
        <v>226</v>
      </c>
      <c r="D2338" s="7" t="s">
        <v>183</v>
      </c>
      <c r="E2338" s="5" t="s">
        <v>15</v>
      </c>
      <c r="F2338" s="8"/>
      <c r="G2338" s="9">
        <f>H2338*(1-15%)*(1-F2338)</f>
        <v>229.41499999999996</v>
      </c>
      <c r="H2338" s="9">
        <v>269.89999999999998</v>
      </c>
      <c r="I2338" s="9">
        <f>H2338-G2338</f>
        <v>40.485000000000014</v>
      </c>
    </row>
    <row r="2339" ht="14.25">
      <c r="A2339" s="5">
        <v>49955</v>
      </c>
      <c r="B2339" s="6" t="s">
        <v>2401</v>
      </c>
      <c r="C2339" s="7" t="s">
        <v>75</v>
      </c>
      <c r="D2339" s="7" t="s">
        <v>45</v>
      </c>
      <c r="E2339" s="5" t="s">
        <v>15</v>
      </c>
      <c r="F2339" s="8"/>
      <c r="G2339" s="9">
        <f>H2339*(1-15%)*(1-F2339)</f>
        <v>57.715000000000003</v>
      </c>
      <c r="H2339" s="9">
        <v>67.900000000000006</v>
      </c>
      <c r="I2339" s="9">
        <f>H2339-G2339</f>
        <v>10.185000000000002</v>
      </c>
    </row>
    <row r="2340" ht="14.25">
      <c r="A2340" s="5">
        <v>50019</v>
      </c>
      <c r="B2340" s="6" t="s">
        <v>2402</v>
      </c>
      <c r="C2340" s="7" t="s">
        <v>201</v>
      </c>
      <c r="D2340" s="7" t="s">
        <v>183</v>
      </c>
      <c r="E2340" s="5" t="s">
        <v>15</v>
      </c>
      <c r="F2340" s="8"/>
      <c r="G2340" s="9">
        <f>H2340*(1-15%)*(1-F2340)</f>
        <v>5.5249999999999995</v>
      </c>
      <c r="H2340" s="9">
        <v>6.5</v>
      </c>
      <c r="I2340" s="9">
        <f>H2340-G2340</f>
        <v>0.97500000000000053</v>
      </c>
    </row>
    <row r="2341" ht="14.25">
      <c r="A2341" s="5">
        <v>50020</v>
      </c>
      <c r="B2341" s="6" t="s">
        <v>2403</v>
      </c>
      <c r="C2341" s="7" t="s">
        <v>201</v>
      </c>
      <c r="D2341" s="7" t="s">
        <v>183</v>
      </c>
      <c r="E2341" s="5" t="s">
        <v>15</v>
      </c>
      <c r="F2341" s="8"/>
      <c r="G2341" s="9">
        <f>H2341*(1-15%)*(1-F2341)</f>
        <v>5.5249999999999995</v>
      </c>
      <c r="H2341" s="9">
        <v>6.5</v>
      </c>
      <c r="I2341" s="9">
        <f>H2341-G2341</f>
        <v>0.97500000000000053</v>
      </c>
    </row>
    <row r="2342" ht="14.25">
      <c r="A2342" s="5">
        <v>50088</v>
      </c>
      <c r="B2342" s="6" t="s">
        <v>2404</v>
      </c>
      <c r="C2342" s="7" t="s">
        <v>201</v>
      </c>
      <c r="D2342" s="7" t="s">
        <v>183</v>
      </c>
      <c r="E2342" s="5" t="s">
        <v>15</v>
      </c>
      <c r="F2342" s="8"/>
      <c r="G2342" s="9">
        <f>H2342*(1-15%)*(1-F2342)</f>
        <v>5.8650000000000002</v>
      </c>
      <c r="H2342" s="9">
        <v>6.9000000000000004</v>
      </c>
      <c r="I2342" s="9">
        <f>H2342-G2342</f>
        <v>1.0350000000000001</v>
      </c>
    </row>
    <row r="2343" ht="14.25">
      <c r="A2343" s="5">
        <v>50169</v>
      </c>
      <c r="B2343" s="6" t="s">
        <v>2405</v>
      </c>
      <c r="C2343" s="7" t="s">
        <v>70</v>
      </c>
      <c r="D2343" s="7" t="s">
        <v>45</v>
      </c>
      <c r="E2343" s="5" t="s">
        <v>26</v>
      </c>
      <c r="F2343" s="8"/>
      <c r="G2343" s="9">
        <f>H2343*(1-15%)*(1-F2343)</f>
        <v>42.414999999999999</v>
      </c>
      <c r="H2343" s="9">
        <v>49.899999999999999</v>
      </c>
      <c r="I2343" s="9">
        <f>H2343-G2343</f>
        <v>7.4849999999999994</v>
      </c>
    </row>
    <row r="2344" ht="14.25">
      <c r="A2344" s="5">
        <v>50677</v>
      </c>
      <c r="B2344" s="6" t="s">
        <v>2406</v>
      </c>
      <c r="C2344" s="7" t="s">
        <v>2103</v>
      </c>
      <c r="D2344" s="7" t="s">
        <v>11</v>
      </c>
      <c r="E2344" s="5" t="s">
        <v>12</v>
      </c>
      <c r="F2344" s="8"/>
      <c r="G2344" s="9">
        <f>H2344*(1-15%)*(1-F2344)</f>
        <v>144.41499999999999</v>
      </c>
      <c r="H2344" s="9">
        <v>169.90000000000001</v>
      </c>
      <c r="I2344" s="9">
        <f>H2344-G2344</f>
        <v>25.485000000000014</v>
      </c>
    </row>
    <row r="2345" ht="14.25">
      <c r="A2345" s="5">
        <v>50732</v>
      </c>
      <c r="B2345" s="6" t="s">
        <v>2407</v>
      </c>
      <c r="C2345" s="7" t="s">
        <v>25</v>
      </c>
      <c r="D2345" s="7" t="s">
        <v>11</v>
      </c>
      <c r="E2345" s="5" t="s">
        <v>133</v>
      </c>
      <c r="F2345" s="8"/>
      <c r="G2345" s="9">
        <f>H2345*(1-15%)*(1-F2345)</f>
        <v>169.91499999999999</v>
      </c>
      <c r="H2345" s="9">
        <v>199.90000000000001</v>
      </c>
      <c r="I2345" s="9">
        <f>H2345-G2345</f>
        <v>29.985000000000014</v>
      </c>
    </row>
    <row r="2346" ht="14.25">
      <c r="A2346" s="5">
        <v>50956</v>
      </c>
      <c r="B2346" s="6" t="s">
        <v>2408</v>
      </c>
      <c r="C2346" s="7" t="s">
        <v>2103</v>
      </c>
      <c r="D2346" s="7" t="s">
        <v>71</v>
      </c>
      <c r="E2346" s="5" t="s">
        <v>43</v>
      </c>
      <c r="F2346" s="8"/>
      <c r="G2346" s="9">
        <f>H2346*(1-15%)*(1-F2346)</f>
        <v>42.414999999999999</v>
      </c>
      <c r="H2346" s="9">
        <v>49.899999999999999</v>
      </c>
      <c r="I2346" s="9">
        <f>H2346-G2346</f>
        <v>7.4849999999999994</v>
      </c>
    </row>
    <row r="2347" ht="14.25">
      <c r="A2347" s="5">
        <v>51213</v>
      </c>
      <c r="B2347" s="6" t="s">
        <v>2409</v>
      </c>
      <c r="C2347" s="7" t="s">
        <v>30</v>
      </c>
      <c r="D2347" s="7" t="s">
        <v>11</v>
      </c>
      <c r="E2347" s="5" t="s">
        <v>39</v>
      </c>
      <c r="F2347" s="8"/>
      <c r="G2347" s="9">
        <f>H2347*(1-15%)*(1-F2347)</f>
        <v>208.16499999999999</v>
      </c>
      <c r="H2347" s="9">
        <v>244.90000000000001</v>
      </c>
      <c r="I2347" s="9">
        <f>H2347-G2347</f>
        <v>36.735000000000014</v>
      </c>
    </row>
    <row r="2348" ht="14.25">
      <c r="A2348" s="5">
        <v>51225</v>
      </c>
      <c r="B2348" s="6" t="s">
        <v>2410</v>
      </c>
      <c r="C2348" s="7" t="s">
        <v>38</v>
      </c>
      <c r="D2348" s="7" t="s">
        <v>103</v>
      </c>
      <c r="E2348" s="5" t="s">
        <v>39</v>
      </c>
      <c r="F2348" s="8"/>
      <c r="G2348" s="9">
        <f>H2348*(1-15%)*(1-F2348)</f>
        <v>46.664999999999999</v>
      </c>
      <c r="H2348" s="9">
        <v>54.899999999999999</v>
      </c>
      <c r="I2348" s="9">
        <f>H2348-G2348</f>
        <v>8.2349999999999994</v>
      </c>
    </row>
    <row r="2349" ht="14.25">
      <c r="A2349" s="5">
        <v>51263</v>
      </c>
      <c r="B2349" s="6" t="s">
        <v>2411</v>
      </c>
      <c r="C2349" s="7" t="s">
        <v>251</v>
      </c>
      <c r="D2349" s="7" t="s">
        <v>71</v>
      </c>
      <c r="E2349" s="5" t="s">
        <v>15</v>
      </c>
      <c r="F2349" s="8"/>
      <c r="G2349" s="9">
        <f>H2349*(1-15%)*(1-F2349)</f>
        <v>32.214999999999996</v>
      </c>
      <c r="H2349" s="9">
        <v>37.899999999999999</v>
      </c>
      <c r="I2349" s="9">
        <f>H2349-G2349</f>
        <v>5.6850000000000023</v>
      </c>
    </row>
    <row r="2350" ht="14.25">
      <c r="A2350" s="5">
        <v>51384</v>
      </c>
      <c r="B2350" s="6" t="s">
        <v>2412</v>
      </c>
      <c r="C2350" s="7" t="s">
        <v>201</v>
      </c>
      <c r="D2350" s="7" t="s">
        <v>183</v>
      </c>
      <c r="E2350" s="5" t="s">
        <v>15</v>
      </c>
      <c r="F2350" s="8"/>
      <c r="G2350" s="9">
        <f>H2350*(1-15%)*(1-F2350)</f>
        <v>12.664999999999999</v>
      </c>
      <c r="H2350" s="9">
        <v>14.9</v>
      </c>
      <c r="I2350" s="9">
        <f>H2350-G2350</f>
        <v>2.2350000000000012</v>
      </c>
    </row>
    <row r="2351" ht="14.25">
      <c r="A2351" s="5">
        <v>51425</v>
      </c>
      <c r="B2351" s="6" t="s">
        <v>2413</v>
      </c>
      <c r="C2351" s="7" t="s">
        <v>75</v>
      </c>
      <c r="D2351" s="7" t="s">
        <v>103</v>
      </c>
      <c r="E2351" s="5" t="s">
        <v>26</v>
      </c>
      <c r="F2351" s="8"/>
      <c r="G2351" s="9">
        <f>H2351*(1-15%)*(1-F2351)</f>
        <v>25.414999999999999</v>
      </c>
      <c r="H2351" s="9">
        <v>29.899999999999999</v>
      </c>
      <c r="I2351" s="9">
        <f>H2351-G2351</f>
        <v>4.4849999999999994</v>
      </c>
    </row>
    <row r="2352" ht="14.25">
      <c r="A2352" s="5">
        <v>51438</v>
      </c>
      <c r="B2352" s="6" t="s">
        <v>2414</v>
      </c>
      <c r="C2352" s="7" t="s">
        <v>79</v>
      </c>
      <c r="D2352" s="7" t="s">
        <v>52</v>
      </c>
      <c r="E2352" s="5" t="s">
        <v>39</v>
      </c>
      <c r="F2352" s="8"/>
      <c r="G2352" s="9">
        <f>H2352*(1-15%)*(1-F2352)</f>
        <v>40.714999999999996</v>
      </c>
      <c r="H2352" s="9">
        <v>47.899999999999999</v>
      </c>
      <c r="I2352" s="9">
        <f>H2352-G2352</f>
        <v>7.1850000000000023</v>
      </c>
    </row>
    <row r="2353" ht="14.25">
      <c r="A2353" s="5">
        <v>51441</v>
      </c>
      <c r="B2353" s="6" t="s">
        <v>2415</v>
      </c>
      <c r="C2353" s="7" t="s">
        <v>87</v>
      </c>
      <c r="D2353" s="7" t="s">
        <v>52</v>
      </c>
      <c r="E2353" s="5" t="s">
        <v>133</v>
      </c>
      <c r="F2353" s="8"/>
      <c r="G2353" s="9">
        <f>H2353*(1-15%)*(1-F2353)</f>
        <v>82.365000000000009</v>
      </c>
      <c r="H2353" s="9">
        <v>96.900000000000006</v>
      </c>
      <c r="I2353" s="9">
        <f>H2353-G2353</f>
        <v>14.534999999999997</v>
      </c>
    </row>
    <row r="2354" ht="14.25">
      <c r="A2354" s="5">
        <v>51458</v>
      </c>
      <c r="B2354" s="6" t="s">
        <v>2416</v>
      </c>
      <c r="C2354" s="7" t="s">
        <v>271</v>
      </c>
      <c r="D2354" s="7" t="s">
        <v>110</v>
      </c>
      <c r="E2354" s="5" t="s">
        <v>703</v>
      </c>
      <c r="F2354" s="8"/>
      <c r="G2354" s="9">
        <f>H2354*(1-15%)*(1-F2354)</f>
        <v>41.564999999999998</v>
      </c>
      <c r="H2354" s="9">
        <v>48.899999999999999</v>
      </c>
      <c r="I2354" s="9">
        <f>H2354-G2354</f>
        <v>7.3350000000000009</v>
      </c>
    </row>
    <row r="2355" ht="14.25">
      <c r="A2355" s="5">
        <v>51459</v>
      </c>
      <c r="B2355" s="6" t="s">
        <v>2417</v>
      </c>
      <c r="C2355" s="7" t="s">
        <v>271</v>
      </c>
      <c r="D2355" s="7" t="s">
        <v>110</v>
      </c>
      <c r="E2355" s="5" t="s">
        <v>703</v>
      </c>
      <c r="F2355" s="8"/>
      <c r="G2355" s="9">
        <f>H2355*(1-15%)*(1-F2355)</f>
        <v>40.714999999999996</v>
      </c>
      <c r="H2355" s="9">
        <v>47.899999999999999</v>
      </c>
      <c r="I2355" s="9">
        <f>H2355-G2355</f>
        <v>7.1850000000000023</v>
      </c>
    </row>
    <row r="2356" ht="14.25">
      <c r="A2356" s="5">
        <v>51460</v>
      </c>
      <c r="B2356" s="6" t="s">
        <v>2418</v>
      </c>
      <c r="C2356" s="7" t="s">
        <v>271</v>
      </c>
      <c r="D2356" s="7" t="s">
        <v>110</v>
      </c>
      <c r="E2356" s="5" t="s">
        <v>703</v>
      </c>
      <c r="F2356" s="8"/>
      <c r="G2356" s="9">
        <f>H2356*(1-15%)*(1-F2356)</f>
        <v>41.564999999999998</v>
      </c>
      <c r="H2356" s="9">
        <v>48.899999999999999</v>
      </c>
      <c r="I2356" s="9">
        <f>H2356-G2356</f>
        <v>7.3350000000000009</v>
      </c>
    </row>
    <row r="2357" ht="14.25">
      <c r="A2357" s="5">
        <v>51468</v>
      </c>
      <c r="B2357" s="6" t="s">
        <v>2419</v>
      </c>
      <c r="C2357" s="7" t="s">
        <v>426</v>
      </c>
      <c r="D2357" s="7" t="s">
        <v>219</v>
      </c>
      <c r="E2357" s="5" t="s">
        <v>26</v>
      </c>
      <c r="F2357" s="8"/>
      <c r="G2357" s="9">
        <f>H2357*(1-15%)*(1-F2357)</f>
        <v>76.415000000000006</v>
      </c>
      <c r="H2357" s="9">
        <v>89.900000000000006</v>
      </c>
      <c r="I2357" s="9">
        <f>H2357-G2357</f>
        <v>13.484999999999999</v>
      </c>
    </row>
    <row r="2358" ht="14.25">
      <c r="A2358" s="5">
        <v>51500</v>
      </c>
      <c r="B2358" s="6" t="s">
        <v>2420</v>
      </c>
      <c r="C2358" s="7" t="s">
        <v>79</v>
      </c>
      <c r="D2358" s="7" t="s">
        <v>52</v>
      </c>
      <c r="E2358" s="5" t="s">
        <v>68</v>
      </c>
      <c r="F2358" s="8"/>
      <c r="G2358" s="9">
        <f>H2358*(1-15%)*(1-F2358)</f>
        <v>101.91500000000001</v>
      </c>
      <c r="H2358" s="9">
        <v>119.90000000000001</v>
      </c>
      <c r="I2358" s="9">
        <f>H2358-G2358</f>
        <v>17.984999999999999</v>
      </c>
    </row>
    <row r="2359" ht="14.25">
      <c r="A2359" s="5">
        <v>51521</v>
      </c>
      <c r="B2359" s="6" t="s">
        <v>2421</v>
      </c>
      <c r="C2359" s="7" t="s">
        <v>87</v>
      </c>
      <c r="D2359" s="7" t="s">
        <v>52</v>
      </c>
      <c r="E2359" s="5" t="s">
        <v>39</v>
      </c>
      <c r="F2359" s="8"/>
      <c r="G2359" s="9">
        <f>H2359*(1-15%)*(1-F2359)</f>
        <v>82.365000000000009</v>
      </c>
      <c r="H2359" s="9">
        <v>96.900000000000006</v>
      </c>
      <c r="I2359" s="9">
        <f>H2359-G2359</f>
        <v>14.534999999999997</v>
      </c>
    </row>
    <row r="2360" ht="14.25">
      <c r="A2360" s="5">
        <v>51531</v>
      </c>
      <c r="B2360" s="6" t="s">
        <v>2422</v>
      </c>
      <c r="C2360" s="7" t="s">
        <v>17</v>
      </c>
      <c r="D2360" s="7" t="s">
        <v>71</v>
      </c>
      <c r="E2360" s="5" t="s">
        <v>15</v>
      </c>
      <c r="F2360" s="8"/>
      <c r="G2360" s="9">
        <f>H2360*(1-15%)*(1-F2360)</f>
        <v>42.414999999999999</v>
      </c>
      <c r="H2360" s="9">
        <v>49.899999999999999</v>
      </c>
      <c r="I2360" s="9">
        <f>H2360-G2360</f>
        <v>7.4849999999999994</v>
      </c>
    </row>
    <row r="2361" ht="14.25">
      <c r="A2361" s="5">
        <v>51581</v>
      </c>
      <c r="B2361" s="6" t="s">
        <v>2423</v>
      </c>
      <c r="C2361" s="7" t="s">
        <v>17</v>
      </c>
      <c r="D2361" s="7" t="s">
        <v>71</v>
      </c>
      <c r="E2361" s="5" t="s">
        <v>26</v>
      </c>
      <c r="F2361" s="8"/>
      <c r="G2361" s="9">
        <f>H2361*(1-15%)*(1-F2361)</f>
        <v>42.414999999999999</v>
      </c>
      <c r="H2361" s="9">
        <v>49.899999999999999</v>
      </c>
      <c r="I2361" s="9">
        <f>H2361-G2361</f>
        <v>7.4849999999999994</v>
      </c>
    </row>
    <row r="2362" ht="14.25">
      <c r="A2362" s="5">
        <v>51608</v>
      </c>
      <c r="B2362" s="6" t="s">
        <v>2424</v>
      </c>
      <c r="C2362" s="7" t="s">
        <v>65</v>
      </c>
      <c r="D2362" s="7" t="s">
        <v>95</v>
      </c>
      <c r="E2362" s="5" t="s">
        <v>26</v>
      </c>
      <c r="F2362" s="8"/>
      <c r="G2362" s="9">
        <f>H2362*(1-15%)*(1-F2362)</f>
        <v>33.914999999999999</v>
      </c>
      <c r="H2362" s="9">
        <v>39.899999999999999</v>
      </c>
      <c r="I2362" s="9">
        <f>H2362-G2362</f>
        <v>5.9849999999999994</v>
      </c>
    </row>
    <row r="2363" ht="14.25">
      <c r="A2363" s="5">
        <v>51836</v>
      </c>
      <c r="B2363" s="6" t="s">
        <v>2425</v>
      </c>
      <c r="C2363" s="7" t="s">
        <v>226</v>
      </c>
      <c r="D2363" s="7" t="s">
        <v>52</v>
      </c>
      <c r="E2363" s="5" t="s">
        <v>15</v>
      </c>
      <c r="F2363" s="8"/>
      <c r="G2363" s="9">
        <f>H2363*(1-15%)*(1-F2363)</f>
        <v>81.515000000000001</v>
      </c>
      <c r="H2363" s="9">
        <v>95.900000000000006</v>
      </c>
      <c r="I2363" s="9">
        <f>H2363-G2363</f>
        <v>14.385000000000005</v>
      </c>
    </row>
    <row r="2364" ht="14.25">
      <c r="A2364" s="5">
        <v>52150</v>
      </c>
      <c r="B2364" s="6" t="s">
        <v>2426</v>
      </c>
      <c r="C2364" s="7" t="s">
        <v>271</v>
      </c>
      <c r="D2364" s="7" t="s">
        <v>110</v>
      </c>
      <c r="E2364" s="5" t="s">
        <v>68</v>
      </c>
      <c r="F2364" s="8"/>
      <c r="G2364" s="9">
        <f>H2364*(1-15%)*(1-F2364)</f>
        <v>50.914999999999999</v>
      </c>
      <c r="H2364" s="9">
        <v>59.899999999999999</v>
      </c>
      <c r="I2364" s="9">
        <f>H2364-G2364</f>
        <v>8.9849999999999994</v>
      </c>
    </row>
    <row r="2365" ht="14.25">
      <c r="A2365" s="5">
        <v>52154</v>
      </c>
      <c r="B2365" s="6" t="s">
        <v>2427</v>
      </c>
      <c r="C2365" s="7" t="s">
        <v>271</v>
      </c>
      <c r="D2365" s="7" t="s">
        <v>110</v>
      </c>
      <c r="E2365" s="5" t="s">
        <v>43</v>
      </c>
      <c r="F2365" s="8"/>
      <c r="G2365" s="9">
        <f>H2365*(1-15%)*(1-F2365)</f>
        <v>50.914999999999999</v>
      </c>
      <c r="H2365" s="9">
        <v>59.899999999999999</v>
      </c>
      <c r="I2365" s="9">
        <f>H2365-G2365</f>
        <v>8.9849999999999994</v>
      </c>
    </row>
    <row r="2366" ht="14.25">
      <c r="A2366" s="5">
        <v>52156</v>
      </c>
      <c r="B2366" s="6" t="s">
        <v>2428</v>
      </c>
      <c r="C2366" s="7" t="s">
        <v>271</v>
      </c>
      <c r="D2366" s="7" t="s">
        <v>110</v>
      </c>
      <c r="E2366" s="5" t="s">
        <v>43</v>
      </c>
      <c r="F2366" s="8"/>
      <c r="G2366" s="9">
        <f>H2366*(1-15%)*(1-F2366)</f>
        <v>50.914999999999999</v>
      </c>
      <c r="H2366" s="9">
        <v>59.899999999999999</v>
      </c>
      <c r="I2366" s="9">
        <f>H2366-G2366</f>
        <v>8.9849999999999994</v>
      </c>
    </row>
    <row r="2367" ht="14.25">
      <c r="A2367" s="5">
        <v>52282</v>
      </c>
      <c r="B2367" s="6" t="s">
        <v>2429</v>
      </c>
      <c r="C2367" s="7" t="s">
        <v>271</v>
      </c>
      <c r="D2367" s="7" t="s">
        <v>110</v>
      </c>
      <c r="E2367" s="5" t="s">
        <v>43</v>
      </c>
      <c r="F2367" s="8"/>
      <c r="G2367" s="9">
        <f>H2367*(1-15%)*(1-F2367)</f>
        <v>39.015000000000001</v>
      </c>
      <c r="H2367" s="9">
        <v>45.899999999999999</v>
      </c>
      <c r="I2367" s="9">
        <f>H2367-G2367</f>
        <v>6.884999999999998</v>
      </c>
    </row>
    <row r="2368" ht="14.25">
      <c r="A2368" s="5">
        <v>52483</v>
      </c>
      <c r="B2368" s="6" t="s">
        <v>2430</v>
      </c>
      <c r="C2368" s="7" t="s">
        <v>82</v>
      </c>
      <c r="D2368" s="7" t="s">
        <v>103</v>
      </c>
      <c r="E2368" s="5" t="s">
        <v>15</v>
      </c>
      <c r="F2368" s="8"/>
      <c r="G2368" s="9">
        <f>H2368*(1-15%)*(1-F2368)</f>
        <v>33.064999999999998</v>
      </c>
      <c r="H2368" s="9">
        <v>38.899999999999999</v>
      </c>
      <c r="I2368" s="9">
        <f>H2368-G2368</f>
        <v>5.8350000000000009</v>
      </c>
    </row>
    <row r="2369" ht="14.25">
      <c r="A2369" s="5">
        <v>52537</v>
      </c>
      <c r="B2369" s="6" t="s">
        <v>2431</v>
      </c>
      <c r="C2369" s="7" t="s">
        <v>271</v>
      </c>
      <c r="D2369" s="7" t="s">
        <v>110</v>
      </c>
      <c r="E2369" s="5" t="s">
        <v>703</v>
      </c>
      <c r="F2369" s="8"/>
      <c r="G2369" s="9">
        <f>H2369*(1-15%)*(1-F2369)</f>
        <v>40.714999999999996</v>
      </c>
      <c r="H2369" s="9">
        <v>47.899999999999999</v>
      </c>
      <c r="I2369" s="9">
        <f>H2369-G2369</f>
        <v>7.1850000000000023</v>
      </c>
    </row>
    <row r="2370" ht="14.25">
      <c r="A2370" s="5">
        <v>52538</v>
      </c>
      <c r="B2370" s="6" t="s">
        <v>2432</v>
      </c>
      <c r="C2370" s="7" t="s">
        <v>271</v>
      </c>
      <c r="D2370" s="7" t="s">
        <v>110</v>
      </c>
      <c r="E2370" s="5" t="s">
        <v>703</v>
      </c>
      <c r="F2370" s="8"/>
      <c r="G2370" s="9">
        <f>H2370*(1-15%)*(1-F2370)</f>
        <v>40.714999999999996</v>
      </c>
      <c r="H2370" s="9">
        <v>47.899999999999999</v>
      </c>
      <c r="I2370" s="9">
        <f>H2370-G2370</f>
        <v>7.1850000000000023</v>
      </c>
    </row>
    <row r="2371" ht="14.25">
      <c r="A2371" s="5">
        <v>52635</v>
      </c>
      <c r="B2371" s="6" t="s">
        <v>2433</v>
      </c>
      <c r="C2371" s="7" t="s">
        <v>75</v>
      </c>
      <c r="D2371" s="7" t="s">
        <v>45</v>
      </c>
      <c r="E2371" s="5" t="s">
        <v>15</v>
      </c>
      <c r="F2371" s="8"/>
      <c r="G2371" s="9">
        <f>H2371*(1-15%)*(1-F2371)</f>
        <v>59.415000000000006</v>
      </c>
      <c r="H2371" s="9">
        <v>69.900000000000006</v>
      </c>
      <c r="I2371" s="9">
        <f>H2371-G2371</f>
        <v>10.484999999999999</v>
      </c>
    </row>
    <row r="2372" ht="14.25">
      <c r="A2372" s="5">
        <v>52654</v>
      </c>
      <c r="B2372" s="6" t="s">
        <v>2434</v>
      </c>
      <c r="C2372" s="7" t="s">
        <v>75</v>
      </c>
      <c r="D2372" s="7" t="s">
        <v>61</v>
      </c>
      <c r="E2372" s="5" t="s">
        <v>68</v>
      </c>
      <c r="F2372" s="8"/>
      <c r="G2372" s="9">
        <f>H2372*(1-15%)*(1-F2372)</f>
        <v>67.915000000000006</v>
      </c>
      <c r="H2372" s="9">
        <v>79.900000000000006</v>
      </c>
      <c r="I2372" s="9">
        <f>H2372-G2372</f>
        <v>11.984999999999999</v>
      </c>
    </row>
    <row r="2373" ht="14.25">
      <c r="A2373" s="5">
        <v>52701</v>
      </c>
      <c r="B2373" s="6" t="s">
        <v>2435</v>
      </c>
      <c r="C2373" s="7" t="s">
        <v>82</v>
      </c>
      <c r="D2373" s="7" t="s">
        <v>95</v>
      </c>
      <c r="E2373" s="5" t="s">
        <v>703</v>
      </c>
      <c r="F2373" s="8"/>
      <c r="G2373" s="9">
        <f>H2373*(1-15%)*(1-F2373)</f>
        <v>29.664999999999999</v>
      </c>
      <c r="H2373" s="9">
        <v>34.899999999999999</v>
      </c>
      <c r="I2373" s="9">
        <f>H2373-G2373</f>
        <v>5.2349999999999994</v>
      </c>
    </row>
    <row r="2374" ht="14.25">
      <c r="A2374" s="5">
        <v>52702</v>
      </c>
      <c r="B2374" s="6" t="s">
        <v>2436</v>
      </c>
      <c r="C2374" s="7" t="s">
        <v>82</v>
      </c>
      <c r="D2374" s="7" t="s">
        <v>95</v>
      </c>
      <c r="E2374" s="5" t="s">
        <v>703</v>
      </c>
      <c r="F2374" s="8"/>
      <c r="G2374" s="9">
        <f>H2374*(1-15%)*(1-F2374)</f>
        <v>31.364999999999998</v>
      </c>
      <c r="H2374" s="9">
        <v>36.899999999999999</v>
      </c>
      <c r="I2374" s="9">
        <f>H2374-G2374</f>
        <v>5.5350000000000001</v>
      </c>
    </row>
    <row r="2375" ht="14.25">
      <c r="A2375" s="5">
        <v>52706</v>
      </c>
      <c r="B2375" s="6" t="s">
        <v>2437</v>
      </c>
      <c r="C2375" s="7" t="s">
        <v>201</v>
      </c>
      <c r="D2375" s="7" t="s">
        <v>183</v>
      </c>
      <c r="E2375" s="5" t="s">
        <v>15</v>
      </c>
      <c r="F2375" s="8"/>
      <c r="G2375" s="9">
        <f>H2375*(1-15%)*(1-F2375)</f>
        <v>67.915000000000006</v>
      </c>
      <c r="H2375" s="9">
        <v>79.900000000000006</v>
      </c>
      <c r="I2375" s="9">
        <f>H2375-G2375</f>
        <v>11.984999999999999</v>
      </c>
    </row>
    <row r="2376" ht="14.25">
      <c r="A2376" s="5">
        <v>52724</v>
      </c>
      <c r="B2376" s="6" t="s">
        <v>2438</v>
      </c>
      <c r="C2376" s="7" t="s">
        <v>82</v>
      </c>
      <c r="D2376" s="7" t="s">
        <v>45</v>
      </c>
      <c r="E2376" s="5" t="s">
        <v>703</v>
      </c>
      <c r="F2376" s="8"/>
      <c r="G2376" s="9">
        <f>H2376*(1-15%)*(1-F2376)</f>
        <v>40.714999999999996</v>
      </c>
      <c r="H2376" s="9">
        <v>47.899999999999999</v>
      </c>
      <c r="I2376" s="9">
        <f>H2376-G2376</f>
        <v>7.1850000000000023</v>
      </c>
    </row>
    <row r="2377" ht="14.25">
      <c r="A2377" s="5">
        <v>52732</v>
      </c>
      <c r="B2377" s="6" t="s">
        <v>2439</v>
      </c>
      <c r="C2377" s="7" t="s">
        <v>82</v>
      </c>
      <c r="D2377" s="7" t="s">
        <v>95</v>
      </c>
      <c r="E2377" s="5" t="s">
        <v>703</v>
      </c>
      <c r="F2377" s="8"/>
      <c r="G2377" s="9">
        <f>H2377*(1-15%)*(1-F2377)</f>
        <v>32.214999999999996</v>
      </c>
      <c r="H2377" s="9">
        <v>37.899999999999999</v>
      </c>
      <c r="I2377" s="9">
        <f>H2377-G2377</f>
        <v>5.6850000000000023</v>
      </c>
    </row>
    <row r="2378" ht="14.25">
      <c r="A2378" s="5">
        <v>52752</v>
      </c>
      <c r="B2378" s="6" t="s">
        <v>2440</v>
      </c>
      <c r="C2378" s="7" t="s">
        <v>251</v>
      </c>
      <c r="D2378" s="7" t="s">
        <v>11</v>
      </c>
      <c r="E2378" s="5" t="s">
        <v>12</v>
      </c>
      <c r="F2378" s="8"/>
      <c r="G2378" s="9">
        <f>H2378*(1-15%)*(1-F2378)</f>
        <v>161.41499999999999</v>
      </c>
      <c r="H2378" s="9">
        <v>189.90000000000001</v>
      </c>
      <c r="I2378" s="9">
        <f>H2378-G2378</f>
        <v>28.485000000000014</v>
      </c>
    </row>
    <row r="2379" ht="14.25">
      <c r="A2379" s="5">
        <v>52799</v>
      </c>
      <c r="B2379" s="6" t="s">
        <v>2441</v>
      </c>
      <c r="C2379" s="7" t="s">
        <v>82</v>
      </c>
      <c r="D2379" s="7" t="s">
        <v>45</v>
      </c>
      <c r="E2379" s="5" t="s">
        <v>703</v>
      </c>
      <c r="F2379" s="8"/>
      <c r="G2379" s="9">
        <f>H2379*(1-15%)*(1-F2379)</f>
        <v>47.515000000000001</v>
      </c>
      <c r="H2379" s="9">
        <v>55.899999999999999</v>
      </c>
      <c r="I2379" s="9">
        <f>H2379-G2379</f>
        <v>8.384999999999998</v>
      </c>
    </row>
    <row r="2380" ht="14.25">
      <c r="A2380" s="5">
        <v>52800</v>
      </c>
      <c r="B2380" s="6" t="s">
        <v>2442</v>
      </c>
      <c r="C2380" s="7" t="s">
        <v>82</v>
      </c>
      <c r="D2380" s="7" t="s">
        <v>45</v>
      </c>
      <c r="E2380" s="5" t="s">
        <v>703</v>
      </c>
      <c r="F2380" s="8"/>
      <c r="G2380" s="9">
        <f>H2380*(1-15%)*(1-F2380)</f>
        <v>66.215000000000003</v>
      </c>
      <c r="H2380" s="9">
        <v>77.900000000000006</v>
      </c>
      <c r="I2380" s="9">
        <f>H2380-G2380</f>
        <v>11.685000000000002</v>
      </c>
    </row>
    <row r="2381" ht="14.25">
      <c r="A2381" s="5">
        <v>52850</v>
      </c>
      <c r="B2381" s="6" t="s">
        <v>2443</v>
      </c>
      <c r="C2381" s="7" t="s">
        <v>82</v>
      </c>
      <c r="D2381" s="7" t="s">
        <v>11</v>
      </c>
      <c r="E2381" s="5" t="s">
        <v>15</v>
      </c>
      <c r="F2381" s="8"/>
      <c r="G2381" s="9">
        <f>H2381*(1-15%)*(1-F2381)</f>
        <v>55.165000000000006</v>
      </c>
      <c r="H2381" s="9">
        <v>64.900000000000006</v>
      </c>
      <c r="I2381" s="9">
        <f>H2381-G2381</f>
        <v>9.7349999999999994</v>
      </c>
    </row>
    <row r="2382" ht="14.25">
      <c r="A2382" s="5">
        <v>52851</v>
      </c>
      <c r="B2382" s="6" t="s">
        <v>2444</v>
      </c>
      <c r="C2382" s="7" t="s">
        <v>82</v>
      </c>
      <c r="D2382" s="7" t="s">
        <v>45</v>
      </c>
      <c r="E2382" s="5" t="s">
        <v>703</v>
      </c>
      <c r="F2382" s="8"/>
      <c r="G2382" s="9">
        <f>H2382*(1-15%)*(1-F2382)</f>
        <v>27.964999999999996</v>
      </c>
      <c r="H2382" s="9">
        <v>32.899999999999999</v>
      </c>
      <c r="I2382" s="9">
        <f>H2382-G2382</f>
        <v>4.9350000000000023</v>
      </c>
    </row>
    <row r="2383" ht="14.25">
      <c r="A2383" s="5">
        <v>52868</v>
      </c>
      <c r="B2383" s="6" t="s">
        <v>2445</v>
      </c>
      <c r="C2383" s="7" t="s">
        <v>75</v>
      </c>
      <c r="D2383" s="7" t="s">
        <v>45</v>
      </c>
      <c r="E2383" s="5" t="s">
        <v>15</v>
      </c>
      <c r="F2383" s="8"/>
      <c r="G2383" s="9">
        <f>H2383*(1-15%)*(1-F2383)</f>
        <v>59.415000000000006</v>
      </c>
      <c r="H2383" s="9">
        <v>69.900000000000006</v>
      </c>
      <c r="I2383" s="9">
        <f>H2383-G2383</f>
        <v>10.484999999999999</v>
      </c>
    </row>
    <row r="2384" ht="14.25">
      <c r="A2384" s="5">
        <v>52878</v>
      </c>
      <c r="B2384" s="6" t="s">
        <v>2446</v>
      </c>
      <c r="C2384" s="7" t="s">
        <v>82</v>
      </c>
      <c r="D2384" s="7" t="s">
        <v>103</v>
      </c>
      <c r="E2384" s="5" t="s">
        <v>703</v>
      </c>
      <c r="F2384" s="8"/>
      <c r="G2384" s="9">
        <f>H2384*(1-15%)*(1-F2384)</f>
        <v>42.414999999999999</v>
      </c>
      <c r="H2384" s="9">
        <v>49.899999999999999</v>
      </c>
      <c r="I2384" s="9">
        <f>H2384-G2384</f>
        <v>7.4849999999999994</v>
      </c>
    </row>
    <row r="2385" ht="14.25">
      <c r="A2385" s="5">
        <v>52963</v>
      </c>
      <c r="B2385" s="6" t="s">
        <v>2447</v>
      </c>
      <c r="C2385" s="7" t="s">
        <v>82</v>
      </c>
      <c r="D2385" s="7" t="s">
        <v>71</v>
      </c>
      <c r="E2385" s="5" t="s">
        <v>703</v>
      </c>
      <c r="F2385" s="8"/>
      <c r="G2385" s="9">
        <f>H2385*(1-15%)*(1-F2385)</f>
        <v>33.914999999999999</v>
      </c>
      <c r="H2385" s="9">
        <v>39.899999999999999</v>
      </c>
      <c r="I2385" s="9">
        <f>H2385-G2385</f>
        <v>5.9849999999999994</v>
      </c>
    </row>
    <row r="2386" ht="14.25">
      <c r="A2386" s="5">
        <v>53025</v>
      </c>
      <c r="B2386" s="6" t="s">
        <v>2448</v>
      </c>
      <c r="C2386" s="7" t="s">
        <v>10</v>
      </c>
      <c r="D2386" s="7" t="s">
        <v>61</v>
      </c>
      <c r="E2386" s="5" t="s">
        <v>26</v>
      </c>
      <c r="F2386" s="8"/>
      <c r="G2386" s="9">
        <f>H2386*(1-15%)*(1-F2386)</f>
        <v>229.41499999999996</v>
      </c>
      <c r="H2386" s="9">
        <v>269.89999999999998</v>
      </c>
      <c r="I2386" s="9">
        <f>H2386-G2386</f>
        <v>40.485000000000014</v>
      </c>
    </row>
    <row r="2387" ht="14.25">
      <c r="A2387" s="5">
        <v>53255</v>
      </c>
      <c r="B2387" s="6" t="s">
        <v>2449</v>
      </c>
      <c r="C2387" s="7" t="s">
        <v>109</v>
      </c>
      <c r="D2387" s="7" t="s">
        <v>183</v>
      </c>
      <c r="E2387" s="5" t="s">
        <v>15</v>
      </c>
      <c r="F2387" s="8"/>
      <c r="G2387" s="9">
        <f>H2387*(1-15%)*(1-F2387)</f>
        <v>16.914999999999999</v>
      </c>
      <c r="H2387" s="9">
        <v>19.899999999999999</v>
      </c>
      <c r="I2387" s="9">
        <f>H2387-G2387</f>
        <v>2.9849999999999994</v>
      </c>
    </row>
    <row r="2388" ht="14.25">
      <c r="A2388" s="5">
        <v>53353</v>
      </c>
      <c r="B2388" s="6" t="s">
        <v>2450</v>
      </c>
      <c r="C2388" s="7" t="s">
        <v>75</v>
      </c>
      <c r="D2388" s="7" t="s">
        <v>11</v>
      </c>
      <c r="E2388" s="5" t="s">
        <v>39</v>
      </c>
      <c r="F2388" s="8"/>
      <c r="G2388" s="9">
        <f>H2388*(1-15%)*(1-F2388)</f>
        <v>84.915000000000006</v>
      </c>
      <c r="H2388" s="9">
        <v>99.900000000000006</v>
      </c>
      <c r="I2388" s="9">
        <f>H2388-G2388</f>
        <v>14.984999999999999</v>
      </c>
    </row>
    <row r="2389" ht="14.25">
      <c r="A2389" s="5">
        <v>53388</v>
      </c>
      <c r="B2389" s="6" t="s">
        <v>2451</v>
      </c>
      <c r="C2389" s="7" t="s">
        <v>75</v>
      </c>
      <c r="D2389" s="7" t="s">
        <v>103</v>
      </c>
      <c r="E2389" s="5" t="s">
        <v>39</v>
      </c>
      <c r="F2389" s="8"/>
      <c r="G2389" s="9">
        <f>H2389*(1-15%)*(1-F2389)</f>
        <v>49.214999999999996</v>
      </c>
      <c r="H2389" s="9">
        <v>57.899999999999999</v>
      </c>
      <c r="I2389" s="9">
        <f>H2389-G2389</f>
        <v>8.6850000000000023</v>
      </c>
    </row>
    <row r="2390" ht="14.25">
      <c r="A2390" s="5">
        <v>53389</v>
      </c>
      <c r="B2390" s="6" t="s">
        <v>2452</v>
      </c>
      <c r="C2390" s="7" t="s">
        <v>75</v>
      </c>
      <c r="D2390" s="7" t="s">
        <v>103</v>
      </c>
      <c r="E2390" s="5" t="s">
        <v>26</v>
      </c>
      <c r="F2390" s="8"/>
      <c r="G2390" s="9">
        <f>H2390*(1-15%)*(1-F2390)</f>
        <v>49.214999999999996</v>
      </c>
      <c r="H2390" s="9">
        <v>57.899999999999999</v>
      </c>
      <c r="I2390" s="9">
        <f>H2390-G2390</f>
        <v>8.6850000000000023</v>
      </c>
    </row>
    <row r="2391" ht="14.25">
      <c r="A2391" s="5">
        <v>53391</v>
      </c>
      <c r="B2391" s="6" t="s">
        <v>2453</v>
      </c>
      <c r="C2391" s="7" t="s">
        <v>75</v>
      </c>
      <c r="D2391" s="7" t="s">
        <v>103</v>
      </c>
      <c r="E2391" s="5" t="s">
        <v>133</v>
      </c>
      <c r="F2391" s="8"/>
      <c r="G2391" s="9">
        <f>H2391*(1-15%)*(1-F2391)</f>
        <v>49.214999999999996</v>
      </c>
      <c r="H2391" s="9">
        <v>57.899999999999999</v>
      </c>
      <c r="I2391" s="9">
        <f>H2391-G2391</f>
        <v>8.6850000000000023</v>
      </c>
    </row>
    <row r="2392" ht="14.25">
      <c r="A2392" s="5">
        <v>53392</v>
      </c>
      <c r="B2392" s="6" t="s">
        <v>2454</v>
      </c>
      <c r="C2392" s="7" t="s">
        <v>75</v>
      </c>
      <c r="D2392" s="7" t="s">
        <v>103</v>
      </c>
      <c r="E2392" s="5" t="s">
        <v>39</v>
      </c>
      <c r="F2392" s="8"/>
      <c r="G2392" s="9">
        <f>H2392*(1-15%)*(1-F2392)</f>
        <v>49.214999999999996</v>
      </c>
      <c r="H2392" s="9">
        <v>57.899999999999999</v>
      </c>
      <c r="I2392" s="9">
        <f>H2392-G2392</f>
        <v>8.6850000000000023</v>
      </c>
    </row>
    <row r="2393" ht="14.25">
      <c r="A2393" s="5">
        <v>53409</v>
      </c>
      <c r="B2393" s="6" t="s">
        <v>2455</v>
      </c>
      <c r="C2393" s="7" t="s">
        <v>75</v>
      </c>
      <c r="D2393" s="7" t="s">
        <v>103</v>
      </c>
      <c r="E2393" s="5" t="s">
        <v>39</v>
      </c>
      <c r="F2393" s="8"/>
      <c r="G2393" s="9">
        <f>H2393*(1-15%)*(1-F2393)</f>
        <v>38.164999999999999</v>
      </c>
      <c r="H2393" s="9">
        <v>44.899999999999999</v>
      </c>
      <c r="I2393" s="9">
        <f>H2393-G2393</f>
        <v>6.7349999999999994</v>
      </c>
    </row>
    <row r="2394" ht="14.25">
      <c r="A2394" s="5">
        <v>53460</v>
      </c>
      <c r="B2394" s="6" t="s">
        <v>2456</v>
      </c>
      <c r="C2394" s="7" t="s">
        <v>87</v>
      </c>
      <c r="D2394" s="7" t="s">
        <v>52</v>
      </c>
      <c r="E2394" s="5" t="s">
        <v>15</v>
      </c>
      <c r="F2394" s="8"/>
      <c r="G2394" s="9">
        <f>H2394*(1-15%)*(1-F2394)</f>
        <v>82.365000000000009</v>
      </c>
      <c r="H2394" s="9">
        <v>96.900000000000006</v>
      </c>
      <c r="I2394" s="9">
        <f>H2394-G2394</f>
        <v>14.534999999999997</v>
      </c>
    </row>
    <row r="2395" ht="14.25">
      <c r="A2395" s="5">
        <v>53518</v>
      </c>
      <c r="B2395" s="6" t="s">
        <v>2457</v>
      </c>
      <c r="C2395" s="7" t="s">
        <v>33</v>
      </c>
      <c r="D2395" s="7" t="s">
        <v>11</v>
      </c>
      <c r="E2395" s="5" t="s">
        <v>12</v>
      </c>
      <c r="F2395" s="8"/>
      <c r="G2395" s="9">
        <f>H2395*(1-15%)*(1-F2395)</f>
        <v>271.91499999999996</v>
      </c>
      <c r="H2395" s="9">
        <v>319.89999999999998</v>
      </c>
      <c r="I2395" s="9">
        <f>H2395-G2395</f>
        <v>47.985000000000014</v>
      </c>
    </row>
    <row r="2396" ht="14.25">
      <c r="A2396" s="5">
        <v>53782</v>
      </c>
      <c r="B2396" s="6" t="s">
        <v>2458</v>
      </c>
      <c r="C2396" s="7" t="s">
        <v>82</v>
      </c>
      <c r="D2396" s="7" t="s">
        <v>183</v>
      </c>
      <c r="E2396" s="5" t="s">
        <v>703</v>
      </c>
      <c r="F2396" s="8"/>
      <c r="G2396" s="9">
        <f>H2396*(1-15%)*(1-F2396)</f>
        <v>50.914999999999999</v>
      </c>
      <c r="H2396" s="9">
        <v>59.899999999999999</v>
      </c>
      <c r="I2396" s="9">
        <f>H2396-G2396</f>
        <v>8.9849999999999994</v>
      </c>
    </row>
    <row r="2397" ht="14.25">
      <c r="A2397" s="5">
        <v>53921</v>
      </c>
      <c r="B2397" s="6" t="s">
        <v>2459</v>
      </c>
      <c r="C2397" s="7" t="s">
        <v>87</v>
      </c>
      <c r="D2397" s="7" t="s">
        <v>52</v>
      </c>
      <c r="E2397" s="5" t="s">
        <v>39</v>
      </c>
      <c r="F2397" s="8"/>
      <c r="G2397" s="9">
        <f>H2397*(1-15%)*(1-F2397)</f>
        <v>82.365000000000009</v>
      </c>
      <c r="H2397" s="9">
        <v>96.900000000000006</v>
      </c>
      <c r="I2397" s="9">
        <f>H2397-G2397</f>
        <v>14.534999999999997</v>
      </c>
    </row>
    <row r="2398" ht="14.25">
      <c r="A2398" s="5">
        <v>53926</v>
      </c>
      <c r="B2398" s="6" t="s">
        <v>2460</v>
      </c>
      <c r="C2398" s="7" t="s">
        <v>10</v>
      </c>
      <c r="D2398" s="7" t="s">
        <v>71</v>
      </c>
      <c r="E2398" s="5" t="s">
        <v>15</v>
      </c>
      <c r="F2398" s="8"/>
      <c r="G2398" s="9">
        <f>H2398*(1-15%)*(1-F2398)</f>
        <v>33.914999999999999</v>
      </c>
      <c r="H2398" s="9">
        <v>39.899999999999999</v>
      </c>
      <c r="I2398" s="9">
        <f>H2398-G2398</f>
        <v>5.9849999999999994</v>
      </c>
    </row>
    <row r="2399" ht="14.25">
      <c r="A2399" s="5">
        <v>53928</v>
      </c>
      <c r="B2399" s="6" t="s">
        <v>2461</v>
      </c>
      <c r="C2399" s="7" t="s">
        <v>21</v>
      </c>
      <c r="D2399" s="7" t="s">
        <v>71</v>
      </c>
      <c r="E2399" s="5" t="s">
        <v>68</v>
      </c>
      <c r="F2399" s="8"/>
      <c r="G2399" s="9">
        <f>H2399*(1-15%)*(1-F2399)</f>
        <v>33.914999999999999</v>
      </c>
      <c r="H2399" s="9">
        <v>39.899999999999999</v>
      </c>
      <c r="I2399" s="9">
        <f>H2399-G2399</f>
        <v>5.9849999999999994</v>
      </c>
    </row>
    <row r="2400" ht="14.25">
      <c r="A2400" s="5">
        <v>53931</v>
      </c>
      <c r="B2400" s="6" t="s">
        <v>2462</v>
      </c>
      <c r="C2400" s="7" t="s">
        <v>65</v>
      </c>
      <c r="D2400" s="7" t="s">
        <v>71</v>
      </c>
      <c r="E2400" s="5" t="s">
        <v>39</v>
      </c>
      <c r="F2400" s="8"/>
      <c r="G2400" s="9">
        <f>H2400*(1-15%)*(1-F2400)</f>
        <v>33.914999999999999</v>
      </c>
      <c r="H2400" s="9">
        <v>39.899999999999999</v>
      </c>
      <c r="I2400" s="9">
        <f>H2400-G2400</f>
        <v>5.9849999999999994</v>
      </c>
    </row>
    <row r="2401" ht="14.25">
      <c r="A2401" s="5">
        <v>53932</v>
      </c>
      <c r="B2401" s="6" t="s">
        <v>2463</v>
      </c>
      <c r="C2401" s="7" t="s">
        <v>65</v>
      </c>
      <c r="D2401" s="7" t="s">
        <v>71</v>
      </c>
      <c r="E2401" s="5" t="s">
        <v>15</v>
      </c>
      <c r="F2401" s="8"/>
      <c r="G2401" s="9">
        <f>H2401*(1-15%)*(1-F2401)</f>
        <v>33.914999999999999</v>
      </c>
      <c r="H2401" s="9">
        <v>39.899999999999999</v>
      </c>
      <c r="I2401" s="9">
        <f>H2401-G2401</f>
        <v>5.9849999999999994</v>
      </c>
    </row>
    <row r="2402" ht="14.25">
      <c r="A2402" s="5">
        <v>53934</v>
      </c>
      <c r="B2402" s="6" t="s">
        <v>2464</v>
      </c>
      <c r="C2402" s="7" t="s">
        <v>38</v>
      </c>
      <c r="D2402" s="7" t="s">
        <v>71</v>
      </c>
      <c r="E2402" s="5" t="s">
        <v>39</v>
      </c>
      <c r="F2402" s="8"/>
      <c r="G2402" s="9">
        <f>H2402*(1-15%)*(1-F2402)</f>
        <v>33.914999999999999</v>
      </c>
      <c r="H2402" s="9">
        <v>39.899999999999999</v>
      </c>
      <c r="I2402" s="9">
        <f>H2402-G2402</f>
        <v>5.9849999999999994</v>
      </c>
    </row>
    <row r="2403" ht="14.25">
      <c r="A2403" s="5">
        <v>53941</v>
      </c>
      <c r="B2403" s="6" t="s">
        <v>2465</v>
      </c>
      <c r="C2403" s="7" t="s">
        <v>51</v>
      </c>
      <c r="D2403" s="7" t="s">
        <v>11</v>
      </c>
      <c r="E2403" s="5" t="s">
        <v>15</v>
      </c>
      <c r="F2403" s="8"/>
      <c r="G2403" s="9">
        <f>H2403*(1-15%)*(1-F2403)</f>
        <v>84.915000000000006</v>
      </c>
      <c r="H2403" s="9">
        <v>99.900000000000006</v>
      </c>
      <c r="I2403" s="9">
        <f>H2403-G2403</f>
        <v>14.984999999999999</v>
      </c>
    </row>
    <row r="2404" ht="14.25">
      <c r="A2404" s="5">
        <v>54005</v>
      </c>
      <c r="B2404" s="6" t="s">
        <v>2466</v>
      </c>
      <c r="C2404" s="7" t="s">
        <v>17</v>
      </c>
      <c r="D2404" s="7" t="s">
        <v>61</v>
      </c>
      <c r="E2404" s="5" t="s">
        <v>39</v>
      </c>
      <c r="F2404" s="8"/>
      <c r="G2404" s="9">
        <f>H2404*(1-15%)*(1-F2404)</f>
        <v>39.015000000000001</v>
      </c>
      <c r="H2404" s="9">
        <v>45.899999999999999</v>
      </c>
      <c r="I2404" s="9">
        <f>H2404-G2404</f>
        <v>6.884999999999998</v>
      </c>
    </row>
    <row r="2405" ht="14.25">
      <c r="A2405" s="5">
        <v>54091</v>
      </c>
      <c r="B2405" s="6" t="s">
        <v>2467</v>
      </c>
      <c r="C2405" s="7" t="s">
        <v>65</v>
      </c>
      <c r="D2405" s="7" t="s">
        <v>95</v>
      </c>
      <c r="E2405" s="5" t="s">
        <v>26</v>
      </c>
      <c r="F2405" s="8"/>
      <c r="G2405" s="9">
        <f>H2405*(1-15%)*(1-F2405)</f>
        <v>33.914999999999999</v>
      </c>
      <c r="H2405" s="9">
        <v>39.899999999999999</v>
      </c>
      <c r="I2405" s="9">
        <f>H2405-G2405</f>
        <v>5.9849999999999994</v>
      </c>
    </row>
    <row r="2406" ht="14.25">
      <c r="A2406" s="5">
        <v>54101</v>
      </c>
      <c r="B2406" s="6" t="s">
        <v>2468</v>
      </c>
      <c r="C2406" s="7" t="s">
        <v>10</v>
      </c>
      <c r="D2406" s="7" t="s">
        <v>11</v>
      </c>
      <c r="E2406" s="5" t="s">
        <v>43</v>
      </c>
      <c r="F2406" s="8"/>
      <c r="G2406" s="9">
        <f>H2406*(1-15%)*(1-F2406)</f>
        <v>203.91499999999999</v>
      </c>
      <c r="H2406" s="9">
        <v>239.90000000000001</v>
      </c>
      <c r="I2406" s="9">
        <f>H2406-G2406</f>
        <v>35.985000000000014</v>
      </c>
    </row>
    <row r="2407" ht="14.25">
      <c r="A2407" s="5">
        <v>54121</v>
      </c>
      <c r="B2407" s="6" t="s">
        <v>2469</v>
      </c>
      <c r="C2407" s="7" t="s">
        <v>10</v>
      </c>
      <c r="D2407" s="7" t="s">
        <v>61</v>
      </c>
      <c r="E2407" s="5" t="s">
        <v>39</v>
      </c>
      <c r="F2407" s="8"/>
      <c r="G2407" s="9">
        <f>H2407*(1-15%)*(1-F2407)</f>
        <v>39.015000000000001</v>
      </c>
      <c r="H2407" s="9">
        <v>45.899999999999999</v>
      </c>
      <c r="I2407" s="9">
        <f>H2407-G2407</f>
        <v>6.884999999999998</v>
      </c>
    </row>
    <row r="2408" ht="14.25">
      <c r="A2408" s="5">
        <v>54169</v>
      </c>
      <c r="B2408" s="6" t="s">
        <v>2470</v>
      </c>
      <c r="C2408" s="7" t="s">
        <v>79</v>
      </c>
      <c r="D2408" s="7" t="s">
        <v>52</v>
      </c>
      <c r="E2408" s="5" t="s">
        <v>26</v>
      </c>
      <c r="F2408" s="8"/>
      <c r="G2408" s="9">
        <f>H2408*(1-15%)*(1-F2408)</f>
        <v>42.414999999999999</v>
      </c>
      <c r="H2408" s="9">
        <v>49.899999999999999</v>
      </c>
      <c r="I2408" s="9">
        <f>H2408-G2408</f>
        <v>7.4849999999999994</v>
      </c>
    </row>
    <row r="2409" ht="14.25">
      <c r="A2409" s="5">
        <v>54170</v>
      </c>
      <c r="B2409" s="6" t="s">
        <v>2471</v>
      </c>
      <c r="C2409" s="7" t="s">
        <v>84</v>
      </c>
      <c r="D2409" s="7" t="s">
        <v>52</v>
      </c>
      <c r="E2409" s="5" t="s">
        <v>15</v>
      </c>
      <c r="F2409" s="8"/>
      <c r="G2409" s="9">
        <f>H2409*(1-15%)*(1-F2409)</f>
        <v>42.414999999999999</v>
      </c>
      <c r="H2409" s="9">
        <v>49.899999999999999</v>
      </c>
      <c r="I2409" s="9">
        <f>H2409-G2409</f>
        <v>7.4849999999999994</v>
      </c>
    </row>
    <row r="2410" ht="14.25">
      <c r="A2410" s="5">
        <v>54230</v>
      </c>
      <c r="B2410" s="6" t="s">
        <v>2472</v>
      </c>
      <c r="C2410" s="7" t="s">
        <v>10</v>
      </c>
      <c r="D2410" s="7" t="s">
        <v>11</v>
      </c>
      <c r="E2410" s="5" t="s">
        <v>39</v>
      </c>
      <c r="F2410" s="8"/>
      <c r="G2410" s="9">
        <f>H2410*(1-15%)*(1-F2410)</f>
        <v>424.91499999999996</v>
      </c>
      <c r="H2410" s="9">
        <v>499.89999999999998</v>
      </c>
      <c r="I2410" s="9">
        <f>H2410-G2410</f>
        <v>74.985000000000014</v>
      </c>
    </row>
    <row r="2411" ht="14.25">
      <c r="A2411" s="5">
        <v>54572</v>
      </c>
      <c r="B2411" s="6" t="s">
        <v>2473</v>
      </c>
      <c r="C2411" s="7" t="s">
        <v>1446</v>
      </c>
      <c r="D2411" s="7" t="s">
        <v>1447</v>
      </c>
      <c r="E2411" s="5" t="s">
        <v>15</v>
      </c>
      <c r="F2411" s="8"/>
      <c r="G2411" s="9">
        <f>H2411*(1-15%)*(1-F2411)</f>
        <v>2.5415000000000001</v>
      </c>
      <c r="H2411" s="9">
        <v>2.9900000000000002</v>
      </c>
      <c r="I2411" s="9">
        <f>H2411-G2411</f>
        <v>0.44850000000000012</v>
      </c>
    </row>
    <row r="2412" ht="14.25">
      <c r="A2412" s="5">
        <v>54812</v>
      </c>
      <c r="B2412" s="6" t="s">
        <v>2474</v>
      </c>
      <c r="C2412" s="7" t="s">
        <v>1446</v>
      </c>
      <c r="D2412" s="7" t="s">
        <v>1447</v>
      </c>
      <c r="E2412" s="5" t="s">
        <v>15</v>
      </c>
      <c r="F2412" s="8"/>
      <c r="G2412" s="9">
        <f>H2412*(1-15%)*(1-F2412)</f>
        <v>4.5474999999999994</v>
      </c>
      <c r="H2412" s="9">
        <v>5.3499999999999996</v>
      </c>
      <c r="I2412" s="9">
        <f>H2412-G2412</f>
        <v>0.80250000000000021</v>
      </c>
    </row>
    <row r="2413" ht="14.25">
      <c r="A2413" s="5">
        <v>54813</v>
      </c>
      <c r="B2413" s="6" t="s">
        <v>2475</v>
      </c>
      <c r="C2413" s="7" t="s">
        <v>1446</v>
      </c>
      <c r="D2413" s="7" t="s">
        <v>1447</v>
      </c>
      <c r="E2413" s="5" t="s">
        <v>15</v>
      </c>
      <c r="F2413" s="8"/>
      <c r="G2413" s="9">
        <f>H2413*(1-15%)*(1-F2413)</f>
        <v>7.4375</v>
      </c>
      <c r="H2413" s="9">
        <v>8.75</v>
      </c>
      <c r="I2413" s="9">
        <f>H2413-G2413</f>
        <v>1.3125</v>
      </c>
    </row>
    <row r="2414" ht="14.25">
      <c r="A2414" s="5">
        <v>54814</v>
      </c>
      <c r="B2414" s="6" t="s">
        <v>2476</v>
      </c>
      <c r="C2414" s="7" t="s">
        <v>1446</v>
      </c>
      <c r="D2414" s="7" t="s">
        <v>1447</v>
      </c>
      <c r="E2414" s="5" t="s">
        <v>15</v>
      </c>
      <c r="F2414" s="8"/>
      <c r="G2414" s="9">
        <f>H2414*(1-15%)*(1-F2414)</f>
        <v>10.5825</v>
      </c>
      <c r="H2414" s="9">
        <v>12.449999999999999</v>
      </c>
      <c r="I2414" s="9">
        <f>H2414-G2414</f>
        <v>1.8674999999999997</v>
      </c>
    </row>
    <row r="2415" ht="14.25">
      <c r="A2415" s="5">
        <v>54832</v>
      </c>
      <c r="B2415" s="6" t="s">
        <v>2477</v>
      </c>
      <c r="C2415" s="7" t="s">
        <v>1446</v>
      </c>
      <c r="D2415" s="7" t="s">
        <v>1447</v>
      </c>
      <c r="E2415" s="5" t="s">
        <v>15</v>
      </c>
      <c r="F2415" s="8"/>
      <c r="G2415" s="9">
        <f>H2415*(1-15%)*(1-F2415)</f>
        <v>19.210000000000001</v>
      </c>
      <c r="H2415" s="9">
        <v>22.600000000000001</v>
      </c>
      <c r="I2415" s="9">
        <f>H2415-G2415</f>
        <v>3.3900000000000006</v>
      </c>
    </row>
    <row r="2416" ht="14.25">
      <c r="A2416" s="5">
        <v>54839</v>
      </c>
      <c r="B2416" s="6" t="s">
        <v>2478</v>
      </c>
      <c r="C2416" s="7" t="s">
        <v>1446</v>
      </c>
      <c r="D2416" s="7" t="s">
        <v>1447</v>
      </c>
      <c r="E2416" s="5" t="s">
        <v>15</v>
      </c>
      <c r="F2416" s="8"/>
      <c r="G2416" s="9">
        <f>H2416*(1-15%)*(1-F2416)</f>
        <v>0.51000000000000001</v>
      </c>
      <c r="H2416" s="9">
        <v>0.59999999999999998</v>
      </c>
      <c r="I2416" s="9">
        <f>H2416-G2416</f>
        <v>8.9999999999999969e-002</v>
      </c>
    </row>
    <row r="2417" ht="14.25">
      <c r="A2417" s="5">
        <v>54840</v>
      </c>
      <c r="B2417" s="6" t="s">
        <v>2479</v>
      </c>
      <c r="C2417" s="7" t="s">
        <v>1446</v>
      </c>
      <c r="D2417" s="7" t="s">
        <v>1447</v>
      </c>
      <c r="E2417" s="5" t="s">
        <v>15</v>
      </c>
      <c r="F2417" s="8"/>
      <c r="G2417" s="9">
        <f>H2417*(1-15%)*(1-F2417)</f>
        <v>10.157499999999999</v>
      </c>
      <c r="H2417" s="9">
        <v>11.949999999999999</v>
      </c>
      <c r="I2417" s="9">
        <f>H2417-G2417</f>
        <v>1.7925000000000004</v>
      </c>
    </row>
    <row r="2418" ht="14.25">
      <c r="A2418" s="5">
        <v>54841</v>
      </c>
      <c r="B2418" s="6" t="s">
        <v>2480</v>
      </c>
      <c r="C2418" s="7" t="s">
        <v>1446</v>
      </c>
      <c r="D2418" s="7" t="s">
        <v>1447</v>
      </c>
      <c r="E2418" s="5" t="s">
        <v>15</v>
      </c>
      <c r="F2418" s="8"/>
      <c r="G2418" s="9">
        <f>H2418*(1-15%)*(1-F2418)</f>
        <v>13.26</v>
      </c>
      <c r="H2418" s="9">
        <v>15.6</v>
      </c>
      <c r="I2418" s="9">
        <f>H2418-G2418</f>
        <v>2.3399999999999999</v>
      </c>
    </row>
    <row r="2419" ht="14.25">
      <c r="A2419" s="5">
        <v>54842</v>
      </c>
      <c r="B2419" s="6" t="s">
        <v>2481</v>
      </c>
      <c r="C2419" s="7" t="s">
        <v>1446</v>
      </c>
      <c r="D2419" s="7" t="s">
        <v>1447</v>
      </c>
      <c r="E2419" s="5" t="s">
        <v>15</v>
      </c>
      <c r="F2419" s="8"/>
      <c r="G2419" s="9">
        <f>H2419*(1-15%)*(1-F2419)</f>
        <v>0.84999999999999998</v>
      </c>
      <c r="H2419" s="9">
        <v>1</v>
      </c>
      <c r="I2419" s="9">
        <f>H2419-G2419</f>
        <v>0.15000000000000002</v>
      </c>
    </row>
    <row r="2420" ht="14.25">
      <c r="A2420" s="5">
        <v>54844</v>
      </c>
      <c r="B2420" s="6" t="s">
        <v>2482</v>
      </c>
      <c r="C2420" s="7" t="s">
        <v>1446</v>
      </c>
      <c r="D2420" s="7" t="s">
        <v>1447</v>
      </c>
      <c r="E2420" s="5" t="s">
        <v>15</v>
      </c>
      <c r="F2420" s="8"/>
      <c r="G2420" s="9">
        <f>H2420*(1-15%)*(1-F2420)</f>
        <v>5.6014999999999997</v>
      </c>
      <c r="H2420" s="9">
        <v>6.5899999999999999</v>
      </c>
      <c r="I2420" s="9">
        <f>H2420-G2420</f>
        <v>0.98850000000000016</v>
      </c>
    </row>
    <row r="2421" ht="14.25">
      <c r="A2421" s="5">
        <v>54858</v>
      </c>
      <c r="B2421" s="6" t="s">
        <v>2483</v>
      </c>
      <c r="C2421" s="7" t="s">
        <v>1446</v>
      </c>
      <c r="D2421" s="7" t="s">
        <v>1447</v>
      </c>
      <c r="E2421" s="5" t="s">
        <v>15</v>
      </c>
      <c r="F2421" s="8"/>
      <c r="G2421" s="9">
        <f>H2421*(1-15%)*(1-F2421)</f>
        <v>13.047499999999999</v>
      </c>
      <c r="H2421" s="9">
        <v>15.35</v>
      </c>
      <c r="I2421" s="9">
        <f>H2421-G2421</f>
        <v>2.3025000000000002</v>
      </c>
    </row>
    <row r="2422" ht="14.25">
      <c r="A2422" s="5">
        <v>54863</v>
      </c>
      <c r="B2422" s="6" t="s">
        <v>2484</v>
      </c>
      <c r="C2422" s="7" t="s">
        <v>1446</v>
      </c>
      <c r="D2422" s="7" t="s">
        <v>1447</v>
      </c>
      <c r="E2422" s="5" t="s">
        <v>15</v>
      </c>
      <c r="F2422" s="8"/>
      <c r="G2422" s="9">
        <f>H2422*(1-15%)*(1-F2422)</f>
        <v>4.0374999999999996</v>
      </c>
      <c r="H2422" s="9">
        <v>4.75</v>
      </c>
      <c r="I2422" s="9">
        <f>H2422-G2422</f>
        <v>0.71250000000000036</v>
      </c>
    </row>
    <row r="2423" ht="14.25">
      <c r="A2423" s="5">
        <v>54865</v>
      </c>
      <c r="B2423" s="6" t="s">
        <v>2485</v>
      </c>
      <c r="C2423" s="7" t="s">
        <v>1446</v>
      </c>
      <c r="D2423" s="7" t="s">
        <v>1447</v>
      </c>
      <c r="E2423" s="5" t="s">
        <v>15</v>
      </c>
      <c r="F2423" s="8"/>
      <c r="G2423" s="9">
        <f>H2423*(1-15%)*(1-F2423)</f>
        <v>2.6349999999999998</v>
      </c>
      <c r="H2423" s="9">
        <v>3.1000000000000001</v>
      </c>
      <c r="I2423" s="9">
        <f>H2423-G2423</f>
        <v>0.4650000000000003</v>
      </c>
    </row>
    <row r="2424" ht="14.25">
      <c r="A2424" s="5">
        <v>54866</v>
      </c>
      <c r="B2424" s="6" t="s">
        <v>2486</v>
      </c>
      <c r="C2424" s="7" t="s">
        <v>1446</v>
      </c>
      <c r="D2424" s="7" t="s">
        <v>1447</v>
      </c>
      <c r="E2424" s="5" t="s">
        <v>15</v>
      </c>
      <c r="F2424" s="8"/>
      <c r="G2424" s="9">
        <f>H2424*(1-15%)*(1-F2424)</f>
        <v>2.2949999999999999</v>
      </c>
      <c r="H2424" s="9">
        <v>2.7000000000000002</v>
      </c>
      <c r="I2424" s="9">
        <f>H2424-G2424</f>
        <v>0.40500000000000025</v>
      </c>
    </row>
    <row r="2425" ht="14.25">
      <c r="A2425" s="5">
        <v>54867</v>
      </c>
      <c r="B2425" s="6" t="s">
        <v>2487</v>
      </c>
      <c r="C2425" s="7" t="s">
        <v>1446</v>
      </c>
      <c r="D2425" s="7" t="s">
        <v>1447</v>
      </c>
      <c r="E2425" s="5" t="s">
        <v>15</v>
      </c>
      <c r="F2425" s="8"/>
      <c r="G2425" s="9">
        <f>H2425*(1-15%)*(1-F2425)</f>
        <v>9.1799999999999997</v>
      </c>
      <c r="H2425" s="9">
        <v>10.800000000000001</v>
      </c>
      <c r="I2425" s="9">
        <f>H2425-G2425</f>
        <v>1.620000000000001</v>
      </c>
    </row>
    <row r="2426" ht="14.25">
      <c r="A2426" s="5">
        <v>54879</v>
      </c>
      <c r="B2426" s="6" t="s">
        <v>2488</v>
      </c>
      <c r="C2426" s="7" t="s">
        <v>226</v>
      </c>
      <c r="D2426" s="7" t="s">
        <v>61</v>
      </c>
      <c r="E2426" s="5" t="s">
        <v>43</v>
      </c>
      <c r="F2426" s="8"/>
      <c r="G2426" s="9">
        <f>H2426*(1-15%)*(1-F2426)</f>
        <v>44.114999999999995</v>
      </c>
      <c r="H2426" s="9">
        <v>51.899999999999999</v>
      </c>
      <c r="I2426" s="9">
        <f>H2426-G2426</f>
        <v>7.7850000000000037</v>
      </c>
    </row>
    <row r="2427" ht="14.25">
      <c r="A2427" s="5">
        <v>55010</v>
      </c>
      <c r="B2427" s="6" t="s">
        <v>2489</v>
      </c>
      <c r="C2427" s="7" t="s">
        <v>1446</v>
      </c>
      <c r="D2427" s="7" t="s">
        <v>1447</v>
      </c>
      <c r="E2427" s="5" t="s">
        <v>15</v>
      </c>
      <c r="F2427" s="8"/>
      <c r="G2427" s="9">
        <f>H2427*(1-15%)*(1-F2427)</f>
        <v>1.8614999999999999</v>
      </c>
      <c r="H2427" s="9">
        <v>2.1899999999999999</v>
      </c>
      <c r="I2427" s="9">
        <f>H2427-G2427</f>
        <v>0.32850000000000001</v>
      </c>
    </row>
    <row r="2428" ht="14.25">
      <c r="A2428" s="5">
        <v>55112</v>
      </c>
      <c r="B2428" s="6" t="s">
        <v>2490</v>
      </c>
      <c r="C2428" s="7" t="s">
        <v>33</v>
      </c>
      <c r="D2428" s="7" t="s">
        <v>61</v>
      </c>
      <c r="E2428" s="5" t="s">
        <v>39</v>
      </c>
      <c r="F2428" s="8"/>
      <c r="G2428" s="9">
        <f>H2428*(1-15%)*(1-F2428)</f>
        <v>50.914999999999999</v>
      </c>
      <c r="H2428" s="9">
        <v>59.899999999999999</v>
      </c>
      <c r="I2428" s="9">
        <f>H2428-G2428</f>
        <v>8.9849999999999994</v>
      </c>
    </row>
    <row r="2429" ht="14.25">
      <c r="A2429" s="5">
        <v>55366</v>
      </c>
      <c r="B2429" s="6" t="s">
        <v>2491</v>
      </c>
      <c r="C2429" s="7" t="s">
        <v>705</v>
      </c>
      <c r="D2429" s="7" t="s">
        <v>11</v>
      </c>
      <c r="E2429" s="5" t="s">
        <v>39</v>
      </c>
      <c r="F2429" s="8"/>
      <c r="G2429" s="9">
        <f>H2429*(1-15%)*(1-F2429)</f>
        <v>152.91499999999999</v>
      </c>
      <c r="H2429" s="9">
        <v>179.90000000000001</v>
      </c>
      <c r="I2429" s="9">
        <f>H2429-G2429</f>
        <v>26.985000000000014</v>
      </c>
    </row>
    <row r="2430" ht="14.25">
      <c r="A2430" s="5">
        <v>55405</v>
      </c>
      <c r="B2430" s="6" t="s">
        <v>2492</v>
      </c>
      <c r="C2430" s="7" t="s">
        <v>426</v>
      </c>
      <c r="D2430" s="7" t="s">
        <v>219</v>
      </c>
      <c r="E2430" s="5" t="s">
        <v>26</v>
      </c>
      <c r="F2430" s="8"/>
      <c r="G2430" s="9">
        <f>H2430*(1-15%)*(1-F2430)</f>
        <v>89.165000000000006</v>
      </c>
      <c r="H2430" s="9">
        <v>104.90000000000001</v>
      </c>
      <c r="I2430" s="9">
        <f>H2430-G2430</f>
        <v>15.734999999999999</v>
      </c>
    </row>
    <row r="2431" ht="14.25">
      <c r="A2431" s="5">
        <v>55407</v>
      </c>
      <c r="B2431" s="6" t="s">
        <v>2493</v>
      </c>
      <c r="C2431" s="7" t="s">
        <v>426</v>
      </c>
      <c r="D2431" s="7" t="s">
        <v>219</v>
      </c>
      <c r="E2431" s="5" t="s">
        <v>26</v>
      </c>
      <c r="F2431" s="8"/>
      <c r="G2431" s="9">
        <f>H2431*(1-15%)*(1-F2431)</f>
        <v>152.91499999999999</v>
      </c>
      <c r="H2431" s="9">
        <v>179.90000000000001</v>
      </c>
      <c r="I2431" s="9">
        <f>H2431-G2431</f>
        <v>26.985000000000014</v>
      </c>
    </row>
    <row r="2432" ht="14.25">
      <c r="A2432" s="5">
        <v>55640</v>
      </c>
      <c r="B2432" s="6" t="s">
        <v>2494</v>
      </c>
      <c r="C2432" s="7" t="s">
        <v>75</v>
      </c>
      <c r="D2432" s="7" t="s">
        <v>219</v>
      </c>
      <c r="E2432" s="5" t="s">
        <v>26</v>
      </c>
      <c r="F2432" s="8"/>
      <c r="G2432" s="9">
        <f>H2432*(1-15%)*(1-F2432)</f>
        <v>36.464999999999996</v>
      </c>
      <c r="H2432" s="9">
        <v>42.899999999999999</v>
      </c>
      <c r="I2432" s="9">
        <f>H2432-G2432</f>
        <v>6.4350000000000023</v>
      </c>
    </row>
    <row r="2433" ht="14.25">
      <c r="A2433" s="5">
        <v>55641</v>
      </c>
      <c r="B2433" s="6" t="s">
        <v>2495</v>
      </c>
      <c r="C2433" s="7" t="s">
        <v>75</v>
      </c>
      <c r="D2433" s="7" t="s">
        <v>219</v>
      </c>
      <c r="E2433" s="5" t="s">
        <v>26</v>
      </c>
      <c r="F2433" s="8"/>
      <c r="G2433" s="9">
        <f>H2433*(1-15%)*(1-F2433)</f>
        <v>40.714999999999996</v>
      </c>
      <c r="H2433" s="9">
        <v>47.899999999999999</v>
      </c>
      <c r="I2433" s="9">
        <f>H2433-G2433</f>
        <v>7.1850000000000023</v>
      </c>
    </row>
    <row r="2434" ht="14.25">
      <c r="A2434" s="5">
        <v>55943</v>
      </c>
      <c r="B2434" s="6" t="s">
        <v>2496</v>
      </c>
      <c r="C2434" s="7" t="s">
        <v>201</v>
      </c>
      <c r="D2434" s="7" t="s">
        <v>1447</v>
      </c>
      <c r="E2434" s="5" t="s">
        <v>15</v>
      </c>
      <c r="F2434" s="8"/>
      <c r="G2434" s="9">
        <f>H2434*(1-15%)*(1-F2434)</f>
        <v>1.8614999999999999</v>
      </c>
      <c r="H2434" s="9">
        <v>2.1899999999999999</v>
      </c>
      <c r="I2434" s="9">
        <f>H2434-G2434</f>
        <v>0.32850000000000001</v>
      </c>
    </row>
    <row r="2435" ht="14.25">
      <c r="A2435" s="5">
        <v>55982</v>
      </c>
      <c r="B2435" s="6" t="s">
        <v>2497</v>
      </c>
      <c r="C2435" s="7" t="s">
        <v>109</v>
      </c>
      <c r="D2435" s="7" t="s">
        <v>110</v>
      </c>
      <c r="E2435" s="5" t="s">
        <v>133</v>
      </c>
      <c r="F2435" s="8"/>
      <c r="G2435" s="9">
        <f>H2435*(1-15%)*(1-F2435)</f>
        <v>70.465000000000003</v>
      </c>
      <c r="H2435" s="9">
        <v>82.900000000000006</v>
      </c>
      <c r="I2435" s="9">
        <f>H2435-G2435</f>
        <v>12.435000000000002</v>
      </c>
    </row>
    <row r="2436" ht="14.25">
      <c r="A2436" s="5">
        <v>55983</v>
      </c>
      <c r="B2436" s="6" t="s">
        <v>2498</v>
      </c>
      <c r="C2436" s="7" t="s">
        <v>109</v>
      </c>
      <c r="D2436" s="7" t="s">
        <v>110</v>
      </c>
      <c r="E2436" s="5" t="s">
        <v>39</v>
      </c>
      <c r="F2436" s="8"/>
      <c r="G2436" s="9">
        <f>H2436*(1-15%)*(1-F2436)</f>
        <v>70.465000000000003</v>
      </c>
      <c r="H2436" s="9">
        <v>82.900000000000006</v>
      </c>
      <c r="I2436" s="9">
        <f>H2436-G2436</f>
        <v>12.435000000000002</v>
      </c>
    </row>
    <row r="2437" ht="14.25">
      <c r="A2437" s="5">
        <v>55984</v>
      </c>
      <c r="B2437" s="6" t="s">
        <v>2499</v>
      </c>
      <c r="C2437" s="7" t="s">
        <v>109</v>
      </c>
      <c r="D2437" s="7" t="s">
        <v>110</v>
      </c>
      <c r="E2437" s="5" t="s">
        <v>39</v>
      </c>
      <c r="F2437" s="8"/>
      <c r="G2437" s="9">
        <f>H2437*(1-15%)*(1-F2437)</f>
        <v>70.465000000000003</v>
      </c>
      <c r="H2437" s="9">
        <v>82.900000000000006</v>
      </c>
      <c r="I2437" s="9">
        <f>H2437-G2437</f>
        <v>12.435000000000002</v>
      </c>
    </row>
    <row r="2438" ht="14.25">
      <c r="A2438" s="5">
        <v>56000</v>
      </c>
      <c r="B2438" s="6" t="s">
        <v>2500</v>
      </c>
      <c r="C2438" s="7" t="s">
        <v>65</v>
      </c>
      <c r="D2438" s="7" t="s">
        <v>61</v>
      </c>
      <c r="E2438" s="5" t="s">
        <v>39</v>
      </c>
      <c r="F2438" s="8"/>
      <c r="G2438" s="9">
        <f>H2438*(1-15%)*(1-F2438)</f>
        <v>67.915000000000006</v>
      </c>
      <c r="H2438" s="9">
        <v>79.900000000000006</v>
      </c>
      <c r="I2438" s="9">
        <f>H2438-G2438</f>
        <v>11.984999999999999</v>
      </c>
    </row>
    <row r="2439" ht="14.25">
      <c r="A2439" s="5">
        <v>56259</v>
      </c>
      <c r="B2439" s="6" t="s">
        <v>2501</v>
      </c>
      <c r="C2439" s="7" t="s">
        <v>271</v>
      </c>
      <c r="D2439" s="7" t="s">
        <v>110</v>
      </c>
      <c r="E2439" s="5" t="s">
        <v>39</v>
      </c>
      <c r="F2439" s="8"/>
      <c r="G2439" s="9">
        <f>H2439*(1-15%)*(1-F2439)</f>
        <v>41.564999999999998</v>
      </c>
      <c r="H2439" s="9">
        <v>48.899999999999999</v>
      </c>
      <c r="I2439" s="9">
        <f>H2439-G2439</f>
        <v>7.3350000000000009</v>
      </c>
    </row>
    <row r="2440" ht="14.25">
      <c r="A2440" s="5">
        <v>56274</v>
      </c>
      <c r="B2440" s="6" t="s">
        <v>2502</v>
      </c>
      <c r="C2440" s="7" t="s">
        <v>14</v>
      </c>
      <c r="D2440" s="7" t="s">
        <v>71</v>
      </c>
      <c r="E2440" s="5" t="s">
        <v>15</v>
      </c>
      <c r="F2440" s="8"/>
      <c r="G2440" s="9">
        <f>H2440*(1-15%)*(1-F2440)</f>
        <v>50.872500000000002</v>
      </c>
      <c r="H2440" s="9">
        <v>59.850000000000001</v>
      </c>
      <c r="I2440" s="9">
        <f>H2440-G2440</f>
        <v>8.9774999999999991</v>
      </c>
    </row>
    <row r="2441" ht="14.25">
      <c r="A2441" s="5">
        <v>56310</v>
      </c>
      <c r="B2441" s="6" t="s">
        <v>2503</v>
      </c>
      <c r="C2441" s="7" t="s">
        <v>17</v>
      </c>
      <c r="D2441" s="7" t="s">
        <v>11</v>
      </c>
      <c r="E2441" s="5" t="s">
        <v>15</v>
      </c>
      <c r="F2441" s="8"/>
      <c r="G2441" s="9">
        <f>H2441*(1-15%)*(1-F2441)</f>
        <v>63.665000000000006</v>
      </c>
      <c r="H2441" s="9">
        <v>74.900000000000006</v>
      </c>
      <c r="I2441" s="9">
        <f>H2441-G2441</f>
        <v>11.234999999999999</v>
      </c>
    </row>
    <row r="2442" ht="14.25">
      <c r="A2442" s="5">
        <v>56333</v>
      </c>
      <c r="B2442" s="6" t="s">
        <v>2504</v>
      </c>
      <c r="C2442" s="7" t="s">
        <v>1446</v>
      </c>
      <c r="D2442" s="7" t="s">
        <v>1447</v>
      </c>
      <c r="E2442" s="5" t="s">
        <v>15</v>
      </c>
      <c r="F2442" s="8"/>
      <c r="G2442" s="9">
        <f>H2442*(1-15%)*(1-F2442)</f>
        <v>35.104999999999997</v>
      </c>
      <c r="H2442" s="9">
        <v>41.299999999999997</v>
      </c>
      <c r="I2442" s="9">
        <f>H2442-G2442</f>
        <v>6.1950000000000003</v>
      </c>
    </row>
    <row r="2443" ht="14.25">
      <c r="A2443" s="5">
        <v>56603</v>
      </c>
      <c r="B2443" s="6" t="s">
        <v>2505</v>
      </c>
      <c r="C2443" s="7" t="s">
        <v>1446</v>
      </c>
      <c r="D2443" s="7" t="s">
        <v>1447</v>
      </c>
      <c r="E2443" s="5" t="s">
        <v>15</v>
      </c>
      <c r="F2443" s="8"/>
      <c r="G2443" s="9">
        <f>H2443*(1-15%)*(1-F2443)</f>
        <v>1.8614999999999999</v>
      </c>
      <c r="H2443" s="9">
        <v>2.1899999999999999</v>
      </c>
      <c r="I2443" s="9">
        <f>H2443-G2443</f>
        <v>0.32850000000000001</v>
      </c>
    </row>
    <row r="2444" ht="14.25">
      <c r="A2444" s="5">
        <v>56657</v>
      </c>
      <c r="B2444" s="6" t="s">
        <v>2506</v>
      </c>
      <c r="C2444" s="7" t="s">
        <v>201</v>
      </c>
      <c r="D2444" s="7" t="s">
        <v>1447</v>
      </c>
      <c r="E2444" s="5" t="s">
        <v>15</v>
      </c>
      <c r="F2444" s="8"/>
      <c r="G2444" s="9">
        <f>H2444*(1-15%)*(1-F2444)</f>
        <v>1.8614999999999999</v>
      </c>
      <c r="H2444" s="9">
        <v>2.1899999999999999</v>
      </c>
      <c r="I2444" s="9">
        <f>H2444-G2444</f>
        <v>0.32850000000000001</v>
      </c>
    </row>
    <row r="2445" ht="14.25">
      <c r="A2445" s="5">
        <v>56690</v>
      </c>
      <c r="B2445" s="6" t="s">
        <v>2507</v>
      </c>
      <c r="C2445" s="7" t="s">
        <v>10</v>
      </c>
      <c r="D2445" s="7" t="s">
        <v>219</v>
      </c>
      <c r="E2445" s="5" t="s">
        <v>26</v>
      </c>
      <c r="F2445" s="8"/>
      <c r="G2445" s="9">
        <f>H2445*(1-15%)*(1-F2445)</f>
        <v>55.165000000000006</v>
      </c>
      <c r="H2445" s="9">
        <v>64.900000000000006</v>
      </c>
      <c r="I2445" s="9">
        <f>H2445-G2445</f>
        <v>9.7349999999999994</v>
      </c>
    </row>
    <row r="2446" ht="14.25">
      <c r="A2446" s="5">
        <v>56796</v>
      </c>
      <c r="B2446" s="6" t="s">
        <v>2508</v>
      </c>
      <c r="C2446" s="7" t="s">
        <v>94</v>
      </c>
      <c r="D2446" s="7" t="s">
        <v>95</v>
      </c>
      <c r="E2446" s="5" t="s">
        <v>43</v>
      </c>
      <c r="F2446" s="8"/>
      <c r="G2446" s="9">
        <f>H2446*(1-15%)*(1-F2446)</f>
        <v>40.714999999999996</v>
      </c>
      <c r="H2446" s="9">
        <v>47.899999999999999</v>
      </c>
      <c r="I2446" s="9">
        <f>H2446-G2446</f>
        <v>7.1850000000000023</v>
      </c>
    </row>
    <row r="2447" ht="14.25">
      <c r="A2447" s="5">
        <v>56797</v>
      </c>
      <c r="B2447" s="6" t="s">
        <v>2509</v>
      </c>
      <c r="C2447" s="7" t="s">
        <v>94</v>
      </c>
      <c r="D2447" s="7" t="s">
        <v>95</v>
      </c>
      <c r="E2447" s="5" t="s">
        <v>43</v>
      </c>
      <c r="F2447" s="8"/>
      <c r="G2447" s="9">
        <f>H2447*(1-15%)*(1-F2447)</f>
        <v>42.414999999999999</v>
      </c>
      <c r="H2447" s="9">
        <v>49.899999999999999</v>
      </c>
      <c r="I2447" s="9">
        <f>H2447-G2447</f>
        <v>7.4849999999999994</v>
      </c>
    </row>
    <row r="2448" ht="14.25">
      <c r="A2448" s="5">
        <v>56804</v>
      </c>
      <c r="B2448" s="6" t="s">
        <v>2510</v>
      </c>
      <c r="C2448" s="7" t="s">
        <v>94</v>
      </c>
      <c r="D2448" s="7" t="s">
        <v>95</v>
      </c>
      <c r="E2448" s="5" t="s">
        <v>43</v>
      </c>
      <c r="F2448" s="8"/>
      <c r="G2448" s="9">
        <f>H2448*(1-15%)*(1-F2448)</f>
        <v>59.415000000000006</v>
      </c>
      <c r="H2448" s="9">
        <v>69.900000000000006</v>
      </c>
      <c r="I2448" s="9">
        <f>H2448-G2448</f>
        <v>10.484999999999999</v>
      </c>
    </row>
    <row r="2449" ht="14.25">
      <c r="A2449" s="5">
        <v>56805</v>
      </c>
      <c r="B2449" s="6" t="s">
        <v>2511</v>
      </c>
      <c r="C2449" s="7" t="s">
        <v>94</v>
      </c>
      <c r="D2449" s="7" t="s">
        <v>95</v>
      </c>
      <c r="E2449" s="5" t="s">
        <v>43</v>
      </c>
      <c r="F2449" s="8"/>
      <c r="G2449" s="9">
        <f>H2449*(1-15%)*(1-F2449)</f>
        <v>42.414999999999999</v>
      </c>
      <c r="H2449" s="9">
        <v>49.899999999999999</v>
      </c>
      <c r="I2449" s="9">
        <f>H2449-G2449</f>
        <v>7.4849999999999994</v>
      </c>
    </row>
    <row r="2450" ht="14.25">
      <c r="A2450" s="5">
        <v>56809</v>
      </c>
      <c r="B2450" s="6" t="s">
        <v>2512</v>
      </c>
      <c r="C2450" s="7" t="s">
        <v>94</v>
      </c>
      <c r="D2450" s="7" t="s">
        <v>95</v>
      </c>
      <c r="E2450" s="5" t="s">
        <v>43</v>
      </c>
      <c r="F2450" s="8"/>
      <c r="G2450" s="9">
        <f>H2450*(1-15%)*(1-F2450)</f>
        <v>40.714999999999996</v>
      </c>
      <c r="H2450" s="9">
        <v>47.899999999999999</v>
      </c>
      <c r="I2450" s="9">
        <f>H2450-G2450</f>
        <v>7.1850000000000023</v>
      </c>
    </row>
    <row r="2451" ht="14.25">
      <c r="A2451" s="5">
        <v>56810</v>
      </c>
      <c r="B2451" s="6" t="s">
        <v>2513</v>
      </c>
      <c r="C2451" s="7" t="s">
        <v>94</v>
      </c>
      <c r="D2451" s="7" t="s">
        <v>95</v>
      </c>
      <c r="E2451" s="5" t="s">
        <v>43</v>
      </c>
      <c r="F2451" s="8"/>
      <c r="G2451" s="9">
        <f>H2451*(1-15%)*(1-F2451)</f>
        <v>42.414999999999999</v>
      </c>
      <c r="H2451" s="9">
        <v>49.899999999999999</v>
      </c>
      <c r="I2451" s="9">
        <f>H2451-G2451</f>
        <v>7.4849999999999994</v>
      </c>
    </row>
    <row r="2452" ht="14.25">
      <c r="A2452" s="5">
        <v>56812</v>
      </c>
      <c r="B2452" s="6" t="s">
        <v>2514</v>
      </c>
      <c r="C2452" s="7" t="s">
        <v>94</v>
      </c>
      <c r="D2452" s="7" t="s">
        <v>95</v>
      </c>
      <c r="E2452" s="5" t="s">
        <v>68</v>
      </c>
      <c r="F2452" s="8"/>
      <c r="G2452" s="9">
        <f>H2452*(1-15%)*(1-F2452)</f>
        <v>49.214999999999996</v>
      </c>
      <c r="H2452" s="9">
        <v>57.899999999999999</v>
      </c>
      <c r="I2452" s="9">
        <f>H2452-G2452</f>
        <v>8.6850000000000023</v>
      </c>
    </row>
    <row r="2453" ht="14.25">
      <c r="A2453" s="5">
        <v>56819</v>
      </c>
      <c r="B2453" s="6" t="s">
        <v>2515</v>
      </c>
      <c r="C2453" s="7" t="s">
        <v>94</v>
      </c>
      <c r="D2453" s="7" t="s">
        <v>95</v>
      </c>
      <c r="E2453" s="5" t="s">
        <v>43</v>
      </c>
      <c r="F2453" s="8"/>
      <c r="G2453" s="9">
        <f>H2453*(1-15%)*(1-F2453)</f>
        <v>40.714999999999996</v>
      </c>
      <c r="H2453" s="9">
        <v>47.899999999999999</v>
      </c>
      <c r="I2453" s="9">
        <f>H2453-G2453</f>
        <v>7.1850000000000023</v>
      </c>
    </row>
    <row r="2454" ht="14.25">
      <c r="A2454" s="5">
        <v>57042</v>
      </c>
      <c r="B2454" s="6" t="s">
        <v>2516</v>
      </c>
      <c r="C2454" s="7" t="s">
        <v>82</v>
      </c>
      <c r="D2454" s="7" t="s">
        <v>45</v>
      </c>
      <c r="E2454" s="5" t="s">
        <v>26</v>
      </c>
      <c r="F2454" s="8"/>
      <c r="G2454" s="9">
        <f>H2454*(1-15%)*(1-F2454)</f>
        <v>63.665000000000006</v>
      </c>
      <c r="H2454" s="9">
        <v>74.900000000000006</v>
      </c>
      <c r="I2454" s="9">
        <f>H2454-G2454</f>
        <v>11.234999999999999</v>
      </c>
    </row>
    <row r="2455" ht="14.25">
      <c r="A2455" s="5">
        <v>57077</v>
      </c>
      <c r="B2455" s="6" t="s">
        <v>2517</v>
      </c>
      <c r="C2455" s="7" t="s">
        <v>17</v>
      </c>
      <c r="D2455" s="7" t="s">
        <v>103</v>
      </c>
      <c r="E2455" s="5" t="s">
        <v>15</v>
      </c>
      <c r="F2455" s="8"/>
      <c r="G2455" s="9">
        <f>H2455*(1-15%)*(1-F2455)</f>
        <v>32.214999999999996</v>
      </c>
      <c r="H2455" s="9">
        <v>37.899999999999999</v>
      </c>
      <c r="I2455" s="9">
        <f>H2455-G2455</f>
        <v>5.6850000000000023</v>
      </c>
    </row>
    <row r="2456" ht="14.25">
      <c r="A2456" s="5">
        <v>57087</v>
      </c>
      <c r="B2456" s="6" t="s">
        <v>2518</v>
      </c>
      <c r="C2456" s="7" t="s">
        <v>87</v>
      </c>
      <c r="D2456" s="7" t="s">
        <v>52</v>
      </c>
      <c r="E2456" s="5" t="s">
        <v>15</v>
      </c>
      <c r="F2456" s="8"/>
      <c r="G2456" s="9">
        <f>H2456*(1-15%)*(1-F2456)</f>
        <v>36.464999999999996</v>
      </c>
      <c r="H2456" s="9">
        <v>42.899999999999999</v>
      </c>
      <c r="I2456" s="9">
        <f>H2456-G2456</f>
        <v>6.4350000000000023</v>
      </c>
    </row>
    <row r="2457" ht="14.25">
      <c r="A2457" s="5">
        <v>57088</v>
      </c>
      <c r="B2457" s="6" t="s">
        <v>2519</v>
      </c>
      <c r="C2457" s="7" t="s">
        <v>14</v>
      </c>
      <c r="D2457" s="7" t="s">
        <v>103</v>
      </c>
      <c r="E2457" s="5" t="s">
        <v>68</v>
      </c>
      <c r="F2457" s="8"/>
      <c r="G2457" s="9">
        <f>H2457*(1-15%)*(1-F2457)</f>
        <v>29.664999999999999</v>
      </c>
      <c r="H2457" s="9">
        <v>34.899999999999999</v>
      </c>
      <c r="I2457" s="9">
        <f>H2457-G2457</f>
        <v>5.2349999999999994</v>
      </c>
    </row>
    <row r="2458" ht="14.25">
      <c r="A2458" s="5">
        <v>57091</v>
      </c>
      <c r="B2458" s="6" t="s">
        <v>2520</v>
      </c>
      <c r="C2458" s="7" t="s">
        <v>82</v>
      </c>
      <c r="D2458" s="7" t="s">
        <v>95</v>
      </c>
      <c r="E2458" s="5" t="s">
        <v>68</v>
      </c>
      <c r="F2458" s="8"/>
      <c r="G2458" s="9">
        <f>H2458*(1-15%)*(1-F2458)</f>
        <v>22.014999999999997</v>
      </c>
      <c r="H2458" s="9">
        <v>25.899999999999999</v>
      </c>
      <c r="I2458" s="9">
        <f>H2458-G2458</f>
        <v>3.8850000000000016</v>
      </c>
    </row>
    <row r="2459" ht="14.25">
      <c r="A2459" s="5">
        <v>57092</v>
      </c>
      <c r="B2459" s="6" t="s">
        <v>2521</v>
      </c>
      <c r="C2459" s="7" t="s">
        <v>705</v>
      </c>
      <c r="D2459" s="7" t="s">
        <v>103</v>
      </c>
      <c r="E2459" s="5" t="s">
        <v>15</v>
      </c>
      <c r="F2459" s="8"/>
      <c r="G2459" s="9">
        <f>H2459*(1-15%)*(1-F2459)</f>
        <v>44.964999999999996</v>
      </c>
      <c r="H2459" s="9">
        <v>52.899999999999999</v>
      </c>
      <c r="I2459" s="9">
        <f>H2459-G2459</f>
        <v>7.9350000000000023</v>
      </c>
    </row>
    <row r="2460" ht="14.25">
      <c r="A2460" s="5">
        <v>57362</v>
      </c>
      <c r="B2460" s="6" t="s">
        <v>2522</v>
      </c>
      <c r="C2460" s="7" t="s">
        <v>2116</v>
      </c>
      <c r="D2460" s="7" t="s">
        <v>52</v>
      </c>
      <c r="E2460" s="5" t="s">
        <v>703</v>
      </c>
      <c r="F2460" s="8"/>
      <c r="G2460" s="9">
        <f>H2460*(1-15%)*(1-F2460)</f>
        <v>110.41500000000001</v>
      </c>
      <c r="H2460" s="9">
        <v>129.90000000000001</v>
      </c>
      <c r="I2460" s="9">
        <f>H2460-G2460</f>
        <v>19.484999999999999</v>
      </c>
    </row>
    <row r="2461" ht="14.25">
      <c r="A2461" s="5">
        <v>57367</v>
      </c>
      <c r="B2461" s="6" t="s">
        <v>2523</v>
      </c>
      <c r="C2461" s="7" t="s">
        <v>1446</v>
      </c>
      <c r="D2461" s="7" t="s">
        <v>1447</v>
      </c>
      <c r="E2461" s="5" t="s">
        <v>15</v>
      </c>
      <c r="F2461" s="8"/>
      <c r="G2461" s="9">
        <f>H2461*(1-15%)*(1-F2461)</f>
        <v>0.96899999999999986</v>
      </c>
      <c r="H2461" s="9">
        <v>1.1399999999999999</v>
      </c>
      <c r="I2461" s="9">
        <f>H2461-G2461</f>
        <v>0.17100000000000004</v>
      </c>
    </row>
    <row r="2462" ht="14.25">
      <c r="A2462" s="5">
        <v>57369</v>
      </c>
      <c r="B2462" s="6" t="s">
        <v>2524</v>
      </c>
      <c r="C2462" s="7" t="s">
        <v>2116</v>
      </c>
      <c r="D2462" s="7" t="s">
        <v>52</v>
      </c>
      <c r="E2462" s="5" t="s">
        <v>703</v>
      </c>
      <c r="F2462" s="8"/>
      <c r="G2462" s="9">
        <f>H2462*(1-15%)*(1-F2462)</f>
        <v>42.414999999999999</v>
      </c>
      <c r="H2462" s="9">
        <v>49.899999999999999</v>
      </c>
      <c r="I2462" s="9">
        <f>H2462-G2462</f>
        <v>7.4849999999999994</v>
      </c>
    </row>
    <row r="2463" ht="14.25">
      <c r="A2463" s="5">
        <v>57475</v>
      </c>
      <c r="B2463" s="6" t="s">
        <v>2525</v>
      </c>
      <c r="C2463" s="7" t="s">
        <v>109</v>
      </c>
      <c r="D2463" s="7" t="s">
        <v>110</v>
      </c>
      <c r="E2463" s="5" t="s">
        <v>15</v>
      </c>
      <c r="F2463" s="8"/>
      <c r="G2463" s="9">
        <f>H2463*(1-15%)*(1-F2463)</f>
        <v>101.91500000000001</v>
      </c>
      <c r="H2463" s="9">
        <v>119.90000000000001</v>
      </c>
      <c r="I2463" s="9">
        <f>H2463-G2463</f>
        <v>17.984999999999999</v>
      </c>
    </row>
    <row r="2464" ht="14.25">
      <c r="A2464" s="5">
        <v>57477</v>
      </c>
      <c r="B2464" s="6" t="s">
        <v>2526</v>
      </c>
      <c r="C2464" s="7" t="s">
        <v>2116</v>
      </c>
      <c r="D2464" s="7" t="s">
        <v>52</v>
      </c>
      <c r="E2464" s="5" t="s">
        <v>703</v>
      </c>
      <c r="F2464" s="8"/>
      <c r="G2464" s="9">
        <f>H2464*(1-15%)*(1-F2464)</f>
        <v>25.414999999999999</v>
      </c>
      <c r="H2464" s="9">
        <v>29.899999999999999</v>
      </c>
      <c r="I2464" s="9">
        <f>H2464-G2464</f>
        <v>4.4849999999999994</v>
      </c>
    </row>
    <row r="2465" ht="14.25">
      <c r="A2465" s="5">
        <v>57504</v>
      </c>
      <c r="B2465" s="6" t="s">
        <v>2527</v>
      </c>
      <c r="C2465" s="7" t="s">
        <v>109</v>
      </c>
      <c r="D2465" s="7" t="s">
        <v>110</v>
      </c>
      <c r="E2465" s="5" t="s">
        <v>15</v>
      </c>
      <c r="F2465" s="8"/>
      <c r="G2465" s="9">
        <f>H2465*(1-15%)*(1-F2465)</f>
        <v>254.91499999999996</v>
      </c>
      <c r="H2465" s="9">
        <v>299.89999999999998</v>
      </c>
      <c r="I2465" s="9">
        <f>H2465-G2465</f>
        <v>44.985000000000014</v>
      </c>
    </row>
    <row r="2466" ht="14.25">
      <c r="A2466" s="5">
        <v>57555</v>
      </c>
      <c r="B2466" s="6" t="s">
        <v>2528</v>
      </c>
      <c r="C2466" s="7" t="s">
        <v>201</v>
      </c>
      <c r="D2466" s="7" t="s">
        <v>183</v>
      </c>
      <c r="E2466" s="5" t="s">
        <v>15</v>
      </c>
      <c r="F2466" s="8"/>
      <c r="G2466" s="9">
        <f>H2466*(1-15%)*(1-F2466)</f>
        <v>44.964999999999996</v>
      </c>
      <c r="H2466" s="9">
        <v>52.899999999999999</v>
      </c>
      <c r="I2466" s="9">
        <f>H2466-G2466</f>
        <v>7.9350000000000023</v>
      </c>
    </row>
    <row r="2467" ht="14.25">
      <c r="A2467" s="5">
        <v>57578</v>
      </c>
      <c r="B2467" s="6" t="s">
        <v>2529</v>
      </c>
      <c r="C2467" s="7" t="s">
        <v>201</v>
      </c>
      <c r="D2467" s="7" t="s">
        <v>1447</v>
      </c>
      <c r="E2467" s="5" t="s">
        <v>15</v>
      </c>
      <c r="F2467" s="8"/>
      <c r="G2467" s="9">
        <f>H2467*(1-15%)*(1-F2467)</f>
        <v>1.8614999999999999</v>
      </c>
      <c r="H2467" s="9">
        <v>2.1899999999999999</v>
      </c>
      <c r="I2467" s="9">
        <f>H2467-G2467</f>
        <v>0.32850000000000001</v>
      </c>
    </row>
    <row r="2468" ht="14.25">
      <c r="A2468" s="5">
        <v>57610</v>
      </c>
      <c r="B2468" s="6" t="s">
        <v>2530</v>
      </c>
      <c r="C2468" s="7" t="s">
        <v>1446</v>
      </c>
      <c r="D2468" s="7" t="s">
        <v>1447</v>
      </c>
      <c r="E2468" s="5" t="s">
        <v>15</v>
      </c>
      <c r="F2468" s="8"/>
      <c r="G2468" s="9">
        <f>H2468*(1-15%)*(1-F2468)</f>
        <v>4.7599999999999998</v>
      </c>
      <c r="H2468" s="9">
        <v>5.5999999999999996</v>
      </c>
      <c r="I2468" s="9">
        <f>H2468-G2468</f>
        <v>0.83999999999999986</v>
      </c>
    </row>
    <row r="2469" ht="14.25">
      <c r="A2469" s="5">
        <v>57611</v>
      </c>
      <c r="B2469" s="6" t="s">
        <v>2531</v>
      </c>
      <c r="C2469" s="7" t="s">
        <v>1446</v>
      </c>
      <c r="D2469" s="7" t="s">
        <v>1447</v>
      </c>
      <c r="E2469" s="5" t="s">
        <v>15</v>
      </c>
      <c r="F2469" s="8"/>
      <c r="G2469" s="9">
        <f>H2469*(1-15%)*(1-F2469)</f>
        <v>7.7349999999999994</v>
      </c>
      <c r="H2469" s="9">
        <v>9.0999999999999996</v>
      </c>
      <c r="I2469" s="9">
        <f>H2469-G2469</f>
        <v>1.3650000000000002</v>
      </c>
    </row>
    <row r="2470" ht="14.25">
      <c r="A2470" s="5">
        <v>57612</v>
      </c>
      <c r="B2470" s="6" t="s">
        <v>2532</v>
      </c>
      <c r="C2470" s="7" t="s">
        <v>1446</v>
      </c>
      <c r="D2470" s="7" t="s">
        <v>1447</v>
      </c>
      <c r="E2470" s="5" t="s">
        <v>15</v>
      </c>
      <c r="F2470" s="8"/>
      <c r="G2470" s="9">
        <f>H2470*(1-15%)*(1-F2470)</f>
        <v>10.795</v>
      </c>
      <c r="H2470" s="9">
        <v>12.699999999999999</v>
      </c>
      <c r="I2470" s="9">
        <f>H2470-G2470</f>
        <v>1.9049999999999994</v>
      </c>
    </row>
    <row r="2471" ht="14.25">
      <c r="A2471" s="5">
        <v>57618</v>
      </c>
      <c r="B2471" s="6" t="s">
        <v>2533</v>
      </c>
      <c r="C2471" s="7" t="s">
        <v>1446</v>
      </c>
      <c r="D2471" s="7" t="s">
        <v>1447</v>
      </c>
      <c r="E2471" s="5" t="s">
        <v>15</v>
      </c>
      <c r="F2471" s="8"/>
      <c r="G2471" s="9">
        <f>H2471*(1-15%)*(1-F2471)</f>
        <v>1.734</v>
      </c>
      <c r="H2471" s="9">
        <v>2.04</v>
      </c>
      <c r="I2471" s="9">
        <f>H2471-G2471</f>
        <v>0.30600000000000005</v>
      </c>
    </row>
    <row r="2472" ht="14.25">
      <c r="A2472" s="5">
        <v>57619</v>
      </c>
      <c r="B2472" s="6" t="s">
        <v>2534</v>
      </c>
      <c r="C2472" s="7" t="s">
        <v>1446</v>
      </c>
      <c r="D2472" s="7" t="s">
        <v>1447</v>
      </c>
      <c r="E2472" s="5" t="s">
        <v>15</v>
      </c>
      <c r="F2472" s="8"/>
      <c r="G2472" s="9">
        <f>H2472*(1-15%)*(1-F2472)</f>
        <v>2.0314999999999999</v>
      </c>
      <c r="H2472" s="9">
        <v>2.3900000000000001</v>
      </c>
      <c r="I2472" s="9">
        <f>H2472-G2472</f>
        <v>0.35850000000000026</v>
      </c>
    </row>
    <row r="2473" ht="14.25">
      <c r="A2473" s="5">
        <v>57634</v>
      </c>
      <c r="B2473" s="6" t="s">
        <v>2535</v>
      </c>
      <c r="C2473" s="7" t="s">
        <v>1446</v>
      </c>
      <c r="D2473" s="7" t="s">
        <v>1447</v>
      </c>
      <c r="E2473" s="5" t="s">
        <v>15</v>
      </c>
      <c r="F2473" s="8"/>
      <c r="G2473" s="9">
        <f>H2473*(1-15%)*(1-F2473)</f>
        <v>0.59499999999999997</v>
      </c>
      <c r="H2473" s="9">
        <v>0.69999999999999996</v>
      </c>
      <c r="I2473" s="9">
        <f>H2473-G2473</f>
        <v>0.10499999999999998</v>
      </c>
    </row>
    <row r="2474" ht="14.25">
      <c r="A2474" s="5">
        <v>57640</v>
      </c>
      <c r="B2474" s="6" t="s">
        <v>2536</v>
      </c>
      <c r="C2474" s="7" t="s">
        <v>705</v>
      </c>
      <c r="D2474" s="7" t="s">
        <v>183</v>
      </c>
      <c r="E2474" s="5" t="s">
        <v>26</v>
      </c>
      <c r="F2474" s="8"/>
      <c r="G2474" s="9">
        <f>H2474*(1-15%)*(1-F2474)</f>
        <v>53.464999999999996</v>
      </c>
      <c r="H2474" s="9">
        <v>62.899999999999999</v>
      </c>
      <c r="I2474" s="9">
        <f>H2474-G2474</f>
        <v>9.4350000000000023</v>
      </c>
    </row>
    <row r="2475" ht="14.25">
      <c r="A2475" s="5">
        <v>57641</v>
      </c>
      <c r="B2475" s="6" t="s">
        <v>2537</v>
      </c>
      <c r="C2475" s="7" t="s">
        <v>201</v>
      </c>
      <c r="D2475" s="7" t="s">
        <v>183</v>
      </c>
      <c r="E2475" s="5" t="s">
        <v>26</v>
      </c>
      <c r="F2475" s="8"/>
      <c r="G2475" s="9">
        <f>H2475*(1-15%)*(1-F2475)</f>
        <v>64.515000000000001</v>
      </c>
      <c r="H2475" s="9">
        <v>75.900000000000006</v>
      </c>
      <c r="I2475" s="9">
        <f>H2475-G2475</f>
        <v>11.385000000000005</v>
      </c>
    </row>
    <row r="2476" ht="14.25">
      <c r="A2476" s="5">
        <v>57646</v>
      </c>
      <c r="B2476" s="6" t="s">
        <v>2538</v>
      </c>
      <c r="C2476" s="7" t="s">
        <v>1446</v>
      </c>
      <c r="D2476" s="7" t="s">
        <v>1447</v>
      </c>
      <c r="E2476" s="5" t="s">
        <v>15</v>
      </c>
      <c r="F2476" s="8"/>
      <c r="G2476" s="9">
        <f>H2476*(1-15%)*(1-F2476)</f>
        <v>10.709999999999999</v>
      </c>
      <c r="H2476" s="9">
        <v>12.6</v>
      </c>
      <c r="I2476" s="9">
        <f>H2476-G2476</f>
        <v>1.8900000000000006</v>
      </c>
    </row>
    <row r="2477" ht="14.25">
      <c r="A2477" s="5">
        <v>57647</v>
      </c>
      <c r="B2477" s="6" t="s">
        <v>2539</v>
      </c>
      <c r="C2477" s="7" t="s">
        <v>1446</v>
      </c>
      <c r="D2477" s="7" t="s">
        <v>1447</v>
      </c>
      <c r="E2477" s="5" t="s">
        <v>15</v>
      </c>
      <c r="F2477" s="8"/>
      <c r="G2477" s="9">
        <f>H2477*(1-15%)*(1-F2477)</f>
        <v>14.025</v>
      </c>
      <c r="H2477" s="9">
        <v>16.5</v>
      </c>
      <c r="I2477" s="9">
        <f>H2477-G2477</f>
        <v>2.4749999999999996</v>
      </c>
    </row>
    <row r="2478" ht="14.25">
      <c r="A2478" s="5">
        <v>57649</v>
      </c>
      <c r="B2478" s="6" t="s">
        <v>2540</v>
      </c>
      <c r="C2478" s="7" t="s">
        <v>1446</v>
      </c>
      <c r="D2478" s="7" t="s">
        <v>1447</v>
      </c>
      <c r="E2478" s="5" t="s">
        <v>15</v>
      </c>
      <c r="F2478" s="8"/>
      <c r="G2478" s="9">
        <f>H2478*(1-15%)*(1-F2478)</f>
        <v>4.335</v>
      </c>
      <c r="H2478" s="9">
        <v>5.0999999999999996</v>
      </c>
      <c r="I2478" s="9">
        <f>H2478-G2478</f>
        <v>0.76499999999999968</v>
      </c>
    </row>
    <row r="2479" ht="14.25">
      <c r="A2479" s="5">
        <v>57650</v>
      </c>
      <c r="B2479" s="6" t="s">
        <v>2541</v>
      </c>
      <c r="C2479" s="7" t="s">
        <v>1446</v>
      </c>
      <c r="D2479" s="7" t="s">
        <v>1447</v>
      </c>
      <c r="E2479" s="5" t="s">
        <v>15</v>
      </c>
      <c r="F2479" s="8"/>
      <c r="G2479" s="9">
        <f>H2479*(1-15%)*(1-F2479)</f>
        <v>0.84999999999999998</v>
      </c>
      <c r="H2479" s="9">
        <v>1</v>
      </c>
      <c r="I2479" s="9">
        <f>H2479-G2479</f>
        <v>0.15000000000000002</v>
      </c>
    </row>
    <row r="2480" ht="14.25">
      <c r="A2480" s="5">
        <v>57675</v>
      </c>
      <c r="B2480" s="6" t="s">
        <v>2542</v>
      </c>
      <c r="C2480" s="7" t="s">
        <v>75</v>
      </c>
      <c r="D2480" s="7" t="s">
        <v>583</v>
      </c>
      <c r="E2480" s="5" t="s">
        <v>39</v>
      </c>
      <c r="F2480" s="8"/>
      <c r="G2480" s="9">
        <f>H2480*(1-15%)*(1-F2480)</f>
        <v>67.915000000000006</v>
      </c>
      <c r="H2480" s="9">
        <v>79.900000000000006</v>
      </c>
      <c r="I2480" s="9">
        <f>H2480-G2480</f>
        <v>11.984999999999999</v>
      </c>
    </row>
    <row r="2481" ht="14.25">
      <c r="A2481" s="5">
        <v>57682</v>
      </c>
      <c r="B2481" s="6" t="s">
        <v>2543</v>
      </c>
      <c r="C2481" s="7" t="s">
        <v>1446</v>
      </c>
      <c r="D2481" s="7" t="s">
        <v>1447</v>
      </c>
      <c r="E2481" s="5" t="s">
        <v>15</v>
      </c>
      <c r="F2481" s="8"/>
      <c r="G2481" s="9">
        <f>H2481*(1-15%)*(1-F2481)</f>
        <v>2.3799999999999999</v>
      </c>
      <c r="H2481" s="9">
        <v>2.7999999999999998</v>
      </c>
      <c r="I2481" s="9">
        <f>H2481-G2481</f>
        <v>0.41999999999999993</v>
      </c>
    </row>
    <row r="2482" ht="14.25">
      <c r="A2482" s="5">
        <v>57749</v>
      </c>
      <c r="B2482" s="6" t="s">
        <v>2544</v>
      </c>
      <c r="C2482" s="7" t="s">
        <v>951</v>
      </c>
      <c r="D2482" s="7" t="s">
        <v>199</v>
      </c>
      <c r="E2482" s="5" t="s">
        <v>39</v>
      </c>
      <c r="F2482" s="8"/>
      <c r="G2482" s="9">
        <f>H2482*(1-15%)*(1-F2482)</f>
        <v>67.915000000000006</v>
      </c>
      <c r="H2482" s="9">
        <v>79.900000000000006</v>
      </c>
      <c r="I2482" s="9">
        <f>H2482-G2482</f>
        <v>11.984999999999999</v>
      </c>
    </row>
    <row r="2483" ht="14.25">
      <c r="A2483" s="5">
        <v>57750</v>
      </c>
      <c r="B2483" s="6" t="s">
        <v>2545</v>
      </c>
      <c r="C2483" s="7" t="s">
        <v>951</v>
      </c>
      <c r="D2483" s="7" t="s">
        <v>199</v>
      </c>
      <c r="E2483" s="5" t="s">
        <v>39</v>
      </c>
      <c r="F2483" s="8"/>
      <c r="G2483" s="9">
        <f>H2483*(1-15%)*(1-F2483)</f>
        <v>67.915000000000006</v>
      </c>
      <c r="H2483" s="9">
        <v>79.900000000000006</v>
      </c>
      <c r="I2483" s="9">
        <f>H2483-G2483</f>
        <v>11.984999999999999</v>
      </c>
    </row>
    <row r="2484" ht="14.25">
      <c r="A2484" s="5">
        <v>57753</v>
      </c>
      <c r="B2484" s="6" t="s">
        <v>1133</v>
      </c>
      <c r="C2484" s="7" t="s">
        <v>109</v>
      </c>
      <c r="D2484" s="7" t="s">
        <v>183</v>
      </c>
      <c r="E2484" s="5" t="s">
        <v>26</v>
      </c>
      <c r="F2484" s="8"/>
      <c r="G2484" s="9">
        <f>H2484*(1-15%)*(1-F2484)</f>
        <v>36.464999999999996</v>
      </c>
      <c r="H2484" s="9">
        <v>42.899999999999999</v>
      </c>
      <c r="I2484" s="9">
        <f>H2484-G2484</f>
        <v>6.4350000000000023</v>
      </c>
    </row>
    <row r="2485" ht="14.25">
      <c r="A2485" s="5">
        <v>57758</v>
      </c>
      <c r="B2485" s="6" t="s">
        <v>2546</v>
      </c>
      <c r="C2485" s="7" t="s">
        <v>951</v>
      </c>
      <c r="D2485" s="7" t="s">
        <v>199</v>
      </c>
      <c r="E2485" s="5" t="s">
        <v>39</v>
      </c>
      <c r="F2485" s="8"/>
      <c r="G2485" s="9">
        <f>H2485*(1-15%)*(1-F2485)</f>
        <v>67.915000000000006</v>
      </c>
      <c r="H2485" s="9">
        <v>79.900000000000006</v>
      </c>
      <c r="I2485" s="9">
        <f>H2485-G2485</f>
        <v>11.984999999999999</v>
      </c>
    </row>
    <row r="2486" ht="14.25">
      <c r="A2486" s="5">
        <v>57759</v>
      </c>
      <c r="B2486" s="6" t="s">
        <v>2547</v>
      </c>
      <c r="C2486" s="7" t="s">
        <v>951</v>
      </c>
      <c r="D2486" s="7" t="s">
        <v>199</v>
      </c>
      <c r="E2486" s="5" t="s">
        <v>133</v>
      </c>
      <c r="F2486" s="8"/>
      <c r="G2486" s="9">
        <f>H2486*(1-15%)*(1-F2486)</f>
        <v>67.915000000000006</v>
      </c>
      <c r="H2486" s="9">
        <v>79.900000000000006</v>
      </c>
      <c r="I2486" s="9">
        <f>H2486-G2486</f>
        <v>11.984999999999999</v>
      </c>
    </row>
    <row r="2487" ht="14.25">
      <c r="A2487" s="5">
        <v>57761</v>
      </c>
      <c r="B2487" s="6" t="s">
        <v>2548</v>
      </c>
      <c r="C2487" s="7" t="s">
        <v>951</v>
      </c>
      <c r="D2487" s="7" t="s">
        <v>199</v>
      </c>
      <c r="E2487" s="5" t="s">
        <v>133</v>
      </c>
      <c r="F2487" s="8"/>
      <c r="G2487" s="9">
        <f>H2487*(1-15%)*(1-F2487)</f>
        <v>67.915000000000006</v>
      </c>
      <c r="H2487" s="9">
        <v>79.900000000000006</v>
      </c>
      <c r="I2487" s="9">
        <f>H2487-G2487</f>
        <v>11.984999999999999</v>
      </c>
    </row>
    <row r="2488" ht="14.25">
      <c r="A2488" s="5">
        <v>57763</v>
      </c>
      <c r="B2488" s="6" t="s">
        <v>2549</v>
      </c>
      <c r="C2488" s="7" t="s">
        <v>951</v>
      </c>
      <c r="D2488" s="7" t="s">
        <v>199</v>
      </c>
      <c r="E2488" s="5" t="s">
        <v>68</v>
      </c>
      <c r="F2488" s="8"/>
      <c r="G2488" s="9">
        <f>H2488*(1-15%)*(1-F2488)</f>
        <v>67.915000000000006</v>
      </c>
      <c r="H2488" s="9">
        <v>79.900000000000006</v>
      </c>
      <c r="I2488" s="9">
        <f>H2488-G2488</f>
        <v>11.984999999999999</v>
      </c>
    </row>
    <row r="2489" ht="14.25">
      <c r="A2489" s="5">
        <v>57764</v>
      </c>
      <c r="B2489" s="6" t="s">
        <v>2550</v>
      </c>
      <c r="C2489" s="7" t="s">
        <v>951</v>
      </c>
      <c r="D2489" s="7" t="s">
        <v>199</v>
      </c>
      <c r="E2489" s="5" t="s">
        <v>133</v>
      </c>
      <c r="F2489" s="8"/>
      <c r="G2489" s="9">
        <f>H2489*(1-15%)*(1-F2489)</f>
        <v>67.915000000000006</v>
      </c>
      <c r="H2489" s="9">
        <v>79.900000000000006</v>
      </c>
      <c r="I2489" s="9">
        <f>H2489-G2489</f>
        <v>11.984999999999999</v>
      </c>
    </row>
    <row r="2490" ht="14.25">
      <c r="A2490" s="5">
        <v>57785</v>
      </c>
      <c r="B2490" s="6" t="s">
        <v>2551</v>
      </c>
      <c r="C2490" s="7" t="s">
        <v>1446</v>
      </c>
      <c r="D2490" s="7" t="s">
        <v>1447</v>
      </c>
      <c r="E2490" s="5" t="s">
        <v>703</v>
      </c>
      <c r="F2490" s="8"/>
      <c r="G2490" s="9">
        <f>H2490*(1-15%)*(1-F2490)</f>
        <v>41.641500000000001</v>
      </c>
      <c r="H2490" s="9">
        <v>48.990000000000002</v>
      </c>
      <c r="I2490" s="9">
        <f>H2490-G2490</f>
        <v>7.3485000000000014</v>
      </c>
    </row>
    <row r="2491" ht="14.25">
      <c r="A2491" s="5">
        <v>57786</v>
      </c>
      <c r="B2491" s="6" t="s">
        <v>2552</v>
      </c>
      <c r="C2491" s="7" t="s">
        <v>1446</v>
      </c>
      <c r="D2491" s="7" t="s">
        <v>1447</v>
      </c>
      <c r="E2491" s="5" t="s">
        <v>703</v>
      </c>
      <c r="F2491" s="8"/>
      <c r="G2491" s="9">
        <f>H2491*(1-15%)*(1-F2491)</f>
        <v>3.7400000000000002</v>
      </c>
      <c r="H2491" s="9">
        <v>4.4000000000000004</v>
      </c>
      <c r="I2491" s="9">
        <f>H2491-G2491</f>
        <v>0.66000000000000014</v>
      </c>
    </row>
    <row r="2492" ht="14.25">
      <c r="A2492" s="5">
        <v>57800</v>
      </c>
      <c r="B2492" s="6" t="s">
        <v>2553</v>
      </c>
      <c r="C2492" s="7" t="s">
        <v>1446</v>
      </c>
      <c r="D2492" s="7" t="s">
        <v>1447</v>
      </c>
      <c r="E2492" s="5" t="s">
        <v>703</v>
      </c>
      <c r="F2492" s="8"/>
      <c r="G2492" s="9">
        <f>H2492*(1-15%)*(1-F2492)</f>
        <v>4.7515000000000001</v>
      </c>
      <c r="H2492" s="9">
        <v>5.5899999999999999</v>
      </c>
      <c r="I2492" s="9">
        <f>H2492-G2492</f>
        <v>0.8384999999999998</v>
      </c>
    </row>
    <row r="2493" ht="14.25">
      <c r="A2493" s="5">
        <v>57801</v>
      </c>
      <c r="B2493" s="6" t="s">
        <v>2554</v>
      </c>
      <c r="C2493" s="7" t="s">
        <v>2116</v>
      </c>
      <c r="D2493" s="7" t="s">
        <v>347</v>
      </c>
      <c r="E2493" s="5" t="s">
        <v>703</v>
      </c>
      <c r="F2493" s="8"/>
      <c r="G2493" s="9">
        <f>H2493*(1-15%)*(1-F2493)</f>
        <v>67.915000000000006</v>
      </c>
      <c r="H2493" s="9">
        <v>79.900000000000006</v>
      </c>
      <c r="I2493" s="9">
        <f>H2493-G2493</f>
        <v>11.984999999999999</v>
      </c>
    </row>
    <row r="2494" ht="14.25">
      <c r="A2494" s="5">
        <v>57829</v>
      </c>
      <c r="B2494" s="6" t="s">
        <v>2555</v>
      </c>
      <c r="C2494" s="7" t="s">
        <v>75</v>
      </c>
      <c r="D2494" s="7" t="s">
        <v>45</v>
      </c>
      <c r="E2494" s="5" t="s">
        <v>26</v>
      </c>
      <c r="F2494" s="8"/>
      <c r="G2494" s="9">
        <f>H2494*(1-15%)*(1-F2494)</f>
        <v>73.865000000000009</v>
      </c>
      <c r="H2494" s="9">
        <v>86.900000000000006</v>
      </c>
      <c r="I2494" s="9">
        <f>H2494-G2494</f>
        <v>13.034999999999997</v>
      </c>
    </row>
    <row r="2495" ht="14.25">
      <c r="A2495" s="5">
        <v>57830</v>
      </c>
      <c r="B2495" s="6" t="s">
        <v>2556</v>
      </c>
      <c r="C2495" s="7" t="s">
        <v>75</v>
      </c>
      <c r="D2495" s="7" t="s">
        <v>45</v>
      </c>
      <c r="E2495" s="5" t="s">
        <v>26</v>
      </c>
      <c r="F2495" s="8"/>
      <c r="G2495" s="9">
        <f>H2495*(1-15%)*(1-F2495)</f>
        <v>57.715000000000003</v>
      </c>
      <c r="H2495" s="9">
        <v>67.900000000000006</v>
      </c>
      <c r="I2495" s="9">
        <f>H2495-G2495</f>
        <v>10.185000000000002</v>
      </c>
    </row>
    <row r="2496" ht="14.25">
      <c r="A2496" s="5">
        <v>57832</v>
      </c>
      <c r="B2496" s="6" t="s">
        <v>2557</v>
      </c>
      <c r="C2496" s="7" t="s">
        <v>75</v>
      </c>
      <c r="D2496" s="7" t="s">
        <v>45</v>
      </c>
      <c r="E2496" s="5" t="s">
        <v>39</v>
      </c>
      <c r="F2496" s="8"/>
      <c r="G2496" s="9">
        <f>H2496*(1-15%)*(1-F2496)</f>
        <v>50.914999999999999</v>
      </c>
      <c r="H2496" s="9">
        <v>59.899999999999999</v>
      </c>
      <c r="I2496" s="9">
        <f>H2496-G2496</f>
        <v>8.9849999999999994</v>
      </c>
    </row>
    <row r="2497" ht="14.25">
      <c r="A2497" s="5">
        <v>57833</v>
      </c>
      <c r="B2497" s="6" t="s">
        <v>2558</v>
      </c>
      <c r="C2497" s="7" t="s">
        <v>75</v>
      </c>
      <c r="D2497" s="7" t="s">
        <v>103</v>
      </c>
      <c r="E2497" s="5" t="s">
        <v>39</v>
      </c>
      <c r="F2497" s="8"/>
      <c r="G2497" s="9">
        <f>H2497*(1-15%)*(1-F2497)</f>
        <v>49.214999999999996</v>
      </c>
      <c r="H2497" s="9">
        <v>57.899999999999999</v>
      </c>
      <c r="I2497" s="9">
        <f>H2497-G2497</f>
        <v>8.6850000000000023</v>
      </c>
    </row>
    <row r="2498" ht="14.25">
      <c r="A2498" s="5">
        <v>57871</v>
      </c>
      <c r="B2498" s="6" t="s">
        <v>2559</v>
      </c>
      <c r="C2498" s="7" t="s">
        <v>70</v>
      </c>
      <c r="D2498" s="7" t="s">
        <v>103</v>
      </c>
      <c r="E2498" s="5" t="s">
        <v>133</v>
      </c>
      <c r="F2498" s="8"/>
      <c r="G2498" s="9">
        <f>H2498*(1-15%)*(1-F2498)</f>
        <v>46.664999999999999</v>
      </c>
      <c r="H2498" s="9">
        <v>54.899999999999999</v>
      </c>
      <c r="I2498" s="9">
        <f>H2498-G2498</f>
        <v>8.2349999999999994</v>
      </c>
    </row>
    <row r="2499" ht="14.25">
      <c r="A2499" s="5">
        <v>57882</v>
      </c>
      <c r="B2499" s="6" t="s">
        <v>2560</v>
      </c>
      <c r="C2499" s="7" t="s">
        <v>70</v>
      </c>
      <c r="D2499" s="7" t="s">
        <v>71</v>
      </c>
      <c r="E2499" s="5" t="s">
        <v>68</v>
      </c>
      <c r="F2499" s="8"/>
      <c r="G2499" s="9">
        <f>H2499*(1-15%)*(1-F2499)</f>
        <v>42.414999999999999</v>
      </c>
      <c r="H2499" s="9">
        <v>49.899999999999999</v>
      </c>
      <c r="I2499" s="9">
        <f>H2499-G2499</f>
        <v>7.4849999999999994</v>
      </c>
    </row>
    <row r="2500" ht="14.25">
      <c r="A2500" s="5">
        <v>57982</v>
      </c>
      <c r="B2500" s="6" t="s">
        <v>2561</v>
      </c>
      <c r="C2500" s="7" t="s">
        <v>82</v>
      </c>
      <c r="D2500" s="7" t="s">
        <v>95</v>
      </c>
      <c r="E2500" s="5" t="s">
        <v>26</v>
      </c>
      <c r="F2500" s="8"/>
      <c r="G2500" s="9">
        <f>H2500*(1-15%)*(1-F2500)</f>
        <v>29.664999999999999</v>
      </c>
      <c r="H2500" s="9">
        <v>34.899999999999999</v>
      </c>
      <c r="I2500" s="9">
        <f>H2500-G2500</f>
        <v>5.2349999999999994</v>
      </c>
    </row>
    <row r="2501" ht="14.25">
      <c r="A2501" s="5">
        <v>58020</v>
      </c>
      <c r="B2501" s="6" t="s">
        <v>2562</v>
      </c>
      <c r="C2501" s="7" t="s">
        <v>82</v>
      </c>
      <c r="D2501" s="7" t="s">
        <v>95</v>
      </c>
      <c r="E2501" s="5" t="s">
        <v>26</v>
      </c>
      <c r="F2501" s="8"/>
      <c r="G2501" s="9">
        <f>H2501*(1-15%)*(1-F2501)</f>
        <v>31.364999999999998</v>
      </c>
      <c r="H2501" s="9">
        <v>36.899999999999999</v>
      </c>
      <c r="I2501" s="9">
        <f>H2501-G2501</f>
        <v>5.5350000000000001</v>
      </c>
    </row>
    <row r="2502" ht="14.25">
      <c r="A2502" s="5">
        <v>58132</v>
      </c>
      <c r="B2502" s="6" t="s">
        <v>2563</v>
      </c>
      <c r="C2502" s="7" t="s">
        <v>82</v>
      </c>
      <c r="D2502" s="7" t="s">
        <v>11</v>
      </c>
      <c r="E2502" s="5" t="s">
        <v>43</v>
      </c>
      <c r="F2502" s="8"/>
      <c r="G2502" s="9">
        <f>H2502*(1-15%)*(1-F2502)</f>
        <v>78.965000000000003</v>
      </c>
      <c r="H2502" s="9">
        <v>92.900000000000006</v>
      </c>
      <c r="I2502" s="9">
        <f>H2502-G2502</f>
        <v>13.935000000000002</v>
      </c>
    </row>
    <row r="2503" ht="14.25">
      <c r="A2503" s="5">
        <v>58135</v>
      </c>
      <c r="B2503" s="6" t="s">
        <v>2564</v>
      </c>
      <c r="C2503" s="7" t="s">
        <v>75</v>
      </c>
      <c r="D2503" s="7" t="s">
        <v>11</v>
      </c>
      <c r="E2503" s="5" t="s">
        <v>39</v>
      </c>
      <c r="F2503" s="8"/>
      <c r="G2503" s="9">
        <f>H2503*(1-15%)*(1-F2503)</f>
        <v>84.915000000000006</v>
      </c>
      <c r="H2503" s="9">
        <v>99.900000000000006</v>
      </c>
      <c r="I2503" s="9">
        <f>H2503-G2503</f>
        <v>14.984999999999999</v>
      </c>
    </row>
    <row r="2504" ht="14.25">
      <c r="A2504" s="5">
        <v>58139</v>
      </c>
      <c r="B2504" s="6" t="s">
        <v>2565</v>
      </c>
      <c r="C2504" s="7" t="s">
        <v>201</v>
      </c>
      <c r="D2504" s="7" t="s">
        <v>183</v>
      </c>
      <c r="E2504" s="5" t="s">
        <v>26</v>
      </c>
      <c r="F2504" s="8"/>
      <c r="G2504" s="9">
        <f>H2504*(1-15%)*(1-F2504)</f>
        <v>36.464999999999996</v>
      </c>
      <c r="H2504" s="9">
        <v>42.899999999999999</v>
      </c>
      <c r="I2504" s="9">
        <f>H2504-G2504</f>
        <v>6.4350000000000023</v>
      </c>
    </row>
    <row r="2505" ht="14.25">
      <c r="A2505" s="5">
        <v>58219</v>
      </c>
      <c r="B2505" s="6" t="s">
        <v>2566</v>
      </c>
      <c r="C2505" s="7" t="s">
        <v>75</v>
      </c>
      <c r="D2505" s="7" t="s">
        <v>45</v>
      </c>
      <c r="E2505" s="5" t="s">
        <v>15</v>
      </c>
      <c r="F2505" s="8"/>
      <c r="G2505" s="9">
        <f>H2505*(1-15%)*(1-F2505)</f>
        <v>36.464999999999996</v>
      </c>
      <c r="H2505" s="9">
        <v>42.899999999999999</v>
      </c>
      <c r="I2505" s="9">
        <f>H2505-G2505</f>
        <v>6.4350000000000023</v>
      </c>
    </row>
    <row r="2506" ht="14.25">
      <c r="A2506" s="5">
        <v>58222</v>
      </c>
      <c r="B2506" s="6" t="s">
        <v>2567</v>
      </c>
      <c r="C2506" s="7" t="s">
        <v>1446</v>
      </c>
      <c r="D2506" s="7" t="s">
        <v>1447</v>
      </c>
      <c r="E2506" s="5" t="s">
        <v>15</v>
      </c>
      <c r="F2506" s="8"/>
      <c r="G2506" s="9">
        <f>H2506*(1-15%)*(1-F2506)</f>
        <v>6.8849999999999998</v>
      </c>
      <c r="H2506" s="9">
        <v>8.0999999999999996</v>
      </c>
      <c r="I2506" s="9">
        <f>H2506-G2506</f>
        <v>1.2149999999999999</v>
      </c>
    </row>
    <row r="2507" ht="14.25">
      <c r="A2507" s="5">
        <v>58234</v>
      </c>
      <c r="B2507" s="6" t="s">
        <v>2568</v>
      </c>
      <c r="C2507" s="7" t="s">
        <v>109</v>
      </c>
      <c r="D2507" s="7" t="s">
        <v>110</v>
      </c>
      <c r="E2507" s="5" t="s">
        <v>39</v>
      </c>
      <c r="F2507" s="8"/>
      <c r="G2507" s="9">
        <f>H2507*(1-15%)*(1-F2507)</f>
        <v>59.415000000000006</v>
      </c>
      <c r="H2507" s="9">
        <v>69.900000000000006</v>
      </c>
      <c r="I2507" s="9">
        <f>H2507-G2507</f>
        <v>10.484999999999999</v>
      </c>
    </row>
    <row r="2508" ht="14.25">
      <c r="A2508" s="5">
        <v>58235</v>
      </c>
      <c r="B2508" s="6" t="s">
        <v>2569</v>
      </c>
      <c r="C2508" s="7" t="s">
        <v>109</v>
      </c>
      <c r="D2508" s="7" t="s">
        <v>110</v>
      </c>
      <c r="E2508" s="5" t="s">
        <v>15</v>
      </c>
      <c r="F2508" s="8"/>
      <c r="G2508" s="9">
        <f>H2508*(1-15%)*(1-F2508)</f>
        <v>59.415000000000006</v>
      </c>
      <c r="H2508" s="9">
        <v>69.900000000000006</v>
      </c>
      <c r="I2508" s="9">
        <f>H2508-G2508</f>
        <v>10.484999999999999</v>
      </c>
    </row>
    <row r="2509" ht="14.25">
      <c r="A2509" s="5">
        <v>58252</v>
      </c>
      <c r="B2509" s="6" t="s">
        <v>2570</v>
      </c>
      <c r="C2509" s="7" t="s">
        <v>1446</v>
      </c>
      <c r="D2509" s="7" t="s">
        <v>1447</v>
      </c>
      <c r="E2509" s="5" t="s">
        <v>15</v>
      </c>
      <c r="F2509" s="8"/>
      <c r="G2509" s="9">
        <f>H2509*(1-15%)*(1-F2509)</f>
        <v>1.5895000000000001</v>
      </c>
      <c r="H2509" s="9">
        <v>1.8700000000000001</v>
      </c>
      <c r="I2509" s="9">
        <f>H2509-G2509</f>
        <v>0.28049999999999997</v>
      </c>
    </row>
    <row r="2510" ht="14.25">
      <c r="A2510" s="5">
        <v>58253</v>
      </c>
      <c r="B2510" s="6" t="s">
        <v>2571</v>
      </c>
      <c r="C2510" s="7" t="s">
        <v>1446</v>
      </c>
      <c r="D2510" s="7" t="s">
        <v>1447</v>
      </c>
      <c r="E2510" s="5" t="s">
        <v>15</v>
      </c>
      <c r="F2510" s="8"/>
      <c r="G2510" s="9">
        <f>H2510*(1-15%)*(1-F2510)</f>
        <v>2.0059999999999998</v>
      </c>
      <c r="H2510" s="9">
        <v>2.3599999999999999</v>
      </c>
      <c r="I2510" s="9">
        <f>H2510-G2510</f>
        <v>0.35400000000000009</v>
      </c>
    </row>
    <row r="2511" ht="14.25">
      <c r="A2511" s="5">
        <v>58254</v>
      </c>
      <c r="B2511" s="6" t="s">
        <v>2572</v>
      </c>
      <c r="C2511" s="7" t="s">
        <v>1446</v>
      </c>
      <c r="D2511" s="7" t="s">
        <v>1447</v>
      </c>
      <c r="E2511" s="5" t="s">
        <v>15</v>
      </c>
      <c r="F2511" s="8"/>
      <c r="G2511" s="9">
        <f>H2511*(1-15%)*(1-F2511)</f>
        <v>2.754</v>
      </c>
      <c r="H2511" s="9">
        <v>3.2400000000000002</v>
      </c>
      <c r="I2511" s="9">
        <f>H2511-G2511</f>
        <v>0.48600000000000021</v>
      </c>
    </row>
    <row r="2512" ht="14.25">
      <c r="A2512" s="5">
        <v>58304</v>
      </c>
      <c r="B2512" s="6" t="s">
        <v>2573</v>
      </c>
      <c r="C2512" s="7" t="s">
        <v>271</v>
      </c>
      <c r="D2512" s="7" t="s">
        <v>110</v>
      </c>
      <c r="E2512" s="5" t="s">
        <v>39</v>
      </c>
      <c r="F2512" s="8"/>
      <c r="G2512" s="9">
        <f>H2512*(1-15%)*(1-F2512)</f>
        <v>89.165000000000006</v>
      </c>
      <c r="H2512" s="9">
        <v>104.90000000000001</v>
      </c>
      <c r="I2512" s="9">
        <f>H2512-G2512</f>
        <v>15.734999999999999</v>
      </c>
    </row>
    <row r="2513" ht="14.25">
      <c r="A2513" s="5">
        <v>58348</v>
      </c>
      <c r="B2513" s="6" t="s">
        <v>2574</v>
      </c>
      <c r="C2513" s="7" t="s">
        <v>624</v>
      </c>
      <c r="D2513" s="7" t="s">
        <v>11</v>
      </c>
      <c r="E2513" s="5" t="s">
        <v>68</v>
      </c>
      <c r="F2513" s="8"/>
      <c r="G2513" s="9">
        <f>H2513*(1-15%)*(1-F2513)</f>
        <v>280.41499999999996</v>
      </c>
      <c r="H2513" s="9">
        <v>329.89999999999998</v>
      </c>
      <c r="I2513" s="9">
        <f>H2513-G2513</f>
        <v>49.485000000000014</v>
      </c>
    </row>
    <row r="2514" ht="14.25">
      <c r="A2514" s="5">
        <v>58357</v>
      </c>
      <c r="B2514" s="6" t="s">
        <v>2575</v>
      </c>
      <c r="C2514" s="7" t="s">
        <v>82</v>
      </c>
      <c r="D2514" s="7" t="s">
        <v>103</v>
      </c>
      <c r="E2514" s="5" t="s">
        <v>39</v>
      </c>
      <c r="F2514" s="8"/>
      <c r="G2514" s="9">
        <f>H2514*(1-15%)*(1-F2514)</f>
        <v>31.364999999999998</v>
      </c>
      <c r="H2514" s="9">
        <v>36.899999999999999</v>
      </c>
      <c r="I2514" s="9">
        <f>H2514-G2514</f>
        <v>5.5350000000000001</v>
      </c>
    </row>
    <row r="2515" ht="14.25">
      <c r="A2515" s="5">
        <v>58363</v>
      </c>
      <c r="B2515" s="6" t="s">
        <v>2576</v>
      </c>
      <c r="C2515" s="7" t="s">
        <v>82</v>
      </c>
      <c r="D2515" s="7" t="s">
        <v>11</v>
      </c>
      <c r="E2515" s="5" t="s">
        <v>39</v>
      </c>
      <c r="F2515" s="8"/>
      <c r="G2515" s="9">
        <f>H2515*(1-15%)*(1-F2515)</f>
        <v>78.965000000000003</v>
      </c>
      <c r="H2515" s="9">
        <v>92.900000000000006</v>
      </c>
      <c r="I2515" s="9">
        <f>H2515-G2515</f>
        <v>13.935000000000002</v>
      </c>
    </row>
    <row r="2516" ht="14.25">
      <c r="A2516" s="5">
        <v>58417</v>
      </c>
      <c r="B2516" s="6" t="s">
        <v>2577</v>
      </c>
      <c r="C2516" s="7" t="s">
        <v>2116</v>
      </c>
      <c r="D2516" s="7" t="s">
        <v>183</v>
      </c>
      <c r="E2516" s="5" t="s">
        <v>703</v>
      </c>
      <c r="F2516" s="8"/>
      <c r="G2516" s="9">
        <f>H2516*(1-15%)*(1-F2516)</f>
        <v>72.165000000000006</v>
      </c>
      <c r="H2516" s="9">
        <v>84.900000000000006</v>
      </c>
      <c r="I2516" s="9">
        <f>H2516-G2516</f>
        <v>12.734999999999999</v>
      </c>
    </row>
    <row r="2517" ht="14.25">
      <c r="A2517" s="5">
        <v>58447</v>
      </c>
      <c r="B2517" s="6" t="s">
        <v>2578</v>
      </c>
      <c r="C2517" s="7" t="s">
        <v>10</v>
      </c>
      <c r="D2517" s="7" t="s">
        <v>61</v>
      </c>
      <c r="E2517" s="5" t="s">
        <v>43</v>
      </c>
      <c r="F2517" s="8"/>
      <c r="G2517" s="9">
        <f>H2517*(1-15%)*(1-F2517)</f>
        <v>50.914999999999999</v>
      </c>
      <c r="H2517" s="9">
        <v>59.899999999999999</v>
      </c>
      <c r="I2517" s="9">
        <f>H2517-G2517</f>
        <v>8.9849999999999994</v>
      </c>
    </row>
    <row r="2518" ht="14.25">
      <c r="A2518" s="5">
        <v>58459</v>
      </c>
      <c r="B2518" s="6" t="s">
        <v>2579</v>
      </c>
      <c r="C2518" s="7" t="s">
        <v>14</v>
      </c>
      <c r="D2518" s="7" t="s">
        <v>61</v>
      </c>
      <c r="E2518" s="5" t="s">
        <v>43</v>
      </c>
      <c r="F2518" s="8"/>
      <c r="G2518" s="9">
        <f>H2518*(1-15%)*(1-F2518)</f>
        <v>161.41499999999999</v>
      </c>
      <c r="H2518" s="9">
        <v>189.90000000000001</v>
      </c>
      <c r="I2518" s="9">
        <f>H2518-G2518</f>
        <v>28.485000000000014</v>
      </c>
    </row>
    <row r="2519" ht="14.25">
      <c r="A2519" s="5">
        <v>58473</v>
      </c>
      <c r="B2519" s="6" t="s">
        <v>2580</v>
      </c>
      <c r="C2519" s="7" t="s">
        <v>426</v>
      </c>
      <c r="D2519" s="7" t="s">
        <v>219</v>
      </c>
      <c r="E2519" s="5" t="s">
        <v>26</v>
      </c>
      <c r="F2519" s="8"/>
      <c r="G2519" s="9">
        <f>H2519*(1-15%)*(1-F2519)</f>
        <v>169.91499999999999</v>
      </c>
      <c r="H2519" s="9">
        <v>199.90000000000001</v>
      </c>
      <c r="I2519" s="9">
        <f>H2519-G2519</f>
        <v>29.985000000000014</v>
      </c>
    </row>
    <row r="2520" ht="14.25">
      <c r="A2520" s="5">
        <v>58477</v>
      </c>
      <c r="B2520" s="6" t="s">
        <v>2581</v>
      </c>
      <c r="C2520" s="7" t="s">
        <v>1446</v>
      </c>
      <c r="D2520" s="7" t="s">
        <v>1447</v>
      </c>
      <c r="E2520" s="5" t="s">
        <v>15</v>
      </c>
      <c r="F2520" s="8"/>
      <c r="G2520" s="9">
        <f>H2520*(1-15%)*(1-F2520)</f>
        <v>19.8475</v>
      </c>
      <c r="H2520" s="9">
        <v>23.350000000000001</v>
      </c>
      <c r="I2520" s="9">
        <f>H2520-G2520</f>
        <v>3.5025000000000013</v>
      </c>
    </row>
    <row r="2521" ht="14.25">
      <c r="A2521" s="5">
        <v>58497</v>
      </c>
      <c r="B2521" s="6" t="s">
        <v>2582</v>
      </c>
      <c r="C2521" s="7" t="s">
        <v>82</v>
      </c>
      <c r="D2521" s="7" t="s">
        <v>11</v>
      </c>
      <c r="E2521" s="5" t="s">
        <v>15</v>
      </c>
      <c r="F2521" s="8"/>
      <c r="G2521" s="9">
        <f>H2521*(1-15%)*(1-F2521)</f>
        <v>78.965000000000003</v>
      </c>
      <c r="H2521" s="9">
        <v>92.900000000000006</v>
      </c>
      <c r="I2521" s="9">
        <f>H2521-G2521</f>
        <v>13.935000000000002</v>
      </c>
    </row>
    <row r="2522" ht="14.25">
      <c r="A2522" s="5">
        <v>58499</v>
      </c>
      <c r="B2522" s="6" t="s">
        <v>2583</v>
      </c>
      <c r="C2522" s="7" t="s">
        <v>14</v>
      </c>
      <c r="D2522" s="7" t="s">
        <v>45</v>
      </c>
      <c r="E2522" s="5" t="s">
        <v>43</v>
      </c>
      <c r="F2522" s="8"/>
      <c r="G2522" s="9">
        <f>H2522*(1-15%)*(1-F2522)</f>
        <v>63.665000000000006</v>
      </c>
      <c r="H2522" s="9">
        <v>74.900000000000006</v>
      </c>
      <c r="I2522" s="9">
        <f>H2522-G2522</f>
        <v>11.234999999999999</v>
      </c>
    </row>
    <row r="2523" ht="14.25">
      <c r="A2523" s="5">
        <v>58506</v>
      </c>
      <c r="B2523" s="6" t="s">
        <v>2584</v>
      </c>
      <c r="C2523" s="7" t="s">
        <v>10</v>
      </c>
      <c r="D2523" s="7" t="s">
        <v>11</v>
      </c>
      <c r="E2523" s="5" t="s">
        <v>12</v>
      </c>
      <c r="F2523" s="8"/>
      <c r="G2523" s="9">
        <f>H2523*(1-15%)*(1-F2523)</f>
        <v>203.91499999999999</v>
      </c>
      <c r="H2523" s="9">
        <v>239.90000000000001</v>
      </c>
      <c r="I2523" s="9">
        <f>H2523-G2523</f>
        <v>35.985000000000014</v>
      </c>
    </row>
    <row r="2524" ht="14.25">
      <c r="A2524" s="5">
        <v>58526</v>
      </c>
      <c r="B2524" s="6" t="s">
        <v>2585</v>
      </c>
      <c r="C2524" s="7" t="s">
        <v>36</v>
      </c>
      <c r="D2524" s="7" t="s">
        <v>11</v>
      </c>
      <c r="E2524" s="5" t="s">
        <v>39</v>
      </c>
      <c r="F2524" s="8"/>
      <c r="G2524" s="9">
        <f>H2524*(1-15%)*(1-F2524)</f>
        <v>148.66499999999999</v>
      </c>
      <c r="H2524" s="9">
        <v>174.90000000000001</v>
      </c>
      <c r="I2524" s="9">
        <f>H2524-G2524</f>
        <v>26.235000000000014</v>
      </c>
    </row>
    <row r="2525" ht="14.25">
      <c r="A2525" s="5">
        <v>58527</v>
      </c>
      <c r="B2525" s="6" t="s">
        <v>2586</v>
      </c>
      <c r="C2525" s="7" t="s">
        <v>36</v>
      </c>
      <c r="D2525" s="7" t="s">
        <v>71</v>
      </c>
      <c r="E2525" s="5" t="s">
        <v>15</v>
      </c>
      <c r="F2525" s="8"/>
      <c r="G2525" s="9">
        <f>H2525*(1-15%)*(1-F2525)</f>
        <v>42.414999999999999</v>
      </c>
      <c r="H2525" s="9">
        <v>49.899999999999999</v>
      </c>
      <c r="I2525" s="9">
        <f>H2525-G2525</f>
        <v>7.4849999999999994</v>
      </c>
    </row>
    <row r="2526" ht="14.25">
      <c r="A2526" s="5">
        <v>58528</v>
      </c>
      <c r="B2526" s="6" t="s">
        <v>2587</v>
      </c>
      <c r="C2526" s="7" t="s">
        <v>17</v>
      </c>
      <c r="D2526" s="7" t="s">
        <v>61</v>
      </c>
      <c r="E2526" s="5" t="s">
        <v>68</v>
      </c>
      <c r="F2526" s="8"/>
      <c r="G2526" s="9">
        <f>H2526*(1-15%)*(1-F2526)</f>
        <v>114.66500000000001</v>
      </c>
      <c r="H2526" s="9">
        <v>134.90000000000001</v>
      </c>
      <c r="I2526" s="9">
        <f>H2526-G2526</f>
        <v>20.234999999999999</v>
      </c>
    </row>
    <row r="2527" ht="14.25">
      <c r="A2527" s="5">
        <v>58531</v>
      </c>
      <c r="B2527" s="6" t="s">
        <v>2588</v>
      </c>
      <c r="C2527" s="7" t="s">
        <v>705</v>
      </c>
      <c r="D2527" s="7" t="s">
        <v>61</v>
      </c>
      <c r="E2527" s="5" t="s">
        <v>133</v>
      </c>
      <c r="F2527" s="8"/>
      <c r="G2527" s="9">
        <f>H2527*(1-15%)*(1-F2527)</f>
        <v>106.16500000000001</v>
      </c>
      <c r="H2527" s="9">
        <v>124.90000000000001</v>
      </c>
      <c r="I2527" s="9">
        <f>H2527-G2527</f>
        <v>18.734999999999999</v>
      </c>
    </row>
    <row r="2528" ht="14.25">
      <c r="A2528" s="5">
        <v>58565</v>
      </c>
      <c r="B2528" s="6" t="s">
        <v>2589</v>
      </c>
      <c r="C2528" s="7" t="s">
        <v>82</v>
      </c>
      <c r="D2528" s="7" t="s">
        <v>45</v>
      </c>
      <c r="E2528" s="5" t="s">
        <v>43</v>
      </c>
      <c r="F2528" s="8"/>
      <c r="G2528" s="9">
        <f>H2528*(1-15%)*(1-F2528)</f>
        <v>66.215000000000003</v>
      </c>
      <c r="H2528" s="9">
        <v>77.900000000000006</v>
      </c>
      <c r="I2528" s="9">
        <f>H2528-G2528</f>
        <v>11.685000000000002</v>
      </c>
    </row>
    <row r="2529" ht="14.25">
      <c r="A2529" s="5">
        <v>58568</v>
      </c>
      <c r="B2529" s="6" t="s">
        <v>2590</v>
      </c>
      <c r="C2529" s="7" t="s">
        <v>426</v>
      </c>
      <c r="D2529" s="7" t="s">
        <v>219</v>
      </c>
      <c r="E2529" s="5" t="s">
        <v>26</v>
      </c>
      <c r="F2529" s="8"/>
      <c r="G2529" s="9">
        <f>H2529*(1-15%)*(1-F2529)</f>
        <v>61.965000000000003</v>
      </c>
      <c r="H2529" s="9">
        <v>72.900000000000006</v>
      </c>
      <c r="I2529" s="9">
        <f>H2529-G2529</f>
        <v>10.935000000000002</v>
      </c>
    </row>
    <row r="2530" ht="14.25">
      <c r="A2530" s="5">
        <v>58576</v>
      </c>
      <c r="B2530" s="6" t="s">
        <v>2591</v>
      </c>
      <c r="C2530" s="7" t="s">
        <v>853</v>
      </c>
      <c r="D2530" s="7" t="s">
        <v>183</v>
      </c>
      <c r="E2530" s="5" t="s">
        <v>15</v>
      </c>
      <c r="F2530" s="8"/>
      <c r="G2530" s="9">
        <f>H2530*(1-15%)*(1-F2530)</f>
        <v>42.414999999999999</v>
      </c>
      <c r="H2530" s="9">
        <v>49.899999999999999</v>
      </c>
      <c r="I2530" s="9">
        <f>H2530-G2530</f>
        <v>7.4849999999999994</v>
      </c>
    </row>
    <row r="2531" ht="14.25">
      <c r="A2531" s="5">
        <v>58594</v>
      </c>
      <c r="B2531" s="6" t="s">
        <v>2592</v>
      </c>
      <c r="C2531" s="7" t="s">
        <v>14</v>
      </c>
      <c r="D2531" s="7" t="s">
        <v>103</v>
      </c>
      <c r="E2531" s="5" t="s">
        <v>15</v>
      </c>
      <c r="F2531" s="8"/>
      <c r="G2531" s="9">
        <f>H2531*(1-15%)*(1-F2531)</f>
        <v>29.664999999999999</v>
      </c>
      <c r="H2531" s="9">
        <v>34.899999999999999</v>
      </c>
      <c r="I2531" s="9">
        <f>H2531-G2531</f>
        <v>5.2349999999999994</v>
      </c>
    </row>
    <row r="2532" ht="14.25">
      <c r="A2532" s="5">
        <v>58597</v>
      </c>
      <c r="B2532" s="6" t="s">
        <v>2593</v>
      </c>
      <c r="C2532" s="7" t="s">
        <v>70</v>
      </c>
      <c r="D2532" s="7" t="s">
        <v>103</v>
      </c>
      <c r="E2532" s="5" t="s">
        <v>15</v>
      </c>
      <c r="F2532" s="8"/>
      <c r="G2532" s="9">
        <f>H2532*(1-15%)*(1-F2532)</f>
        <v>39.015000000000001</v>
      </c>
      <c r="H2532" s="9">
        <v>45.899999999999999</v>
      </c>
      <c r="I2532" s="9">
        <f>H2532-G2532</f>
        <v>6.884999999999998</v>
      </c>
    </row>
    <row r="2533" ht="14.25">
      <c r="A2533" s="5">
        <v>58622</v>
      </c>
      <c r="B2533" s="6" t="s">
        <v>2594</v>
      </c>
      <c r="C2533" s="7" t="s">
        <v>109</v>
      </c>
      <c r="D2533" s="7" t="s">
        <v>110</v>
      </c>
      <c r="E2533" s="5" t="s">
        <v>43</v>
      </c>
      <c r="F2533" s="8"/>
      <c r="G2533" s="9">
        <f>H2533*(1-15%)*(1-F2533)</f>
        <v>59.415000000000006</v>
      </c>
      <c r="H2533" s="9">
        <v>69.900000000000006</v>
      </c>
      <c r="I2533" s="9">
        <f>H2533-G2533</f>
        <v>10.484999999999999</v>
      </c>
    </row>
    <row r="2534" ht="14.25">
      <c r="A2534" s="5">
        <v>58624</v>
      </c>
      <c r="B2534" s="6" t="s">
        <v>2595</v>
      </c>
      <c r="C2534" s="7" t="s">
        <v>109</v>
      </c>
      <c r="D2534" s="7" t="s">
        <v>110</v>
      </c>
      <c r="E2534" s="5" t="s">
        <v>43</v>
      </c>
      <c r="F2534" s="8"/>
      <c r="G2534" s="9">
        <f>H2534*(1-15%)*(1-F2534)</f>
        <v>59.415000000000006</v>
      </c>
      <c r="H2534" s="9">
        <v>69.900000000000006</v>
      </c>
      <c r="I2534" s="9">
        <f>H2534-G2534</f>
        <v>10.484999999999999</v>
      </c>
    </row>
    <row r="2535" ht="14.25">
      <c r="A2535" s="5">
        <v>58626</v>
      </c>
      <c r="B2535" s="6" t="s">
        <v>2596</v>
      </c>
      <c r="C2535" s="7" t="s">
        <v>109</v>
      </c>
      <c r="D2535" s="7" t="s">
        <v>110</v>
      </c>
      <c r="E2535" s="5" t="s">
        <v>43</v>
      </c>
      <c r="F2535" s="8"/>
      <c r="G2535" s="9">
        <f>H2535*(1-15%)*(1-F2535)</f>
        <v>59.415000000000006</v>
      </c>
      <c r="H2535" s="9">
        <v>69.900000000000006</v>
      </c>
      <c r="I2535" s="9">
        <f>H2535-G2535</f>
        <v>10.484999999999999</v>
      </c>
    </row>
    <row r="2536" ht="14.25">
      <c r="A2536" s="5">
        <v>58627</v>
      </c>
      <c r="B2536" s="6" t="s">
        <v>2597</v>
      </c>
      <c r="C2536" s="7" t="s">
        <v>109</v>
      </c>
      <c r="D2536" s="7" t="s">
        <v>110</v>
      </c>
      <c r="E2536" s="5" t="s">
        <v>43</v>
      </c>
      <c r="F2536" s="8"/>
      <c r="G2536" s="9">
        <f>H2536*(1-15%)*(1-F2536)</f>
        <v>59.415000000000006</v>
      </c>
      <c r="H2536" s="9">
        <v>69.900000000000006</v>
      </c>
      <c r="I2536" s="9">
        <f>H2536-G2536</f>
        <v>10.484999999999999</v>
      </c>
    </row>
    <row r="2537" ht="14.25">
      <c r="A2537" s="5">
        <v>58628</v>
      </c>
      <c r="B2537" s="6" t="s">
        <v>2598</v>
      </c>
      <c r="C2537" s="7" t="s">
        <v>109</v>
      </c>
      <c r="D2537" s="7" t="s">
        <v>110</v>
      </c>
      <c r="E2537" s="5" t="s">
        <v>43</v>
      </c>
      <c r="F2537" s="8"/>
      <c r="G2537" s="9">
        <f>H2537*(1-15%)*(1-F2537)</f>
        <v>59.415000000000006</v>
      </c>
      <c r="H2537" s="9">
        <v>69.900000000000006</v>
      </c>
      <c r="I2537" s="9">
        <f>H2537-G2537</f>
        <v>10.484999999999999</v>
      </c>
    </row>
    <row r="2538" ht="14.25">
      <c r="A2538" s="5">
        <v>58643</v>
      </c>
      <c r="B2538" s="6" t="s">
        <v>2599</v>
      </c>
      <c r="C2538" s="7" t="s">
        <v>65</v>
      </c>
      <c r="D2538" s="7" t="s">
        <v>174</v>
      </c>
      <c r="E2538" s="5" t="s">
        <v>26</v>
      </c>
      <c r="F2538" s="8"/>
      <c r="G2538" s="9">
        <f>H2538*(1-15%)*(1-F2538)</f>
        <v>49.214999999999996</v>
      </c>
      <c r="H2538" s="9">
        <v>57.899999999999999</v>
      </c>
      <c r="I2538" s="9">
        <f>H2538-G2538</f>
        <v>8.6850000000000023</v>
      </c>
    </row>
    <row r="2539" ht="14.25">
      <c r="A2539" s="5">
        <v>58695</v>
      </c>
      <c r="B2539" s="6" t="s">
        <v>2600</v>
      </c>
      <c r="C2539" s="7" t="s">
        <v>14</v>
      </c>
      <c r="D2539" s="7" t="s">
        <v>11</v>
      </c>
      <c r="E2539" s="5" t="s">
        <v>15</v>
      </c>
      <c r="F2539" s="8"/>
      <c r="G2539" s="9">
        <f>H2539*(1-15%)*(1-F2539)</f>
        <v>123.16500000000001</v>
      </c>
      <c r="H2539" s="9">
        <v>144.90000000000001</v>
      </c>
      <c r="I2539" s="9">
        <f>H2539-G2539</f>
        <v>21.734999999999999</v>
      </c>
    </row>
    <row r="2540" ht="14.25">
      <c r="A2540" s="5">
        <v>58697</v>
      </c>
      <c r="B2540" s="6" t="s">
        <v>2601</v>
      </c>
      <c r="C2540" s="7" t="s">
        <v>14</v>
      </c>
      <c r="D2540" s="7" t="s">
        <v>11</v>
      </c>
      <c r="E2540" s="5" t="s">
        <v>15</v>
      </c>
      <c r="F2540" s="8"/>
      <c r="G2540" s="9">
        <f>H2540*(1-15%)*(1-F2540)</f>
        <v>118.91500000000001</v>
      </c>
      <c r="H2540" s="9">
        <v>139.90000000000001</v>
      </c>
      <c r="I2540" s="9">
        <f>H2540-G2540</f>
        <v>20.984999999999999</v>
      </c>
    </row>
    <row r="2541" ht="14.25">
      <c r="A2541" s="5">
        <v>58729</v>
      </c>
      <c r="B2541" s="6" t="s">
        <v>2602</v>
      </c>
      <c r="C2541" s="7" t="s">
        <v>397</v>
      </c>
      <c r="D2541" s="7" t="s">
        <v>11</v>
      </c>
      <c r="E2541" s="5" t="s">
        <v>12</v>
      </c>
      <c r="F2541" s="8"/>
      <c r="G2541" s="9">
        <f>H2541*(1-15%)*(1-F2541)</f>
        <v>203.91499999999999</v>
      </c>
      <c r="H2541" s="9">
        <v>239.90000000000001</v>
      </c>
      <c r="I2541" s="9">
        <f>H2541-G2541</f>
        <v>35.985000000000014</v>
      </c>
    </row>
    <row r="2542" ht="14.25">
      <c r="A2542" s="5">
        <v>58733</v>
      </c>
      <c r="B2542" s="6" t="s">
        <v>2603</v>
      </c>
      <c r="C2542" s="7" t="s">
        <v>397</v>
      </c>
      <c r="D2542" s="7" t="s">
        <v>11</v>
      </c>
      <c r="E2542" s="5" t="s">
        <v>12</v>
      </c>
      <c r="F2542" s="8"/>
      <c r="G2542" s="9">
        <f>H2542*(1-15%)*(1-F2542)</f>
        <v>203.91499999999999</v>
      </c>
      <c r="H2542" s="9">
        <v>239.90000000000001</v>
      </c>
      <c r="I2542" s="9">
        <f>H2542-G2542</f>
        <v>35.985000000000014</v>
      </c>
    </row>
    <row r="2543" ht="14.25">
      <c r="A2543" s="5">
        <v>58774</v>
      </c>
      <c r="B2543" s="6" t="s">
        <v>2604</v>
      </c>
      <c r="C2543" s="7" t="s">
        <v>10</v>
      </c>
      <c r="D2543" s="7" t="s">
        <v>71</v>
      </c>
      <c r="E2543" s="5" t="s">
        <v>43</v>
      </c>
      <c r="F2543" s="8"/>
      <c r="G2543" s="9">
        <f>H2543*(1-15%)*(1-F2543)</f>
        <v>42.414999999999999</v>
      </c>
      <c r="H2543" s="9">
        <v>49.899999999999999</v>
      </c>
      <c r="I2543" s="9">
        <f>H2543-G2543</f>
        <v>7.4849999999999994</v>
      </c>
    </row>
    <row r="2544" ht="14.25">
      <c r="A2544" s="5">
        <v>58779</v>
      </c>
      <c r="B2544" s="6" t="s">
        <v>2605</v>
      </c>
      <c r="C2544" s="7" t="s">
        <v>1656</v>
      </c>
      <c r="D2544" s="7" t="s">
        <v>45</v>
      </c>
      <c r="E2544" s="5" t="s">
        <v>15</v>
      </c>
      <c r="F2544" s="8"/>
      <c r="G2544" s="9">
        <f>H2544*(1-15%)*(1-F2544)</f>
        <v>42.414999999999999</v>
      </c>
      <c r="H2544" s="9">
        <v>49.899999999999999</v>
      </c>
      <c r="I2544" s="9">
        <f>H2544-G2544</f>
        <v>7.4849999999999994</v>
      </c>
    </row>
    <row r="2545" ht="14.25">
      <c r="A2545" s="5">
        <v>58871</v>
      </c>
      <c r="B2545" s="6" t="s">
        <v>2606</v>
      </c>
      <c r="C2545" s="7" t="s">
        <v>201</v>
      </c>
      <c r="D2545" s="7" t="s">
        <v>183</v>
      </c>
      <c r="E2545" s="5" t="s">
        <v>15</v>
      </c>
      <c r="F2545" s="8"/>
      <c r="G2545" s="9">
        <f>H2545*(1-15%)*(1-F2545)</f>
        <v>76.5</v>
      </c>
      <c r="H2545" s="9">
        <v>90</v>
      </c>
      <c r="I2545" s="9">
        <f>H2545-G2545</f>
        <v>13.5</v>
      </c>
    </row>
    <row r="2546" ht="14.25">
      <c r="A2546" s="5">
        <v>58930</v>
      </c>
      <c r="B2546" s="6" t="s">
        <v>2607</v>
      </c>
      <c r="C2546" s="7" t="s">
        <v>853</v>
      </c>
      <c r="D2546" s="7" t="s">
        <v>61</v>
      </c>
      <c r="E2546" s="5" t="s">
        <v>43</v>
      </c>
      <c r="F2546" s="8"/>
      <c r="G2546" s="9">
        <f>H2546*(1-15%)*(1-F2546)</f>
        <v>191.16499999999999</v>
      </c>
      <c r="H2546" s="9">
        <v>224.90000000000001</v>
      </c>
      <c r="I2546" s="9">
        <f>H2546-G2546</f>
        <v>33.735000000000014</v>
      </c>
    </row>
    <row r="2547" ht="14.25">
      <c r="A2547" s="5">
        <v>58968</v>
      </c>
      <c r="B2547" s="6" t="s">
        <v>2608</v>
      </c>
      <c r="C2547" s="7" t="s">
        <v>10</v>
      </c>
      <c r="D2547" s="7" t="s">
        <v>95</v>
      </c>
      <c r="E2547" s="5" t="s">
        <v>26</v>
      </c>
      <c r="F2547" s="8"/>
      <c r="G2547" s="9">
        <f>H2547*(1-15%)*(1-F2547)</f>
        <v>47.515000000000001</v>
      </c>
      <c r="H2547" s="9">
        <v>55.899999999999999</v>
      </c>
      <c r="I2547" s="9">
        <f>H2547-G2547</f>
        <v>8.384999999999998</v>
      </c>
    </row>
    <row r="2548" ht="14.25">
      <c r="A2548" s="5">
        <v>58980</v>
      </c>
      <c r="B2548" s="6" t="s">
        <v>2609</v>
      </c>
      <c r="C2548" s="7" t="s">
        <v>75</v>
      </c>
      <c r="D2548" s="7" t="s">
        <v>45</v>
      </c>
      <c r="E2548" s="5" t="s">
        <v>39</v>
      </c>
      <c r="F2548" s="8"/>
      <c r="G2548" s="9">
        <f>H2548*(1-15%)*(1-F2548)</f>
        <v>57.715000000000003</v>
      </c>
      <c r="H2548" s="9">
        <v>67.900000000000006</v>
      </c>
      <c r="I2548" s="9">
        <f>H2548-G2548</f>
        <v>10.185000000000002</v>
      </c>
    </row>
    <row r="2549" ht="14.25">
      <c r="A2549" s="5">
        <v>58984</v>
      </c>
      <c r="B2549" s="6" t="s">
        <v>2610</v>
      </c>
      <c r="C2549" s="7" t="s">
        <v>75</v>
      </c>
      <c r="D2549" s="7" t="s">
        <v>45</v>
      </c>
      <c r="E2549" s="5" t="s">
        <v>39</v>
      </c>
      <c r="F2549" s="8"/>
      <c r="G2549" s="9">
        <f>H2549*(1-15%)*(1-F2549)</f>
        <v>50.914999999999999</v>
      </c>
      <c r="H2549" s="9">
        <v>59.899999999999999</v>
      </c>
      <c r="I2549" s="9">
        <f>H2549-G2549</f>
        <v>8.9849999999999994</v>
      </c>
    </row>
    <row r="2550" ht="14.25">
      <c r="A2550" s="5">
        <v>58987</v>
      </c>
      <c r="B2550" s="6" t="s">
        <v>2611</v>
      </c>
      <c r="C2550" s="7" t="s">
        <v>75</v>
      </c>
      <c r="D2550" s="7" t="s">
        <v>583</v>
      </c>
      <c r="E2550" s="5" t="s">
        <v>68</v>
      </c>
      <c r="F2550" s="8"/>
      <c r="G2550" s="9">
        <f>H2550*(1-15%)*(1-F2550)</f>
        <v>80.665000000000006</v>
      </c>
      <c r="H2550" s="9">
        <v>94.900000000000006</v>
      </c>
      <c r="I2550" s="9">
        <f>H2550-G2550</f>
        <v>14.234999999999999</v>
      </c>
    </row>
    <row r="2551" ht="14.25">
      <c r="A2551" s="5">
        <v>59018</v>
      </c>
      <c r="B2551" s="6" t="s">
        <v>2612</v>
      </c>
      <c r="C2551" s="7" t="s">
        <v>10</v>
      </c>
      <c r="D2551" s="7" t="s">
        <v>219</v>
      </c>
      <c r="E2551" s="5" t="s">
        <v>26</v>
      </c>
      <c r="F2551" s="8"/>
      <c r="G2551" s="9">
        <f>H2551*(1-15%)*(1-F2551)</f>
        <v>93.415000000000006</v>
      </c>
      <c r="H2551" s="9">
        <v>109.90000000000001</v>
      </c>
      <c r="I2551" s="9">
        <f>H2551-G2551</f>
        <v>16.484999999999999</v>
      </c>
    </row>
    <row r="2552" ht="14.25">
      <c r="A2552" s="5">
        <v>59019</v>
      </c>
      <c r="B2552" s="6" t="s">
        <v>2613</v>
      </c>
      <c r="C2552" s="7" t="s">
        <v>10</v>
      </c>
      <c r="D2552" s="7" t="s">
        <v>45</v>
      </c>
      <c r="E2552" s="5" t="s">
        <v>133</v>
      </c>
      <c r="F2552" s="8"/>
      <c r="G2552" s="9">
        <f>H2552*(1-15%)*(1-F2552)</f>
        <v>57.715000000000003</v>
      </c>
      <c r="H2552" s="9">
        <v>67.900000000000006</v>
      </c>
      <c r="I2552" s="9">
        <f>H2552-G2552</f>
        <v>10.185000000000002</v>
      </c>
    </row>
    <row r="2553" ht="14.25">
      <c r="A2553" s="5">
        <v>59021</v>
      </c>
      <c r="B2553" s="6" t="s">
        <v>2614</v>
      </c>
      <c r="C2553" s="7" t="s">
        <v>10</v>
      </c>
      <c r="D2553" s="7" t="s">
        <v>103</v>
      </c>
      <c r="E2553" s="5" t="s">
        <v>133</v>
      </c>
      <c r="F2553" s="8"/>
      <c r="G2553" s="9">
        <f>H2553*(1-15%)*(1-F2553)</f>
        <v>53.464999999999996</v>
      </c>
      <c r="H2553" s="9">
        <v>62.899999999999999</v>
      </c>
      <c r="I2553" s="9">
        <f>H2553-G2553</f>
        <v>9.4350000000000023</v>
      </c>
    </row>
    <row r="2554" ht="14.25">
      <c r="A2554" s="5">
        <v>59027</v>
      </c>
      <c r="B2554" s="6" t="s">
        <v>2615</v>
      </c>
      <c r="C2554" s="7" t="s">
        <v>10</v>
      </c>
      <c r="D2554" s="7" t="s">
        <v>174</v>
      </c>
      <c r="E2554" s="5" t="s">
        <v>133</v>
      </c>
      <c r="F2554" s="8"/>
      <c r="G2554" s="9">
        <f>H2554*(1-15%)*(1-F2554)</f>
        <v>63.665000000000006</v>
      </c>
      <c r="H2554" s="9">
        <v>74.900000000000006</v>
      </c>
      <c r="I2554" s="9">
        <f>H2554-G2554</f>
        <v>11.234999999999999</v>
      </c>
    </row>
    <row r="2555" ht="14.25">
      <c r="A2555" s="5">
        <v>59028</v>
      </c>
      <c r="B2555" s="6" t="s">
        <v>2616</v>
      </c>
      <c r="C2555" s="7" t="s">
        <v>10</v>
      </c>
      <c r="D2555" s="7" t="s">
        <v>174</v>
      </c>
      <c r="E2555" s="5" t="s">
        <v>133</v>
      </c>
      <c r="F2555" s="8"/>
      <c r="G2555" s="9">
        <f>H2555*(1-15%)*(1-F2555)</f>
        <v>44.114999999999995</v>
      </c>
      <c r="H2555" s="9">
        <v>51.899999999999999</v>
      </c>
      <c r="I2555" s="9">
        <f>H2555-G2555</f>
        <v>7.7850000000000037</v>
      </c>
    </row>
    <row r="2556" ht="14.25">
      <c r="A2556" s="5">
        <v>59030</v>
      </c>
      <c r="B2556" s="6" t="s">
        <v>2617</v>
      </c>
      <c r="C2556" s="7" t="s">
        <v>10</v>
      </c>
      <c r="D2556" s="7" t="s">
        <v>174</v>
      </c>
      <c r="E2556" s="5" t="s">
        <v>133</v>
      </c>
      <c r="F2556" s="8"/>
      <c r="G2556" s="9">
        <f>H2556*(1-15%)*(1-F2556)</f>
        <v>63.665000000000006</v>
      </c>
      <c r="H2556" s="9">
        <v>74.900000000000006</v>
      </c>
      <c r="I2556" s="9">
        <f>H2556-G2556</f>
        <v>11.234999999999999</v>
      </c>
    </row>
    <row r="2557" ht="14.25">
      <c r="A2557" s="5">
        <v>59035</v>
      </c>
      <c r="B2557" s="6" t="s">
        <v>2618</v>
      </c>
      <c r="C2557" s="7" t="s">
        <v>10</v>
      </c>
      <c r="D2557" s="7" t="s">
        <v>95</v>
      </c>
      <c r="E2557" s="5" t="s">
        <v>26</v>
      </c>
      <c r="F2557" s="8"/>
      <c r="G2557" s="9">
        <f>H2557*(1-15%)*(1-F2557)</f>
        <v>47.515000000000001</v>
      </c>
      <c r="H2557" s="9">
        <v>55.899999999999999</v>
      </c>
      <c r="I2557" s="9">
        <f>H2557-G2557</f>
        <v>8.384999999999998</v>
      </c>
    </row>
    <row r="2558" ht="14.25">
      <c r="A2558" s="5">
        <v>59122</v>
      </c>
      <c r="B2558" s="6" t="s">
        <v>2619</v>
      </c>
      <c r="C2558" s="7" t="s">
        <v>10</v>
      </c>
      <c r="D2558" s="7" t="s">
        <v>61</v>
      </c>
      <c r="E2558" s="5" t="s">
        <v>39</v>
      </c>
      <c r="F2558" s="8"/>
      <c r="G2558" s="9">
        <f>H2558*(1-15%)*(1-F2558)</f>
        <v>110.41500000000001</v>
      </c>
      <c r="H2558" s="9">
        <v>129.90000000000001</v>
      </c>
      <c r="I2558" s="9">
        <f>H2558-G2558</f>
        <v>19.484999999999999</v>
      </c>
    </row>
    <row r="2559" ht="14.25">
      <c r="A2559" s="5">
        <v>59125</v>
      </c>
      <c r="B2559" s="6" t="s">
        <v>2620</v>
      </c>
      <c r="C2559" s="7" t="s">
        <v>10</v>
      </c>
      <c r="D2559" s="7" t="s">
        <v>61</v>
      </c>
      <c r="E2559" s="5" t="s">
        <v>39</v>
      </c>
      <c r="F2559" s="8"/>
      <c r="G2559" s="9">
        <f>H2559*(1-15%)*(1-F2559)</f>
        <v>84.915000000000006</v>
      </c>
      <c r="H2559" s="9">
        <v>99.900000000000006</v>
      </c>
      <c r="I2559" s="9">
        <f>H2559-G2559</f>
        <v>14.984999999999999</v>
      </c>
    </row>
    <row r="2560" ht="14.25">
      <c r="A2560" s="5">
        <v>59126</v>
      </c>
      <c r="B2560" s="6" t="s">
        <v>2621</v>
      </c>
      <c r="C2560" s="7" t="s">
        <v>10</v>
      </c>
      <c r="D2560" s="7" t="s">
        <v>61</v>
      </c>
      <c r="E2560" s="5" t="s">
        <v>39</v>
      </c>
      <c r="F2560" s="8"/>
      <c r="G2560" s="9">
        <f>H2560*(1-15%)*(1-F2560)</f>
        <v>152.91499999999999</v>
      </c>
      <c r="H2560" s="9">
        <v>179.90000000000001</v>
      </c>
      <c r="I2560" s="9">
        <f>H2560-G2560</f>
        <v>26.985000000000014</v>
      </c>
    </row>
    <row r="2561" ht="14.25">
      <c r="A2561" s="5">
        <v>59132</v>
      </c>
      <c r="B2561" s="6" t="s">
        <v>2622</v>
      </c>
      <c r="C2561" s="7" t="s">
        <v>226</v>
      </c>
      <c r="D2561" s="7" t="s">
        <v>52</v>
      </c>
      <c r="E2561" s="5" t="s">
        <v>43</v>
      </c>
      <c r="F2561" s="8"/>
      <c r="G2561" s="9">
        <f>H2561*(1-15%)*(1-F2561)</f>
        <v>81.515000000000001</v>
      </c>
      <c r="H2561" s="9">
        <v>95.900000000000006</v>
      </c>
      <c r="I2561" s="9">
        <f>H2561-G2561</f>
        <v>14.385000000000005</v>
      </c>
    </row>
    <row r="2562" ht="14.25">
      <c r="A2562" s="5">
        <v>59169</v>
      </c>
      <c r="B2562" s="6" t="s">
        <v>2623</v>
      </c>
      <c r="C2562" s="7" t="s">
        <v>79</v>
      </c>
      <c r="D2562" s="7" t="s">
        <v>52</v>
      </c>
      <c r="E2562" s="5" t="s">
        <v>39</v>
      </c>
      <c r="F2562" s="8"/>
      <c r="G2562" s="9">
        <f>H2562*(1-15%)*(1-F2562)</f>
        <v>42.414999999999999</v>
      </c>
      <c r="H2562" s="9">
        <v>49.899999999999999</v>
      </c>
      <c r="I2562" s="9">
        <f>H2562-G2562</f>
        <v>7.4849999999999994</v>
      </c>
    </row>
    <row r="2563" ht="14.25">
      <c r="A2563" s="5">
        <v>59176</v>
      </c>
      <c r="B2563" s="6" t="s">
        <v>2624</v>
      </c>
      <c r="C2563" s="7" t="s">
        <v>426</v>
      </c>
      <c r="D2563" s="7" t="s">
        <v>219</v>
      </c>
      <c r="E2563" s="5" t="s">
        <v>68</v>
      </c>
      <c r="F2563" s="8"/>
      <c r="G2563" s="9">
        <f>H2563*(1-15%)*(1-F2563)</f>
        <v>61.965000000000003</v>
      </c>
      <c r="H2563" s="9">
        <v>72.900000000000006</v>
      </c>
      <c r="I2563" s="9">
        <f>H2563-G2563</f>
        <v>10.935000000000002</v>
      </c>
    </row>
    <row r="2564" ht="14.25">
      <c r="A2564" s="5">
        <v>59186</v>
      </c>
      <c r="B2564" s="6" t="s">
        <v>2625</v>
      </c>
      <c r="C2564" s="7" t="s">
        <v>82</v>
      </c>
      <c r="D2564" s="7" t="s">
        <v>61</v>
      </c>
      <c r="E2564" s="5" t="s">
        <v>15</v>
      </c>
      <c r="F2564" s="8"/>
      <c r="G2564" s="9">
        <f>H2564*(1-15%)*(1-F2564)</f>
        <v>35.572499999999998</v>
      </c>
      <c r="H2564" s="9">
        <v>41.850000000000001</v>
      </c>
      <c r="I2564" s="9">
        <f>H2564-G2564</f>
        <v>6.2775000000000034</v>
      </c>
    </row>
    <row r="2565" ht="14.25">
      <c r="A2565" s="5">
        <v>59188</v>
      </c>
      <c r="B2565" s="6" t="s">
        <v>2626</v>
      </c>
      <c r="C2565" s="7" t="s">
        <v>82</v>
      </c>
      <c r="D2565" s="7" t="s">
        <v>95</v>
      </c>
      <c r="E2565" s="5" t="s">
        <v>26</v>
      </c>
      <c r="F2565" s="8"/>
      <c r="G2565" s="9">
        <f>H2565*(1-15%)*(1-F2565)</f>
        <v>22.014999999999997</v>
      </c>
      <c r="H2565" s="9">
        <v>25.899999999999999</v>
      </c>
      <c r="I2565" s="9">
        <f>H2565-G2565</f>
        <v>3.8850000000000016</v>
      </c>
    </row>
    <row r="2566" ht="14.25">
      <c r="A2566" s="5">
        <v>59190</v>
      </c>
      <c r="B2566" s="6" t="s">
        <v>2627</v>
      </c>
      <c r="C2566" s="7" t="s">
        <v>82</v>
      </c>
      <c r="D2566" s="7" t="s">
        <v>95</v>
      </c>
      <c r="E2566" s="5" t="s">
        <v>26</v>
      </c>
      <c r="F2566" s="8"/>
      <c r="G2566" s="9">
        <f>H2566*(1-15%)*(1-F2566)</f>
        <v>31.364999999999998</v>
      </c>
      <c r="H2566" s="9">
        <v>36.899999999999999</v>
      </c>
      <c r="I2566" s="9">
        <f>H2566-G2566</f>
        <v>5.5350000000000001</v>
      </c>
    </row>
    <row r="2567" ht="14.25">
      <c r="A2567" s="5">
        <v>59192</v>
      </c>
      <c r="B2567" s="6" t="s">
        <v>2628</v>
      </c>
      <c r="C2567" s="7" t="s">
        <v>82</v>
      </c>
      <c r="D2567" s="7" t="s">
        <v>95</v>
      </c>
      <c r="E2567" s="5" t="s">
        <v>26</v>
      </c>
      <c r="F2567" s="8"/>
      <c r="G2567" s="9">
        <f>H2567*(1-15%)*(1-F2567)</f>
        <v>31.364999999999998</v>
      </c>
      <c r="H2567" s="9">
        <v>36.899999999999999</v>
      </c>
      <c r="I2567" s="9">
        <f>H2567-G2567</f>
        <v>5.5350000000000001</v>
      </c>
    </row>
    <row r="2568" ht="14.25">
      <c r="A2568" s="5">
        <v>59193</v>
      </c>
      <c r="B2568" s="6" t="s">
        <v>2629</v>
      </c>
      <c r="C2568" s="7" t="s">
        <v>82</v>
      </c>
      <c r="D2568" s="7" t="s">
        <v>95</v>
      </c>
      <c r="E2568" s="5" t="s">
        <v>26</v>
      </c>
      <c r="F2568" s="8"/>
      <c r="G2568" s="9">
        <f>H2568*(1-15%)*(1-F2568)</f>
        <v>25.414999999999999</v>
      </c>
      <c r="H2568" s="9">
        <v>29.899999999999999</v>
      </c>
      <c r="I2568" s="9">
        <f>H2568-G2568</f>
        <v>4.4849999999999994</v>
      </c>
    </row>
    <row r="2569" ht="14.25">
      <c r="A2569" s="5">
        <v>59196</v>
      </c>
      <c r="B2569" s="6" t="s">
        <v>2630</v>
      </c>
      <c r="C2569" s="7" t="s">
        <v>82</v>
      </c>
      <c r="D2569" s="7" t="s">
        <v>95</v>
      </c>
      <c r="E2569" s="5" t="s">
        <v>68</v>
      </c>
      <c r="F2569" s="8"/>
      <c r="G2569" s="9">
        <f>H2569*(1-15%)*(1-F2569)</f>
        <v>15.214999999999998</v>
      </c>
      <c r="H2569" s="9">
        <v>17.899999999999999</v>
      </c>
      <c r="I2569" s="9">
        <f>H2569-G2569</f>
        <v>2.6850000000000005</v>
      </c>
    </row>
    <row r="2570" ht="14.25">
      <c r="A2570" s="5">
        <v>59199</v>
      </c>
      <c r="B2570" s="6" t="s">
        <v>2631</v>
      </c>
      <c r="C2570" s="7" t="s">
        <v>82</v>
      </c>
      <c r="D2570" s="7" t="s">
        <v>95</v>
      </c>
      <c r="E2570" s="5" t="s">
        <v>26</v>
      </c>
      <c r="F2570" s="8"/>
      <c r="G2570" s="9">
        <f>H2570*(1-15%)*(1-F2570)</f>
        <v>29.664999999999999</v>
      </c>
      <c r="H2570" s="9">
        <v>34.899999999999999</v>
      </c>
      <c r="I2570" s="9">
        <f>H2570-G2570</f>
        <v>5.2349999999999994</v>
      </c>
    </row>
    <row r="2571" ht="14.25">
      <c r="A2571" s="5">
        <v>59200</v>
      </c>
      <c r="B2571" s="6" t="s">
        <v>2632</v>
      </c>
      <c r="C2571" s="7" t="s">
        <v>82</v>
      </c>
      <c r="D2571" s="7" t="s">
        <v>95</v>
      </c>
      <c r="E2571" s="5" t="s">
        <v>26</v>
      </c>
      <c r="F2571" s="8"/>
      <c r="G2571" s="9">
        <f>H2571*(1-15%)*(1-F2571)</f>
        <v>29.664999999999999</v>
      </c>
      <c r="H2571" s="9">
        <v>34.899999999999999</v>
      </c>
      <c r="I2571" s="9">
        <f>H2571-G2571</f>
        <v>5.2349999999999994</v>
      </c>
    </row>
    <row r="2572" ht="14.25">
      <c r="A2572" s="5">
        <v>59233</v>
      </c>
      <c r="B2572" s="6" t="s">
        <v>2633</v>
      </c>
      <c r="C2572" s="7" t="s">
        <v>1446</v>
      </c>
      <c r="D2572" s="7" t="s">
        <v>1447</v>
      </c>
      <c r="E2572" s="5" t="s">
        <v>15</v>
      </c>
      <c r="F2572" s="8"/>
      <c r="G2572" s="9">
        <f>H2572*(1-15%)*(1-F2572)</f>
        <v>2.8049999999999997</v>
      </c>
      <c r="H2572" s="9">
        <v>3.2999999999999998</v>
      </c>
      <c r="I2572" s="9">
        <f>H2572-G2572</f>
        <v>0.49500000000000011</v>
      </c>
    </row>
    <row r="2573" ht="14.25">
      <c r="A2573" s="5">
        <v>59268</v>
      </c>
      <c r="B2573" s="6" t="s">
        <v>2634</v>
      </c>
      <c r="C2573" s="7" t="s">
        <v>75</v>
      </c>
      <c r="D2573" s="7" t="s">
        <v>45</v>
      </c>
      <c r="E2573" s="5" t="s">
        <v>15</v>
      </c>
      <c r="F2573" s="8"/>
      <c r="G2573" s="9">
        <f>H2573*(1-15%)*(1-F2573)</f>
        <v>67.915000000000006</v>
      </c>
      <c r="H2573" s="9">
        <v>79.900000000000006</v>
      </c>
      <c r="I2573" s="9">
        <f>H2573-G2573</f>
        <v>11.984999999999999</v>
      </c>
    </row>
    <row r="2574" ht="14.25">
      <c r="A2574" s="5">
        <v>59306</v>
      </c>
      <c r="B2574" s="6" t="s">
        <v>2635</v>
      </c>
      <c r="C2574" s="7" t="s">
        <v>17</v>
      </c>
      <c r="D2574" s="7" t="s">
        <v>11</v>
      </c>
      <c r="E2574" s="5" t="s">
        <v>12</v>
      </c>
      <c r="F2574" s="8"/>
      <c r="G2574" s="9">
        <f>H2574*(1-15%)*(1-F2574)</f>
        <v>186.91499999999999</v>
      </c>
      <c r="H2574" s="9">
        <v>219.90000000000001</v>
      </c>
      <c r="I2574" s="9">
        <f>H2574-G2574</f>
        <v>32.985000000000014</v>
      </c>
    </row>
    <row r="2575" ht="14.25">
      <c r="A2575" s="5">
        <v>59408</v>
      </c>
      <c r="B2575" s="6" t="s">
        <v>2636</v>
      </c>
      <c r="C2575" s="7" t="s">
        <v>271</v>
      </c>
      <c r="D2575" s="7" t="s">
        <v>110</v>
      </c>
      <c r="E2575" s="5" t="s">
        <v>15</v>
      </c>
      <c r="F2575" s="8"/>
      <c r="G2575" s="9">
        <f>H2575*(1-15%)*(1-F2575)</f>
        <v>41.564999999999998</v>
      </c>
      <c r="H2575" s="9">
        <v>48.899999999999999</v>
      </c>
      <c r="I2575" s="9">
        <f>H2575-G2575</f>
        <v>7.3350000000000009</v>
      </c>
    </row>
    <row r="2576" ht="14.25">
      <c r="A2576" s="5">
        <v>59493</v>
      </c>
      <c r="B2576" s="6" t="s">
        <v>2637</v>
      </c>
      <c r="C2576" s="7" t="s">
        <v>10</v>
      </c>
      <c r="D2576" s="7" t="s">
        <v>95</v>
      </c>
      <c r="E2576" s="5" t="s">
        <v>26</v>
      </c>
      <c r="F2576" s="8"/>
      <c r="G2576" s="9">
        <f>H2576*(1-15%)*(1-F2576)</f>
        <v>47.515000000000001</v>
      </c>
      <c r="H2576" s="9">
        <v>55.899999999999999</v>
      </c>
      <c r="I2576" s="9">
        <f>H2576-G2576</f>
        <v>8.384999999999998</v>
      </c>
    </row>
    <row r="2577" ht="14.25">
      <c r="A2577" s="5">
        <v>59516</v>
      </c>
      <c r="B2577" s="6" t="s">
        <v>2638</v>
      </c>
      <c r="C2577" s="7" t="s">
        <v>75</v>
      </c>
      <c r="D2577" s="7" t="s">
        <v>45</v>
      </c>
      <c r="E2577" s="5" t="s">
        <v>26</v>
      </c>
      <c r="F2577" s="8"/>
      <c r="G2577" s="9">
        <f>H2577*(1-15%)*(1-F2577)</f>
        <v>57.715000000000003</v>
      </c>
      <c r="H2577" s="9">
        <v>67.900000000000006</v>
      </c>
      <c r="I2577" s="9">
        <f>H2577-G2577</f>
        <v>10.185000000000002</v>
      </c>
    </row>
    <row r="2578" ht="14.25">
      <c r="A2578" s="5">
        <v>59517</v>
      </c>
      <c r="B2578" s="6" t="s">
        <v>2639</v>
      </c>
      <c r="C2578" s="7" t="s">
        <v>75</v>
      </c>
      <c r="D2578" s="7" t="s">
        <v>45</v>
      </c>
      <c r="E2578" s="5" t="s">
        <v>39</v>
      </c>
      <c r="F2578" s="8"/>
      <c r="G2578" s="9">
        <f>H2578*(1-15%)*(1-F2578)</f>
        <v>57.715000000000003</v>
      </c>
      <c r="H2578" s="9">
        <v>67.900000000000006</v>
      </c>
      <c r="I2578" s="9">
        <f>H2578-G2578</f>
        <v>10.185000000000002</v>
      </c>
    </row>
    <row r="2579" ht="14.25">
      <c r="A2579" s="5">
        <v>59555</v>
      </c>
      <c r="B2579" s="6" t="s">
        <v>2640</v>
      </c>
      <c r="C2579" s="7" t="s">
        <v>1241</v>
      </c>
      <c r="D2579" s="7" t="s">
        <v>11</v>
      </c>
      <c r="E2579" s="5" t="s">
        <v>12</v>
      </c>
      <c r="F2579" s="8"/>
      <c r="G2579" s="9">
        <f>H2579*(1-15%)*(1-F2579)</f>
        <v>208.16499999999999</v>
      </c>
      <c r="H2579" s="9">
        <v>244.90000000000001</v>
      </c>
      <c r="I2579" s="9">
        <f>H2579-G2579</f>
        <v>36.735000000000014</v>
      </c>
    </row>
    <row r="2580" ht="14.25">
      <c r="A2580" s="5">
        <v>59574</v>
      </c>
      <c r="B2580" s="6" t="s">
        <v>2641</v>
      </c>
      <c r="C2580" s="7" t="s">
        <v>94</v>
      </c>
      <c r="D2580" s="7" t="s">
        <v>95</v>
      </c>
      <c r="E2580" s="5" t="s">
        <v>43</v>
      </c>
      <c r="F2580" s="8"/>
      <c r="G2580" s="9">
        <f>H2580*(1-15%)*(1-F2580)</f>
        <v>70.465000000000003</v>
      </c>
      <c r="H2580" s="9">
        <v>82.900000000000006</v>
      </c>
      <c r="I2580" s="9">
        <f>H2580-G2580</f>
        <v>12.435000000000002</v>
      </c>
    </row>
    <row r="2581" ht="14.25">
      <c r="A2581" s="5">
        <v>59577</v>
      </c>
      <c r="B2581" s="6" t="s">
        <v>2642</v>
      </c>
      <c r="C2581" s="7" t="s">
        <v>94</v>
      </c>
      <c r="D2581" s="7" t="s">
        <v>95</v>
      </c>
      <c r="E2581" s="5" t="s">
        <v>43</v>
      </c>
      <c r="F2581" s="8"/>
      <c r="G2581" s="9">
        <f>H2581*(1-15%)*(1-F2581)</f>
        <v>57.715000000000003</v>
      </c>
      <c r="H2581" s="9">
        <v>67.900000000000006</v>
      </c>
      <c r="I2581" s="9">
        <f>H2581-G2581</f>
        <v>10.185000000000002</v>
      </c>
    </row>
    <row r="2582" ht="14.25">
      <c r="A2582" s="5">
        <v>59578</v>
      </c>
      <c r="B2582" s="6" t="s">
        <v>2643</v>
      </c>
      <c r="C2582" s="7" t="s">
        <v>94</v>
      </c>
      <c r="D2582" s="7" t="s">
        <v>95</v>
      </c>
      <c r="E2582" s="5" t="s">
        <v>68</v>
      </c>
      <c r="F2582" s="8"/>
      <c r="G2582" s="9">
        <f>H2582*(1-15%)*(1-F2582)</f>
        <v>46.664999999999999</v>
      </c>
      <c r="H2582" s="9">
        <v>54.899999999999999</v>
      </c>
      <c r="I2582" s="9">
        <f>H2582-G2582</f>
        <v>8.2349999999999994</v>
      </c>
    </row>
    <row r="2583" ht="14.25">
      <c r="A2583" s="5">
        <v>59579</v>
      </c>
      <c r="B2583" s="6" t="s">
        <v>2644</v>
      </c>
      <c r="C2583" s="7" t="s">
        <v>94</v>
      </c>
      <c r="D2583" s="7" t="s">
        <v>95</v>
      </c>
      <c r="E2583" s="5" t="s">
        <v>43</v>
      </c>
      <c r="F2583" s="8"/>
      <c r="G2583" s="9">
        <f>H2583*(1-15%)*(1-F2583)</f>
        <v>39.015000000000001</v>
      </c>
      <c r="H2583" s="9">
        <v>45.899999999999999</v>
      </c>
      <c r="I2583" s="9">
        <f>H2583-G2583</f>
        <v>6.884999999999998</v>
      </c>
    </row>
    <row r="2584" ht="14.25">
      <c r="A2584" s="5">
        <v>59580</v>
      </c>
      <c r="B2584" s="6" t="s">
        <v>2645</v>
      </c>
      <c r="C2584" s="7" t="s">
        <v>94</v>
      </c>
      <c r="D2584" s="7" t="s">
        <v>95</v>
      </c>
      <c r="E2584" s="5" t="s">
        <v>68</v>
      </c>
      <c r="F2584" s="8"/>
      <c r="G2584" s="9">
        <f>H2584*(1-15%)*(1-F2584)</f>
        <v>70.465000000000003</v>
      </c>
      <c r="H2584" s="9">
        <v>82.900000000000006</v>
      </c>
      <c r="I2584" s="9">
        <f>H2584-G2584</f>
        <v>12.435000000000002</v>
      </c>
    </row>
    <row r="2585" ht="14.25">
      <c r="A2585" s="5">
        <v>59581</v>
      </c>
      <c r="B2585" s="6" t="s">
        <v>2646</v>
      </c>
      <c r="C2585" s="7" t="s">
        <v>94</v>
      </c>
      <c r="D2585" s="7" t="s">
        <v>95</v>
      </c>
      <c r="E2585" s="5" t="s">
        <v>43</v>
      </c>
      <c r="F2585" s="8"/>
      <c r="G2585" s="9">
        <f>H2585*(1-15%)*(1-F2585)</f>
        <v>57.715000000000003</v>
      </c>
      <c r="H2585" s="9">
        <v>67.900000000000006</v>
      </c>
      <c r="I2585" s="9">
        <f>H2585-G2585</f>
        <v>10.185000000000002</v>
      </c>
    </row>
    <row r="2586" ht="14.25">
      <c r="A2586" s="5">
        <v>59582</v>
      </c>
      <c r="B2586" s="6" t="s">
        <v>2647</v>
      </c>
      <c r="C2586" s="7" t="s">
        <v>94</v>
      </c>
      <c r="D2586" s="7" t="s">
        <v>95</v>
      </c>
      <c r="E2586" s="5" t="s">
        <v>43</v>
      </c>
      <c r="F2586" s="8"/>
      <c r="G2586" s="9">
        <f>H2586*(1-15%)*(1-F2586)</f>
        <v>40.714999999999996</v>
      </c>
      <c r="H2586" s="9">
        <v>47.899999999999999</v>
      </c>
      <c r="I2586" s="9">
        <f>H2586-G2586</f>
        <v>7.1850000000000023</v>
      </c>
    </row>
    <row r="2587" ht="14.25">
      <c r="A2587" s="5">
        <v>59614</v>
      </c>
      <c r="B2587" s="6" t="s">
        <v>2648</v>
      </c>
      <c r="C2587" s="7" t="s">
        <v>1446</v>
      </c>
      <c r="D2587" s="7" t="s">
        <v>1447</v>
      </c>
      <c r="E2587" s="5" t="s">
        <v>15</v>
      </c>
      <c r="F2587" s="8"/>
      <c r="G2587" s="9">
        <f>H2587*(1-15%)*(1-F2587)</f>
        <v>2.3885000000000001</v>
      </c>
      <c r="H2587" s="9">
        <v>2.8100000000000001</v>
      </c>
      <c r="I2587" s="9">
        <f>H2587-G2587</f>
        <v>0.42149999999999999</v>
      </c>
    </row>
    <row r="2588" ht="14.25">
      <c r="A2588" s="5">
        <v>59615</v>
      </c>
      <c r="B2588" s="6" t="s">
        <v>2649</v>
      </c>
      <c r="C2588" s="7" t="s">
        <v>1446</v>
      </c>
      <c r="D2588" s="7" t="s">
        <v>1447</v>
      </c>
      <c r="E2588" s="5" t="s">
        <v>15</v>
      </c>
      <c r="F2588" s="8"/>
      <c r="G2588" s="9">
        <f>H2588*(1-15%)*(1-F2588)</f>
        <v>3.0004999999999997</v>
      </c>
      <c r="H2588" s="9">
        <v>3.5299999999999998</v>
      </c>
      <c r="I2588" s="9">
        <f>H2588-G2588</f>
        <v>0.52950000000000008</v>
      </c>
    </row>
    <row r="2589" ht="14.25">
      <c r="A2589" s="5">
        <v>59626</v>
      </c>
      <c r="B2589" s="6" t="s">
        <v>2650</v>
      </c>
      <c r="C2589" s="7" t="s">
        <v>1446</v>
      </c>
      <c r="D2589" s="7" t="s">
        <v>1447</v>
      </c>
      <c r="E2589" s="5" t="s">
        <v>15</v>
      </c>
      <c r="F2589" s="8"/>
      <c r="G2589" s="9">
        <f>H2589*(1-15%)*(1-F2589)</f>
        <v>5.6014999999999997</v>
      </c>
      <c r="H2589" s="9">
        <v>6.5899999999999999</v>
      </c>
      <c r="I2589" s="9">
        <f>H2589-G2589</f>
        <v>0.98850000000000016</v>
      </c>
    </row>
    <row r="2590" ht="14.25">
      <c r="A2590" s="5">
        <v>59627</v>
      </c>
      <c r="B2590" s="6" t="s">
        <v>2651</v>
      </c>
      <c r="C2590" s="7" t="s">
        <v>1446</v>
      </c>
      <c r="D2590" s="7" t="s">
        <v>1447</v>
      </c>
      <c r="E2590" s="5" t="s">
        <v>15</v>
      </c>
      <c r="F2590" s="8"/>
      <c r="G2590" s="9">
        <f>H2590*(1-15%)*(1-F2590)</f>
        <v>9.1799999999999997</v>
      </c>
      <c r="H2590" s="9">
        <v>10.800000000000001</v>
      </c>
      <c r="I2590" s="9">
        <f>H2590-G2590</f>
        <v>1.620000000000001</v>
      </c>
    </row>
    <row r="2591" ht="14.25">
      <c r="A2591" s="5">
        <v>59628</v>
      </c>
      <c r="B2591" s="6" t="s">
        <v>2652</v>
      </c>
      <c r="C2591" s="7" t="s">
        <v>1446</v>
      </c>
      <c r="D2591" s="7" t="s">
        <v>1447</v>
      </c>
      <c r="E2591" s="5" t="s">
        <v>15</v>
      </c>
      <c r="F2591" s="8"/>
      <c r="G2591" s="9">
        <f>H2591*(1-15%)*(1-F2591)</f>
        <v>13.047499999999999</v>
      </c>
      <c r="H2591" s="9">
        <v>15.35</v>
      </c>
      <c r="I2591" s="9">
        <f>H2591-G2591</f>
        <v>2.3025000000000002</v>
      </c>
    </row>
    <row r="2592" ht="14.25">
      <c r="A2592" s="5">
        <v>59632</v>
      </c>
      <c r="B2592" s="6" t="s">
        <v>2653</v>
      </c>
      <c r="C2592" s="7" t="s">
        <v>1446</v>
      </c>
      <c r="D2592" s="7" t="s">
        <v>1447</v>
      </c>
      <c r="E2592" s="5" t="s">
        <v>15</v>
      </c>
      <c r="F2592" s="8"/>
      <c r="G2592" s="9">
        <f>H2592*(1-15%)*(1-F2592)</f>
        <v>0.59499999999999997</v>
      </c>
      <c r="H2592" s="9">
        <v>0.69999999999999996</v>
      </c>
      <c r="I2592" s="9">
        <f>H2592-G2592</f>
        <v>0.10499999999999998</v>
      </c>
    </row>
    <row r="2593" ht="14.25">
      <c r="A2593" s="5">
        <v>59635</v>
      </c>
      <c r="B2593" s="6" t="s">
        <v>2654</v>
      </c>
      <c r="C2593" s="7" t="s">
        <v>1446</v>
      </c>
      <c r="D2593" s="7" t="s">
        <v>1447</v>
      </c>
      <c r="E2593" s="5" t="s">
        <v>15</v>
      </c>
      <c r="F2593" s="8"/>
      <c r="G2593" s="9">
        <f>H2593*(1-15%)*(1-F2593)</f>
        <v>6.766</v>
      </c>
      <c r="H2593" s="9">
        <v>7.96</v>
      </c>
      <c r="I2593" s="9">
        <f>H2593-G2593</f>
        <v>1.194</v>
      </c>
    </row>
    <row r="2594" ht="14.25">
      <c r="A2594" s="5">
        <v>59636</v>
      </c>
      <c r="B2594" s="6" t="s">
        <v>2655</v>
      </c>
      <c r="C2594" s="7" t="s">
        <v>1446</v>
      </c>
      <c r="D2594" s="7" t="s">
        <v>1447</v>
      </c>
      <c r="E2594" s="5" t="s">
        <v>15</v>
      </c>
      <c r="F2594" s="8"/>
      <c r="G2594" s="9">
        <f>H2594*(1-15%)*(1-F2594)</f>
        <v>10.488999999999999</v>
      </c>
      <c r="H2594" s="9">
        <v>12.34</v>
      </c>
      <c r="I2594" s="9">
        <f>H2594-G2594</f>
        <v>1.8510000000000009</v>
      </c>
    </row>
    <row r="2595" ht="14.25">
      <c r="A2595" s="5">
        <v>59637</v>
      </c>
      <c r="B2595" s="6" t="s">
        <v>2656</v>
      </c>
      <c r="C2595" s="7" t="s">
        <v>1446</v>
      </c>
      <c r="D2595" s="7" t="s">
        <v>1447</v>
      </c>
      <c r="E2595" s="5" t="s">
        <v>15</v>
      </c>
      <c r="F2595" s="8"/>
      <c r="G2595" s="9">
        <f>H2595*(1-15%)*(1-F2595)</f>
        <v>13.7615</v>
      </c>
      <c r="H2595" s="9">
        <v>16.190000000000001</v>
      </c>
      <c r="I2595" s="9">
        <f>H2595-G2595</f>
        <v>2.4285000000000014</v>
      </c>
    </row>
    <row r="2596" ht="14.25">
      <c r="A2596" s="5">
        <v>59640</v>
      </c>
      <c r="B2596" s="6" t="s">
        <v>2657</v>
      </c>
      <c r="C2596" s="7" t="s">
        <v>1446</v>
      </c>
      <c r="D2596" s="7" t="s">
        <v>1447</v>
      </c>
      <c r="E2596" s="5" t="s">
        <v>15</v>
      </c>
      <c r="F2596" s="8"/>
      <c r="G2596" s="9">
        <f>H2596*(1-15%)*(1-F2596)</f>
        <v>4.2839999999999998</v>
      </c>
      <c r="H2596" s="9">
        <v>5.04</v>
      </c>
      <c r="I2596" s="9">
        <f>H2596-G2596</f>
        <v>0.75600000000000023</v>
      </c>
    </row>
    <row r="2597" ht="14.25">
      <c r="A2597" s="5">
        <v>59641</v>
      </c>
      <c r="B2597" s="6" t="s">
        <v>2658</v>
      </c>
      <c r="C2597" s="7" t="s">
        <v>1446</v>
      </c>
      <c r="D2597" s="7" t="s">
        <v>1447</v>
      </c>
      <c r="E2597" s="5" t="s">
        <v>15</v>
      </c>
      <c r="F2597" s="8"/>
      <c r="G2597" s="9">
        <f>H2597*(1-15%)*(1-F2597)</f>
        <v>1.0114999999999998</v>
      </c>
      <c r="H2597" s="9">
        <v>1.1899999999999999</v>
      </c>
      <c r="I2597" s="9">
        <f>H2597-G2597</f>
        <v>0.1785000000000001</v>
      </c>
    </row>
    <row r="2598" ht="14.25">
      <c r="A2598" s="5">
        <v>59814</v>
      </c>
      <c r="B2598" s="6" t="s">
        <v>2659</v>
      </c>
      <c r="C2598" s="7" t="s">
        <v>1446</v>
      </c>
      <c r="D2598" s="7" t="s">
        <v>1447</v>
      </c>
      <c r="E2598" s="5" t="s">
        <v>15</v>
      </c>
      <c r="F2598" s="8"/>
      <c r="G2598" s="9">
        <f>H2598*(1-15%)*(1-F2598)</f>
        <v>17.628999999999998</v>
      </c>
      <c r="H2598" s="9">
        <v>20.739999999999998</v>
      </c>
      <c r="I2598" s="9">
        <f>H2598-G2598</f>
        <v>3.1110000000000007</v>
      </c>
    </row>
    <row r="2599" ht="14.25">
      <c r="A2599" s="5">
        <v>59815</v>
      </c>
      <c r="B2599" s="6" t="s">
        <v>2660</v>
      </c>
      <c r="C2599" s="7" t="s">
        <v>1446</v>
      </c>
      <c r="D2599" s="7" t="s">
        <v>1447</v>
      </c>
      <c r="E2599" s="5" t="s">
        <v>15</v>
      </c>
      <c r="F2599" s="8"/>
      <c r="G2599" s="9">
        <f>H2599*(1-15%)*(1-F2599)</f>
        <v>31.585999999999995</v>
      </c>
      <c r="H2599" s="9">
        <v>37.159999999999997</v>
      </c>
      <c r="I2599" s="9">
        <f>H2599-G2599</f>
        <v>5.5740000000000016</v>
      </c>
    </row>
    <row r="2600" ht="14.25">
      <c r="A2600" s="5">
        <v>59816</v>
      </c>
      <c r="B2600" s="6" t="s">
        <v>2661</v>
      </c>
      <c r="C2600" s="7" t="s">
        <v>1446</v>
      </c>
      <c r="D2600" s="7" t="s">
        <v>1447</v>
      </c>
      <c r="E2600" s="5" t="s">
        <v>15</v>
      </c>
      <c r="F2600" s="8"/>
      <c r="G2600" s="9">
        <f>H2600*(1-15%)*(1-F2600)</f>
        <v>4.7344999999999997</v>
      </c>
      <c r="H2600" s="9">
        <v>5.5700000000000003</v>
      </c>
      <c r="I2600" s="9">
        <f>H2600-G2600</f>
        <v>0.83550000000000058</v>
      </c>
    </row>
    <row r="2601" ht="14.25">
      <c r="A2601" s="5">
        <v>59826</v>
      </c>
      <c r="B2601" s="6" t="s">
        <v>2662</v>
      </c>
      <c r="C2601" s="7" t="s">
        <v>1446</v>
      </c>
      <c r="D2601" s="7" t="s">
        <v>1447</v>
      </c>
      <c r="E2601" s="5" t="s">
        <v>15</v>
      </c>
      <c r="F2601" s="8"/>
      <c r="G2601" s="9">
        <f>H2601*(1-15%)*(1-F2601)</f>
        <v>3.7909999999999999</v>
      </c>
      <c r="H2601" s="9">
        <v>4.46</v>
      </c>
      <c r="I2601" s="9">
        <f>H2601-G2601</f>
        <v>0.66900000000000004</v>
      </c>
    </row>
    <row r="2602" ht="14.25">
      <c r="A2602" s="5">
        <v>59845</v>
      </c>
      <c r="B2602" s="6" t="s">
        <v>2663</v>
      </c>
      <c r="C2602" s="7" t="s">
        <v>226</v>
      </c>
      <c r="D2602" s="7" t="s">
        <v>52</v>
      </c>
      <c r="E2602" s="5" t="s">
        <v>43</v>
      </c>
      <c r="F2602" s="8"/>
      <c r="G2602" s="9">
        <f>H2602*(1-15%)*(1-F2602)</f>
        <v>54.314999999999998</v>
      </c>
      <c r="H2602" s="9">
        <v>63.899999999999999</v>
      </c>
      <c r="I2602" s="9">
        <f>H2602-G2602</f>
        <v>9.5850000000000009</v>
      </c>
    </row>
    <row r="2603" ht="14.25">
      <c r="A2603" s="5">
        <v>59873</v>
      </c>
      <c r="B2603" s="6" t="s">
        <v>2664</v>
      </c>
      <c r="C2603" s="7" t="s">
        <v>426</v>
      </c>
      <c r="D2603" s="7" t="s">
        <v>219</v>
      </c>
      <c r="E2603" s="5" t="s">
        <v>43</v>
      </c>
      <c r="F2603" s="8"/>
      <c r="G2603" s="9">
        <f>H2603*(1-15%)*(1-F2603)</f>
        <v>72.165000000000006</v>
      </c>
      <c r="H2603" s="9">
        <v>84.900000000000006</v>
      </c>
      <c r="I2603" s="9">
        <f>H2603-G2603</f>
        <v>12.734999999999999</v>
      </c>
    </row>
    <row r="2604" ht="14.25">
      <c r="A2604" s="5">
        <v>59875</v>
      </c>
      <c r="B2604" s="6" t="s">
        <v>2665</v>
      </c>
      <c r="C2604" s="7" t="s">
        <v>426</v>
      </c>
      <c r="D2604" s="7" t="s">
        <v>219</v>
      </c>
      <c r="E2604" s="5" t="s">
        <v>43</v>
      </c>
      <c r="F2604" s="8"/>
      <c r="G2604" s="9">
        <f>H2604*(1-15%)*(1-F2604)</f>
        <v>67.915000000000006</v>
      </c>
      <c r="H2604" s="9">
        <v>79.900000000000006</v>
      </c>
      <c r="I2604" s="9">
        <f>H2604-G2604</f>
        <v>11.984999999999999</v>
      </c>
    </row>
    <row r="2605" ht="14.25">
      <c r="A2605" s="5">
        <v>59876</v>
      </c>
      <c r="B2605" s="6" t="s">
        <v>2666</v>
      </c>
      <c r="C2605" s="7" t="s">
        <v>426</v>
      </c>
      <c r="D2605" s="7" t="s">
        <v>219</v>
      </c>
      <c r="E2605" s="5" t="s">
        <v>43</v>
      </c>
      <c r="F2605" s="8"/>
      <c r="G2605" s="9">
        <f>H2605*(1-15%)*(1-F2605)</f>
        <v>50.914999999999999</v>
      </c>
      <c r="H2605" s="9">
        <v>59.899999999999999</v>
      </c>
      <c r="I2605" s="9">
        <f>H2605-G2605</f>
        <v>8.9849999999999994</v>
      </c>
    </row>
    <row r="2606" ht="14.25">
      <c r="A2606" s="5">
        <v>70112</v>
      </c>
      <c r="B2606" s="6" t="s">
        <v>2667</v>
      </c>
      <c r="C2606" s="7" t="s">
        <v>397</v>
      </c>
      <c r="D2606" s="7" t="s">
        <v>45</v>
      </c>
      <c r="E2606" s="5" t="s">
        <v>26</v>
      </c>
      <c r="F2606" s="8"/>
      <c r="G2606" s="9">
        <f>H2606*(1-15%)*(1-F2606)</f>
        <v>50.914999999999999</v>
      </c>
      <c r="H2606" s="9">
        <v>59.899999999999999</v>
      </c>
      <c r="I2606" s="9">
        <f>H2606-G2606</f>
        <v>8.9849999999999994</v>
      </c>
    </row>
    <row r="2607" ht="14.25">
      <c r="A2607" s="5">
        <v>74055</v>
      </c>
      <c r="B2607" s="6" t="s">
        <v>2668</v>
      </c>
      <c r="C2607" s="7" t="s">
        <v>251</v>
      </c>
      <c r="D2607" s="7" t="s">
        <v>11</v>
      </c>
      <c r="E2607" s="5" t="s">
        <v>43</v>
      </c>
      <c r="F2607" s="8"/>
      <c r="G2607" s="9">
        <f>H2607*(1-15%)*(1-F2607)</f>
        <v>161.41499999999999</v>
      </c>
      <c r="H2607" s="9">
        <v>189.90000000000001</v>
      </c>
      <c r="I2607" s="9">
        <f>H2607-G2607</f>
        <v>28.485000000000014</v>
      </c>
    </row>
    <row r="2608" ht="14.25">
      <c r="A2608" s="5">
        <v>74096</v>
      </c>
      <c r="B2608" s="6" t="s">
        <v>2669</v>
      </c>
      <c r="C2608" s="7" t="s">
        <v>251</v>
      </c>
      <c r="D2608" s="7" t="s">
        <v>11</v>
      </c>
      <c r="E2608" s="5" t="s">
        <v>43</v>
      </c>
      <c r="F2608" s="8"/>
      <c r="G2608" s="9">
        <f>H2608*(1-15%)*(1-F2608)</f>
        <v>161.41499999999999</v>
      </c>
      <c r="H2608" s="9">
        <v>189.90000000000001</v>
      </c>
      <c r="I2608" s="9">
        <f>H2608-G2608</f>
        <v>28.485000000000014</v>
      </c>
    </row>
    <row r="2609" ht="14.25">
      <c r="A2609" s="5">
        <v>74103</v>
      </c>
      <c r="B2609" s="6" t="s">
        <v>2670</v>
      </c>
      <c r="C2609" s="7" t="s">
        <v>251</v>
      </c>
      <c r="D2609" s="7" t="s">
        <v>11</v>
      </c>
      <c r="E2609" s="5" t="s">
        <v>43</v>
      </c>
      <c r="F2609" s="8"/>
      <c r="G2609" s="9">
        <f>H2609*(1-15%)*(1-F2609)</f>
        <v>161.41499999999999</v>
      </c>
      <c r="H2609" s="9">
        <v>189.90000000000001</v>
      </c>
      <c r="I2609" s="9">
        <f>H2609-G2609</f>
        <v>28.485000000000014</v>
      </c>
    </row>
    <row r="2610" ht="14.25">
      <c r="A2610" s="5">
        <v>74965</v>
      </c>
      <c r="B2610" s="6" t="s">
        <v>2671</v>
      </c>
      <c r="C2610" s="7" t="s">
        <v>10</v>
      </c>
      <c r="D2610" s="7" t="s">
        <v>45</v>
      </c>
      <c r="E2610" s="5" t="s">
        <v>68</v>
      </c>
      <c r="F2610" s="8"/>
      <c r="G2610" s="9">
        <f>H2610*(1-15%)*(1-F2610)</f>
        <v>57.715000000000003</v>
      </c>
      <c r="H2610" s="9">
        <v>67.900000000000006</v>
      </c>
      <c r="I2610" s="9">
        <f>H2610-G2610</f>
        <v>10.185000000000002</v>
      </c>
    </row>
    <row r="2611" ht="14.25">
      <c r="A2611" s="5">
        <v>75149</v>
      </c>
      <c r="B2611" s="6" t="s">
        <v>2672</v>
      </c>
      <c r="C2611" s="7" t="s">
        <v>79</v>
      </c>
      <c r="D2611" s="7" t="s">
        <v>52</v>
      </c>
      <c r="E2611" s="5" t="s">
        <v>26</v>
      </c>
      <c r="F2611" s="8"/>
      <c r="G2611" s="9">
        <f>H2611*(1-15%)*(1-F2611)</f>
        <v>42.414999999999999</v>
      </c>
      <c r="H2611" s="9">
        <v>49.899999999999999</v>
      </c>
      <c r="I2611" s="9">
        <f>H2611-G2611</f>
        <v>7.4849999999999994</v>
      </c>
    </row>
    <row r="2612" ht="14.25">
      <c r="A2612" s="5">
        <v>75163</v>
      </c>
      <c r="B2612" s="6" t="s">
        <v>2673</v>
      </c>
      <c r="C2612" s="7" t="s">
        <v>79</v>
      </c>
      <c r="D2612" s="7" t="s">
        <v>52</v>
      </c>
      <c r="E2612" s="5" t="s">
        <v>39</v>
      </c>
      <c r="F2612" s="8"/>
      <c r="G2612" s="9">
        <f>H2612*(1-15%)*(1-F2612)</f>
        <v>42.414999999999999</v>
      </c>
      <c r="H2612" s="9">
        <v>49.899999999999999</v>
      </c>
      <c r="I2612" s="9">
        <f>H2612-G2612</f>
        <v>7.4849999999999994</v>
      </c>
    </row>
    <row r="2613" ht="14.25">
      <c r="A2613" s="5">
        <v>75164</v>
      </c>
      <c r="B2613" s="6" t="s">
        <v>2674</v>
      </c>
      <c r="C2613" s="7" t="s">
        <v>79</v>
      </c>
      <c r="D2613" s="7" t="s">
        <v>52</v>
      </c>
      <c r="E2613" s="5" t="s">
        <v>26</v>
      </c>
      <c r="F2613" s="8"/>
      <c r="G2613" s="9">
        <f>H2613*(1-15%)*(1-F2613)</f>
        <v>44.114999999999995</v>
      </c>
      <c r="H2613" s="9">
        <v>51.899999999999999</v>
      </c>
      <c r="I2613" s="9">
        <f>H2613-G2613</f>
        <v>7.7850000000000037</v>
      </c>
    </row>
    <row r="2614" ht="14.25">
      <c r="A2614" s="5">
        <v>77377</v>
      </c>
      <c r="B2614" s="6" t="s">
        <v>2675</v>
      </c>
      <c r="C2614" s="7" t="s">
        <v>1446</v>
      </c>
      <c r="D2614" s="7" t="s">
        <v>1447</v>
      </c>
      <c r="E2614" s="5" t="s">
        <v>15</v>
      </c>
      <c r="F2614" s="8"/>
      <c r="G2614" s="9">
        <f>H2614*(1-15%)*(1-F2614)</f>
        <v>16.914999999999999</v>
      </c>
      <c r="H2614" s="9">
        <v>19.899999999999999</v>
      </c>
      <c r="I2614" s="9">
        <f>H2614-G2614</f>
        <v>2.9849999999999994</v>
      </c>
    </row>
    <row r="2615" ht="14.25">
      <c r="A2615" s="5">
        <v>77483</v>
      </c>
      <c r="B2615" s="6" t="s">
        <v>2676</v>
      </c>
      <c r="C2615" s="7" t="s">
        <v>25</v>
      </c>
      <c r="D2615" s="7" t="s">
        <v>11</v>
      </c>
      <c r="E2615" s="5" t="s">
        <v>26</v>
      </c>
      <c r="F2615" s="8"/>
      <c r="G2615" s="9">
        <f>H2615*(1-15%)*(1-F2615)</f>
        <v>169.91499999999999</v>
      </c>
      <c r="H2615" s="9">
        <v>199.90000000000001</v>
      </c>
      <c r="I2615" s="9">
        <f>H2615-G2615</f>
        <v>29.985000000000014</v>
      </c>
    </row>
    <row r="2616" ht="14.25">
      <c r="A2616" s="5">
        <v>77484</v>
      </c>
      <c r="B2616" s="6" t="s">
        <v>2677</v>
      </c>
      <c r="C2616" s="7" t="s">
        <v>25</v>
      </c>
      <c r="D2616" s="7" t="s">
        <v>11</v>
      </c>
      <c r="E2616" s="5" t="s">
        <v>26</v>
      </c>
      <c r="F2616" s="8"/>
      <c r="G2616" s="9">
        <f>H2616*(1-15%)*(1-F2616)</f>
        <v>169.91499999999999</v>
      </c>
      <c r="H2616" s="9">
        <v>199.90000000000001</v>
      </c>
      <c r="I2616" s="9">
        <f>H2616-G2616</f>
        <v>29.985000000000014</v>
      </c>
    </row>
    <row r="2617" ht="14.25">
      <c r="A2617" s="5">
        <v>77486</v>
      </c>
      <c r="B2617" s="6" t="s">
        <v>2678</v>
      </c>
      <c r="C2617" s="7" t="s">
        <v>25</v>
      </c>
      <c r="D2617" s="7" t="s">
        <v>71</v>
      </c>
      <c r="E2617" s="5" t="s">
        <v>26</v>
      </c>
      <c r="F2617" s="8"/>
      <c r="G2617" s="9">
        <f>H2617*(1-15%)*(1-F2617)</f>
        <v>33.914999999999999</v>
      </c>
      <c r="H2617" s="9">
        <v>39.899999999999999</v>
      </c>
      <c r="I2617" s="9">
        <f>H2617-G2617</f>
        <v>5.9849999999999994</v>
      </c>
    </row>
    <row r="2618" ht="14.25">
      <c r="A2618" s="5">
        <v>77487</v>
      </c>
      <c r="B2618" s="6" t="s">
        <v>2679</v>
      </c>
      <c r="C2618" s="7" t="s">
        <v>25</v>
      </c>
      <c r="D2618" s="7" t="s">
        <v>71</v>
      </c>
      <c r="E2618" s="5" t="s">
        <v>15</v>
      </c>
      <c r="F2618" s="8"/>
      <c r="G2618" s="9">
        <f>H2618*(1-15%)*(1-F2618)</f>
        <v>33.914999999999999</v>
      </c>
      <c r="H2618" s="9">
        <v>39.899999999999999</v>
      </c>
      <c r="I2618" s="9">
        <f>H2618-G2618</f>
        <v>5.9849999999999994</v>
      </c>
    </row>
    <row r="2619" ht="14.25">
      <c r="A2619" s="5">
        <v>77488</v>
      </c>
      <c r="B2619" s="6" t="s">
        <v>2680</v>
      </c>
      <c r="C2619" s="7" t="s">
        <v>25</v>
      </c>
      <c r="D2619" s="7" t="s">
        <v>71</v>
      </c>
      <c r="E2619" s="5" t="s">
        <v>15</v>
      </c>
      <c r="F2619" s="8"/>
      <c r="G2619" s="9">
        <f>H2619*(1-15%)*(1-F2619)</f>
        <v>32.214999999999996</v>
      </c>
      <c r="H2619" s="9">
        <v>37.899999999999999</v>
      </c>
      <c r="I2619" s="9">
        <f>H2619-G2619</f>
        <v>5.6850000000000023</v>
      </c>
    </row>
    <row r="2620" ht="14.25">
      <c r="A2620" s="5">
        <v>78174</v>
      </c>
      <c r="B2620" s="6" t="s">
        <v>2681</v>
      </c>
      <c r="C2620" s="7" t="s">
        <v>1446</v>
      </c>
      <c r="D2620" s="7" t="s">
        <v>1447</v>
      </c>
      <c r="E2620" s="5" t="s">
        <v>15</v>
      </c>
      <c r="F2620" s="8"/>
      <c r="G2620" s="9">
        <f>H2620*(1-15%)*(1-F2620)</f>
        <v>1.0114999999999998</v>
      </c>
      <c r="H2620" s="9">
        <v>1.1899999999999999</v>
      </c>
      <c r="I2620" s="9">
        <f>H2620-G2620</f>
        <v>0.1785000000000001</v>
      </c>
    </row>
    <row r="2621" ht="14.25">
      <c r="A2621" s="5">
        <v>78235</v>
      </c>
      <c r="B2621" s="6" t="s">
        <v>2682</v>
      </c>
      <c r="C2621" s="7" t="s">
        <v>1446</v>
      </c>
      <c r="D2621" s="7" t="s">
        <v>1447</v>
      </c>
      <c r="E2621" s="5" t="s">
        <v>15</v>
      </c>
      <c r="F2621" s="8"/>
      <c r="G2621" s="9">
        <f>H2621*(1-15%)*(1-F2621)</f>
        <v>0.63749999999999996</v>
      </c>
      <c r="H2621" s="9">
        <v>0.75</v>
      </c>
      <c r="I2621" s="9">
        <f>H2621-G2621</f>
        <v>0.11250000000000004</v>
      </c>
    </row>
    <row r="2622" ht="14.25">
      <c r="A2622" s="5">
        <v>78531</v>
      </c>
      <c r="B2622" s="6" t="s">
        <v>2683</v>
      </c>
      <c r="C2622" s="7" t="s">
        <v>1446</v>
      </c>
      <c r="D2622" s="7" t="s">
        <v>1447</v>
      </c>
      <c r="E2622" s="5" t="s">
        <v>15</v>
      </c>
      <c r="F2622" s="8"/>
      <c r="G2622" s="9">
        <f>H2622*(1-15%)*(1-F2622)</f>
        <v>18.614999999999998</v>
      </c>
      <c r="H2622" s="9">
        <v>21.899999999999999</v>
      </c>
      <c r="I2622" s="9">
        <f>H2622-G2622</f>
        <v>3.2850000000000001</v>
      </c>
    </row>
    <row r="2623" ht="14.25">
      <c r="A2623" s="5">
        <v>78589</v>
      </c>
      <c r="B2623" s="6" t="s">
        <v>2684</v>
      </c>
      <c r="C2623" s="7" t="s">
        <v>1446</v>
      </c>
      <c r="D2623" s="7" t="s">
        <v>1447</v>
      </c>
      <c r="E2623" s="5" t="s">
        <v>15</v>
      </c>
      <c r="F2623" s="8"/>
      <c r="G2623" s="9">
        <f>H2623*(1-15%)*(1-F2623)</f>
        <v>18.614999999999998</v>
      </c>
      <c r="H2623" s="9">
        <v>21.899999999999999</v>
      </c>
      <c r="I2623" s="9">
        <f>H2623-G2623</f>
        <v>3.2850000000000001</v>
      </c>
    </row>
    <row r="2624" ht="14.25">
      <c r="A2624" s="5">
        <v>78609</v>
      </c>
      <c r="B2624" s="6" t="s">
        <v>2685</v>
      </c>
      <c r="C2624" s="7" t="s">
        <v>1446</v>
      </c>
      <c r="D2624" s="7" t="s">
        <v>1447</v>
      </c>
      <c r="E2624" s="5" t="s">
        <v>15</v>
      </c>
      <c r="F2624" s="8"/>
      <c r="G2624" s="9">
        <f>H2624*(1-15%)*(1-F2624)</f>
        <v>10.0555</v>
      </c>
      <c r="H2624" s="9">
        <v>11.83</v>
      </c>
      <c r="I2624" s="9">
        <f>H2624-G2624</f>
        <v>1.7744999999999997</v>
      </c>
    </row>
    <row r="2625" ht="14.25">
      <c r="A2625" s="5">
        <v>78610</v>
      </c>
      <c r="B2625" s="6" t="s">
        <v>2686</v>
      </c>
      <c r="C2625" s="7" t="s">
        <v>1446</v>
      </c>
      <c r="D2625" s="7" t="s">
        <v>1447</v>
      </c>
      <c r="E2625" s="5" t="s">
        <v>15</v>
      </c>
      <c r="F2625" s="8"/>
      <c r="G2625" s="9">
        <f>H2625*(1-15%)*(1-F2625)</f>
        <v>16.991499999999998</v>
      </c>
      <c r="H2625" s="9">
        <v>19.989999999999998</v>
      </c>
      <c r="I2625" s="9">
        <f>H2625-G2625</f>
        <v>2.9984999999999999</v>
      </c>
    </row>
    <row r="2626" ht="14.25">
      <c r="A2626" s="5">
        <v>78614</v>
      </c>
      <c r="B2626" s="6" t="s">
        <v>2687</v>
      </c>
      <c r="C2626" s="7" t="s">
        <v>1446</v>
      </c>
      <c r="D2626" s="7" t="s">
        <v>1447</v>
      </c>
      <c r="E2626" s="5" t="s">
        <v>15</v>
      </c>
      <c r="F2626" s="8"/>
      <c r="G2626" s="9">
        <f>H2626*(1-15%)*(1-F2626)</f>
        <v>1.4449999999999998</v>
      </c>
      <c r="H2626" s="9">
        <v>1.7</v>
      </c>
      <c r="I2626" s="9">
        <f>H2626-G2626</f>
        <v>0.25500000000000012</v>
      </c>
    </row>
    <row r="2627" ht="14.25">
      <c r="A2627" s="5">
        <v>78618</v>
      </c>
      <c r="B2627" s="6" t="s">
        <v>2688</v>
      </c>
      <c r="C2627" s="7" t="s">
        <v>1446</v>
      </c>
      <c r="D2627" s="7" t="s">
        <v>1447</v>
      </c>
      <c r="E2627" s="5" t="s">
        <v>15</v>
      </c>
      <c r="F2627" s="8"/>
      <c r="G2627" s="9">
        <f>H2627*(1-15%)*(1-F2627)</f>
        <v>13.855</v>
      </c>
      <c r="H2627" s="9">
        <v>16.300000000000001</v>
      </c>
      <c r="I2627" s="9">
        <f>H2627-G2627</f>
        <v>2.4450000000000003</v>
      </c>
    </row>
    <row r="2628" ht="14.25">
      <c r="A2628" s="5">
        <v>78623</v>
      </c>
      <c r="B2628" s="6" t="s">
        <v>2689</v>
      </c>
      <c r="C2628" s="7" t="s">
        <v>1446</v>
      </c>
      <c r="D2628" s="7" t="s">
        <v>1447</v>
      </c>
      <c r="E2628" s="5" t="s">
        <v>15</v>
      </c>
      <c r="F2628" s="8"/>
      <c r="G2628" s="9">
        <f>H2628*(1-15%)*(1-F2628)</f>
        <v>0.93500000000000005</v>
      </c>
      <c r="H2628" s="9">
        <v>1.1000000000000001</v>
      </c>
      <c r="I2628" s="9">
        <f>H2628-G2628</f>
        <v>0.16500000000000004</v>
      </c>
    </row>
    <row r="2629" ht="14.25">
      <c r="A2629" s="5">
        <v>79354</v>
      </c>
      <c r="B2629" s="6" t="s">
        <v>2690</v>
      </c>
      <c r="C2629" s="7" t="s">
        <v>1446</v>
      </c>
      <c r="D2629" s="7" t="s">
        <v>1447</v>
      </c>
      <c r="E2629" s="5" t="s">
        <v>15</v>
      </c>
      <c r="F2629" s="8"/>
      <c r="G2629" s="9">
        <f>H2629*(1-15%)*(1-F2629)</f>
        <v>31.279999999999998</v>
      </c>
      <c r="H2629" s="9">
        <v>36.799999999999997</v>
      </c>
      <c r="I2629" s="9">
        <f>H2629-G2629</f>
        <v>5.5199999999999996</v>
      </c>
    </row>
    <row r="2630" ht="14.25">
      <c r="A2630" s="5">
        <v>79997</v>
      </c>
      <c r="B2630" s="6" t="s">
        <v>2691</v>
      </c>
      <c r="C2630" s="7" t="s">
        <v>251</v>
      </c>
      <c r="D2630" s="7" t="s">
        <v>71</v>
      </c>
      <c r="E2630" s="5" t="s">
        <v>39</v>
      </c>
      <c r="F2630" s="8"/>
      <c r="G2630" s="9">
        <f>H2630*(1-15%)*(1-F2630)</f>
        <v>33.914999999999999</v>
      </c>
      <c r="H2630" s="9">
        <v>39.899999999999999</v>
      </c>
      <c r="I2630" s="9">
        <f>H2630-G2630</f>
        <v>5.9849999999999994</v>
      </c>
    </row>
    <row r="2631" ht="14.25">
      <c r="A2631" s="5">
        <v>79998</v>
      </c>
      <c r="B2631" s="6" t="s">
        <v>2692</v>
      </c>
      <c r="C2631" s="7" t="s">
        <v>251</v>
      </c>
      <c r="D2631" s="7" t="s">
        <v>71</v>
      </c>
      <c r="E2631" s="5" t="s">
        <v>68</v>
      </c>
      <c r="F2631" s="8"/>
      <c r="G2631" s="9">
        <f>H2631*(1-15%)*(1-F2631)</f>
        <v>42.414999999999999</v>
      </c>
      <c r="H2631" s="9">
        <v>49.899999999999999</v>
      </c>
      <c r="I2631" s="9">
        <f>H2631-G2631</f>
        <v>7.4849999999999994</v>
      </c>
    </row>
    <row r="2632" ht="14.25">
      <c r="A2632" s="5">
        <v>80887</v>
      </c>
      <c r="B2632" s="6" t="s">
        <v>2693</v>
      </c>
      <c r="C2632" s="7" t="s">
        <v>25</v>
      </c>
      <c r="D2632" s="7" t="s">
        <v>71</v>
      </c>
      <c r="E2632" s="5" t="s">
        <v>68</v>
      </c>
      <c r="F2632" s="8"/>
      <c r="G2632" s="9">
        <f>H2632*(1-15%)*(1-F2632)</f>
        <v>42.414999999999999</v>
      </c>
      <c r="H2632" s="9">
        <v>49.899999999999999</v>
      </c>
      <c r="I2632" s="9">
        <f>H2632-G2632</f>
        <v>7.4849999999999994</v>
      </c>
    </row>
    <row r="2633" ht="14.25">
      <c r="A2633" s="5">
        <v>81108</v>
      </c>
      <c r="B2633" s="6" t="s">
        <v>2694</v>
      </c>
      <c r="C2633" s="7" t="s">
        <v>251</v>
      </c>
      <c r="D2633" s="7" t="s">
        <v>11</v>
      </c>
      <c r="E2633" s="5" t="s">
        <v>26</v>
      </c>
      <c r="F2633" s="8"/>
      <c r="G2633" s="9">
        <f>H2633*(1-15%)*(1-F2633)</f>
        <v>161.41499999999999</v>
      </c>
      <c r="H2633" s="9">
        <v>189.90000000000001</v>
      </c>
      <c r="I2633" s="9">
        <f>H2633-G2633</f>
        <v>28.485000000000014</v>
      </c>
    </row>
    <row r="2634" ht="14.25">
      <c r="A2634" s="5">
        <v>82676</v>
      </c>
      <c r="B2634" s="6" t="s">
        <v>2695</v>
      </c>
      <c r="C2634" s="7" t="s">
        <v>94</v>
      </c>
      <c r="D2634" s="7" t="s">
        <v>95</v>
      </c>
      <c r="E2634" s="5" t="s">
        <v>26</v>
      </c>
      <c r="F2634" s="8"/>
      <c r="G2634" s="9">
        <f>H2634*(1-15%)*(1-F2634)</f>
        <v>135.91499999999999</v>
      </c>
      <c r="H2634" s="9">
        <v>159.90000000000001</v>
      </c>
      <c r="I2634" s="9">
        <f>H2634-G2634</f>
        <v>23.985000000000014</v>
      </c>
    </row>
    <row r="2635" ht="14.25">
      <c r="A2635" s="5">
        <v>83054</v>
      </c>
      <c r="B2635" s="6" t="s">
        <v>2696</v>
      </c>
      <c r="C2635" s="7" t="s">
        <v>82</v>
      </c>
      <c r="D2635" s="7" t="s">
        <v>11</v>
      </c>
      <c r="E2635" s="5" t="s">
        <v>39</v>
      </c>
      <c r="F2635" s="8"/>
      <c r="G2635" s="9">
        <f>H2635*(1-15%)*(1-F2635)</f>
        <v>78.965000000000003</v>
      </c>
      <c r="H2635" s="9">
        <v>92.900000000000006</v>
      </c>
      <c r="I2635" s="9">
        <f>H2635-G2635</f>
        <v>13.935000000000002</v>
      </c>
    </row>
    <row r="2636" ht="14.25">
      <c r="A2636" s="5">
        <v>83071</v>
      </c>
      <c r="B2636" s="6" t="s">
        <v>2697</v>
      </c>
      <c r="C2636" s="7" t="s">
        <v>75</v>
      </c>
      <c r="D2636" s="7" t="s">
        <v>95</v>
      </c>
      <c r="E2636" s="5" t="s">
        <v>26</v>
      </c>
      <c r="F2636" s="8"/>
      <c r="G2636" s="9">
        <f>H2636*(1-15%)*(1-F2636)</f>
        <v>42.414999999999999</v>
      </c>
      <c r="H2636" s="9">
        <v>49.899999999999999</v>
      </c>
      <c r="I2636" s="9">
        <f>H2636-G2636</f>
        <v>7.4849999999999994</v>
      </c>
    </row>
    <row r="2637" ht="14.25">
      <c r="A2637" s="5">
        <v>84107</v>
      </c>
      <c r="B2637" s="6" t="s">
        <v>2698</v>
      </c>
      <c r="C2637" s="7" t="s">
        <v>251</v>
      </c>
      <c r="D2637" s="7" t="s">
        <v>71</v>
      </c>
      <c r="E2637" s="5" t="s">
        <v>15</v>
      </c>
      <c r="F2637" s="8"/>
      <c r="G2637" s="9">
        <f>H2637*(1-15%)*(1-F2637)</f>
        <v>33.914999999999999</v>
      </c>
      <c r="H2637" s="9">
        <v>39.899999999999999</v>
      </c>
      <c r="I2637" s="9">
        <f>H2637-G2637</f>
        <v>5.9849999999999994</v>
      </c>
    </row>
    <row r="2638" ht="14.25">
      <c r="A2638" s="5">
        <v>84200</v>
      </c>
      <c r="B2638" s="6" t="s">
        <v>2699</v>
      </c>
      <c r="C2638" s="7" t="s">
        <v>94</v>
      </c>
      <c r="D2638" s="7" t="s">
        <v>95</v>
      </c>
      <c r="E2638" s="5" t="s">
        <v>26</v>
      </c>
      <c r="F2638" s="8"/>
      <c r="G2638" s="9">
        <f>H2638*(1-15%)*(1-F2638)</f>
        <v>27.964999999999996</v>
      </c>
      <c r="H2638" s="9">
        <v>32.899999999999999</v>
      </c>
      <c r="I2638" s="9">
        <f>H2638-G2638</f>
        <v>4.9350000000000023</v>
      </c>
    </row>
    <row r="2639" ht="14.25">
      <c r="A2639" s="5">
        <v>84201</v>
      </c>
      <c r="B2639" s="6" t="s">
        <v>2700</v>
      </c>
      <c r="C2639" s="7" t="s">
        <v>94</v>
      </c>
      <c r="D2639" s="7" t="s">
        <v>95</v>
      </c>
      <c r="E2639" s="5" t="s">
        <v>26</v>
      </c>
      <c r="F2639" s="8"/>
      <c r="G2639" s="9">
        <f>H2639*(1-15%)*(1-F2639)</f>
        <v>27.964999999999996</v>
      </c>
      <c r="H2639" s="9">
        <v>32.899999999999999</v>
      </c>
      <c r="I2639" s="9">
        <f>H2639-G2639</f>
        <v>4.9350000000000023</v>
      </c>
    </row>
    <row r="2640" ht="14.25">
      <c r="A2640" s="5">
        <v>84224</v>
      </c>
      <c r="B2640" s="6" t="s">
        <v>2701</v>
      </c>
      <c r="C2640" s="7" t="s">
        <v>251</v>
      </c>
      <c r="D2640" s="7" t="s">
        <v>11</v>
      </c>
      <c r="E2640" s="5" t="s">
        <v>39</v>
      </c>
      <c r="F2640" s="8"/>
      <c r="G2640" s="9">
        <f>H2640*(1-15%)*(1-F2640)</f>
        <v>161.41499999999999</v>
      </c>
      <c r="H2640" s="9">
        <v>189.90000000000001</v>
      </c>
      <c r="I2640" s="9">
        <f>H2640-G2640</f>
        <v>28.485000000000014</v>
      </c>
    </row>
    <row r="2641" ht="14.25">
      <c r="A2641" s="5">
        <v>84226</v>
      </c>
      <c r="B2641" s="6" t="s">
        <v>2702</v>
      </c>
      <c r="C2641" s="7" t="s">
        <v>251</v>
      </c>
      <c r="D2641" s="7" t="s">
        <v>71</v>
      </c>
      <c r="E2641" s="5" t="s">
        <v>15</v>
      </c>
      <c r="F2641" s="8"/>
      <c r="G2641" s="9">
        <f>H2641*(1-15%)*(1-F2641)</f>
        <v>33.914999999999999</v>
      </c>
      <c r="H2641" s="9">
        <v>39.899999999999999</v>
      </c>
      <c r="I2641" s="9">
        <f>H2641-G2641</f>
        <v>5.9849999999999994</v>
      </c>
    </row>
    <row r="2642" ht="14.25">
      <c r="A2642" s="5">
        <v>84228</v>
      </c>
      <c r="B2642" s="6" t="s">
        <v>2703</v>
      </c>
      <c r="C2642" s="7" t="s">
        <v>251</v>
      </c>
      <c r="D2642" s="7" t="s">
        <v>71</v>
      </c>
      <c r="E2642" s="5" t="s">
        <v>39</v>
      </c>
      <c r="F2642" s="8"/>
      <c r="G2642" s="9">
        <f>H2642*(1-15%)*(1-F2642)</f>
        <v>42.414999999999999</v>
      </c>
      <c r="H2642" s="9">
        <v>49.899999999999999</v>
      </c>
      <c r="I2642" s="9">
        <f>H2642-G2642</f>
        <v>7.4849999999999994</v>
      </c>
    </row>
    <row r="2643" ht="14.25">
      <c r="A2643" s="5">
        <v>84385</v>
      </c>
      <c r="B2643" s="6" t="s">
        <v>2704</v>
      </c>
      <c r="C2643" s="7" t="s">
        <v>10</v>
      </c>
      <c r="D2643" s="7" t="s">
        <v>11</v>
      </c>
      <c r="E2643" s="5" t="s">
        <v>39</v>
      </c>
      <c r="F2643" s="8"/>
      <c r="G2643" s="9">
        <f>H2643*(1-15%)*(1-F2643)</f>
        <v>297.41499999999996</v>
      </c>
      <c r="H2643" s="9">
        <v>349.89999999999998</v>
      </c>
      <c r="I2643" s="9">
        <f>H2643-G2643</f>
        <v>52.485000000000014</v>
      </c>
    </row>
    <row r="2644" ht="14.25">
      <c r="A2644" s="5">
        <v>84387</v>
      </c>
      <c r="B2644" s="6" t="s">
        <v>2705</v>
      </c>
      <c r="C2644" s="7" t="s">
        <v>10</v>
      </c>
      <c r="D2644" s="7" t="s">
        <v>11</v>
      </c>
      <c r="E2644" s="5" t="s">
        <v>12</v>
      </c>
      <c r="F2644" s="8"/>
      <c r="G2644" s="9">
        <f>H2644*(1-15%)*(1-F2644)</f>
        <v>178.41499999999999</v>
      </c>
      <c r="H2644" s="9">
        <v>209.90000000000001</v>
      </c>
      <c r="I2644" s="9">
        <f>H2644-G2644</f>
        <v>31.485000000000014</v>
      </c>
    </row>
    <row r="2645" ht="14.25">
      <c r="A2645" s="5">
        <v>84388</v>
      </c>
      <c r="B2645" s="6" t="s">
        <v>2706</v>
      </c>
      <c r="C2645" s="7" t="s">
        <v>10</v>
      </c>
      <c r="D2645" s="7" t="s">
        <v>11</v>
      </c>
      <c r="E2645" s="5" t="s">
        <v>43</v>
      </c>
      <c r="F2645" s="8"/>
      <c r="G2645" s="9">
        <f>H2645*(1-15%)*(1-F2645)</f>
        <v>212.41499999999999</v>
      </c>
      <c r="H2645" s="9">
        <v>249.90000000000001</v>
      </c>
      <c r="I2645" s="9">
        <f>H2645-G2645</f>
        <v>37.485000000000014</v>
      </c>
    </row>
    <row r="2646" ht="14.25">
      <c r="A2646" s="5">
        <v>84389</v>
      </c>
      <c r="B2646" s="6" t="s">
        <v>2707</v>
      </c>
      <c r="C2646" s="7" t="s">
        <v>10</v>
      </c>
      <c r="D2646" s="7" t="s">
        <v>11</v>
      </c>
      <c r="E2646" s="5" t="s">
        <v>39</v>
      </c>
      <c r="F2646" s="8"/>
      <c r="G2646" s="9">
        <f>H2646*(1-15%)*(1-F2646)</f>
        <v>186.91499999999999</v>
      </c>
      <c r="H2646" s="9">
        <v>219.90000000000001</v>
      </c>
      <c r="I2646" s="9">
        <f>H2646-G2646</f>
        <v>32.985000000000014</v>
      </c>
    </row>
    <row r="2647" ht="14.25">
      <c r="A2647" s="5">
        <v>84390</v>
      </c>
      <c r="B2647" s="6" t="s">
        <v>2708</v>
      </c>
      <c r="C2647" s="7" t="s">
        <v>10</v>
      </c>
      <c r="D2647" s="7" t="s">
        <v>11</v>
      </c>
      <c r="E2647" s="5" t="s">
        <v>12</v>
      </c>
      <c r="F2647" s="8"/>
      <c r="G2647" s="9">
        <f>H2647*(1-15%)*(1-F2647)</f>
        <v>203.91499999999999</v>
      </c>
      <c r="H2647" s="9">
        <v>239.90000000000001</v>
      </c>
      <c r="I2647" s="9">
        <f>H2647-G2647</f>
        <v>35.985000000000014</v>
      </c>
    </row>
    <row r="2648" ht="14.25">
      <c r="A2648" s="5">
        <v>84391</v>
      </c>
      <c r="B2648" s="6" t="s">
        <v>2709</v>
      </c>
      <c r="C2648" s="7" t="s">
        <v>10</v>
      </c>
      <c r="D2648" s="7" t="s">
        <v>11</v>
      </c>
      <c r="E2648" s="5" t="s">
        <v>12</v>
      </c>
      <c r="F2648" s="8"/>
      <c r="G2648" s="9">
        <f>H2648*(1-15%)*(1-F2648)</f>
        <v>203.91499999999999</v>
      </c>
      <c r="H2648" s="9">
        <v>239.90000000000001</v>
      </c>
      <c r="I2648" s="9">
        <f>H2648-G2648</f>
        <v>35.985000000000014</v>
      </c>
    </row>
    <row r="2649" ht="14.25">
      <c r="A2649" s="5">
        <v>84392</v>
      </c>
      <c r="B2649" s="6" t="s">
        <v>2710</v>
      </c>
      <c r="C2649" s="7" t="s">
        <v>10</v>
      </c>
      <c r="D2649" s="7" t="s">
        <v>11</v>
      </c>
      <c r="E2649" s="5" t="s">
        <v>12</v>
      </c>
      <c r="F2649" s="8"/>
      <c r="G2649" s="9">
        <f>H2649*(1-15%)*(1-F2649)</f>
        <v>212.41499999999999</v>
      </c>
      <c r="H2649" s="9">
        <v>249.90000000000001</v>
      </c>
      <c r="I2649" s="9">
        <f>H2649-G2649</f>
        <v>37.485000000000014</v>
      </c>
    </row>
    <row r="2650" ht="14.25">
      <c r="A2650" s="5">
        <v>84398</v>
      </c>
      <c r="B2650" s="6" t="s">
        <v>2711</v>
      </c>
      <c r="C2650" s="7" t="s">
        <v>10</v>
      </c>
      <c r="D2650" s="7" t="s">
        <v>11</v>
      </c>
      <c r="E2650" s="5" t="s">
        <v>39</v>
      </c>
      <c r="F2650" s="8"/>
      <c r="G2650" s="9">
        <f>H2650*(1-15%)*(1-F2650)</f>
        <v>186.91499999999999</v>
      </c>
      <c r="H2650" s="9">
        <v>219.90000000000001</v>
      </c>
      <c r="I2650" s="9">
        <f>H2650-G2650</f>
        <v>32.985000000000014</v>
      </c>
    </row>
    <row r="2651" ht="14.25">
      <c r="A2651" s="5">
        <v>84399</v>
      </c>
      <c r="B2651" s="6" t="s">
        <v>2712</v>
      </c>
      <c r="C2651" s="7" t="s">
        <v>10</v>
      </c>
      <c r="D2651" s="7" t="s">
        <v>11</v>
      </c>
      <c r="E2651" s="5" t="s">
        <v>26</v>
      </c>
      <c r="F2651" s="8"/>
      <c r="G2651" s="9">
        <f>H2651*(1-15%)*(1-F2651)</f>
        <v>203.91499999999999</v>
      </c>
      <c r="H2651" s="9">
        <v>239.90000000000001</v>
      </c>
      <c r="I2651" s="9">
        <f>H2651-G2651</f>
        <v>35.985000000000014</v>
      </c>
    </row>
    <row r="2652" ht="14.25">
      <c r="A2652" s="5">
        <v>84654</v>
      </c>
      <c r="B2652" s="6" t="s">
        <v>2713</v>
      </c>
      <c r="C2652" s="7" t="s">
        <v>10</v>
      </c>
      <c r="D2652" s="7" t="s">
        <v>103</v>
      </c>
      <c r="E2652" s="5" t="s">
        <v>15</v>
      </c>
      <c r="F2652" s="8"/>
      <c r="G2652" s="9">
        <f>H2652*(1-15%)*(1-F2652)</f>
        <v>45.814999999999998</v>
      </c>
      <c r="H2652" s="9">
        <v>53.899999999999999</v>
      </c>
      <c r="I2652" s="9">
        <f>H2652-G2652</f>
        <v>8.0850000000000009</v>
      </c>
    </row>
    <row r="2653" ht="14.25">
      <c r="A2653" s="5">
        <v>84677</v>
      </c>
      <c r="B2653" s="6" t="s">
        <v>2714</v>
      </c>
      <c r="C2653" s="7" t="s">
        <v>10</v>
      </c>
      <c r="D2653" s="7" t="s">
        <v>103</v>
      </c>
      <c r="E2653" s="5" t="s">
        <v>15</v>
      </c>
      <c r="F2653" s="8"/>
      <c r="G2653" s="9">
        <f>H2653*(1-15%)*(1-F2653)</f>
        <v>25.414999999999999</v>
      </c>
      <c r="H2653" s="9">
        <v>29.899999999999999</v>
      </c>
      <c r="I2653" s="9">
        <f>H2653-G2653</f>
        <v>4.4849999999999994</v>
      </c>
    </row>
    <row r="2654" ht="14.25">
      <c r="A2654" s="5">
        <v>84682</v>
      </c>
      <c r="B2654" s="6" t="s">
        <v>2715</v>
      </c>
      <c r="C2654" s="7" t="s">
        <v>10</v>
      </c>
      <c r="D2654" s="7" t="s">
        <v>103</v>
      </c>
      <c r="E2654" s="5" t="s">
        <v>133</v>
      </c>
      <c r="F2654" s="8"/>
      <c r="G2654" s="9">
        <f>H2654*(1-15%)*(1-F2654)</f>
        <v>27.114999999999998</v>
      </c>
      <c r="H2654" s="9">
        <v>31.899999999999999</v>
      </c>
      <c r="I2654" s="9">
        <f>H2654-G2654</f>
        <v>4.7850000000000001</v>
      </c>
    </row>
    <row r="2655" ht="14.25">
      <c r="A2655" s="5">
        <v>84688</v>
      </c>
      <c r="B2655" s="6" t="s">
        <v>2716</v>
      </c>
      <c r="C2655" s="7" t="s">
        <v>10</v>
      </c>
      <c r="D2655" s="7" t="s">
        <v>45</v>
      </c>
      <c r="E2655" s="5" t="s">
        <v>15</v>
      </c>
      <c r="F2655" s="8"/>
      <c r="G2655" s="9">
        <f>H2655*(1-15%)*(1-F2655)</f>
        <v>55.165000000000006</v>
      </c>
      <c r="H2655" s="9">
        <v>64.900000000000006</v>
      </c>
      <c r="I2655" s="9">
        <f>H2655-G2655</f>
        <v>9.7349999999999994</v>
      </c>
    </row>
    <row r="2656" ht="14.25">
      <c r="A2656" s="5">
        <v>84690</v>
      </c>
      <c r="B2656" s="6" t="s">
        <v>2717</v>
      </c>
      <c r="C2656" s="7" t="s">
        <v>10</v>
      </c>
      <c r="D2656" s="7" t="s">
        <v>174</v>
      </c>
      <c r="E2656" s="5" t="s">
        <v>15</v>
      </c>
      <c r="F2656" s="8"/>
      <c r="G2656" s="9">
        <f>H2656*(1-15%)*(1-F2656)</f>
        <v>63.665000000000006</v>
      </c>
      <c r="H2656" s="9">
        <v>74.900000000000006</v>
      </c>
      <c r="I2656" s="9">
        <f>H2656-G2656</f>
        <v>11.234999999999999</v>
      </c>
    </row>
    <row r="2657" ht="14.25">
      <c r="A2657" s="5">
        <v>84705</v>
      </c>
      <c r="B2657" s="6" t="s">
        <v>2718</v>
      </c>
      <c r="C2657" s="7" t="s">
        <v>10</v>
      </c>
      <c r="D2657" s="7" t="s">
        <v>11</v>
      </c>
      <c r="E2657" s="5" t="s">
        <v>39</v>
      </c>
      <c r="F2657" s="8"/>
      <c r="G2657" s="9">
        <f>H2657*(1-15%)*(1-F2657)</f>
        <v>144.41499999999999</v>
      </c>
      <c r="H2657" s="9">
        <v>169.90000000000001</v>
      </c>
      <c r="I2657" s="9">
        <f>H2657-G2657</f>
        <v>25.485000000000014</v>
      </c>
    </row>
    <row r="2658" ht="14.25">
      <c r="A2658" s="5">
        <v>84739</v>
      </c>
      <c r="B2658" s="6" t="s">
        <v>2719</v>
      </c>
      <c r="C2658" s="7" t="s">
        <v>94</v>
      </c>
      <c r="D2658" s="7" t="s">
        <v>95</v>
      </c>
      <c r="E2658" s="5" t="s">
        <v>43</v>
      </c>
      <c r="F2658" s="8"/>
      <c r="G2658" s="9">
        <f>H2658*(1-15%)*(1-F2658)</f>
        <v>16.064999999999998</v>
      </c>
      <c r="H2658" s="9">
        <v>18.899999999999999</v>
      </c>
      <c r="I2658" s="9">
        <f>H2658-G2658</f>
        <v>2.8350000000000009</v>
      </c>
    </row>
    <row r="2659" ht="14.25">
      <c r="A2659" s="5">
        <v>84741</v>
      </c>
      <c r="B2659" s="6" t="s">
        <v>2720</v>
      </c>
      <c r="C2659" s="7" t="s">
        <v>94</v>
      </c>
      <c r="D2659" s="7" t="s">
        <v>95</v>
      </c>
      <c r="E2659" s="5" t="s">
        <v>43</v>
      </c>
      <c r="F2659" s="8"/>
      <c r="G2659" s="9">
        <f>H2659*(1-15%)*(1-F2659)</f>
        <v>32.214999999999996</v>
      </c>
      <c r="H2659" s="9">
        <v>37.899999999999999</v>
      </c>
      <c r="I2659" s="9">
        <f>H2659-G2659</f>
        <v>5.6850000000000023</v>
      </c>
    </row>
    <row r="2660" ht="14.25">
      <c r="A2660" s="5">
        <v>84743</v>
      </c>
      <c r="B2660" s="6" t="s">
        <v>2721</v>
      </c>
      <c r="C2660" s="7" t="s">
        <v>94</v>
      </c>
      <c r="D2660" s="7" t="s">
        <v>95</v>
      </c>
      <c r="E2660" s="5" t="s">
        <v>43</v>
      </c>
      <c r="F2660" s="8"/>
      <c r="G2660" s="9">
        <f>H2660*(1-15%)*(1-F2660)</f>
        <v>53.464999999999996</v>
      </c>
      <c r="H2660" s="9">
        <v>62.899999999999999</v>
      </c>
      <c r="I2660" s="9">
        <f>H2660-G2660</f>
        <v>9.4350000000000023</v>
      </c>
    </row>
    <row r="2661" ht="14.25">
      <c r="A2661" s="5">
        <v>84808</v>
      </c>
      <c r="B2661" s="6" t="s">
        <v>2722</v>
      </c>
      <c r="C2661" s="7" t="s">
        <v>426</v>
      </c>
      <c r="D2661" s="7" t="s">
        <v>219</v>
      </c>
      <c r="E2661" s="5" t="s">
        <v>43</v>
      </c>
      <c r="F2661" s="8"/>
      <c r="G2661" s="9">
        <f>H2661*(1-15%)*(1-F2661)</f>
        <v>33.914999999999999</v>
      </c>
      <c r="H2661" s="9">
        <v>39.899999999999999</v>
      </c>
      <c r="I2661" s="9">
        <f>H2661-G2661</f>
        <v>5.9849999999999994</v>
      </c>
    </row>
    <row r="2662" ht="14.25">
      <c r="A2662" s="5">
        <v>84895</v>
      </c>
      <c r="B2662" s="6" t="s">
        <v>2723</v>
      </c>
      <c r="C2662" s="7" t="s">
        <v>109</v>
      </c>
      <c r="D2662" s="7" t="s">
        <v>110</v>
      </c>
      <c r="E2662" s="5" t="s">
        <v>26</v>
      </c>
      <c r="F2662" s="8"/>
      <c r="G2662" s="9">
        <f>H2662*(1-15%)*(1-F2662)</f>
        <v>106.16500000000001</v>
      </c>
      <c r="H2662" s="9">
        <v>124.90000000000001</v>
      </c>
      <c r="I2662" s="9">
        <f>H2662-G2662</f>
        <v>18.734999999999999</v>
      </c>
    </row>
    <row r="2663" ht="14.25">
      <c r="A2663" s="5">
        <v>85104</v>
      </c>
      <c r="B2663" s="6" t="s">
        <v>2724</v>
      </c>
      <c r="C2663" s="7" t="s">
        <v>21</v>
      </c>
      <c r="D2663" s="7" t="s">
        <v>103</v>
      </c>
      <c r="E2663" s="5" t="s">
        <v>15</v>
      </c>
      <c r="F2663" s="8"/>
      <c r="G2663" s="9">
        <f>H2663*(1-15%)*(1-F2663)</f>
        <v>38.164999999999999</v>
      </c>
      <c r="H2663" s="9">
        <v>44.899999999999999</v>
      </c>
      <c r="I2663" s="9">
        <f>H2663-G2663</f>
        <v>6.7349999999999994</v>
      </c>
    </row>
    <row r="2664" ht="14.25">
      <c r="A2664" s="5">
        <v>85105</v>
      </c>
      <c r="B2664" s="6" t="s">
        <v>2725</v>
      </c>
      <c r="C2664" s="7" t="s">
        <v>399</v>
      </c>
      <c r="D2664" s="7" t="s">
        <v>45</v>
      </c>
      <c r="E2664" s="5" t="s">
        <v>15</v>
      </c>
      <c r="F2664" s="8"/>
      <c r="G2664" s="9">
        <f>H2664*(1-15%)*(1-F2664)</f>
        <v>38.164999999999999</v>
      </c>
      <c r="H2664" s="9">
        <v>44.899999999999999</v>
      </c>
      <c r="I2664" s="9">
        <f>H2664-G2664</f>
        <v>6.7349999999999994</v>
      </c>
    </row>
    <row r="2665" ht="14.25">
      <c r="A2665" s="5">
        <v>85120</v>
      </c>
      <c r="B2665" s="6" t="s">
        <v>2726</v>
      </c>
      <c r="C2665" s="7" t="s">
        <v>82</v>
      </c>
      <c r="D2665" s="7" t="s">
        <v>103</v>
      </c>
      <c r="E2665" s="5" t="s">
        <v>26</v>
      </c>
      <c r="F2665" s="8"/>
      <c r="G2665" s="9">
        <f>H2665*(1-15%)*(1-F2665)</f>
        <v>20.314999999999998</v>
      </c>
      <c r="H2665" s="9">
        <v>23.899999999999999</v>
      </c>
      <c r="I2665" s="9">
        <f>H2665-G2665</f>
        <v>3.5850000000000009</v>
      </c>
    </row>
    <row r="2666" ht="14.25">
      <c r="A2666" s="5">
        <v>85121</v>
      </c>
      <c r="B2666" s="6" t="s">
        <v>2727</v>
      </c>
      <c r="C2666" s="7" t="s">
        <v>82</v>
      </c>
      <c r="D2666" s="7" t="s">
        <v>45</v>
      </c>
      <c r="E2666" s="5" t="s">
        <v>43</v>
      </c>
      <c r="F2666" s="8"/>
      <c r="G2666" s="9">
        <f>H2666*(1-15%)*(1-F2666)</f>
        <v>31.364999999999998</v>
      </c>
      <c r="H2666" s="9">
        <v>36.899999999999999</v>
      </c>
      <c r="I2666" s="9">
        <f>H2666-G2666</f>
        <v>5.5350000000000001</v>
      </c>
    </row>
    <row r="2667" ht="14.25">
      <c r="A2667" s="5">
        <v>85122</v>
      </c>
      <c r="B2667" s="6" t="s">
        <v>2728</v>
      </c>
      <c r="C2667" s="7" t="s">
        <v>82</v>
      </c>
      <c r="D2667" s="7" t="s">
        <v>71</v>
      </c>
      <c r="E2667" s="5" t="s">
        <v>68</v>
      </c>
      <c r="F2667" s="8"/>
      <c r="G2667" s="9">
        <f>H2667*(1-15%)*(1-F2667)</f>
        <v>25.414999999999999</v>
      </c>
      <c r="H2667" s="9">
        <v>29.899999999999999</v>
      </c>
      <c r="I2667" s="9">
        <f>H2667-G2667</f>
        <v>4.4849999999999994</v>
      </c>
    </row>
    <row r="2668" ht="14.25">
      <c r="A2668" s="5">
        <v>85124</v>
      </c>
      <c r="B2668" s="6" t="s">
        <v>2729</v>
      </c>
      <c r="C2668" s="7" t="s">
        <v>82</v>
      </c>
      <c r="D2668" s="7" t="s">
        <v>45</v>
      </c>
      <c r="E2668" s="5" t="s">
        <v>43</v>
      </c>
      <c r="F2668" s="8"/>
      <c r="G2668" s="9">
        <f>H2668*(1-15%)*(1-F2668)</f>
        <v>63.665000000000006</v>
      </c>
      <c r="H2668" s="9">
        <v>74.900000000000006</v>
      </c>
      <c r="I2668" s="9">
        <f>H2668-G2668</f>
        <v>11.234999999999999</v>
      </c>
    </row>
    <row r="2669" ht="14.25">
      <c r="A2669" s="5">
        <v>85125</v>
      </c>
      <c r="B2669" s="6" t="s">
        <v>2730</v>
      </c>
      <c r="C2669" s="7" t="s">
        <v>94</v>
      </c>
      <c r="D2669" s="7" t="s">
        <v>95</v>
      </c>
      <c r="E2669" s="5" t="s">
        <v>43</v>
      </c>
      <c r="F2669" s="8"/>
      <c r="G2669" s="9">
        <f>H2669*(1-15%)*(1-F2669)</f>
        <v>40.714999999999996</v>
      </c>
      <c r="H2669" s="9">
        <v>47.899999999999999</v>
      </c>
      <c r="I2669" s="9">
        <f>H2669-G2669</f>
        <v>7.1850000000000023</v>
      </c>
    </row>
    <row r="2670" ht="14.25">
      <c r="A2670" s="5">
        <v>85163</v>
      </c>
      <c r="B2670" s="6" t="s">
        <v>2731</v>
      </c>
      <c r="C2670" s="7" t="s">
        <v>75</v>
      </c>
      <c r="D2670" s="7" t="s">
        <v>583</v>
      </c>
      <c r="E2670" s="5" t="s">
        <v>15</v>
      </c>
      <c r="F2670" s="8"/>
      <c r="G2670" s="9">
        <f>H2670*(1-15%)*(1-F2670)</f>
        <v>73.865000000000009</v>
      </c>
      <c r="H2670" s="9">
        <v>86.900000000000006</v>
      </c>
      <c r="I2670" s="9">
        <f>H2670-G2670</f>
        <v>13.034999999999997</v>
      </c>
    </row>
    <row r="2671" ht="14.25">
      <c r="A2671" s="5">
        <v>85164</v>
      </c>
      <c r="B2671" s="6" t="s">
        <v>2732</v>
      </c>
      <c r="C2671" s="7" t="s">
        <v>109</v>
      </c>
      <c r="D2671" s="7" t="s">
        <v>110</v>
      </c>
      <c r="E2671" s="5" t="s">
        <v>39</v>
      </c>
      <c r="F2671" s="8"/>
      <c r="G2671" s="9">
        <f>H2671*(1-15%)*(1-F2671)</f>
        <v>54.314999999999998</v>
      </c>
      <c r="H2671" s="9">
        <v>63.899999999999999</v>
      </c>
      <c r="I2671" s="9">
        <f>H2671-G2671</f>
        <v>9.5850000000000009</v>
      </c>
    </row>
    <row r="2672" ht="14.25">
      <c r="A2672" s="5">
        <v>85259</v>
      </c>
      <c r="B2672" s="6" t="s">
        <v>2733</v>
      </c>
      <c r="C2672" s="7" t="s">
        <v>38</v>
      </c>
      <c r="D2672" s="7" t="s">
        <v>183</v>
      </c>
      <c r="E2672" s="5" t="s">
        <v>15</v>
      </c>
      <c r="F2672" s="8"/>
      <c r="G2672" s="9">
        <f>H2672*(1-15%)*(1-F2672)</f>
        <v>50.914999999999999</v>
      </c>
      <c r="H2672" s="9">
        <v>59.899999999999999</v>
      </c>
      <c r="I2672" s="9">
        <f>H2672-G2672</f>
        <v>8.9849999999999994</v>
      </c>
    </row>
    <row r="2673" ht="14.25">
      <c r="A2673" s="5">
        <v>85261</v>
      </c>
      <c r="B2673" s="6" t="s">
        <v>2734</v>
      </c>
      <c r="C2673" s="7" t="s">
        <v>10</v>
      </c>
      <c r="D2673" s="7" t="s">
        <v>183</v>
      </c>
      <c r="E2673" s="5" t="s">
        <v>43</v>
      </c>
      <c r="F2673" s="8"/>
      <c r="G2673" s="9">
        <f>H2673*(1-15%)*(1-F2673)</f>
        <v>59.415000000000006</v>
      </c>
      <c r="H2673" s="9">
        <v>69.900000000000006</v>
      </c>
      <c r="I2673" s="9">
        <f>H2673-G2673</f>
        <v>10.484999999999999</v>
      </c>
    </row>
    <row r="2674" ht="14.25">
      <c r="A2674" s="5">
        <v>85262</v>
      </c>
      <c r="B2674" s="6" t="s">
        <v>2735</v>
      </c>
      <c r="C2674" s="7" t="s">
        <v>10</v>
      </c>
      <c r="D2674" s="7" t="s">
        <v>183</v>
      </c>
      <c r="E2674" s="5" t="s">
        <v>15</v>
      </c>
      <c r="F2674" s="8"/>
      <c r="G2674" s="9">
        <f>H2674*(1-15%)*(1-F2674)</f>
        <v>59.415000000000006</v>
      </c>
      <c r="H2674" s="9">
        <v>69.900000000000006</v>
      </c>
      <c r="I2674" s="9">
        <f>H2674-G2674</f>
        <v>10.484999999999999</v>
      </c>
    </row>
    <row r="2675" ht="14.25">
      <c r="A2675" s="5">
        <v>85292</v>
      </c>
      <c r="B2675" s="6" t="s">
        <v>2736</v>
      </c>
      <c r="C2675" s="7" t="s">
        <v>10</v>
      </c>
      <c r="D2675" s="7" t="s">
        <v>61</v>
      </c>
      <c r="E2675" s="5" t="s">
        <v>43</v>
      </c>
      <c r="F2675" s="8"/>
      <c r="G2675" s="9">
        <f>H2675*(1-15%)*(1-F2675)</f>
        <v>246.41499999999996</v>
      </c>
      <c r="H2675" s="9">
        <v>289.89999999999998</v>
      </c>
      <c r="I2675" s="9">
        <f>H2675-G2675</f>
        <v>43.485000000000014</v>
      </c>
    </row>
    <row r="2676" ht="14.25">
      <c r="A2676" s="5">
        <v>85293</v>
      </c>
      <c r="B2676" s="6" t="s">
        <v>2737</v>
      </c>
      <c r="C2676" s="7" t="s">
        <v>1241</v>
      </c>
      <c r="D2676" s="7" t="s">
        <v>61</v>
      </c>
      <c r="E2676" s="5" t="s">
        <v>12</v>
      </c>
      <c r="F2676" s="8"/>
      <c r="G2676" s="9">
        <f>H2676*(1-15%)*(1-F2676)</f>
        <v>314.41499999999996</v>
      </c>
      <c r="H2676" s="9">
        <v>369.89999999999998</v>
      </c>
      <c r="I2676" s="9">
        <f>H2676-G2676</f>
        <v>55.485000000000014</v>
      </c>
    </row>
    <row r="2677" ht="14.25">
      <c r="A2677" s="5">
        <v>85294</v>
      </c>
      <c r="B2677" s="6" t="s">
        <v>2738</v>
      </c>
      <c r="C2677" s="7" t="s">
        <v>36</v>
      </c>
      <c r="D2677" s="7" t="s">
        <v>61</v>
      </c>
      <c r="E2677" s="5" t="s">
        <v>43</v>
      </c>
      <c r="F2677" s="8"/>
      <c r="G2677" s="9">
        <f>H2677*(1-15%)*(1-F2677)</f>
        <v>144.41499999999999</v>
      </c>
      <c r="H2677" s="9">
        <v>169.90000000000001</v>
      </c>
      <c r="I2677" s="9">
        <f>H2677-G2677</f>
        <v>25.485000000000014</v>
      </c>
    </row>
    <row r="2678" ht="14.25">
      <c r="A2678" s="5">
        <v>85295</v>
      </c>
      <c r="B2678" s="6" t="s">
        <v>2739</v>
      </c>
      <c r="C2678" s="7" t="s">
        <v>694</v>
      </c>
      <c r="D2678" s="7" t="s">
        <v>61</v>
      </c>
      <c r="E2678" s="5" t="s">
        <v>43</v>
      </c>
      <c r="F2678" s="8"/>
      <c r="G2678" s="9">
        <f>H2678*(1-15%)*(1-F2678)</f>
        <v>101.91500000000001</v>
      </c>
      <c r="H2678" s="9">
        <v>119.90000000000001</v>
      </c>
      <c r="I2678" s="9">
        <f>H2678-G2678</f>
        <v>17.984999999999999</v>
      </c>
    </row>
    <row r="2679" ht="14.25">
      <c r="A2679" s="5">
        <v>85296</v>
      </c>
      <c r="B2679" s="6" t="s">
        <v>2740</v>
      </c>
      <c r="C2679" s="7" t="s">
        <v>21</v>
      </c>
      <c r="D2679" s="7" t="s">
        <v>61</v>
      </c>
      <c r="E2679" s="5" t="s">
        <v>43</v>
      </c>
      <c r="F2679" s="8"/>
      <c r="G2679" s="9">
        <f>H2679*(1-15%)*(1-F2679)</f>
        <v>195.41499999999999</v>
      </c>
      <c r="H2679" s="9">
        <v>229.90000000000001</v>
      </c>
      <c r="I2679" s="9">
        <f>H2679-G2679</f>
        <v>34.485000000000014</v>
      </c>
    </row>
    <row r="2680" ht="14.25">
      <c r="A2680" s="5">
        <v>85297</v>
      </c>
      <c r="B2680" s="6" t="s">
        <v>2741</v>
      </c>
      <c r="C2680" s="7" t="s">
        <v>694</v>
      </c>
      <c r="D2680" s="7" t="s">
        <v>61</v>
      </c>
      <c r="E2680" s="5" t="s">
        <v>43</v>
      </c>
      <c r="F2680" s="8"/>
      <c r="G2680" s="9">
        <f>H2680*(1-15%)*(1-F2680)</f>
        <v>101.91500000000001</v>
      </c>
      <c r="H2680" s="9">
        <v>119.90000000000001</v>
      </c>
      <c r="I2680" s="9">
        <f>H2680-G2680</f>
        <v>17.984999999999999</v>
      </c>
    </row>
    <row r="2681" ht="14.25">
      <c r="A2681" s="5">
        <v>85298</v>
      </c>
      <c r="B2681" s="6" t="s">
        <v>2742</v>
      </c>
      <c r="C2681" s="7" t="s">
        <v>70</v>
      </c>
      <c r="D2681" s="7" t="s">
        <v>61</v>
      </c>
      <c r="E2681" s="5" t="s">
        <v>43</v>
      </c>
      <c r="F2681" s="8"/>
      <c r="G2681" s="9">
        <f>H2681*(1-15%)*(1-F2681)</f>
        <v>195.41499999999999</v>
      </c>
      <c r="H2681" s="9">
        <v>229.90000000000001</v>
      </c>
      <c r="I2681" s="9">
        <f>H2681-G2681</f>
        <v>34.485000000000014</v>
      </c>
    </row>
    <row r="2682" ht="14.25">
      <c r="A2682" s="5">
        <v>85299</v>
      </c>
      <c r="B2682" s="6" t="s">
        <v>2743</v>
      </c>
      <c r="C2682" s="7" t="s">
        <v>21</v>
      </c>
      <c r="D2682" s="7" t="s">
        <v>61</v>
      </c>
      <c r="E2682" s="5" t="s">
        <v>43</v>
      </c>
      <c r="F2682" s="8"/>
      <c r="G2682" s="9">
        <f>H2682*(1-15%)*(1-F2682)</f>
        <v>178.41499999999999</v>
      </c>
      <c r="H2682" s="9">
        <v>209.90000000000001</v>
      </c>
      <c r="I2682" s="9">
        <f>H2682-G2682</f>
        <v>31.485000000000014</v>
      </c>
    </row>
    <row r="2683" ht="14.25">
      <c r="A2683" s="5">
        <v>85300</v>
      </c>
      <c r="B2683" s="6" t="s">
        <v>2744</v>
      </c>
      <c r="C2683" s="7" t="s">
        <v>14</v>
      </c>
      <c r="D2683" s="7" t="s">
        <v>61</v>
      </c>
      <c r="E2683" s="5" t="s">
        <v>43</v>
      </c>
      <c r="F2683" s="8"/>
      <c r="G2683" s="9">
        <f>H2683*(1-15%)*(1-F2683)</f>
        <v>135.91499999999999</v>
      </c>
      <c r="H2683" s="9">
        <v>159.90000000000001</v>
      </c>
      <c r="I2683" s="9">
        <f>H2683-G2683</f>
        <v>23.985000000000014</v>
      </c>
    </row>
    <row r="2684" ht="14.25">
      <c r="A2684" s="5">
        <v>85301</v>
      </c>
      <c r="B2684" s="6" t="s">
        <v>2745</v>
      </c>
      <c r="C2684" s="7" t="s">
        <v>17</v>
      </c>
      <c r="D2684" s="7" t="s">
        <v>61</v>
      </c>
      <c r="E2684" s="5" t="s">
        <v>43</v>
      </c>
      <c r="F2684" s="8"/>
      <c r="G2684" s="9">
        <f>H2684*(1-15%)*(1-F2684)</f>
        <v>161.41499999999999</v>
      </c>
      <c r="H2684" s="9">
        <v>189.90000000000001</v>
      </c>
      <c r="I2684" s="9">
        <f>H2684-G2684</f>
        <v>28.485000000000014</v>
      </c>
    </row>
    <row r="2685" ht="14.25">
      <c r="A2685" s="5">
        <v>85302</v>
      </c>
      <c r="B2685" s="6" t="s">
        <v>2746</v>
      </c>
      <c r="C2685" s="7" t="s">
        <v>14</v>
      </c>
      <c r="D2685" s="7" t="s">
        <v>61</v>
      </c>
      <c r="E2685" s="5" t="s">
        <v>43</v>
      </c>
      <c r="F2685" s="8"/>
      <c r="G2685" s="9">
        <f>H2685*(1-15%)*(1-F2685)</f>
        <v>135.91499999999999</v>
      </c>
      <c r="H2685" s="9">
        <v>159.90000000000001</v>
      </c>
      <c r="I2685" s="9">
        <f>H2685-G2685</f>
        <v>23.985000000000014</v>
      </c>
    </row>
    <row r="2686" ht="14.25">
      <c r="A2686" s="5">
        <v>85323</v>
      </c>
      <c r="B2686" s="6" t="s">
        <v>2747</v>
      </c>
      <c r="C2686" s="7" t="s">
        <v>38</v>
      </c>
      <c r="D2686" s="7" t="s">
        <v>11</v>
      </c>
      <c r="E2686" s="5" t="s">
        <v>39</v>
      </c>
      <c r="F2686" s="8"/>
      <c r="G2686" s="9">
        <f>H2686*(1-15%)*(1-F2686)</f>
        <v>148.66499999999999</v>
      </c>
      <c r="H2686" s="9">
        <v>174.90000000000001</v>
      </c>
      <c r="I2686" s="9">
        <f>H2686-G2686</f>
        <v>26.235000000000014</v>
      </c>
    </row>
    <row r="2687" ht="14.25">
      <c r="A2687" s="5">
        <v>85324</v>
      </c>
      <c r="B2687" s="6" t="s">
        <v>2748</v>
      </c>
      <c r="C2687" s="7" t="s">
        <v>82</v>
      </c>
      <c r="D2687" s="7" t="s">
        <v>45</v>
      </c>
      <c r="E2687" s="5" t="s">
        <v>26</v>
      </c>
      <c r="F2687" s="8"/>
      <c r="G2687" s="9">
        <f>H2687*(1-15%)*(1-F2687)</f>
        <v>44.964999999999996</v>
      </c>
      <c r="H2687" s="9">
        <v>52.899999999999999</v>
      </c>
      <c r="I2687" s="9">
        <f>H2687-G2687</f>
        <v>7.9350000000000023</v>
      </c>
    </row>
    <row r="2688" ht="14.25">
      <c r="A2688" s="5">
        <v>85491</v>
      </c>
      <c r="B2688" s="6" t="s">
        <v>2749</v>
      </c>
      <c r="C2688" s="7" t="s">
        <v>82</v>
      </c>
      <c r="D2688" s="7" t="s">
        <v>61</v>
      </c>
      <c r="E2688" s="5" t="s">
        <v>43</v>
      </c>
      <c r="F2688" s="8"/>
      <c r="G2688" s="9">
        <f>H2688*(1-15%)*(1-F2688)</f>
        <v>93.415000000000006</v>
      </c>
      <c r="H2688" s="9">
        <v>109.90000000000001</v>
      </c>
      <c r="I2688" s="9">
        <f>H2688-G2688</f>
        <v>16.484999999999999</v>
      </c>
    </row>
    <row r="2689" ht="14.25">
      <c r="A2689" s="5">
        <v>85493</v>
      </c>
      <c r="B2689" s="6" t="s">
        <v>2750</v>
      </c>
      <c r="C2689" s="7" t="s">
        <v>75</v>
      </c>
      <c r="D2689" s="7" t="s">
        <v>61</v>
      </c>
      <c r="E2689" s="5" t="s">
        <v>43</v>
      </c>
      <c r="F2689" s="8"/>
      <c r="G2689" s="9">
        <f>H2689*(1-15%)*(1-F2689)</f>
        <v>72.165000000000006</v>
      </c>
      <c r="H2689" s="9">
        <v>84.900000000000006</v>
      </c>
      <c r="I2689" s="9">
        <f>H2689-G2689</f>
        <v>12.734999999999999</v>
      </c>
    </row>
    <row r="2690" ht="14.25">
      <c r="A2690" s="5">
        <v>85542</v>
      </c>
      <c r="B2690" s="6" t="s">
        <v>2751</v>
      </c>
      <c r="C2690" s="7" t="s">
        <v>82</v>
      </c>
      <c r="D2690" s="7" t="s">
        <v>45</v>
      </c>
      <c r="E2690" s="5" t="s">
        <v>26</v>
      </c>
      <c r="F2690" s="8"/>
      <c r="G2690" s="9">
        <f>H2690*(1-15%)*(1-F2690)</f>
        <v>50.914999999999999</v>
      </c>
      <c r="H2690" s="9">
        <v>59.899999999999999</v>
      </c>
      <c r="I2690" s="9">
        <f>H2690-G2690</f>
        <v>8.9849999999999994</v>
      </c>
    </row>
    <row r="2691" ht="14.25">
      <c r="A2691" s="5">
        <v>85543</v>
      </c>
      <c r="B2691" s="6" t="s">
        <v>2752</v>
      </c>
      <c r="C2691" s="7" t="s">
        <v>82</v>
      </c>
      <c r="D2691" s="7" t="s">
        <v>45</v>
      </c>
      <c r="E2691" s="5" t="s">
        <v>26</v>
      </c>
      <c r="F2691" s="8"/>
      <c r="G2691" s="9">
        <f>H2691*(1-15%)*(1-F2691)</f>
        <v>46.664999999999999</v>
      </c>
      <c r="H2691" s="9">
        <v>54.899999999999999</v>
      </c>
      <c r="I2691" s="9">
        <f>H2691-G2691</f>
        <v>8.2349999999999994</v>
      </c>
    </row>
    <row r="2692" ht="14.25">
      <c r="A2692" s="5">
        <v>85547</v>
      </c>
      <c r="B2692" s="6" t="s">
        <v>2753</v>
      </c>
      <c r="C2692" s="7" t="s">
        <v>82</v>
      </c>
      <c r="D2692" s="7" t="s">
        <v>103</v>
      </c>
      <c r="E2692" s="5" t="s">
        <v>43</v>
      </c>
      <c r="F2692" s="8"/>
      <c r="G2692" s="9">
        <f>H2692*(1-15%)*(1-F2692)</f>
        <v>31.364999999999998</v>
      </c>
      <c r="H2692" s="9">
        <v>36.899999999999999</v>
      </c>
      <c r="I2692" s="9">
        <f>H2692-G2692</f>
        <v>5.5350000000000001</v>
      </c>
    </row>
    <row r="2693" ht="14.25">
      <c r="A2693" s="5">
        <v>85548</v>
      </c>
      <c r="B2693" s="6" t="s">
        <v>2754</v>
      </c>
      <c r="C2693" s="7" t="s">
        <v>94</v>
      </c>
      <c r="D2693" s="7" t="s">
        <v>95</v>
      </c>
      <c r="E2693" s="5" t="s">
        <v>43</v>
      </c>
      <c r="F2693" s="8"/>
      <c r="G2693" s="9">
        <f>H2693*(1-15%)*(1-F2693)</f>
        <v>33.914999999999999</v>
      </c>
      <c r="H2693" s="9">
        <v>39.899999999999999</v>
      </c>
      <c r="I2693" s="9">
        <f>H2693-G2693</f>
        <v>5.9849999999999994</v>
      </c>
    </row>
    <row r="2694" ht="14.25">
      <c r="A2694" s="5">
        <v>85562</v>
      </c>
      <c r="B2694" s="6" t="s">
        <v>2755</v>
      </c>
      <c r="C2694" s="7" t="s">
        <v>10</v>
      </c>
      <c r="D2694" s="7" t="s">
        <v>61</v>
      </c>
      <c r="E2694" s="5" t="s">
        <v>43</v>
      </c>
      <c r="F2694" s="8"/>
      <c r="G2694" s="9">
        <f>H2694*(1-15%)*(1-F2694)</f>
        <v>322.065</v>
      </c>
      <c r="H2694" s="9">
        <v>378.89999999999998</v>
      </c>
      <c r="I2694" s="9">
        <f>H2694-G2694</f>
        <v>56.83499999999998</v>
      </c>
    </row>
    <row r="2695" ht="14.25">
      <c r="A2695" s="5">
        <v>85563</v>
      </c>
      <c r="B2695" s="6" t="s">
        <v>2756</v>
      </c>
      <c r="C2695" s="7" t="s">
        <v>67</v>
      </c>
      <c r="D2695" s="7" t="s">
        <v>61</v>
      </c>
      <c r="E2695" s="5" t="s">
        <v>43</v>
      </c>
      <c r="F2695" s="8"/>
      <c r="G2695" s="9">
        <f>H2695*(1-15%)*(1-F2695)</f>
        <v>297.41499999999996</v>
      </c>
      <c r="H2695" s="9">
        <v>349.89999999999998</v>
      </c>
      <c r="I2695" s="9">
        <f>H2695-G2695</f>
        <v>52.485000000000014</v>
      </c>
    </row>
    <row r="2696" ht="14.25">
      <c r="A2696" s="5">
        <v>85564</v>
      </c>
      <c r="B2696" s="6" t="s">
        <v>2757</v>
      </c>
      <c r="C2696" s="7" t="s">
        <v>82</v>
      </c>
      <c r="D2696" s="7" t="s">
        <v>103</v>
      </c>
      <c r="E2696" s="5" t="s">
        <v>26</v>
      </c>
      <c r="F2696" s="8"/>
      <c r="G2696" s="9">
        <f>H2696*(1-15%)*(1-F2696)</f>
        <v>31.364999999999998</v>
      </c>
      <c r="H2696" s="9">
        <v>36.899999999999999</v>
      </c>
      <c r="I2696" s="9">
        <f>H2696-G2696</f>
        <v>5.5350000000000001</v>
      </c>
    </row>
    <row r="2697" ht="14.25">
      <c r="A2697" s="5">
        <v>85566</v>
      </c>
      <c r="B2697" s="6" t="s">
        <v>2758</v>
      </c>
      <c r="C2697" s="7" t="s">
        <v>624</v>
      </c>
      <c r="D2697" s="7" t="s">
        <v>61</v>
      </c>
      <c r="E2697" s="5" t="s">
        <v>43</v>
      </c>
      <c r="F2697" s="8"/>
      <c r="G2697" s="9">
        <f>H2697*(1-15%)*(1-F2697)</f>
        <v>284.66499999999996</v>
      </c>
      <c r="H2697" s="9">
        <v>334.89999999999998</v>
      </c>
      <c r="I2697" s="9">
        <f>H2697-G2697</f>
        <v>50.235000000000014</v>
      </c>
    </row>
    <row r="2698" ht="14.25">
      <c r="A2698" s="5">
        <v>85567</v>
      </c>
      <c r="B2698" s="6" t="s">
        <v>2759</v>
      </c>
      <c r="C2698" s="7" t="s">
        <v>10</v>
      </c>
      <c r="D2698" s="7" t="s">
        <v>61</v>
      </c>
      <c r="E2698" s="5" t="s">
        <v>43</v>
      </c>
      <c r="F2698" s="8"/>
      <c r="G2698" s="9">
        <f>H2698*(1-15%)*(1-F2698)</f>
        <v>237.91499999999996</v>
      </c>
      <c r="H2698" s="9">
        <v>279.89999999999998</v>
      </c>
      <c r="I2698" s="9">
        <f>H2698-G2698</f>
        <v>41.985000000000014</v>
      </c>
    </row>
    <row r="2699" ht="14.25">
      <c r="A2699" s="5">
        <v>85568</v>
      </c>
      <c r="B2699" s="6" t="s">
        <v>2760</v>
      </c>
      <c r="C2699" s="7" t="s">
        <v>705</v>
      </c>
      <c r="D2699" s="7" t="s">
        <v>61</v>
      </c>
      <c r="E2699" s="5" t="s">
        <v>43</v>
      </c>
      <c r="F2699" s="8"/>
      <c r="G2699" s="9">
        <f>H2699*(1-15%)*(1-F2699)</f>
        <v>189.465</v>
      </c>
      <c r="H2699" s="9">
        <v>222.90000000000001</v>
      </c>
      <c r="I2699" s="9">
        <f>H2699-G2699</f>
        <v>33.435000000000002</v>
      </c>
    </row>
    <row r="2700" ht="14.25">
      <c r="A2700" s="5">
        <v>85569</v>
      </c>
      <c r="B2700" s="6" t="s">
        <v>2761</v>
      </c>
      <c r="C2700" s="7" t="s">
        <v>25</v>
      </c>
      <c r="D2700" s="7" t="s">
        <v>61</v>
      </c>
      <c r="E2700" s="5" t="s">
        <v>43</v>
      </c>
      <c r="F2700" s="8"/>
      <c r="G2700" s="9">
        <f>H2700*(1-15%)*(1-F2700)</f>
        <v>178.41499999999999</v>
      </c>
      <c r="H2700" s="9">
        <v>209.90000000000001</v>
      </c>
      <c r="I2700" s="9">
        <f>H2700-G2700</f>
        <v>31.485000000000014</v>
      </c>
    </row>
    <row r="2701" ht="14.25">
      <c r="A2701" s="5">
        <v>85570</v>
      </c>
      <c r="B2701" s="6" t="s">
        <v>2762</v>
      </c>
      <c r="C2701" s="7" t="s">
        <v>38</v>
      </c>
      <c r="D2701" s="7" t="s">
        <v>61</v>
      </c>
      <c r="E2701" s="5" t="s">
        <v>43</v>
      </c>
      <c r="F2701" s="8"/>
      <c r="G2701" s="9">
        <f>H2701*(1-15%)*(1-F2701)</f>
        <v>192.86500000000001</v>
      </c>
      <c r="H2701" s="9">
        <v>226.90000000000001</v>
      </c>
      <c r="I2701" s="9">
        <f>H2701-G2701</f>
        <v>34.034999999999997</v>
      </c>
    </row>
    <row r="2702" ht="14.25">
      <c r="A2702" s="5">
        <v>85572</v>
      </c>
      <c r="B2702" s="6" t="s">
        <v>2763</v>
      </c>
      <c r="C2702" s="7" t="s">
        <v>10</v>
      </c>
      <c r="D2702" s="7" t="s">
        <v>61</v>
      </c>
      <c r="E2702" s="5" t="s">
        <v>12</v>
      </c>
      <c r="F2702" s="8"/>
      <c r="G2702" s="9">
        <f>H2702*(1-15%)*(1-F2702)</f>
        <v>186.91499999999999</v>
      </c>
      <c r="H2702" s="9">
        <v>219.90000000000001</v>
      </c>
      <c r="I2702" s="9">
        <f>H2702-G2702</f>
        <v>32.985000000000014</v>
      </c>
    </row>
    <row r="2703" ht="14.25">
      <c r="A2703" s="5">
        <v>85574</v>
      </c>
      <c r="B2703" s="6" t="s">
        <v>2764</v>
      </c>
      <c r="C2703" s="7" t="s">
        <v>2103</v>
      </c>
      <c r="D2703" s="7" t="s">
        <v>61</v>
      </c>
      <c r="E2703" s="5" t="s">
        <v>26</v>
      </c>
      <c r="F2703" s="8"/>
      <c r="G2703" s="9">
        <f>H2703*(1-15%)*(1-F2703)</f>
        <v>157.16499999999999</v>
      </c>
      <c r="H2703" s="9">
        <v>184.90000000000001</v>
      </c>
      <c r="I2703" s="9">
        <f>H2703-G2703</f>
        <v>27.735000000000014</v>
      </c>
    </row>
    <row r="2704" ht="14.25">
      <c r="A2704" s="5">
        <v>85575</v>
      </c>
      <c r="B2704" s="6" t="s">
        <v>2765</v>
      </c>
      <c r="C2704" s="7" t="s">
        <v>36</v>
      </c>
      <c r="D2704" s="7" t="s">
        <v>61</v>
      </c>
      <c r="E2704" s="5" t="s">
        <v>43</v>
      </c>
      <c r="F2704" s="8"/>
      <c r="G2704" s="9">
        <f>H2704*(1-15%)*(1-F2704)</f>
        <v>144.41499999999999</v>
      </c>
      <c r="H2704" s="9">
        <v>169.90000000000001</v>
      </c>
      <c r="I2704" s="9">
        <f>H2704-G2704</f>
        <v>25.485000000000014</v>
      </c>
    </row>
    <row r="2705" ht="14.25">
      <c r="A2705" s="5">
        <v>85576</v>
      </c>
      <c r="B2705" s="6" t="s">
        <v>2766</v>
      </c>
      <c r="C2705" s="7" t="s">
        <v>38</v>
      </c>
      <c r="D2705" s="7" t="s">
        <v>61</v>
      </c>
      <c r="E2705" s="5" t="s">
        <v>43</v>
      </c>
      <c r="F2705" s="8"/>
      <c r="G2705" s="9">
        <f>H2705*(1-15%)*(1-F2705)</f>
        <v>135.91499999999999</v>
      </c>
      <c r="H2705" s="9">
        <v>159.90000000000001</v>
      </c>
      <c r="I2705" s="9">
        <f>H2705-G2705</f>
        <v>23.985000000000014</v>
      </c>
    </row>
    <row r="2706" ht="14.25">
      <c r="A2706" s="5">
        <v>85577</v>
      </c>
      <c r="B2706" s="6" t="s">
        <v>2767</v>
      </c>
      <c r="C2706" s="7" t="s">
        <v>14</v>
      </c>
      <c r="D2706" s="7" t="s">
        <v>61</v>
      </c>
      <c r="E2706" s="5" t="s">
        <v>26</v>
      </c>
      <c r="F2706" s="8"/>
      <c r="G2706" s="9">
        <f>H2706*(1-15%)*(1-F2706)</f>
        <v>135.91499999999999</v>
      </c>
      <c r="H2706" s="9">
        <v>159.90000000000001</v>
      </c>
      <c r="I2706" s="9">
        <f>H2706-G2706</f>
        <v>23.985000000000014</v>
      </c>
    </row>
    <row r="2707" ht="14.25">
      <c r="A2707" s="5">
        <v>85578</v>
      </c>
      <c r="B2707" s="6" t="s">
        <v>2768</v>
      </c>
      <c r="C2707" s="7" t="s">
        <v>694</v>
      </c>
      <c r="D2707" s="7" t="s">
        <v>61</v>
      </c>
      <c r="E2707" s="5" t="s">
        <v>43</v>
      </c>
      <c r="F2707" s="8"/>
      <c r="G2707" s="9">
        <f>H2707*(1-15%)*(1-F2707)</f>
        <v>101.91500000000001</v>
      </c>
      <c r="H2707" s="9">
        <v>119.90000000000001</v>
      </c>
      <c r="I2707" s="9">
        <f>H2707-G2707</f>
        <v>17.984999999999999</v>
      </c>
    </row>
    <row r="2708" ht="14.25">
      <c r="A2708" s="5">
        <v>85579</v>
      </c>
      <c r="B2708" s="6" t="s">
        <v>2769</v>
      </c>
      <c r="C2708" s="7" t="s">
        <v>10</v>
      </c>
      <c r="D2708" s="7" t="s">
        <v>61</v>
      </c>
      <c r="E2708" s="5" t="s">
        <v>43</v>
      </c>
      <c r="F2708" s="8"/>
      <c r="G2708" s="9">
        <f>H2708*(1-15%)*(1-F2708)</f>
        <v>83.215000000000003</v>
      </c>
      <c r="H2708" s="9">
        <v>97.900000000000006</v>
      </c>
      <c r="I2708" s="9">
        <f>H2708-G2708</f>
        <v>14.685000000000002</v>
      </c>
    </row>
    <row r="2709" ht="14.25">
      <c r="A2709" s="5">
        <v>85606</v>
      </c>
      <c r="B2709" s="6" t="s">
        <v>2770</v>
      </c>
      <c r="C2709" s="7" t="s">
        <v>1327</v>
      </c>
      <c r="D2709" s="7" t="s">
        <v>11</v>
      </c>
      <c r="E2709" s="5" t="s">
        <v>68</v>
      </c>
      <c r="F2709" s="8"/>
      <c r="G2709" s="9">
        <f>H2709*(1-15%)*(1-F2709)</f>
        <v>148.66499999999999</v>
      </c>
      <c r="H2709" s="9">
        <v>174.90000000000001</v>
      </c>
      <c r="I2709" s="9">
        <f>H2709-G2709</f>
        <v>26.235000000000014</v>
      </c>
    </row>
    <row r="2710" ht="14.25">
      <c r="A2710" s="5">
        <v>85666</v>
      </c>
      <c r="B2710" s="6" t="s">
        <v>2771</v>
      </c>
      <c r="C2710" s="7" t="s">
        <v>109</v>
      </c>
      <c r="D2710" s="7" t="s">
        <v>110</v>
      </c>
      <c r="E2710" s="5" t="s">
        <v>39</v>
      </c>
      <c r="F2710" s="8"/>
      <c r="G2710" s="9">
        <f>H2710*(1-15%)*(1-F2710)</f>
        <v>101.91500000000001</v>
      </c>
      <c r="H2710" s="9">
        <v>119.90000000000001</v>
      </c>
      <c r="I2710" s="9">
        <f>H2710-G2710</f>
        <v>17.984999999999999</v>
      </c>
    </row>
    <row r="2711" ht="14.25">
      <c r="A2711" s="5">
        <v>85667</v>
      </c>
      <c r="B2711" s="6" t="s">
        <v>2772</v>
      </c>
      <c r="C2711" s="7" t="s">
        <v>109</v>
      </c>
      <c r="D2711" s="7" t="s">
        <v>110</v>
      </c>
      <c r="E2711" s="5" t="s">
        <v>39</v>
      </c>
      <c r="F2711" s="8"/>
      <c r="G2711" s="9">
        <f>H2711*(1-15%)*(1-F2711)</f>
        <v>101.91500000000001</v>
      </c>
      <c r="H2711" s="9">
        <v>119.90000000000001</v>
      </c>
      <c r="I2711" s="9">
        <f>H2711-G2711</f>
        <v>17.984999999999999</v>
      </c>
    </row>
    <row r="2712" ht="14.25">
      <c r="A2712" s="5">
        <v>85668</v>
      </c>
      <c r="B2712" s="6" t="s">
        <v>2773</v>
      </c>
      <c r="C2712" s="7" t="s">
        <v>109</v>
      </c>
      <c r="D2712" s="7" t="s">
        <v>110</v>
      </c>
      <c r="E2712" s="5" t="s">
        <v>39</v>
      </c>
      <c r="F2712" s="8"/>
      <c r="G2712" s="9">
        <f>H2712*(1-15%)*(1-F2712)</f>
        <v>89.165000000000006</v>
      </c>
      <c r="H2712" s="9">
        <v>104.90000000000001</v>
      </c>
      <c r="I2712" s="9">
        <f>H2712-G2712</f>
        <v>15.734999999999999</v>
      </c>
    </row>
    <row r="2713" ht="14.25">
      <c r="A2713" s="5">
        <v>85710</v>
      </c>
      <c r="B2713" s="6" t="s">
        <v>2774</v>
      </c>
      <c r="C2713" s="7" t="s">
        <v>1446</v>
      </c>
      <c r="D2713" s="7" t="s">
        <v>1447</v>
      </c>
      <c r="E2713" s="5" t="s">
        <v>15</v>
      </c>
      <c r="F2713" s="8"/>
      <c r="G2713" s="9">
        <f>H2713*(1-15%)*(1-F2713)</f>
        <v>2.4649999999999999</v>
      </c>
      <c r="H2713" s="9">
        <v>2.8999999999999999</v>
      </c>
      <c r="I2713" s="9">
        <f>H2713-G2713</f>
        <v>0.43500000000000005</v>
      </c>
    </row>
    <row r="2714" ht="14.25">
      <c r="A2714" s="5">
        <v>85727</v>
      </c>
      <c r="B2714" s="6" t="s">
        <v>2775</v>
      </c>
      <c r="C2714" s="7" t="s">
        <v>1241</v>
      </c>
      <c r="D2714" s="7" t="s">
        <v>583</v>
      </c>
      <c r="E2714" s="5" t="s">
        <v>15</v>
      </c>
      <c r="F2714" s="8"/>
      <c r="G2714" s="9">
        <f>H2714*(1-15%)*(1-F2714)</f>
        <v>84.915000000000006</v>
      </c>
      <c r="H2714" s="9">
        <v>99.900000000000006</v>
      </c>
      <c r="I2714" s="9">
        <f>H2714-G2714</f>
        <v>14.984999999999999</v>
      </c>
    </row>
    <row r="2715" ht="14.25">
      <c r="A2715" s="5">
        <v>85732</v>
      </c>
      <c r="B2715" s="6" t="s">
        <v>2776</v>
      </c>
      <c r="C2715" s="7" t="s">
        <v>21</v>
      </c>
      <c r="D2715" s="7" t="s">
        <v>71</v>
      </c>
      <c r="E2715" s="5" t="s">
        <v>15</v>
      </c>
      <c r="F2715" s="8"/>
      <c r="G2715" s="9">
        <f>H2715*(1-15%)*(1-F2715)</f>
        <v>40.714999999999996</v>
      </c>
      <c r="H2715" s="9">
        <v>47.899999999999999</v>
      </c>
      <c r="I2715" s="9">
        <f>H2715-G2715</f>
        <v>7.1850000000000023</v>
      </c>
    </row>
    <row r="2716" ht="14.25">
      <c r="A2716" s="5">
        <v>85733</v>
      </c>
      <c r="B2716" s="6" t="s">
        <v>2777</v>
      </c>
      <c r="C2716" s="7" t="s">
        <v>70</v>
      </c>
      <c r="D2716" s="7" t="s">
        <v>45</v>
      </c>
      <c r="E2716" s="5" t="s">
        <v>26</v>
      </c>
      <c r="F2716" s="8"/>
      <c r="G2716" s="9">
        <f>H2716*(1-15%)*(1-F2716)</f>
        <v>54.314999999999998</v>
      </c>
      <c r="H2716" s="9">
        <v>63.899999999999999</v>
      </c>
      <c r="I2716" s="9">
        <f>H2716-G2716</f>
        <v>9.5850000000000009</v>
      </c>
    </row>
    <row r="2717" ht="14.25">
      <c r="A2717" s="5">
        <v>85796</v>
      </c>
      <c r="B2717" s="6" t="s">
        <v>2778</v>
      </c>
      <c r="C2717" s="7" t="s">
        <v>33</v>
      </c>
      <c r="D2717" s="7" t="s">
        <v>45</v>
      </c>
      <c r="E2717" s="5" t="s">
        <v>39</v>
      </c>
      <c r="F2717" s="8"/>
      <c r="G2717" s="9">
        <f>H2717*(1-15%)*(1-F2717)</f>
        <v>123.16500000000001</v>
      </c>
      <c r="H2717" s="9">
        <v>144.90000000000001</v>
      </c>
      <c r="I2717" s="9">
        <f>H2717-G2717</f>
        <v>21.734999999999999</v>
      </c>
    </row>
    <row r="2718" ht="14.25">
      <c r="A2718" s="5">
        <v>85797</v>
      </c>
      <c r="B2718" s="6" t="s">
        <v>2779</v>
      </c>
      <c r="C2718" s="7" t="s">
        <v>33</v>
      </c>
      <c r="D2718" s="7" t="s">
        <v>45</v>
      </c>
      <c r="E2718" s="5" t="s">
        <v>68</v>
      </c>
      <c r="F2718" s="8"/>
      <c r="G2718" s="9">
        <f>H2718*(1-15%)*(1-F2718)</f>
        <v>84.915000000000006</v>
      </c>
      <c r="H2718" s="9">
        <v>99.900000000000006</v>
      </c>
      <c r="I2718" s="9">
        <f>H2718-G2718</f>
        <v>14.984999999999999</v>
      </c>
    </row>
    <row r="2719" ht="14.25">
      <c r="A2719" s="5">
        <v>85846</v>
      </c>
      <c r="B2719" s="6" t="s">
        <v>2780</v>
      </c>
      <c r="C2719" s="7" t="s">
        <v>109</v>
      </c>
      <c r="D2719" s="7" t="s">
        <v>110</v>
      </c>
      <c r="E2719" s="5" t="s">
        <v>43</v>
      </c>
      <c r="F2719" s="8"/>
      <c r="G2719" s="9">
        <f>H2719*(1-15%)*(1-F2719)</f>
        <v>106.16500000000001</v>
      </c>
      <c r="H2719" s="9">
        <v>124.90000000000001</v>
      </c>
      <c r="I2719" s="9">
        <f>H2719-G2719</f>
        <v>18.734999999999999</v>
      </c>
    </row>
    <row r="2720" ht="14.25">
      <c r="A2720" s="5">
        <v>85848</v>
      </c>
      <c r="B2720" s="6" t="s">
        <v>2781</v>
      </c>
      <c r="C2720" s="7" t="s">
        <v>109</v>
      </c>
      <c r="D2720" s="7" t="s">
        <v>110</v>
      </c>
      <c r="E2720" s="5" t="s">
        <v>43</v>
      </c>
      <c r="F2720" s="8"/>
      <c r="G2720" s="9">
        <f>H2720*(1-15%)*(1-F2720)</f>
        <v>106.16500000000001</v>
      </c>
      <c r="H2720" s="9">
        <v>124.90000000000001</v>
      </c>
      <c r="I2720" s="9">
        <f>H2720-G2720</f>
        <v>18.734999999999999</v>
      </c>
    </row>
    <row r="2721" ht="14.25">
      <c r="A2721" s="5">
        <v>85849</v>
      </c>
      <c r="B2721" s="6" t="s">
        <v>2782</v>
      </c>
      <c r="C2721" s="7" t="s">
        <v>109</v>
      </c>
      <c r="D2721" s="7" t="s">
        <v>110</v>
      </c>
      <c r="E2721" s="5" t="s">
        <v>43</v>
      </c>
      <c r="F2721" s="8"/>
      <c r="G2721" s="9">
        <f>H2721*(1-15%)*(1-F2721)</f>
        <v>106.16500000000001</v>
      </c>
      <c r="H2721" s="9">
        <v>124.90000000000001</v>
      </c>
      <c r="I2721" s="9">
        <f>H2721-G2721</f>
        <v>18.734999999999999</v>
      </c>
    </row>
    <row r="2722" ht="14.25">
      <c r="A2722" s="5">
        <v>85850</v>
      </c>
      <c r="B2722" s="6" t="s">
        <v>2783</v>
      </c>
      <c r="C2722" s="7" t="s">
        <v>109</v>
      </c>
      <c r="D2722" s="7" t="s">
        <v>110</v>
      </c>
      <c r="E2722" s="5" t="s">
        <v>43</v>
      </c>
      <c r="F2722" s="8"/>
      <c r="G2722" s="9">
        <f>H2722*(1-15%)*(1-F2722)</f>
        <v>106.16500000000001</v>
      </c>
      <c r="H2722" s="9">
        <v>124.90000000000001</v>
      </c>
      <c r="I2722" s="9">
        <f>H2722-G2722</f>
        <v>18.734999999999999</v>
      </c>
    </row>
    <row r="2723" ht="14.25">
      <c r="A2723" s="5">
        <v>85851</v>
      </c>
      <c r="B2723" s="6" t="s">
        <v>2784</v>
      </c>
      <c r="C2723" s="7" t="s">
        <v>109</v>
      </c>
      <c r="D2723" s="7" t="s">
        <v>110</v>
      </c>
      <c r="E2723" s="5" t="s">
        <v>43</v>
      </c>
      <c r="F2723" s="8"/>
      <c r="G2723" s="9">
        <f>H2723*(1-15%)*(1-F2723)</f>
        <v>106.16500000000001</v>
      </c>
      <c r="H2723" s="9">
        <v>124.90000000000001</v>
      </c>
      <c r="I2723" s="9">
        <f>H2723-G2723</f>
        <v>18.734999999999999</v>
      </c>
    </row>
    <row r="2724" ht="14.25">
      <c r="A2724" s="5">
        <v>85852</v>
      </c>
      <c r="B2724" s="6" t="s">
        <v>2785</v>
      </c>
      <c r="C2724" s="7" t="s">
        <v>109</v>
      </c>
      <c r="D2724" s="7" t="s">
        <v>110</v>
      </c>
      <c r="E2724" s="5" t="s">
        <v>43</v>
      </c>
      <c r="F2724" s="8"/>
      <c r="G2724" s="9">
        <f>H2724*(1-15%)*(1-F2724)</f>
        <v>106.16500000000001</v>
      </c>
      <c r="H2724" s="9">
        <v>124.90000000000001</v>
      </c>
      <c r="I2724" s="9">
        <f>H2724-G2724</f>
        <v>18.734999999999999</v>
      </c>
    </row>
    <row r="2725" ht="14.25">
      <c r="A2725" s="5">
        <v>85853</v>
      </c>
      <c r="B2725" s="6" t="s">
        <v>2786</v>
      </c>
      <c r="C2725" s="7" t="s">
        <v>109</v>
      </c>
      <c r="D2725" s="7" t="s">
        <v>110</v>
      </c>
      <c r="E2725" s="5" t="s">
        <v>43</v>
      </c>
      <c r="F2725" s="8"/>
      <c r="G2725" s="9">
        <f>H2725*(1-15%)*(1-F2725)</f>
        <v>106.16500000000001</v>
      </c>
      <c r="H2725" s="9">
        <v>124.90000000000001</v>
      </c>
      <c r="I2725" s="9">
        <f>H2725-G2725</f>
        <v>18.734999999999999</v>
      </c>
    </row>
    <row r="2726" ht="14.25">
      <c r="A2726" s="5">
        <v>85854</v>
      </c>
      <c r="B2726" s="6" t="s">
        <v>2787</v>
      </c>
      <c r="C2726" s="7" t="s">
        <v>109</v>
      </c>
      <c r="D2726" s="7" t="s">
        <v>110</v>
      </c>
      <c r="E2726" s="5" t="s">
        <v>43</v>
      </c>
      <c r="F2726" s="8"/>
      <c r="G2726" s="9">
        <f>H2726*(1-15%)*(1-F2726)</f>
        <v>106.16500000000001</v>
      </c>
      <c r="H2726" s="9">
        <v>124.90000000000001</v>
      </c>
      <c r="I2726" s="9">
        <f>H2726-G2726</f>
        <v>18.734999999999999</v>
      </c>
    </row>
    <row r="2727" ht="14.25">
      <c r="A2727" s="5">
        <v>85855</v>
      </c>
      <c r="B2727" s="6" t="s">
        <v>2788</v>
      </c>
      <c r="C2727" s="7" t="s">
        <v>109</v>
      </c>
      <c r="D2727" s="7" t="s">
        <v>110</v>
      </c>
      <c r="E2727" s="5" t="s">
        <v>43</v>
      </c>
      <c r="F2727" s="8"/>
      <c r="G2727" s="9">
        <f>H2727*(1-15%)*(1-F2727)</f>
        <v>106.16500000000001</v>
      </c>
      <c r="H2727" s="9">
        <v>124.90000000000001</v>
      </c>
      <c r="I2727" s="9">
        <f>H2727-G2727</f>
        <v>18.734999999999999</v>
      </c>
    </row>
    <row r="2728" ht="14.25">
      <c r="A2728" s="5">
        <v>85856</v>
      </c>
      <c r="B2728" s="6" t="s">
        <v>2789</v>
      </c>
      <c r="C2728" s="7" t="s">
        <v>109</v>
      </c>
      <c r="D2728" s="7" t="s">
        <v>110</v>
      </c>
      <c r="E2728" s="5" t="s">
        <v>43</v>
      </c>
      <c r="F2728" s="8"/>
      <c r="G2728" s="9">
        <f>H2728*(1-15%)*(1-F2728)</f>
        <v>106.16500000000001</v>
      </c>
      <c r="H2728" s="9">
        <v>124.90000000000001</v>
      </c>
      <c r="I2728" s="9">
        <f>H2728-G2728</f>
        <v>18.734999999999999</v>
      </c>
    </row>
    <row r="2729" ht="14.25">
      <c r="A2729" s="5">
        <v>85857</v>
      </c>
      <c r="B2729" s="6" t="s">
        <v>2790</v>
      </c>
      <c r="C2729" s="7" t="s">
        <v>109</v>
      </c>
      <c r="D2729" s="7" t="s">
        <v>110</v>
      </c>
      <c r="E2729" s="5" t="s">
        <v>43</v>
      </c>
      <c r="F2729" s="8"/>
      <c r="G2729" s="9">
        <f>H2729*(1-15%)*(1-F2729)</f>
        <v>106.16500000000001</v>
      </c>
      <c r="H2729" s="9">
        <v>124.90000000000001</v>
      </c>
      <c r="I2729" s="9">
        <f>H2729-G2729</f>
        <v>18.734999999999999</v>
      </c>
    </row>
    <row r="2730" ht="14.25">
      <c r="A2730" s="5">
        <v>85858</v>
      </c>
      <c r="B2730" s="6" t="s">
        <v>2791</v>
      </c>
      <c r="C2730" s="7" t="s">
        <v>109</v>
      </c>
      <c r="D2730" s="7" t="s">
        <v>110</v>
      </c>
      <c r="E2730" s="5" t="s">
        <v>43</v>
      </c>
      <c r="F2730" s="8"/>
      <c r="G2730" s="9">
        <f>H2730*(1-15%)*(1-F2730)</f>
        <v>106.16500000000001</v>
      </c>
      <c r="H2730" s="9">
        <v>124.90000000000001</v>
      </c>
      <c r="I2730" s="9">
        <f>H2730-G2730</f>
        <v>18.734999999999999</v>
      </c>
    </row>
    <row r="2731" ht="14.25">
      <c r="A2731" s="5">
        <v>85864</v>
      </c>
      <c r="B2731" s="6" t="s">
        <v>2792</v>
      </c>
      <c r="C2731" s="7" t="s">
        <v>109</v>
      </c>
      <c r="D2731" s="7" t="s">
        <v>110</v>
      </c>
      <c r="E2731" s="5" t="s">
        <v>43</v>
      </c>
      <c r="F2731" s="8"/>
      <c r="G2731" s="9">
        <f>H2731*(1-15%)*(1-F2731)</f>
        <v>106.16500000000001</v>
      </c>
      <c r="H2731" s="9">
        <v>124.90000000000001</v>
      </c>
      <c r="I2731" s="9">
        <f>H2731-G2731</f>
        <v>18.734999999999999</v>
      </c>
    </row>
    <row r="2732" ht="14.25">
      <c r="A2732" s="5">
        <v>85920</v>
      </c>
      <c r="B2732" s="6" t="s">
        <v>2793</v>
      </c>
      <c r="C2732" s="7" t="s">
        <v>82</v>
      </c>
      <c r="D2732" s="7" t="s">
        <v>11</v>
      </c>
      <c r="E2732" s="5" t="s">
        <v>133</v>
      </c>
      <c r="F2732" s="8"/>
      <c r="G2732" s="9">
        <f>H2732*(1-15%)*(1-F2732)</f>
        <v>78.965000000000003</v>
      </c>
      <c r="H2732" s="9">
        <v>92.900000000000006</v>
      </c>
      <c r="I2732" s="9">
        <f>H2732-G2732</f>
        <v>13.935000000000002</v>
      </c>
    </row>
    <row r="2733" ht="14.25">
      <c r="A2733" s="5">
        <v>85933</v>
      </c>
      <c r="B2733" s="6" t="s">
        <v>2794</v>
      </c>
      <c r="C2733" s="7" t="s">
        <v>10</v>
      </c>
      <c r="D2733" s="7" t="s">
        <v>11</v>
      </c>
      <c r="E2733" s="5" t="s">
        <v>39</v>
      </c>
      <c r="F2733" s="8"/>
      <c r="G2733" s="9">
        <f>H2733*(1-15%)*(1-F2733)</f>
        <v>38.164999999999999</v>
      </c>
      <c r="H2733" s="9">
        <v>44.899999999999999</v>
      </c>
      <c r="I2733" s="9">
        <f>H2733-G2733</f>
        <v>6.7349999999999994</v>
      </c>
    </row>
    <row r="2734" ht="14.25">
      <c r="A2734" s="5">
        <v>85935</v>
      </c>
      <c r="B2734" s="6" t="s">
        <v>2795</v>
      </c>
      <c r="C2734" s="7" t="s">
        <v>1241</v>
      </c>
      <c r="D2734" s="7" t="s">
        <v>45</v>
      </c>
      <c r="E2734" s="5" t="s">
        <v>68</v>
      </c>
      <c r="F2734" s="8"/>
      <c r="G2734" s="9">
        <f>H2734*(1-15%)*(1-F2734)</f>
        <v>101.91500000000001</v>
      </c>
      <c r="H2734" s="9">
        <v>119.90000000000001</v>
      </c>
      <c r="I2734" s="9">
        <f>H2734-G2734</f>
        <v>17.984999999999999</v>
      </c>
    </row>
    <row r="2735" ht="14.25">
      <c r="A2735" s="5">
        <v>85936</v>
      </c>
      <c r="B2735" s="6" t="s">
        <v>2796</v>
      </c>
      <c r="C2735" s="7" t="s">
        <v>1241</v>
      </c>
      <c r="D2735" s="7" t="s">
        <v>583</v>
      </c>
      <c r="E2735" s="5" t="s">
        <v>68</v>
      </c>
      <c r="F2735" s="8"/>
      <c r="G2735" s="9">
        <f>H2735*(1-15%)*(1-F2735)</f>
        <v>80.665000000000006</v>
      </c>
      <c r="H2735" s="9">
        <v>94.900000000000006</v>
      </c>
      <c r="I2735" s="9">
        <f>H2735-G2735</f>
        <v>14.234999999999999</v>
      </c>
    </row>
    <row r="2736" ht="14.25">
      <c r="A2736" s="5">
        <v>85943</v>
      </c>
      <c r="B2736" s="6" t="s">
        <v>2797</v>
      </c>
      <c r="C2736" s="7" t="s">
        <v>109</v>
      </c>
      <c r="D2736" s="7" t="s">
        <v>110</v>
      </c>
      <c r="E2736" s="5" t="s">
        <v>15</v>
      </c>
      <c r="F2736" s="8"/>
      <c r="G2736" s="9">
        <f>H2736*(1-15%)*(1-F2736)</f>
        <v>57.715000000000003</v>
      </c>
      <c r="H2736" s="9">
        <v>67.900000000000006</v>
      </c>
      <c r="I2736" s="9">
        <f>H2736-G2736</f>
        <v>10.185000000000002</v>
      </c>
    </row>
    <row r="2737" ht="14.25">
      <c r="A2737" s="5">
        <v>85945</v>
      </c>
      <c r="B2737" s="6" t="s">
        <v>2798</v>
      </c>
      <c r="C2737" s="7" t="s">
        <v>109</v>
      </c>
      <c r="D2737" s="7" t="s">
        <v>110</v>
      </c>
      <c r="E2737" s="5" t="s">
        <v>15</v>
      </c>
      <c r="F2737" s="8"/>
      <c r="G2737" s="9">
        <f>H2737*(1-15%)*(1-F2737)</f>
        <v>57.715000000000003</v>
      </c>
      <c r="H2737" s="9">
        <v>67.900000000000006</v>
      </c>
      <c r="I2737" s="9">
        <f>H2737-G2737</f>
        <v>10.185000000000002</v>
      </c>
    </row>
    <row r="2738" ht="14.25">
      <c r="A2738" s="5">
        <v>85946</v>
      </c>
      <c r="B2738" s="6" t="s">
        <v>2799</v>
      </c>
      <c r="C2738" s="7" t="s">
        <v>109</v>
      </c>
      <c r="D2738" s="7" t="s">
        <v>110</v>
      </c>
      <c r="E2738" s="5" t="s">
        <v>15</v>
      </c>
      <c r="F2738" s="8"/>
      <c r="G2738" s="9">
        <f>H2738*(1-15%)*(1-F2738)</f>
        <v>57.715000000000003</v>
      </c>
      <c r="H2738" s="9">
        <v>67.900000000000006</v>
      </c>
      <c r="I2738" s="9">
        <f>H2738-G2738</f>
        <v>10.185000000000002</v>
      </c>
    </row>
    <row r="2739" ht="14.25">
      <c r="A2739" s="5">
        <v>85970</v>
      </c>
      <c r="B2739" s="6" t="s">
        <v>2800</v>
      </c>
      <c r="C2739" s="7" t="s">
        <v>14</v>
      </c>
      <c r="D2739" s="7" t="s">
        <v>71</v>
      </c>
      <c r="E2739" s="5" t="s">
        <v>15</v>
      </c>
      <c r="F2739" s="8"/>
      <c r="G2739" s="9">
        <f>H2739*(1-15%)*(1-F2739)</f>
        <v>50.872500000000002</v>
      </c>
      <c r="H2739" s="9">
        <v>59.850000000000001</v>
      </c>
      <c r="I2739" s="9">
        <f>H2739-G2739</f>
        <v>8.9774999999999991</v>
      </c>
    </row>
    <row r="2740" ht="14.25">
      <c r="A2740" s="5">
        <v>86007</v>
      </c>
      <c r="B2740" s="6" t="s">
        <v>2801</v>
      </c>
      <c r="C2740" s="7" t="s">
        <v>1446</v>
      </c>
      <c r="D2740" s="7" t="s">
        <v>1447</v>
      </c>
      <c r="E2740" s="5" t="s">
        <v>15</v>
      </c>
      <c r="F2740" s="8"/>
      <c r="G2740" s="9">
        <f>H2740*(1-15%)*(1-F2740)</f>
        <v>6.1284999999999998</v>
      </c>
      <c r="H2740" s="9">
        <v>7.21</v>
      </c>
      <c r="I2740" s="9">
        <f>H2740-G2740</f>
        <v>1.0815000000000001</v>
      </c>
    </row>
    <row r="2741" ht="14.25">
      <c r="A2741" s="5">
        <v>86008</v>
      </c>
      <c r="B2741" s="6" t="s">
        <v>2802</v>
      </c>
      <c r="C2741" s="7" t="s">
        <v>1446</v>
      </c>
      <c r="D2741" s="7" t="s">
        <v>1447</v>
      </c>
      <c r="E2741" s="5" t="s">
        <v>15</v>
      </c>
      <c r="F2741" s="8"/>
      <c r="G2741" s="9">
        <f>H2741*(1-15%)*(1-F2741)</f>
        <v>10.0555</v>
      </c>
      <c r="H2741" s="9">
        <v>11.83</v>
      </c>
      <c r="I2741" s="9">
        <f>H2741-G2741</f>
        <v>1.7744999999999997</v>
      </c>
    </row>
    <row r="2742" ht="14.25">
      <c r="A2742" s="5">
        <v>86009</v>
      </c>
      <c r="B2742" s="6" t="s">
        <v>2803</v>
      </c>
      <c r="C2742" s="7" t="s">
        <v>1446</v>
      </c>
      <c r="D2742" s="7" t="s">
        <v>1447</v>
      </c>
      <c r="E2742" s="5" t="s">
        <v>15</v>
      </c>
      <c r="F2742" s="8"/>
      <c r="G2742" s="9">
        <f>H2742*(1-15%)*(1-F2742)</f>
        <v>14.127000000000001</v>
      </c>
      <c r="H2742" s="9">
        <v>16.620000000000001</v>
      </c>
      <c r="I2742" s="9">
        <f>H2742-G2742</f>
        <v>2.4930000000000003</v>
      </c>
    </row>
    <row r="2743" ht="14.25">
      <c r="A2743" s="5">
        <v>86010</v>
      </c>
      <c r="B2743" s="6" t="s">
        <v>2804</v>
      </c>
      <c r="C2743" s="7" t="s">
        <v>1446</v>
      </c>
      <c r="D2743" s="7" t="s">
        <v>1447</v>
      </c>
      <c r="E2743" s="5" t="s">
        <v>15</v>
      </c>
      <c r="F2743" s="8"/>
      <c r="G2743" s="9">
        <f>H2743*(1-15%)*(1-F2743)</f>
        <v>2.7624999999999997</v>
      </c>
      <c r="H2743" s="9">
        <v>3.25</v>
      </c>
      <c r="I2743" s="9">
        <f>H2743-G2743</f>
        <v>0.48750000000000027</v>
      </c>
    </row>
    <row r="2744" ht="14.25">
      <c r="A2744" s="5">
        <v>86011</v>
      </c>
      <c r="B2744" s="6" t="s">
        <v>2805</v>
      </c>
      <c r="C2744" s="7" t="s">
        <v>1446</v>
      </c>
      <c r="D2744" s="7" t="s">
        <v>1447</v>
      </c>
      <c r="E2744" s="5" t="s">
        <v>15</v>
      </c>
      <c r="F2744" s="8"/>
      <c r="G2744" s="9">
        <f>H2744*(1-15%)*(1-F2744)</f>
        <v>3.4849999999999994</v>
      </c>
      <c r="H2744" s="9">
        <v>4.0999999999999996</v>
      </c>
      <c r="I2744" s="9">
        <f>H2744-G2744</f>
        <v>0.61500000000000021</v>
      </c>
    </row>
    <row r="2745" ht="14.25">
      <c r="A2745" s="5">
        <v>86012</v>
      </c>
      <c r="B2745" s="6" t="s">
        <v>2806</v>
      </c>
      <c r="C2745" s="7" t="s">
        <v>1446</v>
      </c>
      <c r="D2745" s="7" t="s">
        <v>1447</v>
      </c>
      <c r="E2745" s="5" t="s">
        <v>15</v>
      </c>
      <c r="F2745" s="8"/>
      <c r="G2745" s="9">
        <f>H2745*(1-15%)*(1-F2745)</f>
        <v>0.72249999999999992</v>
      </c>
      <c r="H2745" s="9">
        <v>0.84999999999999998</v>
      </c>
      <c r="I2745" s="9">
        <f>H2745-G2745</f>
        <v>0.12750000000000006</v>
      </c>
    </row>
    <row r="2746" ht="14.25">
      <c r="A2746" s="5">
        <v>86013</v>
      </c>
      <c r="B2746" s="6" t="s">
        <v>2807</v>
      </c>
      <c r="C2746" s="7" t="s">
        <v>1446</v>
      </c>
      <c r="D2746" s="7" t="s">
        <v>1447</v>
      </c>
      <c r="E2746" s="5" t="s">
        <v>15</v>
      </c>
      <c r="F2746" s="8"/>
      <c r="G2746" s="9">
        <f>H2746*(1-15%)*(1-F2746)</f>
        <v>1.4449999999999998</v>
      </c>
      <c r="H2746" s="9">
        <v>1.7</v>
      </c>
      <c r="I2746" s="9">
        <f>H2746-G2746</f>
        <v>0.25500000000000012</v>
      </c>
    </row>
    <row r="2747" ht="14.25">
      <c r="A2747" s="5">
        <v>86014</v>
      </c>
      <c r="B2747" s="6" t="s">
        <v>2808</v>
      </c>
      <c r="C2747" s="7" t="s">
        <v>1446</v>
      </c>
      <c r="D2747" s="7" t="s">
        <v>1447</v>
      </c>
      <c r="E2747" s="5" t="s">
        <v>15</v>
      </c>
      <c r="F2747" s="8"/>
      <c r="G2747" s="9">
        <f>H2747*(1-15%)*(1-F2747)</f>
        <v>1.4449999999999998</v>
      </c>
      <c r="H2747" s="9">
        <v>1.7</v>
      </c>
      <c r="I2747" s="9">
        <f>H2747-G2747</f>
        <v>0.25500000000000012</v>
      </c>
    </row>
    <row r="2748" ht="14.25">
      <c r="A2748" s="5">
        <v>86015</v>
      </c>
      <c r="B2748" s="6" t="s">
        <v>2809</v>
      </c>
      <c r="C2748" s="7" t="s">
        <v>1446</v>
      </c>
      <c r="D2748" s="7" t="s">
        <v>1447</v>
      </c>
      <c r="E2748" s="5" t="s">
        <v>15</v>
      </c>
      <c r="F2748" s="8"/>
      <c r="G2748" s="9">
        <f>H2748*(1-15%)*(1-F2748)</f>
        <v>2.125</v>
      </c>
      <c r="H2748" s="9">
        <v>2.5</v>
      </c>
      <c r="I2748" s="9">
        <f>H2748-G2748</f>
        <v>0.375</v>
      </c>
    </row>
    <row r="2749" ht="14.25">
      <c r="A2749" s="5">
        <v>86016</v>
      </c>
      <c r="B2749" s="6" t="s">
        <v>2810</v>
      </c>
      <c r="C2749" s="7" t="s">
        <v>1446</v>
      </c>
      <c r="D2749" s="7" t="s">
        <v>1447</v>
      </c>
      <c r="E2749" s="5" t="s">
        <v>15</v>
      </c>
      <c r="F2749" s="8"/>
      <c r="G2749" s="9">
        <f>H2749*(1-15%)*(1-F2749)</f>
        <v>0.63749999999999996</v>
      </c>
      <c r="H2749" s="9">
        <v>0.75</v>
      </c>
      <c r="I2749" s="9">
        <f>H2749-G2749</f>
        <v>0.11250000000000004</v>
      </c>
    </row>
    <row r="2750" ht="14.25">
      <c r="A2750" s="5">
        <v>86017</v>
      </c>
      <c r="B2750" s="6" t="s">
        <v>2811</v>
      </c>
      <c r="C2750" s="7" t="s">
        <v>705</v>
      </c>
      <c r="D2750" s="7" t="s">
        <v>174</v>
      </c>
      <c r="E2750" s="5" t="s">
        <v>15</v>
      </c>
      <c r="F2750" s="8"/>
      <c r="G2750" s="9">
        <f>H2750*(1-15%)*(1-F2750)</f>
        <v>58.565000000000005</v>
      </c>
      <c r="H2750" s="9">
        <v>68.900000000000006</v>
      </c>
      <c r="I2750" s="9">
        <f>H2750-G2750</f>
        <v>10.335000000000001</v>
      </c>
    </row>
    <row r="2751" ht="14.25">
      <c r="A2751" s="5">
        <v>86019</v>
      </c>
      <c r="B2751" s="6" t="s">
        <v>2812</v>
      </c>
      <c r="C2751" s="7" t="s">
        <v>705</v>
      </c>
      <c r="D2751" s="7" t="s">
        <v>61</v>
      </c>
      <c r="E2751" s="5" t="s">
        <v>43</v>
      </c>
      <c r="F2751" s="8"/>
      <c r="G2751" s="9">
        <f>H2751*(1-15%)*(1-F2751)</f>
        <v>169.91499999999999</v>
      </c>
      <c r="H2751" s="9">
        <v>199.90000000000001</v>
      </c>
      <c r="I2751" s="9">
        <f>H2751-G2751</f>
        <v>29.985000000000014</v>
      </c>
    </row>
    <row r="2752" ht="14.25">
      <c r="A2752" s="5">
        <v>86027</v>
      </c>
      <c r="B2752" s="6" t="s">
        <v>2813</v>
      </c>
      <c r="C2752" s="7" t="s">
        <v>1446</v>
      </c>
      <c r="D2752" s="7" t="s">
        <v>1447</v>
      </c>
      <c r="E2752" s="5" t="s">
        <v>703</v>
      </c>
      <c r="F2752" s="8"/>
      <c r="G2752" s="9">
        <f>H2752*(1-15%)*(1-F2752)</f>
        <v>8.5000000000000006e-003</v>
      </c>
      <c r="H2752" s="9">
        <v>1.e-002</v>
      </c>
      <c r="I2752" s="9">
        <f>H2752-G2752</f>
        <v>1.4999999999999996e-003</v>
      </c>
    </row>
    <row r="2753" ht="14.25">
      <c r="A2753" s="5">
        <v>86092</v>
      </c>
      <c r="B2753" s="6" t="s">
        <v>2814</v>
      </c>
      <c r="C2753" s="7" t="s">
        <v>82</v>
      </c>
      <c r="D2753" s="7" t="s">
        <v>11</v>
      </c>
      <c r="E2753" s="5" t="s">
        <v>43</v>
      </c>
      <c r="F2753" s="8"/>
      <c r="G2753" s="9">
        <f>H2753*(1-15%)*(1-F2753)</f>
        <v>78.965000000000003</v>
      </c>
      <c r="H2753" s="9">
        <v>92.900000000000006</v>
      </c>
      <c r="I2753" s="9">
        <f>H2753-G2753</f>
        <v>13.935000000000002</v>
      </c>
    </row>
    <row r="2754" ht="14.25">
      <c r="A2754" s="5">
        <v>86094</v>
      </c>
      <c r="B2754" s="6" t="s">
        <v>2815</v>
      </c>
      <c r="C2754" s="7" t="s">
        <v>82</v>
      </c>
      <c r="D2754" s="7" t="s">
        <v>11</v>
      </c>
      <c r="E2754" s="5" t="s">
        <v>43</v>
      </c>
      <c r="F2754" s="8"/>
      <c r="G2754" s="9">
        <f>H2754*(1-15%)*(1-F2754)</f>
        <v>53.464999999999996</v>
      </c>
      <c r="H2754" s="9">
        <v>62.899999999999999</v>
      </c>
      <c r="I2754" s="9">
        <f>H2754-G2754</f>
        <v>9.4350000000000023</v>
      </c>
    </row>
    <row r="2755" ht="14.25">
      <c r="A2755" s="5">
        <v>86111</v>
      </c>
      <c r="B2755" s="6" t="s">
        <v>2816</v>
      </c>
      <c r="C2755" s="7" t="s">
        <v>10</v>
      </c>
      <c r="D2755" s="7" t="s">
        <v>103</v>
      </c>
      <c r="E2755" s="5" t="s">
        <v>15</v>
      </c>
      <c r="F2755" s="8"/>
      <c r="G2755" s="9">
        <f>H2755*(1-15%)*(1-F2755)</f>
        <v>53.464999999999996</v>
      </c>
      <c r="H2755" s="9">
        <v>62.899999999999999</v>
      </c>
      <c r="I2755" s="9">
        <f>H2755-G2755</f>
        <v>9.4350000000000023</v>
      </c>
    </row>
    <row r="2756" ht="14.25">
      <c r="A2756" s="5">
        <v>86154</v>
      </c>
      <c r="B2756" s="6" t="s">
        <v>2817</v>
      </c>
      <c r="C2756" s="7" t="s">
        <v>426</v>
      </c>
      <c r="D2756" s="7" t="s">
        <v>61</v>
      </c>
      <c r="E2756" s="5" t="s">
        <v>68</v>
      </c>
      <c r="F2756" s="8"/>
      <c r="G2756" s="9">
        <f>H2756*(1-15%)*(1-F2756)</f>
        <v>118.91500000000001</v>
      </c>
      <c r="H2756" s="9">
        <v>139.90000000000001</v>
      </c>
      <c r="I2756" s="9">
        <f>H2756-G2756</f>
        <v>20.984999999999999</v>
      </c>
    </row>
    <row r="2757" ht="14.25">
      <c r="A2757" s="5">
        <v>86167</v>
      </c>
      <c r="B2757" s="6" t="s">
        <v>2818</v>
      </c>
      <c r="C2757" s="7" t="s">
        <v>70</v>
      </c>
      <c r="D2757" s="7" t="s">
        <v>61</v>
      </c>
      <c r="E2757" s="5" t="s">
        <v>39</v>
      </c>
      <c r="F2757" s="8"/>
      <c r="G2757" s="9">
        <f>H2757*(1-15%)*(1-F2757)</f>
        <v>254.91499999999996</v>
      </c>
      <c r="H2757" s="9">
        <v>299.89999999999998</v>
      </c>
      <c r="I2757" s="9">
        <f>H2757-G2757</f>
        <v>44.985000000000014</v>
      </c>
    </row>
    <row r="2758" ht="14.25">
      <c r="A2758" s="5">
        <v>86205</v>
      </c>
      <c r="B2758" s="6" t="s">
        <v>2819</v>
      </c>
      <c r="C2758" s="7" t="s">
        <v>1446</v>
      </c>
      <c r="D2758" s="7" t="s">
        <v>1447</v>
      </c>
      <c r="E2758" s="5" t="s">
        <v>15</v>
      </c>
      <c r="F2758" s="8"/>
      <c r="G2758" s="9">
        <f>H2758*(1-15%)*(1-F2758)</f>
        <v>3.6124999999999998</v>
      </c>
      <c r="H2758" s="9">
        <v>4.25</v>
      </c>
      <c r="I2758" s="9">
        <f>H2758-G2758</f>
        <v>0.63750000000000018</v>
      </c>
    </row>
    <row r="2759" ht="14.25">
      <c r="A2759" s="5">
        <v>86255</v>
      </c>
      <c r="B2759" s="6" t="s">
        <v>2820</v>
      </c>
      <c r="C2759" s="7" t="s">
        <v>1446</v>
      </c>
      <c r="D2759" s="7" t="s">
        <v>1447</v>
      </c>
      <c r="E2759" s="5" t="s">
        <v>15</v>
      </c>
      <c r="F2759" s="8"/>
      <c r="G2759" s="9">
        <f>H2759*(1-15%)*(1-F2759)</f>
        <v>2.5499999999999998</v>
      </c>
      <c r="H2759" s="9">
        <v>3</v>
      </c>
      <c r="I2759" s="9">
        <f>H2759-G2759</f>
        <v>0.45000000000000018</v>
      </c>
    </row>
    <row r="2760" ht="14.25">
      <c r="A2760" s="5">
        <v>86272</v>
      </c>
      <c r="B2760" s="6" t="s">
        <v>2821</v>
      </c>
      <c r="C2760" s="7" t="s">
        <v>94</v>
      </c>
      <c r="D2760" s="7" t="s">
        <v>95</v>
      </c>
      <c r="E2760" s="5" t="s">
        <v>68</v>
      </c>
      <c r="F2760" s="8"/>
      <c r="G2760" s="9">
        <f>H2760*(1-15%)*(1-F2760)</f>
        <v>50.914999999999999</v>
      </c>
      <c r="H2760" s="9">
        <v>59.899999999999999</v>
      </c>
      <c r="I2760" s="9">
        <f>H2760-G2760</f>
        <v>8.9849999999999994</v>
      </c>
    </row>
    <row r="2761" ht="14.25">
      <c r="A2761" s="5">
        <v>86296</v>
      </c>
      <c r="B2761" s="6" t="s">
        <v>2822</v>
      </c>
      <c r="C2761" s="7" t="s">
        <v>94</v>
      </c>
      <c r="D2761" s="7" t="s">
        <v>95</v>
      </c>
      <c r="E2761" s="5" t="s">
        <v>43</v>
      </c>
      <c r="F2761" s="8"/>
      <c r="G2761" s="9">
        <f>H2761*(1-15%)*(1-F2761)</f>
        <v>29.664999999999999</v>
      </c>
      <c r="H2761" s="9">
        <v>34.899999999999999</v>
      </c>
      <c r="I2761" s="9">
        <f>H2761-G2761</f>
        <v>5.2349999999999994</v>
      </c>
    </row>
    <row r="2762" ht="14.25">
      <c r="A2762" s="5">
        <v>86304</v>
      </c>
      <c r="B2762" s="6" t="s">
        <v>2823</v>
      </c>
      <c r="C2762" s="7" t="s">
        <v>94</v>
      </c>
      <c r="D2762" s="7" t="s">
        <v>95</v>
      </c>
      <c r="E2762" s="5" t="s">
        <v>43</v>
      </c>
      <c r="F2762" s="8"/>
      <c r="G2762" s="9">
        <f>H2762*(1-15%)*(1-F2762)</f>
        <v>38.164999999999999</v>
      </c>
      <c r="H2762" s="9">
        <v>44.899999999999999</v>
      </c>
      <c r="I2762" s="9">
        <f>H2762-G2762</f>
        <v>6.7349999999999994</v>
      </c>
    </row>
    <row r="2763" ht="14.25">
      <c r="A2763" s="5">
        <v>86315</v>
      </c>
      <c r="B2763" s="6" t="s">
        <v>2824</v>
      </c>
      <c r="C2763" s="7" t="s">
        <v>82</v>
      </c>
      <c r="D2763" s="7" t="s">
        <v>61</v>
      </c>
      <c r="E2763" s="5" t="s">
        <v>68</v>
      </c>
      <c r="F2763" s="8"/>
      <c r="G2763" s="9">
        <f>H2763*(1-15%)*(1-F2763)</f>
        <v>95.965000000000003</v>
      </c>
      <c r="H2763" s="9">
        <v>112.90000000000001</v>
      </c>
      <c r="I2763" s="9">
        <f>H2763-G2763</f>
        <v>16.935000000000002</v>
      </c>
    </row>
    <row r="2764" ht="14.25">
      <c r="A2764" s="5">
        <v>86316</v>
      </c>
      <c r="B2764" s="6" t="s">
        <v>2825</v>
      </c>
      <c r="C2764" s="7" t="s">
        <v>94</v>
      </c>
      <c r="D2764" s="7" t="s">
        <v>95</v>
      </c>
      <c r="E2764" s="5" t="s">
        <v>26</v>
      </c>
      <c r="F2764" s="8"/>
      <c r="G2764" s="9">
        <f>H2764*(1-15%)*(1-F2764)</f>
        <v>55.165000000000006</v>
      </c>
      <c r="H2764" s="9">
        <v>64.900000000000006</v>
      </c>
      <c r="I2764" s="9">
        <f>H2764-G2764</f>
        <v>9.7349999999999994</v>
      </c>
    </row>
    <row r="2765" ht="14.25">
      <c r="A2765" s="5">
        <v>86336</v>
      </c>
      <c r="B2765" s="6" t="s">
        <v>2826</v>
      </c>
      <c r="C2765" s="7" t="s">
        <v>10</v>
      </c>
      <c r="D2765" s="7" t="s">
        <v>103</v>
      </c>
      <c r="E2765" s="5" t="s">
        <v>15</v>
      </c>
      <c r="F2765" s="8"/>
      <c r="G2765" s="9">
        <f>H2765*(1-15%)*(1-F2765)</f>
        <v>49.214999999999996</v>
      </c>
      <c r="H2765" s="9">
        <v>57.899999999999999</v>
      </c>
      <c r="I2765" s="9">
        <f>H2765-G2765</f>
        <v>8.6850000000000023</v>
      </c>
    </row>
    <row r="2766" ht="14.25">
      <c r="A2766" s="5">
        <v>86339</v>
      </c>
      <c r="B2766" s="6" t="s">
        <v>2827</v>
      </c>
      <c r="C2766" s="7" t="s">
        <v>109</v>
      </c>
      <c r="D2766" s="7" t="s">
        <v>110</v>
      </c>
      <c r="E2766" s="5" t="s">
        <v>15</v>
      </c>
      <c r="F2766" s="8"/>
      <c r="G2766" s="9">
        <f>H2766*(1-15%)*(1-F2766)</f>
        <v>54.314999999999998</v>
      </c>
      <c r="H2766" s="9">
        <v>63.899999999999999</v>
      </c>
      <c r="I2766" s="9">
        <f>H2766-G2766</f>
        <v>9.5850000000000009</v>
      </c>
    </row>
    <row r="2767" ht="14.25">
      <c r="A2767" s="5">
        <v>86340</v>
      </c>
      <c r="B2767" s="6" t="s">
        <v>2828</v>
      </c>
      <c r="C2767" s="7" t="s">
        <v>109</v>
      </c>
      <c r="D2767" s="7" t="s">
        <v>110</v>
      </c>
      <c r="E2767" s="5" t="s">
        <v>39</v>
      </c>
      <c r="F2767" s="8"/>
      <c r="G2767" s="9">
        <f>H2767*(1-15%)*(1-F2767)</f>
        <v>54.314999999999998</v>
      </c>
      <c r="H2767" s="9">
        <v>63.899999999999999</v>
      </c>
      <c r="I2767" s="9">
        <f>H2767-G2767</f>
        <v>9.5850000000000009</v>
      </c>
    </row>
    <row r="2768" ht="14.25">
      <c r="A2768" s="5">
        <v>86353</v>
      </c>
      <c r="B2768" s="6" t="s">
        <v>2829</v>
      </c>
      <c r="C2768" s="7" t="s">
        <v>109</v>
      </c>
      <c r="D2768" s="7" t="s">
        <v>110</v>
      </c>
      <c r="E2768" s="5" t="s">
        <v>15</v>
      </c>
      <c r="F2768" s="8"/>
      <c r="G2768" s="9">
        <f>H2768*(1-15%)*(1-F2768)</f>
        <v>50.914999999999999</v>
      </c>
      <c r="H2768" s="9">
        <v>59.899999999999999</v>
      </c>
      <c r="I2768" s="9">
        <f>H2768-G2768</f>
        <v>8.9849999999999994</v>
      </c>
    </row>
    <row r="2769" ht="14.25">
      <c r="A2769" s="5">
        <v>86355</v>
      </c>
      <c r="B2769" s="6" t="s">
        <v>2830</v>
      </c>
      <c r="C2769" s="7" t="s">
        <v>109</v>
      </c>
      <c r="D2769" s="7" t="s">
        <v>110</v>
      </c>
      <c r="E2769" s="5" t="s">
        <v>15</v>
      </c>
      <c r="F2769" s="8"/>
      <c r="G2769" s="9">
        <f>H2769*(1-15%)*(1-F2769)</f>
        <v>50.914999999999999</v>
      </c>
      <c r="H2769" s="9">
        <v>59.899999999999999</v>
      </c>
      <c r="I2769" s="9">
        <f>H2769-G2769</f>
        <v>8.9849999999999994</v>
      </c>
    </row>
    <row r="2770" ht="14.25">
      <c r="A2770" s="5">
        <v>86446</v>
      </c>
      <c r="B2770" s="6" t="s">
        <v>2831</v>
      </c>
      <c r="C2770" s="7" t="s">
        <v>1446</v>
      </c>
      <c r="D2770" s="7" t="s">
        <v>1447</v>
      </c>
      <c r="E2770" s="5" t="s">
        <v>703</v>
      </c>
      <c r="F2770" s="8"/>
      <c r="G2770" s="9">
        <f>H2770*(1-15%)*(1-F2770)</f>
        <v>8.5000000000000006e-003</v>
      </c>
      <c r="H2770" s="9">
        <v>1.e-002</v>
      </c>
      <c r="I2770" s="9">
        <f>H2770-G2770</f>
        <v>1.4999999999999996e-003</v>
      </c>
    </row>
    <row r="2771" ht="14.25">
      <c r="A2771" s="5">
        <v>86450</v>
      </c>
      <c r="B2771" s="6" t="s">
        <v>2832</v>
      </c>
      <c r="C2771" s="7" t="s">
        <v>1446</v>
      </c>
      <c r="D2771" s="7" t="s">
        <v>1447</v>
      </c>
      <c r="E2771" s="5" t="s">
        <v>15</v>
      </c>
      <c r="F2771" s="8"/>
      <c r="G2771" s="9">
        <f>H2771*(1-15%)*(1-F2771)</f>
        <v>29.877499999999998</v>
      </c>
      <c r="H2771" s="9">
        <v>35.149999999999999</v>
      </c>
      <c r="I2771" s="9">
        <f>H2771-G2771</f>
        <v>5.2725000000000009</v>
      </c>
    </row>
    <row r="2772" ht="14.25">
      <c r="A2772" s="5">
        <v>86454</v>
      </c>
      <c r="B2772" s="6" t="s">
        <v>2833</v>
      </c>
      <c r="C2772" s="7" t="s">
        <v>1446</v>
      </c>
      <c r="D2772" s="7" t="s">
        <v>1447</v>
      </c>
      <c r="E2772" s="5" t="s">
        <v>15</v>
      </c>
      <c r="F2772" s="8"/>
      <c r="G2772" s="9">
        <f>H2772*(1-15%)*(1-F2772)</f>
        <v>4.4624999999999995</v>
      </c>
      <c r="H2772" s="9">
        <v>5.25</v>
      </c>
      <c r="I2772" s="9">
        <f>H2772-G2772</f>
        <v>0.78750000000000053</v>
      </c>
    </row>
    <row r="2773" ht="14.25">
      <c r="A2773" s="5">
        <v>86456</v>
      </c>
      <c r="B2773" s="6" t="s">
        <v>2834</v>
      </c>
      <c r="C2773" s="7" t="s">
        <v>1446</v>
      </c>
      <c r="D2773" s="7" t="s">
        <v>1447</v>
      </c>
      <c r="E2773" s="5" t="s">
        <v>15</v>
      </c>
      <c r="F2773" s="8"/>
      <c r="G2773" s="9">
        <f>H2773*(1-15%)*(1-F2773)</f>
        <v>2.8899999999999997</v>
      </c>
      <c r="H2773" s="9">
        <v>3.3999999999999999</v>
      </c>
      <c r="I2773" s="9">
        <f>H2773-G2773</f>
        <v>0.51000000000000023</v>
      </c>
    </row>
    <row r="2774" ht="14.25">
      <c r="A2774" s="5">
        <v>86658</v>
      </c>
      <c r="B2774" s="6" t="s">
        <v>2835</v>
      </c>
      <c r="C2774" s="7" t="s">
        <v>94</v>
      </c>
      <c r="D2774" s="7" t="s">
        <v>95</v>
      </c>
      <c r="E2774" s="5" t="s">
        <v>39</v>
      </c>
      <c r="F2774" s="8"/>
      <c r="G2774" s="9">
        <f>H2774*(1-15%)*(1-F2774)</f>
        <v>39.015000000000001</v>
      </c>
      <c r="H2774" s="9">
        <v>45.899999999999999</v>
      </c>
      <c r="I2774" s="9">
        <f>H2774-G2774</f>
        <v>6.884999999999998</v>
      </c>
    </row>
    <row r="2775" ht="14.25">
      <c r="A2775" s="5">
        <v>86659</v>
      </c>
      <c r="B2775" s="6" t="s">
        <v>2836</v>
      </c>
      <c r="C2775" s="7" t="s">
        <v>94</v>
      </c>
      <c r="D2775" s="7" t="s">
        <v>95</v>
      </c>
      <c r="E2775" s="5" t="s">
        <v>43</v>
      </c>
      <c r="F2775" s="8"/>
      <c r="G2775" s="9">
        <f>H2775*(1-15%)*(1-F2775)</f>
        <v>32.214999999999996</v>
      </c>
      <c r="H2775" s="9">
        <v>37.899999999999999</v>
      </c>
      <c r="I2775" s="9">
        <f>H2775-G2775</f>
        <v>5.6850000000000023</v>
      </c>
    </row>
    <row r="2776" ht="14.25">
      <c r="A2776" s="5">
        <v>86663</v>
      </c>
      <c r="B2776" s="6" t="s">
        <v>2837</v>
      </c>
      <c r="C2776" s="7" t="s">
        <v>94</v>
      </c>
      <c r="D2776" s="7" t="s">
        <v>95</v>
      </c>
      <c r="E2776" s="5" t="s">
        <v>43</v>
      </c>
      <c r="F2776" s="8"/>
      <c r="G2776" s="9">
        <f>H2776*(1-15%)*(1-F2776)</f>
        <v>39.015000000000001</v>
      </c>
      <c r="H2776" s="9">
        <v>45.899999999999999</v>
      </c>
      <c r="I2776" s="9">
        <f>H2776-G2776</f>
        <v>6.884999999999998</v>
      </c>
    </row>
    <row r="2777" ht="14.25">
      <c r="A2777" s="5">
        <v>86664</v>
      </c>
      <c r="B2777" s="6" t="s">
        <v>2838</v>
      </c>
      <c r="C2777" s="7" t="s">
        <v>94</v>
      </c>
      <c r="D2777" s="7" t="s">
        <v>95</v>
      </c>
      <c r="E2777" s="5" t="s">
        <v>43</v>
      </c>
      <c r="F2777" s="8"/>
      <c r="G2777" s="9">
        <f>H2777*(1-15%)*(1-F2777)</f>
        <v>38.164999999999999</v>
      </c>
      <c r="H2777" s="9">
        <v>44.899999999999999</v>
      </c>
      <c r="I2777" s="9">
        <f>H2777-G2777</f>
        <v>6.7349999999999994</v>
      </c>
    </row>
    <row r="2778" ht="14.25">
      <c r="A2778" s="5">
        <v>86665</v>
      </c>
      <c r="B2778" s="6" t="s">
        <v>2839</v>
      </c>
      <c r="C2778" s="7" t="s">
        <v>94</v>
      </c>
      <c r="D2778" s="7" t="s">
        <v>95</v>
      </c>
      <c r="E2778" s="5" t="s">
        <v>43</v>
      </c>
      <c r="F2778" s="8"/>
      <c r="G2778" s="9">
        <f>H2778*(1-15%)*(1-F2778)</f>
        <v>36.464999999999996</v>
      </c>
      <c r="H2778" s="9">
        <v>42.899999999999999</v>
      </c>
      <c r="I2778" s="9">
        <f>H2778-G2778</f>
        <v>6.4350000000000023</v>
      </c>
    </row>
    <row r="2779" ht="14.25">
      <c r="A2779" s="5">
        <v>86666</v>
      </c>
      <c r="B2779" s="6" t="s">
        <v>2840</v>
      </c>
      <c r="C2779" s="7" t="s">
        <v>94</v>
      </c>
      <c r="D2779" s="7" t="s">
        <v>95</v>
      </c>
      <c r="E2779" s="5" t="s">
        <v>68</v>
      </c>
      <c r="F2779" s="8"/>
      <c r="G2779" s="9">
        <f>H2779*(1-15%)*(1-F2779)</f>
        <v>36.464999999999996</v>
      </c>
      <c r="H2779" s="9">
        <v>42.899999999999999</v>
      </c>
      <c r="I2779" s="9">
        <f>H2779-G2779</f>
        <v>6.4350000000000023</v>
      </c>
    </row>
    <row r="2780" ht="14.25">
      <c r="A2780" s="5">
        <v>86667</v>
      </c>
      <c r="B2780" s="6" t="s">
        <v>2841</v>
      </c>
      <c r="C2780" s="7" t="s">
        <v>94</v>
      </c>
      <c r="D2780" s="7" t="s">
        <v>95</v>
      </c>
      <c r="E2780" s="5" t="s">
        <v>68</v>
      </c>
      <c r="F2780" s="8"/>
      <c r="G2780" s="9">
        <f>H2780*(1-15%)*(1-F2780)</f>
        <v>42.414999999999999</v>
      </c>
      <c r="H2780" s="9">
        <v>49.899999999999999</v>
      </c>
      <c r="I2780" s="9">
        <f>H2780-G2780</f>
        <v>7.4849999999999994</v>
      </c>
    </row>
    <row r="2781" ht="14.25">
      <c r="A2781" s="5">
        <v>86669</v>
      </c>
      <c r="B2781" s="6" t="s">
        <v>2842</v>
      </c>
      <c r="C2781" s="7" t="s">
        <v>94</v>
      </c>
      <c r="D2781" s="7" t="s">
        <v>95</v>
      </c>
      <c r="E2781" s="5" t="s">
        <v>43</v>
      </c>
      <c r="F2781" s="8"/>
      <c r="G2781" s="9">
        <f>H2781*(1-15%)*(1-F2781)</f>
        <v>42.414999999999999</v>
      </c>
      <c r="H2781" s="9">
        <v>49.899999999999999</v>
      </c>
      <c r="I2781" s="9">
        <f>H2781-G2781</f>
        <v>7.4849999999999994</v>
      </c>
    </row>
    <row r="2782" ht="14.25">
      <c r="A2782" s="5">
        <v>86670</v>
      </c>
      <c r="B2782" s="6" t="s">
        <v>2843</v>
      </c>
      <c r="C2782" s="7" t="s">
        <v>94</v>
      </c>
      <c r="D2782" s="7" t="s">
        <v>95</v>
      </c>
      <c r="E2782" s="5" t="s">
        <v>43</v>
      </c>
      <c r="F2782" s="8"/>
      <c r="G2782" s="9">
        <f>H2782*(1-15%)*(1-F2782)</f>
        <v>55.165000000000006</v>
      </c>
      <c r="H2782" s="9">
        <v>64.900000000000006</v>
      </c>
      <c r="I2782" s="9">
        <f>H2782-G2782</f>
        <v>9.7349999999999994</v>
      </c>
    </row>
    <row r="2783" ht="14.25">
      <c r="A2783" s="5">
        <v>86671</v>
      </c>
      <c r="B2783" s="6" t="s">
        <v>2844</v>
      </c>
      <c r="C2783" s="7" t="s">
        <v>94</v>
      </c>
      <c r="D2783" s="7" t="s">
        <v>95</v>
      </c>
      <c r="E2783" s="5" t="s">
        <v>43</v>
      </c>
      <c r="F2783" s="8"/>
      <c r="G2783" s="9">
        <f>H2783*(1-15%)*(1-F2783)</f>
        <v>39.015000000000001</v>
      </c>
      <c r="H2783" s="9">
        <v>45.899999999999999</v>
      </c>
      <c r="I2783" s="9">
        <f>H2783-G2783</f>
        <v>6.884999999999998</v>
      </c>
    </row>
    <row r="2784" ht="14.25">
      <c r="A2784" s="5">
        <v>86672</v>
      </c>
      <c r="B2784" s="6" t="s">
        <v>2845</v>
      </c>
      <c r="C2784" s="7" t="s">
        <v>94</v>
      </c>
      <c r="D2784" s="7" t="s">
        <v>95</v>
      </c>
      <c r="E2784" s="5" t="s">
        <v>43</v>
      </c>
      <c r="F2784" s="8"/>
      <c r="G2784" s="9">
        <f>H2784*(1-15%)*(1-F2784)</f>
        <v>59.415000000000006</v>
      </c>
      <c r="H2784" s="9">
        <v>69.900000000000006</v>
      </c>
      <c r="I2784" s="9">
        <f>H2784-G2784</f>
        <v>10.484999999999999</v>
      </c>
    </row>
    <row r="2785" ht="14.25">
      <c r="A2785" s="5">
        <v>86673</v>
      </c>
      <c r="B2785" s="6" t="s">
        <v>2846</v>
      </c>
      <c r="C2785" s="7" t="s">
        <v>94</v>
      </c>
      <c r="D2785" s="7" t="s">
        <v>95</v>
      </c>
      <c r="E2785" s="5" t="s">
        <v>43</v>
      </c>
      <c r="F2785" s="8"/>
      <c r="G2785" s="9">
        <f>H2785*(1-15%)*(1-F2785)</f>
        <v>66.215000000000003</v>
      </c>
      <c r="H2785" s="9">
        <v>77.900000000000006</v>
      </c>
      <c r="I2785" s="9">
        <f>H2785-G2785</f>
        <v>11.685000000000002</v>
      </c>
    </row>
    <row r="2786" ht="14.25">
      <c r="A2786" s="5">
        <v>86674</v>
      </c>
      <c r="B2786" s="6" t="s">
        <v>2847</v>
      </c>
      <c r="C2786" s="7" t="s">
        <v>94</v>
      </c>
      <c r="D2786" s="7" t="s">
        <v>95</v>
      </c>
      <c r="E2786" s="5" t="s">
        <v>68</v>
      </c>
      <c r="F2786" s="8"/>
      <c r="G2786" s="9">
        <f>H2786*(1-15%)*(1-F2786)</f>
        <v>70.465000000000003</v>
      </c>
      <c r="H2786" s="9">
        <v>82.900000000000006</v>
      </c>
      <c r="I2786" s="9">
        <f>H2786-G2786</f>
        <v>12.435000000000002</v>
      </c>
    </row>
    <row r="2787" ht="14.25">
      <c r="A2787" s="5">
        <v>86675</v>
      </c>
      <c r="B2787" s="6" t="s">
        <v>2848</v>
      </c>
      <c r="C2787" s="7" t="s">
        <v>75</v>
      </c>
      <c r="D2787" s="7" t="s">
        <v>583</v>
      </c>
      <c r="E2787" s="5" t="s">
        <v>39</v>
      </c>
      <c r="F2787" s="8"/>
      <c r="G2787" s="9">
        <f>H2787*(1-15%)*(1-F2787)</f>
        <v>121.465</v>
      </c>
      <c r="H2787" s="9">
        <v>142.90000000000001</v>
      </c>
      <c r="I2787" s="9">
        <f>H2787-G2787</f>
        <v>21.435000000000002</v>
      </c>
    </row>
    <row r="2788" ht="14.25">
      <c r="A2788" s="5">
        <v>86752</v>
      </c>
      <c r="B2788" s="6" t="s">
        <v>2849</v>
      </c>
      <c r="C2788" s="7" t="s">
        <v>10</v>
      </c>
      <c r="D2788" s="7" t="s">
        <v>103</v>
      </c>
      <c r="E2788" s="5" t="s">
        <v>15</v>
      </c>
      <c r="F2788" s="8"/>
      <c r="G2788" s="9">
        <f>H2788*(1-15%)*(1-F2788)</f>
        <v>53.464999999999996</v>
      </c>
      <c r="H2788" s="9">
        <v>62.899999999999999</v>
      </c>
      <c r="I2788" s="9">
        <f>H2788-G2788</f>
        <v>9.4350000000000023</v>
      </c>
    </row>
    <row r="2789" ht="14.25">
      <c r="A2789" s="5">
        <v>86754</v>
      </c>
      <c r="B2789" s="6" t="s">
        <v>2850</v>
      </c>
      <c r="C2789" s="7" t="s">
        <v>75</v>
      </c>
      <c r="D2789" s="7" t="s">
        <v>103</v>
      </c>
      <c r="E2789" s="5" t="s">
        <v>39</v>
      </c>
      <c r="F2789" s="8"/>
      <c r="G2789" s="9">
        <f>H2789*(1-15%)*(1-F2789)</f>
        <v>38.164999999999999</v>
      </c>
      <c r="H2789" s="9">
        <v>44.899999999999999</v>
      </c>
      <c r="I2789" s="9">
        <f>H2789-G2789</f>
        <v>6.7349999999999994</v>
      </c>
    </row>
    <row r="2790" ht="14.25">
      <c r="A2790" s="5">
        <v>86755</v>
      </c>
      <c r="B2790" s="6" t="s">
        <v>2851</v>
      </c>
      <c r="C2790" s="7" t="s">
        <v>75</v>
      </c>
      <c r="D2790" s="7" t="s">
        <v>103</v>
      </c>
      <c r="E2790" s="5" t="s">
        <v>39</v>
      </c>
      <c r="F2790" s="8"/>
      <c r="G2790" s="9">
        <f>H2790*(1-15%)*(1-F2790)</f>
        <v>49.214999999999996</v>
      </c>
      <c r="H2790" s="9">
        <v>57.899999999999999</v>
      </c>
      <c r="I2790" s="9">
        <f>H2790-G2790</f>
        <v>8.6850000000000023</v>
      </c>
    </row>
    <row r="2791" ht="14.25">
      <c r="A2791" s="5">
        <v>86756</v>
      </c>
      <c r="B2791" s="6" t="s">
        <v>2852</v>
      </c>
      <c r="C2791" s="7" t="s">
        <v>75</v>
      </c>
      <c r="D2791" s="7" t="s">
        <v>103</v>
      </c>
      <c r="E2791" s="5" t="s">
        <v>133</v>
      </c>
      <c r="F2791" s="8"/>
      <c r="G2791" s="9">
        <f>H2791*(1-15%)*(1-F2791)</f>
        <v>49.214999999999996</v>
      </c>
      <c r="H2791" s="9">
        <v>57.899999999999999</v>
      </c>
      <c r="I2791" s="9">
        <f>H2791-G2791</f>
        <v>8.6850000000000023</v>
      </c>
    </row>
    <row r="2792" ht="14.25">
      <c r="A2792" s="5">
        <v>86757</v>
      </c>
      <c r="B2792" s="6" t="s">
        <v>2853</v>
      </c>
      <c r="C2792" s="7" t="s">
        <v>75</v>
      </c>
      <c r="D2792" s="7" t="s">
        <v>103</v>
      </c>
      <c r="E2792" s="5" t="s">
        <v>26</v>
      </c>
      <c r="F2792" s="8"/>
      <c r="G2792" s="9">
        <f>H2792*(1-15%)*(1-F2792)</f>
        <v>49.214999999999996</v>
      </c>
      <c r="H2792" s="9">
        <v>57.899999999999999</v>
      </c>
      <c r="I2792" s="9">
        <f>H2792-G2792</f>
        <v>8.6850000000000023</v>
      </c>
    </row>
    <row r="2793" ht="14.25">
      <c r="A2793" s="5">
        <v>86758</v>
      </c>
      <c r="B2793" s="6" t="s">
        <v>2854</v>
      </c>
      <c r="C2793" s="7" t="s">
        <v>75</v>
      </c>
      <c r="D2793" s="7" t="s">
        <v>103</v>
      </c>
      <c r="E2793" s="5" t="s">
        <v>26</v>
      </c>
      <c r="F2793" s="8"/>
      <c r="G2793" s="9">
        <f>H2793*(1-15%)*(1-F2793)</f>
        <v>38.164999999999999</v>
      </c>
      <c r="H2793" s="9">
        <v>44.899999999999999</v>
      </c>
      <c r="I2793" s="9">
        <f>H2793-G2793</f>
        <v>6.7349999999999994</v>
      </c>
    </row>
    <row r="2794" ht="14.25">
      <c r="A2794" s="5">
        <v>86759</v>
      </c>
      <c r="B2794" s="6" t="s">
        <v>2855</v>
      </c>
      <c r="C2794" s="7" t="s">
        <v>75</v>
      </c>
      <c r="D2794" s="7" t="s">
        <v>103</v>
      </c>
      <c r="E2794" s="5" t="s">
        <v>39</v>
      </c>
      <c r="F2794" s="8"/>
      <c r="G2794" s="9">
        <f>H2794*(1-15%)*(1-F2794)</f>
        <v>38.164999999999999</v>
      </c>
      <c r="H2794" s="9">
        <v>44.899999999999999</v>
      </c>
      <c r="I2794" s="9">
        <f>H2794-G2794</f>
        <v>6.7349999999999994</v>
      </c>
    </row>
    <row r="2795" ht="14.25">
      <c r="A2795" s="5">
        <v>86761</v>
      </c>
      <c r="B2795" s="6" t="s">
        <v>2856</v>
      </c>
      <c r="C2795" s="7" t="s">
        <v>75</v>
      </c>
      <c r="D2795" s="7" t="s">
        <v>103</v>
      </c>
      <c r="E2795" s="5" t="s">
        <v>39</v>
      </c>
      <c r="F2795" s="8"/>
      <c r="G2795" s="9">
        <f>H2795*(1-15%)*(1-F2795)</f>
        <v>49.214999999999996</v>
      </c>
      <c r="H2795" s="9">
        <v>57.899999999999999</v>
      </c>
      <c r="I2795" s="9">
        <f>H2795-G2795</f>
        <v>8.6850000000000023</v>
      </c>
    </row>
    <row r="2796" ht="14.25">
      <c r="A2796" s="5">
        <v>86765</v>
      </c>
      <c r="B2796" s="6" t="s">
        <v>2857</v>
      </c>
      <c r="C2796" s="7" t="s">
        <v>75</v>
      </c>
      <c r="D2796" s="7" t="s">
        <v>45</v>
      </c>
      <c r="E2796" s="5" t="s">
        <v>39</v>
      </c>
      <c r="F2796" s="8"/>
      <c r="G2796" s="9">
        <f>H2796*(1-15%)*(1-F2796)</f>
        <v>73.865000000000009</v>
      </c>
      <c r="H2796" s="9">
        <v>86.900000000000006</v>
      </c>
      <c r="I2796" s="9">
        <f>H2796-G2796</f>
        <v>13.034999999999997</v>
      </c>
    </row>
    <row r="2797" ht="14.25">
      <c r="A2797" s="5">
        <v>86802</v>
      </c>
      <c r="B2797" s="6" t="s">
        <v>2858</v>
      </c>
      <c r="C2797" s="7" t="s">
        <v>94</v>
      </c>
      <c r="D2797" s="7" t="s">
        <v>95</v>
      </c>
      <c r="E2797" s="5" t="s">
        <v>43</v>
      </c>
      <c r="F2797" s="8"/>
      <c r="G2797" s="9">
        <f>H2797*(1-15%)*(1-F2797)</f>
        <v>46.664999999999999</v>
      </c>
      <c r="H2797" s="9">
        <v>54.899999999999999</v>
      </c>
      <c r="I2797" s="9">
        <f>H2797-G2797</f>
        <v>8.2349999999999994</v>
      </c>
    </row>
    <row r="2798" ht="14.25">
      <c r="A2798" s="5">
        <v>86865</v>
      </c>
      <c r="B2798" s="6" t="s">
        <v>2859</v>
      </c>
      <c r="C2798" s="7" t="s">
        <v>951</v>
      </c>
      <c r="D2798" s="7" t="s">
        <v>199</v>
      </c>
      <c r="E2798" s="5" t="s">
        <v>68</v>
      </c>
      <c r="F2798" s="8"/>
      <c r="G2798" s="9">
        <f>H2798*(1-15%)*(1-F2798)</f>
        <v>78.965000000000003</v>
      </c>
      <c r="H2798" s="9">
        <v>92.900000000000006</v>
      </c>
      <c r="I2798" s="9">
        <f>H2798-G2798</f>
        <v>13.935000000000002</v>
      </c>
    </row>
    <row r="2799" ht="14.25">
      <c r="A2799" s="5">
        <v>86866</v>
      </c>
      <c r="B2799" s="6" t="s">
        <v>2860</v>
      </c>
      <c r="C2799" s="7" t="s">
        <v>951</v>
      </c>
      <c r="D2799" s="7" t="s">
        <v>199</v>
      </c>
      <c r="E2799" s="5" t="s">
        <v>133</v>
      </c>
      <c r="F2799" s="8"/>
      <c r="G2799" s="9">
        <f>H2799*(1-15%)*(1-F2799)</f>
        <v>67.915000000000006</v>
      </c>
      <c r="H2799" s="9">
        <v>79.900000000000006</v>
      </c>
      <c r="I2799" s="9">
        <f>H2799-G2799</f>
        <v>11.984999999999999</v>
      </c>
    </row>
    <row r="2800" ht="14.25">
      <c r="A2800" s="5">
        <v>86868</v>
      </c>
      <c r="B2800" s="6" t="s">
        <v>2861</v>
      </c>
      <c r="C2800" s="7" t="s">
        <v>2103</v>
      </c>
      <c r="D2800" s="7" t="s">
        <v>174</v>
      </c>
      <c r="E2800" s="5" t="s">
        <v>68</v>
      </c>
      <c r="F2800" s="8"/>
      <c r="G2800" s="9">
        <f>H2800*(1-15%)*(1-F2800)</f>
        <v>53.464999999999996</v>
      </c>
      <c r="H2800" s="9">
        <v>62.899999999999999</v>
      </c>
      <c r="I2800" s="9">
        <f>H2800-G2800</f>
        <v>9.4350000000000023</v>
      </c>
    </row>
    <row r="2801" ht="14.25">
      <c r="A2801" s="5">
        <v>86869</v>
      </c>
      <c r="B2801" s="6" t="s">
        <v>2862</v>
      </c>
      <c r="C2801" s="7" t="s">
        <v>2103</v>
      </c>
      <c r="D2801" s="7" t="s">
        <v>45</v>
      </c>
      <c r="E2801" s="5" t="s">
        <v>43</v>
      </c>
      <c r="F2801" s="8"/>
      <c r="G2801" s="9">
        <f>H2801*(1-15%)*(1-F2801)</f>
        <v>49.214999999999996</v>
      </c>
      <c r="H2801" s="9">
        <v>57.899999999999999</v>
      </c>
      <c r="I2801" s="9">
        <f>H2801-G2801</f>
        <v>8.6850000000000023</v>
      </c>
    </row>
    <row r="2802" ht="14.25">
      <c r="A2802" s="5">
        <v>86871</v>
      </c>
      <c r="B2802" s="6" t="s">
        <v>2863</v>
      </c>
      <c r="C2802" s="7" t="s">
        <v>1446</v>
      </c>
      <c r="D2802" s="7" t="s">
        <v>1447</v>
      </c>
      <c r="E2802" s="5" t="s">
        <v>15</v>
      </c>
      <c r="F2802" s="8"/>
      <c r="G2802" s="9">
        <f>H2802*(1-15%)*(1-F2802)</f>
        <v>0.68000000000000005</v>
      </c>
      <c r="H2802" s="9">
        <v>0.80000000000000004</v>
      </c>
      <c r="I2802" s="9">
        <f>H2802-G2802</f>
        <v>0.12</v>
      </c>
    </row>
    <row r="2803" ht="14.25">
      <c r="A2803" s="5">
        <v>86872</v>
      </c>
      <c r="B2803" s="6" t="s">
        <v>2864</v>
      </c>
      <c r="C2803" s="7" t="s">
        <v>1446</v>
      </c>
      <c r="D2803" s="7" t="s">
        <v>1447</v>
      </c>
      <c r="E2803" s="5" t="s">
        <v>15</v>
      </c>
      <c r="F2803" s="8"/>
      <c r="G2803" s="9">
        <f>H2803*(1-15%)*(1-F2803)</f>
        <v>1.0454999999999999</v>
      </c>
      <c r="H2803" s="9">
        <v>1.23</v>
      </c>
      <c r="I2803" s="9">
        <f>H2803-G2803</f>
        <v>0.18450000000000011</v>
      </c>
    </row>
    <row r="2804" ht="14.25">
      <c r="A2804" s="5">
        <v>86873</v>
      </c>
      <c r="B2804" s="6" t="s">
        <v>2865</v>
      </c>
      <c r="C2804" s="7" t="s">
        <v>1446</v>
      </c>
      <c r="D2804" s="7" t="s">
        <v>1447</v>
      </c>
      <c r="E2804" s="5" t="s">
        <v>15</v>
      </c>
      <c r="F2804" s="8"/>
      <c r="G2804" s="9">
        <f>H2804*(1-15%)*(1-F2804)</f>
        <v>1.377</v>
      </c>
      <c r="H2804" s="9">
        <v>1.6200000000000001</v>
      </c>
      <c r="I2804" s="9">
        <f>H2804-G2804</f>
        <v>0.2430000000000001</v>
      </c>
    </row>
    <row r="2805" ht="14.25">
      <c r="A2805" s="5">
        <v>86874</v>
      </c>
      <c r="B2805" s="6" t="s">
        <v>2866</v>
      </c>
      <c r="C2805" s="7" t="s">
        <v>1446</v>
      </c>
      <c r="D2805" s="7" t="s">
        <v>1447</v>
      </c>
      <c r="E2805" s="5" t="s">
        <v>15</v>
      </c>
      <c r="F2805" s="8"/>
      <c r="G2805" s="9">
        <f>H2805*(1-15%)*(1-F2805)</f>
        <v>2.04</v>
      </c>
      <c r="H2805" s="9">
        <v>2.3999999999999999</v>
      </c>
      <c r="I2805" s="9">
        <f>H2805-G2805</f>
        <v>0.35999999999999988</v>
      </c>
    </row>
    <row r="2806" ht="14.25">
      <c r="A2806" s="5">
        <v>86908</v>
      </c>
      <c r="B2806" s="6" t="s">
        <v>2867</v>
      </c>
      <c r="C2806" s="7" t="s">
        <v>1446</v>
      </c>
      <c r="D2806" s="7" t="s">
        <v>1447</v>
      </c>
      <c r="E2806" s="5" t="s">
        <v>15</v>
      </c>
      <c r="F2806" s="8"/>
      <c r="G2806" s="9">
        <f>H2806*(1-15%)*(1-F2806)</f>
        <v>9.1799999999999997</v>
      </c>
      <c r="H2806" s="9">
        <v>10.800000000000001</v>
      </c>
      <c r="I2806" s="9">
        <f>H2806-G2806</f>
        <v>1.620000000000001</v>
      </c>
    </row>
    <row r="2807" ht="14.25">
      <c r="A2807" s="5">
        <v>86915</v>
      </c>
      <c r="B2807" s="6" t="s">
        <v>2868</v>
      </c>
      <c r="C2807" s="7" t="s">
        <v>1446</v>
      </c>
      <c r="D2807" s="7" t="s">
        <v>1447</v>
      </c>
      <c r="E2807" s="5" t="s">
        <v>15</v>
      </c>
      <c r="F2807" s="8"/>
      <c r="G2807" s="9">
        <f>H2807*(1-15%)*(1-F2807)</f>
        <v>2.04</v>
      </c>
      <c r="H2807" s="9">
        <v>2.3999999999999999</v>
      </c>
      <c r="I2807" s="9">
        <f>H2807-G2807</f>
        <v>0.35999999999999988</v>
      </c>
    </row>
    <row r="2808" ht="14.25">
      <c r="A2808" s="5">
        <v>86919</v>
      </c>
      <c r="B2808" s="6" t="s">
        <v>2869</v>
      </c>
      <c r="C2808" s="7" t="s">
        <v>1446</v>
      </c>
      <c r="D2808" s="7" t="s">
        <v>1447</v>
      </c>
      <c r="E2808" s="5" t="s">
        <v>15</v>
      </c>
      <c r="F2808" s="8"/>
      <c r="G2808" s="9">
        <f>H2808*(1-15%)*(1-F2808)</f>
        <v>20.145</v>
      </c>
      <c r="H2808" s="9">
        <v>23.699999999999999</v>
      </c>
      <c r="I2808" s="9">
        <f>H2808-G2808</f>
        <v>3.5549999999999997</v>
      </c>
    </row>
    <row r="2809" ht="14.25">
      <c r="A2809" s="5">
        <v>86969</v>
      </c>
      <c r="B2809" s="6" t="s">
        <v>2870</v>
      </c>
      <c r="C2809" s="7" t="s">
        <v>10</v>
      </c>
      <c r="D2809" s="7" t="s">
        <v>71</v>
      </c>
      <c r="E2809" s="5" t="s">
        <v>39</v>
      </c>
      <c r="F2809" s="8"/>
      <c r="G2809" s="9">
        <f>H2809*(1-15%)*(1-F2809)</f>
        <v>33.914999999999999</v>
      </c>
      <c r="H2809" s="9">
        <v>39.899999999999999</v>
      </c>
      <c r="I2809" s="9">
        <f>H2809-G2809</f>
        <v>5.9849999999999994</v>
      </c>
    </row>
    <row r="2810" ht="14.25">
      <c r="A2810" s="5">
        <v>86988</v>
      </c>
      <c r="B2810" s="6" t="s">
        <v>2871</v>
      </c>
      <c r="C2810" s="7" t="s">
        <v>399</v>
      </c>
      <c r="D2810" s="7" t="s">
        <v>45</v>
      </c>
      <c r="E2810" s="5" t="s">
        <v>39</v>
      </c>
      <c r="F2810" s="8"/>
      <c r="G2810" s="9">
        <f>H2810*(1-15%)*(1-F2810)</f>
        <v>63.665000000000006</v>
      </c>
      <c r="H2810" s="9">
        <v>74.900000000000006</v>
      </c>
      <c r="I2810" s="9">
        <f>H2810-G2810</f>
        <v>11.234999999999999</v>
      </c>
    </row>
    <row r="2811" ht="14.25">
      <c r="A2811" s="5">
        <v>86990</v>
      </c>
      <c r="B2811" s="6" t="s">
        <v>2872</v>
      </c>
      <c r="C2811" s="7" t="s">
        <v>399</v>
      </c>
      <c r="D2811" s="7" t="s">
        <v>11</v>
      </c>
      <c r="E2811" s="5" t="s">
        <v>12</v>
      </c>
      <c r="F2811" s="8"/>
      <c r="G2811" s="9">
        <f>H2811*(1-15%)*(1-F2811)</f>
        <v>148.66499999999999</v>
      </c>
      <c r="H2811" s="9">
        <v>174.90000000000001</v>
      </c>
      <c r="I2811" s="9">
        <f>H2811-G2811</f>
        <v>26.235000000000014</v>
      </c>
    </row>
    <row r="2812" ht="14.25">
      <c r="A2812" s="5">
        <v>87040</v>
      </c>
      <c r="B2812" s="6" t="s">
        <v>2873</v>
      </c>
      <c r="C2812" s="7" t="s">
        <v>109</v>
      </c>
      <c r="D2812" s="7" t="s">
        <v>110</v>
      </c>
      <c r="E2812" s="5" t="s">
        <v>39</v>
      </c>
      <c r="F2812" s="8"/>
      <c r="G2812" s="9">
        <f>H2812*(1-15%)*(1-F2812)</f>
        <v>106.16500000000001</v>
      </c>
      <c r="H2812" s="9">
        <v>124.90000000000001</v>
      </c>
      <c r="I2812" s="9">
        <f>H2812-G2812</f>
        <v>18.734999999999999</v>
      </c>
    </row>
    <row r="2813" ht="14.25">
      <c r="A2813" s="5">
        <v>87041</v>
      </c>
      <c r="B2813" s="6" t="s">
        <v>2874</v>
      </c>
      <c r="C2813" s="7" t="s">
        <v>109</v>
      </c>
      <c r="D2813" s="7" t="s">
        <v>110</v>
      </c>
      <c r="E2813" s="5" t="s">
        <v>39</v>
      </c>
      <c r="F2813" s="8"/>
      <c r="G2813" s="9">
        <f>H2813*(1-15%)*(1-F2813)</f>
        <v>106.16500000000001</v>
      </c>
      <c r="H2813" s="9">
        <v>124.90000000000001</v>
      </c>
      <c r="I2813" s="9">
        <f>H2813-G2813</f>
        <v>18.734999999999999</v>
      </c>
    </row>
    <row r="2814" ht="14.25">
      <c r="A2814" s="5">
        <v>87042</v>
      </c>
      <c r="B2814" s="6" t="s">
        <v>2875</v>
      </c>
      <c r="C2814" s="7" t="s">
        <v>109</v>
      </c>
      <c r="D2814" s="7" t="s">
        <v>110</v>
      </c>
      <c r="E2814" s="5" t="s">
        <v>39</v>
      </c>
      <c r="F2814" s="8"/>
      <c r="G2814" s="9">
        <f>H2814*(1-15%)*(1-F2814)</f>
        <v>106.16500000000001</v>
      </c>
      <c r="H2814" s="9">
        <v>124.90000000000001</v>
      </c>
      <c r="I2814" s="9">
        <f>H2814-G2814</f>
        <v>18.734999999999999</v>
      </c>
    </row>
    <row r="2815" ht="14.25">
      <c r="A2815" s="5">
        <v>87043</v>
      </c>
      <c r="B2815" s="6" t="s">
        <v>2876</v>
      </c>
      <c r="C2815" s="7" t="s">
        <v>109</v>
      </c>
      <c r="D2815" s="7" t="s">
        <v>110</v>
      </c>
      <c r="E2815" s="5" t="s">
        <v>39</v>
      </c>
      <c r="F2815" s="8"/>
      <c r="G2815" s="9">
        <f>H2815*(1-15%)*(1-F2815)</f>
        <v>106.16500000000001</v>
      </c>
      <c r="H2815" s="9">
        <v>124.90000000000001</v>
      </c>
      <c r="I2815" s="9">
        <f>H2815-G2815</f>
        <v>18.734999999999999</v>
      </c>
    </row>
    <row r="2816" ht="14.25">
      <c r="A2816" s="5">
        <v>87044</v>
      </c>
      <c r="B2816" s="6" t="s">
        <v>2877</v>
      </c>
      <c r="C2816" s="7" t="s">
        <v>109</v>
      </c>
      <c r="D2816" s="7" t="s">
        <v>110</v>
      </c>
      <c r="E2816" s="5" t="s">
        <v>39</v>
      </c>
      <c r="F2816" s="8"/>
      <c r="G2816" s="9">
        <f>H2816*(1-15%)*(1-F2816)</f>
        <v>106.16500000000001</v>
      </c>
      <c r="H2816" s="9">
        <v>124.90000000000001</v>
      </c>
      <c r="I2816" s="9">
        <f>H2816-G2816</f>
        <v>18.734999999999999</v>
      </c>
    </row>
    <row r="2817" ht="14.25">
      <c r="A2817" s="5">
        <v>87045</v>
      </c>
      <c r="B2817" s="6" t="s">
        <v>2878</v>
      </c>
      <c r="C2817" s="7" t="s">
        <v>109</v>
      </c>
      <c r="D2817" s="7" t="s">
        <v>110</v>
      </c>
      <c r="E2817" s="5" t="s">
        <v>133</v>
      </c>
      <c r="F2817" s="8"/>
      <c r="G2817" s="9">
        <f>H2817*(1-15%)*(1-F2817)</f>
        <v>106.16500000000001</v>
      </c>
      <c r="H2817" s="9">
        <v>124.90000000000001</v>
      </c>
      <c r="I2817" s="9">
        <f>H2817-G2817</f>
        <v>18.734999999999999</v>
      </c>
    </row>
    <row r="2818" ht="14.25">
      <c r="A2818" s="5">
        <v>87047</v>
      </c>
      <c r="B2818" s="6" t="s">
        <v>2879</v>
      </c>
      <c r="C2818" s="7" t="s">
        <v>109</v>
      </c>
      <c r="D2818" s="7" t="s">
        <v>110</v>
      </c>
      <c r="E2818" s="5" t="s">
        <v>39</v>
      </c>
      <c r="F2818" s="8"/>
      <c r="G2818" s="9">
        <f>H2818*(1-15%)*(1-F2818)</f>
        <v>106.16500000000001</v>
      </c>
      <c r="H2818" s="9">
        <v>124.90000000000001</v>
      </c>
      <c r="I2818" s="9">
        <f>H2818-G2818</f>
        <v>18.734999999999999</v>
      </c>
    </row>
    <row r="2819" ht="14.25">
      <c r="A2819" s="5">
        <v>87048</v>
      </c>
      <c r="B2819" s="6" t="s">
        <v>2880</v>
      </c>
      <c r="C2819" s="7" t="s">
        <v>109</v>
      </c>
      <c r="D2819" s="7" t="s">
        <v>110</v>
      </c>
      <c r="E2819" s="5" t="s">
        <v>39</v>
      </c>
      <c r="F2819" s="8"/>
      <c r="G2819" s="9">
        <f>H2819*(1-15%)*(1-F2819)</f>
        <v>106.16500000000001</v>
      </c>
      <c r="H2819" s="9">
        <v>124.90000000000001</v>
      </c>
      <c r="I2819" s="9">
        <f>H2819-G2819</f>
        <v>18.734999999999999</v>
      </c>
    </row>
    <row r="2820" ht="14.25">
      <c r="A2820" s="5">
        <v>87050</v>
      </c>
      <c r="B2820" s="6" t="s">
        <v>2881</v>
      </c>
      <c r="C2820" s="7" t="s">
        <v>75</v>
      </c>
      <c r="D2820" s="7" t="s">
        <v>583</v>
      </c>
      <c r="E2820" s="5" t="s">
        <v>26</v>
      </c>
      <c r="F2820" s="8"/>
      <c r="G2820" s="9">
        <f>H2820*(1-15%)*(1-F2820)</f>
        <v>121.465</v>
      </c>
      <c r="H2820" s="9">
        <v>142.90000000000001</v>
      </c>
      <c r="I2820" s="9">
        <f>H2820-G2820</f>
        <v>21.435000000000002</v>
      </c>
    </row>
    <row r="2821" ht="14.25">
      <c r="A2821" s="5">
        <v>87051</v>
      </c>
      <c r="B2821" s="6" t="s">
        <v>2882</v>
      </c>
      <c r="C2821" s="7" t="s">
        <v>75</v>
      </c>
      <c r="D2821" s="7" t="s">
        <v>583</v>
      </c>
      <c r="E2821" s="5" t="s">
        <v>39</v>
      </c>
      <c r="F2821" s="8"/>
      <c r="G2821" s="9">
        <f>H2821*(1-15%)*(1-F2821)</f>
        <v>121.465</v>
      </c>
      <c r="H2821" s="9">
        <v>142.90000000000001</v>
      </c>
      <c r="I2821" s="9">
        <f>H2821-G2821</f>
        <v>21.435000000000002</v>
      </c>
    </row>
    <row r="2822" ht="14.25">
      <c r="A2822" s="5">
        <v>87064</v>
      </c>
      <c r="B2822" s="6" t="s">
        <v>2883</v>
      </c>
      <c r="C2822" s="7" t="s">
        <v>82</v>
      </c>
      <c r="D2822" s="7" t="s">
        <v>95</v>
      </c>
      <c r="E2822" s="5" t="s">
        <v>26</v>
      </c>
      <c r="F2822" s="8"/>
      <c r="G2822" s="9">
        <f>H2822*(1-15%)*(1-F2822)</f>
        <v>22.014999999999997</v>
      </c>
      <c r="H2822" s="9">
        <v>25.899999999999999</v>
      </c>
      <c r="I2822" s="9">
        <f>H2822-G2822</f>
        <v>3.8850000000000016</v>
      </c>
    </row>
    <row r="2823" ht="14.25">
      <c r="A2823" s="5">
        <v>87066</v>
      </c>
      <c r="B2823" s="6" t="s">
        <v>2884</v>
      </c>
      <c r="C2823" s="7" t="s">
        <v>82</v>
      </c>
      <c r="D2823" s="7" t="s">
        <v>95</v>
      </c>
      <c r="E2823" s="5" t="s">
        <v>26</v>
      </c>
      <c r="F2823" s="8"/>
      <c r="G2823" s="9">
        <f>H2823*(1-15%)*(1-F2823)</f>
        <v>23.715</v>
      </c>
      <c r="H2823" s="9">
        <v>27.899999999999999</v>
      </c>
      <c r="I2823" s="9">
        <f>H2823-G2823</f>
        <v>4.1849999999999987</v>
      </c>
    </row>
    <row r="2824" ht="14.25">
      <c r="A2824" s="5">
        <v>87067</v>
      </c>
      <c r="B2824" s="6" t="s">
        <v>2885</v>
      </c>
      <c r="C2824" s="7" t="s">
        <v>82</v>
      </c>
      <c r="D2824" s="7" t="s">
        <v>95</v>
      </c>
      <c r="E2824" s="5" t="s">
        <v>26</v>
      </c>
      <c r="F2824" s="8"/>
      <c r="G2824" s="9">
        <f>H2824*(1-15%)*(1-F2824)</f>
        <v>39.015000000000001</v>
      </c>
      <c r="H2824" s="9">
        <v>45.899999999999999</v>
      </c>
      <c r="I2824" s="9">
        <f>H2824-G2824</f>
        <v>6.884999999999998</v>
      </c>
    </row>
    <row r="2825" ht="14.25">
      <c r="A2825" s="5">
        <v>87068</v>
      </c>
      <c r="B2825" s="6" t="s">
        <v>2886</v>
      </c>
      <c r="C2825" s="7" t="s">
        <v>82</v>
      </c>
      <c r="D2825" s="7" t="s">
        <v>95</v>
      </c>
      <c r="E2825" s="5" t="s">
        <v>26</v>
      </c>
      <c r="F2825" s="8"/>
      <c r="G2825" s="9">
        <f>H2825*(1-15%)*(1-F2825)</f>
        <v>36.464999999999996</v>
      </c>
      <c r="H2825" s="9">
        <v>42.899999999999999</v>
      </c>
      <c r="I2825" s="9">
        <f>H2825-G2825</f>
        <v>6.4350000000000023</v>
      </c>
    </row>
    <row r="2826" ht="14.25">
      <c r="A2826" s="5">
        <v>87073</v>
      </c>
      <c r="B2826" s="6" t="s">
        <v>2887</v>
      </c>
      <c r="C2826" s="7" t="s">
        <v>82</v>
      </c>
      <c r="D2826" s="7" t="s">
        <v>95</v>
      </c>
      <c r="E2826" s="5" t="s">
        <v>26</v>
      </c>
      <c r="F2826" s="8"/>
      <c r="G2826" s="9">
        <f>H2826*(1-15%)*(1-F2826)</f>
        <v>22.014999999999997</v>
      </c>
      <c r="H2826" s="9">
        <v>25.899999999999999</v>
      </c>
      <c r="I2826" s="9">
        <f>H2826-G2826</f>
        <v>3.8850000000000016</v>
      </c>
    </row>
    <row r="2827" ht="14.25">
      <c r="A2827" s="5">
        <v>87075</v>
      </c>
      <c r="B2827" s="6" t="s">
        <v>2888</v>
      </c>
      <c r="C2827" s="7" t="s">
        <v>82</v>
      </c>
      <c r="D2827" s="7" t="s">
        <v>95</v>
      </c>
      <c r="E2827" s="5" t="s">
        <v>26</v>
      </c>
      <c r="F2827" s="8"/>
      <c r="G2827" s="9">
        <f>H2827*(1-15%)*(1-F2827)</f>
        <v>36.464999999999996</v>
      </c>
      <c r="H2827" s="9">
        <v>42.899999999999999</v>
      </c>
      <c r="I2827" s="9">
        <f>H2827-G2827</f>
        <v>6.4350000000000023</v>
      </c>
    </row>
    <row r="2828" ht="14.25">
      <c r="A2828" s="5">
        <v>87078</v>
      </c>
      <c r="B2828" s="6" t="s">
        <v>2889</v>
      </c>
      <c r="C2828" s="7" t="s">
        <v>82</v>
      </c>
      <c r="D2828" s="7" t="s">
        <v>95</v>
      </c>
      <c r="E2828" s="5" t="s">
        <v>26</v>
      </c>
      <c r="F2828" s="8"/>
      <c r="G2828" s="9">
        <f>H2828*(1-15%)*(1-F2828)</f>
        <v>36.464999999999996</v>
      </c>
      <c r="H2828" s="9">
        <v>42.899999999999999</v>
      </c>
      <c r="I2828" s="9">
        <f>H2828-G2828</f>
        <v>6.4350000000000023</v>
      </c>
    </row>
    <row r="2829" ht="14.25">
      <c r="A2829" s="5">
        <v>87079</v>
      </c>
      <c r="B2829" s="6" t="s">
        <v>2890</v>
      </c>
      <c r="C2829" s="7" t="s">
        <v>82</v>
      </c>
      <c r="D2829" s="7" t="s">
        <v>95</v>
      </c>
      <c r="E2829" s="5" t="s">
        <v>26</v>
      </c>
      <c r="F2829" s="8"/>
      <c r="G2829" s="9">
        <f>H2829*(1-15%)*(1-F2829)</f>
        <v>22.014999999999997</v>
      </c>
      <c r="H2829" s="9">
        <v>25.899999999999999</v>
      </c>
      <c r="I2829" s="9">
        <f>H2829-G2829</f>
        <v>3.8850000000000016</v>
      </c>
    </row>
    <row r="2830" ht="14.25">
      <c r="A2830" s="5">
        <v>87081</v>
      </c>
      <c r="B2830" s="6" t="s">
        <v>2891</v>
      </c>
      <c r="C2830" s="7" t="s">
        <v>82</v>
      </c>
      <c r="D2830" s="7" t="s">
        <v>95</v>
      </c>
      <c r="E2830" s="5" t="s">
        <v>26</v>
      </c>
      <c r="F2830" s="8"/>
      <c r="G2830" s="9">
        <f>H2830*(1-15%)*(1-F2830)</f>
        <v>36.464999999999996</v>
      </c>
      <c r="H2830" s="9">
        <v>42.899999999999999</v>
      </c>
      <c r="I2830" s="9">
        <f>H2830-G2830</f>
        <v>6.4350000000000023</v>
      </c>
    </row>
    <row r="2831" ht="14.25">
      <c r="A2831" s="5">
        <v>87101</v>
      </c>
      <c r="B2831" s="6" t="s">
        <v>2892</v>
      </c>
      <c r="C2831" s="7" t="s">
        <v>109</v>
      </c>
      <c r="D2831" s="7" t="s">
        <v>110</v>
      </c>
      <c r="E2831" s="5" t="s">
        <v>26</v>
      </c>
      <c r="F2831" s="8"/>
      <c r="G2831" s="9">
        <f>H2831*(1-15%)*(1-F2831)</f>
        <v>59.415000000000006</v>
      </c>
      <c r="H2831" s="9">
        <v>69.900000000000006</v>
      </c>
      <c r="I2831" s="9">
        <f>H2831-G2831</f>
        <v>10.484999999999999</v>
      </c>
    </row>
    <row r="2832" ht="14.25">
      <c r="A2832" s="5">
        <v>87201</v>
      </c>
      <c r="B2832" s="6" t="s">
        <v>2893</v>
      </c>
      <c r="C2832" s="7" t="s">
        <v>82</v>
      </c>
      <c r="D2832" s="7" t="s">
        <v>103</v>
      </c>
      <c r="E2832" s="5" t="s">
        <v>15</v>
      </c>
      <c r="F2832" s="8"/>
      <c r="G2832" s="9">
        <f>H2832*(1-15%)*(1-F2832)</f>
        <v>20.314999999999998</v>
      </c>
      <c r="H2832" s="9">
        <v>23.899999999999999</v>
      </c>
      <c r="I2832" s="9">
        <f>H2832-G2832</f>
        <v>3.5850000000000009</v>
      </c>
    </row>
    <row r="2833" ht="14.25">
      <c r="A2833" s="5">
        <v>87203</v>
      </c>
      <c r="B2833" s="6" t="s">
        <v>2894</v>
      </c>
      <c r="C2833" s="7" t="s">
        <v>426</v>
      </c>
      <c r="D2833" s="7" t="s">
        <v>61</v>
      </c>
      <c r="E2833" s="5" t="s">
        <v>68</v>
      </c>
      <c r="F2833" s="8"/>
      <c r="G2833" s="9">
        <f>H2833*(1-15%)*(1-F2833)</f>
        <v>203.91499999999999</v>
      </c>
      <c r="H2833" s="9">
        <v>239.90000000000001</v>
      </c>
      <c r="I2833" s="9">
        <f>H2833-G2833</f>
        <v>35.985000000000014</v>
      </c>
    </row>
    <row r="2834" ht="14.25">
      <c r="A2834" s="5">
        <v>87252</v>
      </c>
      <c r="B2834" s="6" t="s">
        <v>2895</v>
      </c>
      <c r="C2834" s="7" t="s">
        <v>109</v>
      </c>
      <c r="D2834" s="7" t="s">
        <v>110</v>
      </c>
      <c r="E2834" s="5" t="s">
        <v>133</v>
      </c>
      <c r="F2834" s="8"/>
      <c r="G2834" s="9">
        <f>H2834*(1-15%)*(1-F2834)</f>
        <v>140.16499999999999</v>
      </c>
      <c r="H2834" s="9">
        <v>164.90000000000001</v>
      </c>
      <c r="I2834" s="9">
        <f>H2834-G2834</f>
        <v>24.735000000000014</v>
      </c>
    </row>
    <row r="2835" ht="14.25">
      <c r="A2835" s="5">
        <v>87271</v>
      </c>
      <c r="B2835" s="6" t="s">
        <v>2896</v>
      </c>
      <c r="C2835" s="7" t="s">
        <v>109</v>
      </c>
      <c r="D2835" s="7" t="s">
        <v>110</v>
      </c>
      <c r="E2835" s="5" t="s">
        <v>15</v>
      </c>
      <c r="F2835" s="8"/>
      <c r="G2835" s="9">
        <f>H2835*(1-15%)*(1-F2835)</f>
        <v>54.314999999999998</v>
      </c>
      <c r="H2835" s="9">
        <v>63.899999999999999</v>
      </c>
      <c r="I2835" s="9">
        <f>H2835-G2835</f>
        <v>9.5850000000000009</v>
      </c>
    </row>
    <row r="2836" ht="14.25">
      <c r="A2836" s="5">
        <v>87272</v>
      </c>
      <c r="B2836" s="6" t="s">
        <v>2897</v>
      </c>
      <c r="C2836" s="7" t="s">
        <v>75</v>
      </c>
      <c r="D2836" s="7" t="s">
        <v>11</v>
      </c>
      <c r="E2836" s="5" t="s">
        <v>39</v>
      </c>
      <c r="F2836" s="8"/>
      <c r="G2836" s="9">
        <f>H2836*(1-15%)*(1-F2836)</f>
        <v>84.915000000000006</v>
      </c>
      <c r="H2836" s="9">
        <v>99.900000000000006</v>
      </c>
      <c r="I2836" s="9">
        <f>H2836-G2836</f>
        <v>14.984999999999999</v>
      </c>
    </row>
    <row r="2837" ht="14.25">
      <c r="A2837" s="5">
        <v>87315</v>
      </c>
      <c r="B2837" s="6" t="s">
        <v>2898</v>
      </c>
      <c r="C2837" s="7" t="s">
        <v>82</v>
      </c>
      <c r="D2837" s="7" t="s">
        <v>45</v>
      </c>
      <c r="E2837" s="5" t="s">
        <v>39</v>
      </c>
      <c r="F2837" s="8"/>
      <c r="G2837" s="9">
        <f>H2837*(1-15%)*(1-F2837)</f>
        <v>46.664999999999999</v>
      </c>
      <c r="H2837" s="9">
        <v>54.899999999999999</v>
      </c>
      <c r="I2837" s="9">
        <f>H2837-G2837</f>
        <v>8.2349999999999994</v>
      </c>
    </row>
    <row r="2838" ht="14.25">
      <c r="A2838" s="5">
        <v>87321</v>
      </c>
      <c r="B2838" s="6" t="s">
        <v>2899</v>
      </c>
      <c r="C2838" s="7" t="s">
        <v>82</v>
      </c>
      <c r="D2838" s="7" t="s">
        <v>103</v>
      </c>
      <c r="E2838" s="5" t="s">
        <v>39</v>
      </c>
      <c r="F2838" s="8"/>
      <c r="G2838" s="9">
        <f>H2838*(1-15%)*(1-F2838)</f>
        <v>42.414999999999999</v>
      </c>
      <c r="H2838" s="9">
        <v>49.899999999999999</v>
      </c>
      <c r="I2838" s="9">
        <f>H2838-G2838</f>
        <v>7.4849999999999994</v>
      </c>
    </row>
    <row r="2839" ht="14.25">
      <c r="A2839" s="5">
        <v>87326</v>
      </c>
      <c r="B2839" s="6" t="s">
        <v>2900</v>
      </c>
      <c r="C2839" s="7" t="s">
        <v>82</v>
      </c>
      <c r="D2839" s="7" t="s">
        <v>45</v>
      </c>
      <c r="E2839" s="5" t="s">
        <v>39</v>
      </c>
      <c r="F2839" s="8"/>
      <c r="G2839" s="9">
        <f>H2839*(1-15%)*(1-F2839)</f>
        <v>61.965000000000003</v>
      </c>
      <c r="H2839" s="9">
        <v>72.900000000000006</v>
      </c>
      <c r="I2839" s="9">
        <f>H2839-G2839</f>
        <v>10.935000000000002</v>
      </c>
    </row>
    <row r="2840" ht="14.25">
      <c r="A2840" s="5">
        <v>87327</v>
      </c>
      <c r="B2840" s="6" t="s">
        <v>2901</v>
      </c>
      <c r="C2840" s="7" t="s">
        <v>82</v>
      </c>
      <c r="D2840" s="7" t="s">
        <v>103</v>
      </c>
      <c r="E2840" s="5" t="s">
        <v>39</v>
      </c>
      <c r="F2840" s="8"/>
      <c r="G2840" s="9">
        <f>H2840*(1-15%)*(1-F2840)</f>
        <v>20.314999999999998</v>
      </c>
      <c r="H2840" s="9">
        <v>23.899999999999999</v>
      </c>
      <c r="I2840" s="9">
        <f>H2840-G2840</f>
        <v>3.5850000000000009</v>
      </c>
    </row>
    <row r="2841" ht="14.25">
      <c r="A2841" s="5">
        <v>87374</v>
      </c>
      <c r="B2841" s="6" t="s">
        <v>2902</v>
      </c>
      <c r="C2841" s="7" t="s">
        <v>75</v>
      </c>
      <c r="D2841" s="7" t="s">
        <v>103</v>
      </c>
      <c r="E2841" s="5" t="s">
        <v>26</v>
      </c>
      <c r="F2841" s="8"/>
      <c r="G2841" s="9">
        <f>H2841*(1-15%)*(1-F2841)</f>
        <v>25.414999999999999</v>
      </c>
      <c r="H2841" s="9">
        <v>29.899999999999999</v>
      </c>
      <c r="I2841" s="9">
        <f>H2841-G2841</f>
        <v>4.4849999999999994</v>
      </c>
    </row>
    <row r="2842" ht="14.25">
      <c r="A2842" s="5">
        <v>87443</v>
      </c>
      <c r="B2842" s="6" t="s">
        <v>2903</v>
      </c>
      <c r="C2842" s="7" t="s">
        <v>82</v>
      </c>
      <c r="D2842" s="7" t="s">
        <v>45</v>
      </c>
      <c r="E2842" s="5" t="s">
        <v>39</v>
      </c>
      <c r="F2842" s="8"/>
      <c r="G2842" s="9">
        <f>H2842*(1-15%)*(1-F2842)</f>
        <v>63.665000000000006</v>
      </c>
      <c r="H2842" s="9">
        <v>74.900000000000006</v>
      </c>
      <c r="I2842" s="9">
        <f>H2842-G2842</f>
        <v>11.234999999999999</v>
      </c>
    </row>
    <row r="2843" ht="14.25">
      <c r="A2843" s="5">
        <v>87452</v>
      </c>
      <c r="B2843" s="6" t="s">
        <v>2904</v>
      </c>
      <c r="C2843" s="7" t="s">
        <v>10</v>
      </c>
      <c r="D2843" s="7" t="s">
        <v>103</v>
      </c>
      <c r="E2843" s="5" t="s">
        <v>39</v>
      </c>
      <c r="F2843" s="8"/>
      <c r="G2843" s="9">
        <f>H2843*(1-15%)*(1-F2843)</f>
        <v>45.814999999999998</v>
      </c>
      <c r="H2843" s="9">
        <v>53.899999999999999</v>
      </c>
      <c r="I2843" s="9">
        <f>H2843-G2843</f>
        <v>8.0850000000000009</v>
      </c>
    </row>
    <row r="2844" ht="14.25">
      <c r="A2844" s="5">
        <v>87454</v>
      </c>
      <c r="B2844" s="6" t="s">
        <v>2905</v>
      </c>
      <c r="C2844" s="7" t="s">
        <v>82</v>
      </c>
      <c r="D2844" s="7" t="s">
        <v>95</v>
      </c>
      <c r="E2844" s="5" t="s">
        <v>68</v>
      </c>
      <c r="F2844" s="8"/>
      <c r="G2844" s="9">
        <f>H2844*(1-15%)*(1-F2844)</f>
        <v>25.414999999999999</v>
      </c>
      <c r="H2844" s="9">
        <v>29.899999999999999</v>
      </c>
      <c r="I2844" s="9">
        <f>H2844-G2844</f>
        <v>4.4849999999999994</v>
      </c>
    </row>
    <row r="2845" ht="14.25">
      <c r="A2845" s="5">
        <v>87478</v>
      </c>
      <c r="B2845" s="6" t="s">
        <v>2906</v>
      </c>
      <c r="C2845" s="7" t="s">
        <v>426</v>
      </c>
      <c r="D2845" s="7" t="s">
        <v>219</v>
      </c>
      <c r="E2845" s="5" t="s">
        <v>26</v>
      </c>
      <c r="F2845" s="8"/>
      <c r="G2845" s="9">
        <f>H2845*(1-15%)*(1-F2845)</f>
        <v>72.165000000000006</v>
      </c>
      <c r="H2845" s="9">
        <v>84.900000000000006</v>
      </c>
      <c r="I2845" s="9">
        <f>H2845-G2845</f>
        <v>12.734999999999999</v>
      </c>
    </row>
    <row r="2846" ht="14.25">
      <c r="A2846" s="5">
        <v>87482</v>
      </c>
      <c r="B2846" s="6" t="s">
        <v>2907</v>
      </c>
      <c r="C2846" s="7" t="s">
        <v>426</v>
      </c>
      <c r="D2846" s="7" t="s">
        <v>219</v>
      </c>
      <c r="E2846" s="5" t="s">
        <v>68</v>
      </c>
      <c r="F2846" s="8"/>
      <c r="G2846" s="9">
        <f>H2846*(1-15%)*(1-F2846)</f>
        <v>148.66499999999999</v>
      </c>
      <c r="H2846" s="9">
        <v>174.90000000000001</v>
      </c>
      <c r="I2846" s="9">
        <f>H2846-G2846</f>
        <v>26.235000000000014</v>
      </c>
    </row>
    <row r="2847" ht="14.25">
      <c r="A2847" s="5">
        <v>87483</v>
      </c>
      <c r="B2847" s="6" t="s">
        <v>2908</v>
      </c>
      <c r="C2847" s="7" t="s">
        <v>426</v>
      </c>
      <c r="D2847" s="7" t="s">
        <v>219</v>
      </c>
      <c r="E2847" s="5" t="s">
        <v>133</v>
      </c>
      <c r="F2847" s="8"/>
      <c r="G2847" s="9">
        <f>H2847*(1-15%)*(1-F2847)</f>
        <v>110.41500000000001</v>
      </c>
      <c r="H2847" s="9">
        <v>129.90000000000001</v>
      </c>
      <c r="I2847" s="9">
        <f>H2847-G2847</f>
        <v>19.484999999999999</v>
      </c>
    </row>
    <row r="2848" ht="14.25">
      <c r="A2848" s="5">
        <v>87484</v>
      </c>
      <c r="B2848" s="6" t="s">
        <v>2909</v>
      </c>
      <c r="C2848" s="7" t="s">
        <v>426</v>
      </c>
      <c r="D2848" s="7" t="s">
        <v>219</v>
      </c>
      <c r="E2848" s="5" t="s">
        <v>68</v>
      </c>
      <c r="F2848" s="8"/>
      <c r="G2848" s="9">
        <f>H2848*(1-15%)*(1-F2848)</f>
        <v>76.415000000000006</v>
      </c>
      <c r="H2848" s="9">
        <v>89.900000000000006</v>
      </c>
      <c r="I2848" s="9">
        <f>H2848-G2848</f>
        <v>13.484999999999999</v>
      </c>
    </row>
    <row r="2849" ht="14.25">
      <c r="A2849" s="5">
        <v>87491</v>
      </c>
      <c r="B2849" s="6" t="s">
        <v>2910</v>
      </c>
      <c r="C2849" s="7" t="s">
        <v>426</v>
      </c>
      <c r="D2849" s="7" t="s">
        <v>219</v>
      </c>
      <c r="E2849" s="5" t="s">
        <v>68</v>
      </c>
      <c r="F2849" s="8"/>
      <c r="G2849" s="9">
        <f>H2849*(1-15%)*(1-F2849)</f>
        <v>61.965000000000003</v>
      </c>
      <c r="H2849" s="9">
        <v>72.900000000000006</v>
      </c>
      <c r="I2849" s="9">
        <f>H2849-G2849</f>
        <v>10.935000000000002</v>
      </c>
    </row>
    <row r="2850" ht="14.25">
      <c r="A2850" s="5">
        <v>87597</v>
      </c>
      <c r="B2850" s="6" t="s">
        <v>2911</v>
      </c>
      <c r="C2850" s="7" t="s">
        <v>426</v>
      </c>
      <c r="D2850" s="7" t="s">
        <v>219</v>
      </c>
      <c r="E2850" s="5" t="s">
        <v>26</v>
      </c>
      <c r="F2850" s="8"/>
      <c r="G2850" s="9">
        <f>H2850*(1-15%)*(1-F2850)</f>
        <v>148.66499999999999</v>
      </c>
      <c r="H2850" s="9">
        <v>174.90000000000001</v>
      </c>
      <c r="I2850" s="9">
        <f>H2850-G2850</f>
        <v>26.235000000000014</v>
      </c>
    </row>
    <row r="2851" ht="14.25">
      <c r="A2851" s="5">
        <v>87599</v>
      </c>
      <c r="B2851" s="6" t="s">
        <v>2912</v>
      </c>
      <c r="C2851" s="7" t="s">
        <v>426</v>
      </c>
      <c r="D2851" s="7" t="s">
        <v>219</v>
      </c>
      <c r="E2851" s="5" t="s">
        <v>26</v>
      </c>
      <c r="F2851" s="8"/>
      <c r="G2851" s="9">
        <f>H2851*(1-15%)*(1-F2851)</f>
        <v>110.41500000000001</v>
      </c>
      <c r="H2851" s="9">
        <v>129.90000000000001</v>
      </c>
      <c r="I2851" s="9">
        <f>H2851-G2851</f>
        <v>19.484999999999999</v>
      </c>
    </row>
    <row r="2852" ht="14.25">
      <c r="A2852" s="5">
        <v>87600</v>
      </c>
      <c r="B2852" s="6" t="s">
        <v>2913</v>
      </c>
      <c r="C2852" s="7" t="s">
        <v>426</v>
      </c>
      <c r="D2852" s="7" t="s">
        <v>219</v>
      </c>
      <c r="E2852" s="5" t="s">
        <v>133</v>
      </c>
      <c r="F2852" s="8"/>
      <c r="G2852" s="9">
        <f>H2852*(1-15%)*(1-F2852)</f>
        <v>169.91499999999999</v>
      </c>
      <c r="H2852" s="9">
        <v>199.90000000000001</v>
      </c>
      <c r="I2852" s="9">
        <f>H2852-G2852</f>
        <v>29.985000000000014</v>
      </c>
    </row>
    <row r="2853" ht="14.25">
      <c r="A2853" s="5">
        <v>87679</v>
      </c>
      <c r="B2853" s="6" t="s">
        <v>2914</v>
      </c>
      <c r="C2853" s="7" t="s">
        <v>1446</v>
      </c>
      <c r="D2853" s="7" t="s">
        <v>1447</v>
      </c>
      <c r="E2853" s="5" t="s">
        <v>15</v>
      </c>
      <c r="F2853" s="8"/>
      <c r="G2853" s="9">
        <f>H2853*(1-15%)*(1-F2853)</f>
        <v>4.2924999999999995</v>
      </c>
      <c r="H2853" s="9">
        <v>5.0499999999999998</v>
      </c>
      <c r="I2853" s="9">
        <f>H2853-G2853</f>
        <v>0.75750000000000028</v>
      </c>
    </row>
    <row r="2854" ht="14.25">
      <c r="A2854" s="5">
        <v>87682</v>
      </c>
      <c r="B2854" s="6" t="s">
        <v>2915</v>
      </c>
      <c r="C2854" s="7" t="s">
        <v>1446</v>
      </c>
      <c r="D2854" s="7" t="s">
        <v>1447</v>
      </c>
      <c r="E2854" s="5" t="s">
        <v>15</v>
      </c>
      <c r="F2854" s="8"/>
      <c r="G2854" s="9">
        <f>H2854*(1-15%)*(1-F2854)</f>
        <v>1.1475</v>
      </c>
      <c r="H2854" s="9">
        <v>1.3500000000000001</v>
      </c>
      <c r="I2854" s="9">
        <f>H2854-G2854</f>
        <v>0.20250000000000012</v>
      </c>
    </row>
    <row r="2855" ht="14.25">
      <c r="A2855" s="5">
        <v>87683</v>
      </c>
      <c r="B2855" s="6" t="s">
        <v>2916</v>
      </c>
      <c r="C2855" s="7" t="s">
        <v>1446</v>
      </c>
      <c r="D2855" s="7" t="s">
        <v>1447</v>
      </c>
      <c r="E2855" s="5" t="s">
        <v>15</v>
      </c>
      <c r="F2855" s="8"/>
      <c r="G2855" s="9">
        <f>H2855*(1-15%)*(1-F2855)</f>
        <v>4.7599999999999998</v>
      </c>
      <c r="H2855" s="9">
        <v>5.5999999999999996</v>
      </c>
      <c r="I2855" s="9">
        <f>H2855-G2855</f>
        <v>0.83999999999999986</v>
      </c>
    </row>
    <row r="2856" ht="14.25">
      <c r="A2856" s="5">
        <v>87684</v>
      </c>
      <c r="B2856" s="6" t="s">
        <v>2917</v>
      </c>
      <c r="C2856" s="7" t="s">
        <v>1446</v>
      </c>
      <c r="D2856" s="7" t="s">
        <v>1447</v>
      </c>
      <c r="E2856" s="5" t="s">
        <v>15</v>
      </c>
      <c r="F2856" s="8"/>
      <c r="G2856" s="9">
        <f>H2856*(1-15%)*(1-F2856)</f>
        <v>3.7909999999999999</v>
      </c>
      <c r="H2856" s="9">
        <v>4.46</v>
      </c>
      <c r="I2856" s="9">
        <f>H2856-G2856</f>
        <v>0.66900000000000004</v>
      </c>
    </row>
    <row r="2857" ht="14.25">
      <c r="A2857" s="5">
        <v>87690</v>
      </c>
      <c r="B2857" s="6" t="s">
        <v>2918</v>
      </c>
      <c r="C2857" s="7" t="s">
        <v>1446</v>
      </c>
      <c r="D2857" s="7" t="s">
        <v>1447</v>
      </c>
      <c r="E2857" s="5" t="s">
        <v>15</v>
      </c>
      <c r="F2857" s="8"/>
      <c r="G2857" s="9">
        <f>H2857*(1-15%)*(1-F2857)</f>
        <v>63.75</v>
      </c>
      <c r="H2857" s="9">
        <v>75</v>
      </c>
      <c r="I2857" s="9">
        <f>H2857-G2857</f>
        <v>11.25</v>
      </c>
    </row>
    <row r="2858" ht="14.25">
      <c r="A2858" s="5">
        <v>87691</v>
      </c>
      <c r="B2858" s="6" t="s">
        <v>2919</v>
      </c>
      <c r="C2858" s="7" t="s">
        <v>1446</v>
      </c>
      <c r="D2858" s="7" t="s">
        <v>1447</v>
      </c>
      <c r="E2858" s="5" t="s">
        <v>15</v>
      </c>
      <c r="F2858" s="8"/>
      <c r="G2858" s="9">
        <f>H2858*(1-15%)*(1-F2858)</f>
        <v>3.3574999999999999</v>
      </c>
      <c r="H2858" s="9">
        <v>3.9500000000000002</v>
      </c>
      <c r="I2858" s="9">
        <f>H2858-G2858</f>
        <v>0.59250000000000025</v>
      </c>
    </row>
    <row r="2859" ht="14.25">
      <c r="A2859" s="5">
        <v>87692</v>
      </c>
      <c r="B2859" s="6" t="s">
        <v>2920</v>
      </c>
      <c r="C2859" s="7" t="s">
        <v>1446</v>
      </c>
      <c r="D2859" s="7" t="s">
        <v>1447</v>
      </c>
      <c r="E2859" s="5" t="s">
        <v>15</v>
      </c>
      <c r="F2859" s="8"/>
      <c r="G2859" s="9">
        <f>H2859*(1-15%)*(1-F2859)</f>
        <v>9.5114999999999998</v>
      </c>
      <c r="H2859" s="9">
        <v>11.19</v>
      </c>
      <c r="I2859" s="9">
        <f>H2859-G2859</f>
        <v>1.6784999999999997</v>
      </c>
    </row>
    <row r="2860" ht="14.25">
      <c r="A2860" s="5">
        <v>87694</v>
      </c>
      <c r="B2860" s="6" t="s">
        <v>2921</v>
      </c>
      <c r="C2860" s="7" t="s">
        <v>1446</v>
      </c>
      <c r="D2860" s="7" t="s">
        <v>1447</v>
      </c>
      <c r="E2860" s="5" t="s">
        <v>15</v>
      </c>
      <c r="F2860" s="8"/>
      <c r="G2860" s="9">
        <f>H2860*(1-15%)*(1-F2860)</f>
        <v>3.23</v>
      </c>
      <c r="H2860" s="9">
        <v>3.7999999999999998</v>
      </c>
      <c r="I2860" s="9">
        <f>H2860-G2860</f>
        <v>0.56999999999999984</v>
      </c>
    </row>
    <row r="2861" ht="14.25">
      <c r="A2861" s="5">
        <v>87700</v>
      </c>
      <c r="B2861" s="6" t="s">
        <v>2922</v>
      </c>
      <c r="C2861" s="7" t="s">
        <v>1446</v>
      </c>
      <c r="D2861" s="7" t="s">
        <v>1447</v>
      </c>
      <c r="E2861" s="5" t="s">
        <v>15</v>
      </c>
      <c r="F2861" s="8"/>
      <c r="G2861" s="9">
        <f>H2861*(1-15%)*(1-F2861)</f>
        <v>171.27500000000001</v>
      </c>
      <c r="H2861" s="9">
        <v>201.5</v>
      </c>
      <c r="I2861" s="9">
        <f>H2861-G2861</f>
        <v>30.224999999999994</v>
      </c>
    </row>
    <row r="2862" ht="14.25">
      <c r="A2862" s="5">
        <v>87708</v>
      </c>
      <c r="B2862" s="6" t="s">
        <v>2923</v>
      </c>
      <c r="C2862" s="7" t="s">
        <v>1446</v>
      </c>
      <c r="D2862" s="7" t="s">
        <v>1447</v>
      </c>
      <c r="E2862" s="5" t="s">
        <v>15</v>
      </c>
      <c r="F2862" s="8"/>
      <c r="G2862" s="9">
        <f>H2862*(1-15%)*(1-F2862)</f>
        <v>27.964999999999996</v>
      </c>
      <c r="H2862" s="9">
        <v>32.899999999999999</v>
      </c>
      <c r="I2862" s="9">
        <f>H2862-G2862</f>
        <v>4.9350000000000023</v>
      </c>
    </row>
    <row r="2863" ht="14.25">
      <c r="A2863" s="5">
        <v>87773</v>
      </c>
      <c r="B2863" s="6" t="s">
        <v>2924</v>
      </c>
      <c r="C2863" s="7" t="s">
        <v>36</v>
      </c>
      <c r="D2863" s="7" t="s">
        <v>11</v>
      </c>
      <c r="E2863" s="5" t="s">
        <v>68</v>
      </c>
      <c r="F2863" s="8"/>
      <c r="G2863" s="9">
        <f>H2863*(1-15%)*(1-F2863)</f>
        <v>148.66499999999999</v>
      </c>
      <c r="H2863" s="9">
        <v>174.90000000000001</v>
      </c>
      <c r="I2863" s="9">
        <f>H2863-G2863</f>
        <v>26.235000000000014</v>
      </c>
    </row>
    <row r="2864" ht="14.25">
      <c r="A2864" s="5">
        <v>87780</v>
      </c>
      <c r="B2864" s="6" t="s">
        <v>2925</v>
      </c>
      <c r="C2864" s="7" t="s">
        <v>426</v>
      </c>
      <c r="D2864" s="7" t="s">
        <v>219</v>
      </c>
      <c r="E2864" s="5" t="s">
        <v>68</v>
      </c>
      <c r="F2864" s="8"/>
      <c r="G2864" s="9">
        <f>H2864*(1-15%)*(1-F2864)</f>
        <v>76.415000000000006</v>
      </c>
      <c r="H2864" s="9">
        <v>89.900000000000006</v>
      </c>
      <c r="I2864" s="9">
        <f>H2864-G2864</f>
        <v>13.484999999999999</v>
      </c>
    </row>
    <row r="2865" ht="14.25">
      <c r="A2865" s="5">
        <v>87914</v>
      </c>
      <c r="B2865" s="6" t="s">
        <v>2926</v>
      </c>
      <c r="C2865" s="7" t="s">
        <v>75</v>
      </c>
      <c r="D2865" s="7" t="s">
        <v>45</v>
      </c>
      <c r="E2865" s="5" t="s">
        <v>68</v>
      </c>
      <c r="F2865" s="8"/>
      <c r="G2865" s="9">
        <f>H2865*(1-15%)*(1-F2865)</f>
        <v>36.464999999999996</v>
      </c>
      <c r="H2865" s="9">
        <v>42.899999999999999</v>
      </c>
      <c r="I2865" s="9">
        <f>H2865-G2865</f>
        <v>6.4350000000000023</v>
      </c>
    </row>
    <row r="2866" ht="14.25">
      <c r="A2866" s="5">
        <v>87915</v>
      </c>
      <c r="B2866" s="6" t="s">
        <v>2927</v>
      </c>
      <c r="C2866" s="7" t="s">
        <v>70</v>
      </c>
      <c r="D2866" s="7" t="s">
        <v>95</v>
      </c>
      <c r="E2866" s="5" t="s">
        <v>26</v>
      </c>
      <c r="F2866" s="8"/>
      <c r="G2866" s="9">
        <f>H2866*(1-15%)*(1-F2866)</f>
        <v>61.965000000000003</v>
      </c>
      <c r="H2866" s="9">
        <v>72.900000000000006</v>
      </c>
      <c r="I2866" s="9">
        <f>H2866-G2866</f>
        <v>10.935000000000002</v>
      </c>
    </row>
    <row r="2867" ht="14.25">
      <c r="A2867" s="5">
        <v>87916</v>
      </c>
      <c r="B2867" s="6" t="s">
        <v>2928</v>
      </c>
      <c r="C2867" s="7" t="s">
        <v>75</v>
      </c>
      <c r="D2867" s="7" t="s">
        <v>45</v>
      </c>
      <c r="E2867" s="5" t="s">
        <v>39</v>
      </c>
      <c r="F2867" s="8"/>
      <c r="G2867" s="9">
        <f>H2867*(1-15%)*(1-F2867)</f>
        <v>49.214999999999996</v>
      </c>
      <c r="H2867" s="9">
        <v>57.899999999999999</v>
      </c>
      <c r="I2867" s="9">
        <f>H2867-G2867</f>
        <v>8.6850000000000023</v>
      </c>
    </row>
    <row r="2868" ht="14.25">
      <c r="A2868" s="5">
        <v>87917</v>
      </c>
      <c r="B2868" s="6" t="s">
        <v>2929</v>
      </c>
      <c r="C2868" s="7" t="s">
        <v>75</v>
      </c>
      <c r="D2868" s="7" t="s">
        <v>45</v>
      </c>
      <c r="E2868" s="5" t="s">
        <v>26</v>
      </c>
      <c r="F2868" s="8"/>
      <c r="G2868" s="9">
        <f>H2868*(1-15%)*(1-F2868)</f>
        <v>49.214999999999996</v>
      </c>
      <c r="H2868" s="9">
        <v>57.899999999999999</v>
      </c>
      <c r="I2868" s="9">
        <f>H2868-G2868</f>
        <v>8.6850000000000023</v>
      </c>
    </row>
    <row r="2869" ht="14.25">
      <c r="A2869" s="5">
        <v>87918</v>
      </c>
      <c r="B2869" s="6" t="s">
        <v>2930</v>
      </c>
      <c r="C2869" s="7" t="s">
        <v>70</v>
      </c>
      <c r="D2869" s="7" t="s">
        <v>95</v>
      </c>
      <c r="E2869" s="5" t="s">
        <v>26</v>
      </c>
      <c r="F2869" s="8"/>
      <c r="G2869" s="9">
        <f>H2869*(1-15%)*(1-F2869)</f>
        <v>59.415000000000006</v>
      </c>
      <c r="H2869" s="9">
        <v>69.900000000000006</v>
      </c>
      <c r="I2869" s="9">
        <f>H2869-G2869</f>
        <v>10.484999999999999</v>
      </c>
    </row>
    <row r="2870" ht="14.25">
      <c r="A2870" s="5">
        <v>87920</v>
      </c>
      <c r="B2870" s="6" t="s">
        <v>2931</v>
      </c>
      <c r="C2870" s="7" t="s">
        <v>70</v>
      </c>
      <c r="D2870" s="7" t="s">
        <v>95</v>
      </c>
      <c r="E2870" s="5" t="s">
        <v>26</v>
      </c>
      <c r="F2870" s="8"/>
      <c r="G2870" s="9">
        <f>H2870*(1-15%)*(1-F2870)</f>
        <v>53.464999999999996</v>
      </c>
      <c r="H2870" s="9">
        <v>62.899999999999999</v>
      </c>
      <c r="I2870" s="9">
        <f>H2870-G2870</f>
        <v>9.4350000000000023</v>
      </c>
    </row>
    <row r="2871" ht="14.25">
      <c r="A2871" s="5">
        <v>87924</v>
      </c>
      <c r="B2871" s="6" t="s">
        <v>2932</v>
      </c>
      <c r="C2871" s="7" t="s">
        <v>271</v>
      </c>
      <c r="D2871" s="7" t="s">
        <v>110</v>
      </c>
      <c r="E2871" s="5" t="s">
        <v>43</v>
      </c>
      <c r="F2871" s="8"/>
      <c r="G2871" s="9">
        <f>H2871*(1-15%)*(1-F2871)</f>
        <v>32.214999999999996</v>
      </c>
      <c r="H2871" s="9">
        <v>37.899999999999999</v>
      </c>
      <c r="I2871" s="9">
        <f>H2871-G2871</f>
        <v>5.6850000000000023</v>
      </c>
    </row>
    <row r="2872" ht="14.25">
      <c r="A2872" s="5">
        <v>87925</v>
      </c>
      <c r="B2872" s="6" t="s">
        <v>2933</v>
      </c>
      <c r="C2872" s="7" t="s">
        <v>271</v>
      </c>
      <c r="D2872" s="7" t="s">
        <v>110</v>
      </c>
      <c r="E2872" s="5" t="s">
        <v>43</v>
      </c>
      <c r="F2872" s="8"/>
      <c r="G2872" s="9">
        <f>H2872*(1-15%)*(1-F2872)</f>
        <v>32.214999999999996</v>
      </c>
      <c r="H2872" s="9">
        <v>37.899999999999999</v>
      </c>
      <c r="I2872" s="9">
        <f>H2872-G2872</f>
        <v>5.6850000000000023</v>
      </c>
    </row>
    <row r="2873" ht="14.25">
      <c r="A2873" s="5">
        <v>87926</v>
      </c>
      <c r="B2873" s="6" t="s">
        <v>2934</v>
      </c>
      <c r="C2873" s="7" t="s">
        <v>271</v>
      </c>
      <c r="D2873" s="7" t="s">
        <v>110</v>
      </c>
      <c r="E2873" s="5" t="s">
        <v>43</v>
      </c>
      <c r="F2873" s="8"/>
      <c r="G2873" s="9">
        <f>H2873*(1-15%)*(1-F2873)</f>
        <v>32.214999999999996</v>
      </c>
      <c r="H2873" s="9">
        <v>37.899999999999999</v>
      </c>
      <c r="I2873" s="9">
        <f>H2873-G2873</f>
        <v>5.6850000000000023</v>
      </c>
    </row>
    <row r="2874" ht="14.25">
      <c r="A2874" s="5">
        <v>87959</v>
      </c>
      <c r="B2874" s="6" t="s">
        <v>2935</v>
      </c>
      <c r="C2874" s="7" t="s">
        <v>271</v>
      </c>
      <c r="D2874" s="7" t="s">
        <v>110</v>
      </c>
      <c r="E2874" s="5" t="s">
        <v>68</v>
      </c>
      <c r="F2874" s="8"/>
      <c r="G2874" s="9">
        <f>H2874*(1-15%)*(1-F2874)</f>
        <v>32.214999999999996</v>
      </c>
      <c r="H2874" s="9">
        <v>37.899999999999999</v>
      </c>
      <c r="I2874" s="9">
        <f>H2874-G2874</f>
        <v>5.6850000000000023</v>
      </c>
    </row>
    <row r="2875" ht="14.25">
      <c r="A2875" s="5">
        <v>87960</v>
      </c>
      <c r="B2875" s="6" t="s">
        <v>2936</v>
      </c>
      <c r="C2875" s="7" t="s">
        <v>271</v>
      </c>
      <c r="D2875" s="7" t="s">
        <v>110</v>
      </c>
      <c r="E2875" s="5" t="s">
        <v>68</v>
      </c>
      <c r="F2875" s="8"/>
      <c r="G2875" s="9">
        <f>H2875*(1-15%)*(1-F2875)</f>
        <v>32.214999999999996</v>
      </c>
      <c r="H2875" s="9">
        <v>37.899999999999999</v>
      </c>
      <c r="I2875" s="9">
        <f>H2875-G2875</f>
        <v>5.6850000000000023</v>
      </c>
    </row>
    <row r="2876" ht="14.25">
      <c r="A2876" s="5">
        <v>88023</v>
      </c>
      <c r="B2876" s="6" t="s">
        <v>2937</v>
      </c>
      <c r="C2876" s="7" t="s">
        <v>70</v>
      </c>
      <c r="D2876" s="7" t="s">
        <v>45</v>
      </c>
      <c r="E2876" s="5" t="s">
        <v>43</v>
      </c>
      <c r="F2876" s="8"/>
      <c r="G2876" s="9">
        <f>H2876*(1-15%)*(1-F2876)</f>
        <v>72.165000000000006</v>
      </c>
      <c r="H2876" s="9">
        <v>84.900000000000006</v>
      </c>
      <c r="I2876" s="9">
        <f>H2876-G2876</f>
        <v>12.734999999999999</v>
      </c>
    </row>
    <row r="2877" ht="14.25">
      <c r="A2877" s="5">
        <v>88073</v>
      </c>
      <c r="B2877" s="6" t="s">
        <v>2938</v>
      </c>
      <c r="C2877" s="7" t="s">
        <v>75</v>
      </c>
      <c r="D2877" s="7" t="s">
        <v>45</v>
      </c>
      <c r="E2877" s="5" t="s">
        <v>39</v>
      </c>
      <c r="F2877" s="8"/>
      <c r="G2877" s="9">
        <f>H2877*(1-15%)*(1-F2877)</f>
        <v>49.214999999999996</v>
      </c>
      <c r="H2877" s="9">
        <v>57.899999999999999</v>
      </c>
      <c r="I2877" s="9">
        <f>H2877-G2877</f>
        <v>8.6850000000000023</v>
      </c>
    </row>
    <row r="2878" ht="14.25">
      <c r="A2878" s="5">
        <v>88310</v>
      </c>
      <c r="B2878" s="6" t="s">
        <v>2939</v>
      </c>
      <c r="C2878" s="7" t="s">
        <v>82</v>
      </c>
      <c r="D2878" s="7" t="s">
        <v>45</v>
      </c>
      <c r="E2878" s="5" t="s">
        <v>26</v>
      </c>
      <c r="F2878" s="8"/>
      <c r="G2878" s="9">
        <f>H2878*(1-15%)*(1-F2878)</f>
        <v>63.665000000000006</v>
      </c>
      <c r="H2878" s="9">
        <v>74.900000000000006</v>
      </c>
      <c r="I2878" s="9">
        <f>H2878-G2878</f>
        <v>11.234999999999999</v>
      </c>
    </row>
    <row r="2879" ht="14.25">
      <c r="A2879" s="5">
        <v>88311</v>
      </c>
      <c r="B2879" s="6" t="s">
        <v>2940</v>
      </c>
      <c r="C2879" s="7" t="s">
        <v>82</v>
      </c>
      <c r="D2879" s="7" t="s">
        <v>103</v>
      </c>
      <c r="E2879" s="5" t="s">
        <v>133</v>
      </c>
      <c r="F2879" s="8"/>
      <c r="G2879" s="9">
        <f>H2879*(1-15%)*(1-F2879)</f>
        <v>31.364999999999998</v>
      </c>
      <c r="H2879" s="9">
        <v>36.899999999999999</v>
      </c>
      <c r="I2879" s="9">
        <f>H2879-G2879</f>
        <v>5.5350000000000001</v>
      </c>
    </row>
    <row r="2880" ht="14.25">
      <c r="A2880" s="5">
        <v>88343</v>
      </c>
      <c r="B2880" s="6" t="s">
        <v>2941</v>
      </c>
      <c r="C2880" s="7" t="s">
        <v>1446</v>
      </c>
      <c r="D2880" s="7" t="s">
        <v>1447</v>
      </c>
      <c r="E2880" s="5" t="s">
        <v>15</v>
      </c>
      <c r="F2880" s="8"/>
      <c r="G2880" s="9">
        <f>H2880*(1-15%)*(1-F2880)</f>
        <v>7.5650000000000004</v>
      </c>
      <c r="H2880" s="9">
        <v>8.9000000000000004</v>
      </c>
      <c r="I2880" s="9">
        <f>H2880-G2880</f>
        <v>1.335</v>
      </c>
    </row>
    <row r="2881" ht="14.25">
      <c r="A2881" s="5">
        <v>88344</v>
      </c>
      <c r="B2881" s="6" t="s">
        <v>2942</v>
      </c>
      <c r="C2881" s="7" t="s">
        <v>1446</v>
      </c>
      <c r="D2881" s="7" t="s">
        <v>1447</v>
      </c>
      <c r="E2881" s="5" t="s">
        <v>15</v>
      </c>
      <c r="F2881" s="8"/>
      <c r="G2881" s="9">
        <f>H2881*(1-15%)*(1-F2881)</f>
        <v>11.049999999999999</v>
      </c>
      <c r="H2881" s="9">
        <v>13</v>
      </c>
      <c r="I2881" s="9">
        <f>H2881-G2881</f>
        <v>1.9500000000000011</v>
      </c>
    </row>
    <row r="2882" ht="14.25">
      <c r="A2882" s="5">
        <v>88345</v>
      </c>
      <c r="B2882" s="6" t="s">
        <v>2943</v>
      </c>
      <c r="C2882" s="7" t="s">
        <v>1446</v>
      </c>
      <c r="D2882" s="7" t="s">
        <v>1447</v>
      </c>
      <c r="E2882" s="5" t="s">
        <v>15</v>
      </c>
      <c r="F2882" s="8"/>
      <c r="G2882" s="9">
        <f>H2882*(1-15%)*(1-F2882)</f>
        <v>16.149999999999999</v>
      </c>
      <c r="H2882" s="9">
        <v>19</v>
      </c>
      <c r="I2882" s="9">
        <f>H2882-G2882</f>
        <v>2.8500000000000014</v>
      </c>
    </row>
    <row r="2883" ht="14.25">
      <c r="A2883" s="5">
        <v>88346</v>
      </c>
      <c r="B2883" s="6" t="s">
        <v>2944</v>
      </c>
      <c r="C2883" s="7" t="s">
        <v>1446</v>
      </c>
      <c r="D2883" s="7" t="s">
        <v>1447</v>
      </c>
      <c r="E2883" s="5" t="s">
        <v>15</v>
      </c>
      <c r="F2883" s="8"/>
      <c r="G2883" s="9">
        <f>H2883*(1-15%)*(1-F2883)</f>
        <v>27.964999999999996</v>
      </c>
      <c r="H2883" s="9">
        <v>32.899999999999999</v>
      </c>
      <c r="I2883" s="9">
        <f>H2883-G2883</f>
        <v>4.9350000000000023</v>
      </c>
    </row>
    <row r="2884" ht="14.25">
      <c r="A2884" s="5">
        <v>88347</v>
      </c>
      <c r="B2884" s="6" t="s">
        <v>2945</v>
      </c>
      <c r="C2884" s="7" t="s">
        <v>1446</v>
      </c>
      <c r="D2884" s="7" t="s">
        <v>1447</v>
      </c>
      <c r="E2884" s="5" t="s">
        <v>15</v>
      </c>
      <c r="F2884" s="8"/>
      <c r="G2884" s="9">
        <f>H2884*(1-15%)*(1-F2884)</f>
        <v>3.1875</v>
      </c>
      <c r="H2884" s="9">
        <v>3.75</v>
      </c>
      <c r="I2884" s="9">
        <f>H2884-G2884</f>
        <v>0.5625</v>
      </c>
    </row>
    <row r="2885" ht="14.25">
      <c r="A2885" s="5">
        <v>88348</v>
      </c>
      <c r="B2885" s="6" t="s">
        <v>2946</v>
      </c>
      <c r="C2885" s="7" t="s">
        <v>1446</v>
      </c>
      <c r="D2885" s="7" t="s">
        <v>1447</v>
      </c>
      <c r="E2885" s="5" t="s">
        <v>15</v>
      </c>
      <c r="F2885" s="8"/>
      <c r="G2885" s="9">
        <f>H2885*(1-15%)*(1-F2885)</f>
        <v>4.0800000000000001</v>
      </c>
      <c r="H2885" s="9">
        <v>4.7999999999999998</v>
      </c>
      <c r="I2885" s="9">
        <f>H2885-G2885</f>
        <v>0.71999999999999975</v>
      </c>
    </row>
    <row r="2886" ht="14.25">
      <c r="A2886" s="5">
        <v>88646</v>
      </c>
      <c r="B2886" s="6" t="s">
        <v>2947</v>
      </c>
      <c r="C2886" s="7" t="s">
        <v>82</v>
      </c>
      <c r="D2886" s="7" t="s">
        <v>11</v>
      </c>
      <c r="E2886" s="5" t="s">
        <v>15</v>
      </c>
      <c r="F2886" s="8"/>
      <c r="G2886" s="9">
        <f>H2886*(1-15%)*(1-F2886)</f>
        <v>78.965000000000003</v>
      </c>
      <c r="H2886" s="9">
        <v>92.900000000000006</v>
      </c>
      <c r="I2886" s="9">
        <f>H2886-G2886</f>
        <v>13.935000000000002</v>
      </c>
    </row>
    <row r="2887" ht="14.25">
      <c r="A2887" s="5">
        <v>88733</v>
      </c>
      <c r="B2887" s="6" t="s">
        <v>2948</v>
      </c>
      <c r="C2887" s="7" t="s">
        <v>1446</v>
      </c>
      <c r="D2887" s="7" t="s">
        <v>1447</v>
      </c>
      <c r="E2887" s="5" t="s">
        <v>15</v>
      </c>
      <c r="F2887" s="8"/>
      <c r="G2887" s="9">
        <f>H2887*(1-15%)*(1-F2887)</f>
        <v>1.5725</v>
      </c>
      <c r="H2887" s="9">
        <v>1.8500000000000001</v>
      </c>
      <c r="I2887" s="9">
        <f>H2887-G2887</f>
        <v>0.27750000000000008</v>
      </c>
    </row>
    <row r="2888" ht="14.25">
      <c r="A2888" s="5">
        <v>88734</v>
      </c>
      <c r="B2888" s="6" t="s">
        <v>2949</v>
      </c>
      <c r="C2888" s="7" t="s">
        <v>1446</v>
      </c>
      <c r="D2888" s="7" t="s">
        <v>1447</v>
      </c>
      <c r="E2888" s="5" t="s">
        <v>15</v>
      </c>
      <c r="F2888" s="8"/>
      <c r="G2888" s="9">
        <f>H2888*(1-15%)*(1-F2888)</f>
        <v>1.9549999999999998</v>
      </c>
      <c r="H2888" s="9">
        <v>2.2999999999999998</v>
      </c>
      <c r="I2888" s="9">
        <f>H2888-G2888</f>
        <v>0.34499999999999997</v>
      </c>
    </row>
    <row r="2889" ht="14.25">
      <c r="A2889" s="5">
        <v>88745</v>
      </c>
      <c r="B2889" s="6" t="s">
        <v>2950</v>
      </c>
      <c r="C2889" s="7" t="s">
        <v>1446</v>
      </c>
      <c r="D2889" s="7" t="s">
        <v>1447</v>
      </c>
      <c r="E2889" s="5" t="s">
        <v>15</v>
      </c>
      <c r="F2889" s="8"/>
      <c r="G2889" s="9">
        <f>H2889*(1-15%)*(1-F2889)</f>
        <v>2.9325000000000001</v>
      </c>
      <c r="H2889" s="9">
        <v>3.4500000000000002</v>
      </c>
      <c r="I2889" s="9">
        <f>H2889-G2889</f>
        <v>0.51750000000000007</v>
      </c>
    </row>
    <row r="2890" ht="14.25">
      <c r="A2890" s="5">
        <v>88852</v>
      </c>
      <c r="B2890" s="6" t="s">
        <v>2951</v>
      </c>
      <c r="C2890" s="7" t="s">
        <v>1446</v>
      </c>
      <c r="D2890" s="7" t="s">
        <v>1447</v>
      </c>
      <c r="E2890" s="5" t="s">
        <v>15</v>
      </c>
      <c r="F2890" s="8"/>
      <c r="G2890" s="9">
        <f>H2890*(1-15%)*(1-F2890)</f>
        <v>0.42499999999999999</v>
      </c>
      <c r="H2890" s="9">
        <v>0.5</v>
      </c>
      <c r="I2890" s="9">
        <f>H2890-G2890</f>
        <v>7.5000000000000011e-002</v>
      </c>
    </row>
    <row r="2891" ht="14.25">
      <c r="A2891" s="5">
        <v>88856</v>
      </c>
      <c r="B2891" s="6" t="s">
        <v>2952</v>
      </c>
      <c r="C2891" s="7" t="s">
        <v>1446</v>
      </c>
      <c r="D2891" s="7" t="s">
        <v>1447</v>
      </c>
      <c r="E2891" s="5" t="s">
        <v>15</v>
      </c>
      <c r="F2891" s="8"/>
      <c r="G2891" s="9">
        <f>H2891*(1-15%)*(1-F2891)</f>
        <v>4.5474999999999994</v>
      </c>
      <c r="H2891" s="9">
        <v>5.3499999999999996</v>
      </c>
      <c r="I2891" s="9">
        <f>H2891-G2891</f>
        <v>0.80250000000000021</v>
      </c>
    </row>
    <row r="2892" ht="14.25">
      <c r="A2892" s="5">
        <v>88859</v>
      </c>
      <c r="B2892" s="6" t="s">
        <v>2953</v>
      </c>
      <c r="C2892" s="7" t="s">
        <v>1446</v>
      </c>
      <c r="D2892" s="7" t="s">
        <v>1447</v>
      </c>
      <c r="E2892" s="5" t="s">
        <v>15</v>
      </c>
      <c r="F2892" s="8"/>
      <c r="G2892" s="9">
        <f>H2892*(1-15%)*(1-F2892)</f>
        <v>1.1475</v>
      </c>
      <c r="H2892" s="9">
        <v>1.3500000000000001</v>
      </c>
      <c r="I2892" s="9">
        <f>H2892-G2892</f>
        <v>0.20250000000000012</v>
      </c>
    </row>
    <row r="2893" ht="14.25">
      <c r="A2893" s="5">
        <v>88860</v>
      </c>
      <c r="B2893" s="6" t="s">
        <v>2954</v>
      </c>
      <c r="C2893" s="7" t="s">
        <v>1446</v>
      </c>
      <c r="D2893" s="7" t="s">
        <v>1447</v>
      </c>
      <c r="E2893" s="5" t="s">
        <v>15</v>
      </c>
      <c r="F2893" s="8"/>
      <c r="G2893" s="9">
        <f>H2893*(1-15%)*(1-F2893)</f>
        <v>4.1224999999999996</v>
      </c>
      <c r="H2893" s="9">
        <v>4.8499999999999996</v>
      </c>
      <c r="I2893" s="9">
        <f>H2893-G2893</f>
        <v>0.72750000000000004</v>
      </c>
    </row>
    <row r="2894" ht="14.25">
      <c r="A2894" s="5">
        <v>88872</v>
      </c>
      <c r="B2894" s="6" t="s">
        <v>2955</v>
      </c>
      <c r="C2894" s="7" t="s">
        <v>1446</v>
      </c>
      <c r="D2894" s="7" t="s">
        <v>1447</v>
      </c>
      <c r="E2894" s="5" t="s">
        <v>15</v>
      </c>
      <c r="F2894" s="8"/>
      <c r="G2894" s="9">
        <f>H2894*(1-15%)*(1-F2894)</f>
        <v>9.0525000000000002</v>
      </c>
      <c r="H2894" s="9">
        <v>10.65</v>
      </c>
      <c r="I2894" s="9">
        <f>H2894-G2894</f>
        <v>1.5975000000000001</v>
      </c>
    </row>
    <row r="2895" ht="14.25">
      <c r="A2895" s="5">
        <v>88873</v>
      </c>
      <c r="B2895" s="6" t="s">
        <v>2956</v>
      </c>
      <c r="C2895" s="7" t="s">
        <v>1446</v>
      </c>
      <c r="D2895" s="7" t="s">
        <v>1447</v>
      </c>
      <c r="E2895" s="5" t="s">
        <v>15</v>
      </c>
      <c r="F2895" s="8"/>
      <c r="G2895" s="9">
        <f>H2895*(1-15%)*(1-F2895)</f>
        <v>2.1675</v>
      </c>
      <c r="H2895" s="9">
        <v>2.5499999999999998</v>
      </c>
      <c r="I2895" s="9">
        <f>H2895-G2895</f>
        <v>0.38249999999999984</v>
      </c>
    </row>
    <row r="2896" ht="14.25">
      <c r="A2896" s="5">
        <v>88950</v>
      </c>
      <c r="B2896" s="6" t="s">
        <v>2957</v>
      </c>
      <c r="C2896" s="7" t="s">
        <v>10</v>
      </c>
      <c r="D2896" s="7" t="s">
        <v>61</v>
      </c>
      <c r="E2896" s="5" t="s">
        <v>39</v>
      </c>
      <c r="F2896" s="8"/>
      <c r="G2896" s="9">
        <f>H2896*(1-15%)*(1-F2896)</f>
        <v>127.41500000000001</v>
      </c>
      <c r="H2896" s="9">
        <v>149.90000000000001</v>
      </c>
      <c r="I2896" s="9">
        <f>H2896-G2896</f>
        <v>22.484999999999999</v>
      </c>
    </row>
    <row r="2897" ht="14.25">
      <c r="A2897" s="5">
        <v>88997</v>
      </c>
      <c r="B2897" s="6" t="s">
        <v>2958</v>
      </c>
      <c r="C2897" s="7" t="s">
        <v>70</v>
      </c>
      <c r="D2897" s="7" t="s">
        <v>45</v>
      </c>
      <c r="E2897" s="5" t="s">
        <v>26</v>
      </c>
      <c r="F2897" s="8"/>
      <c r="G2897" s="9">
        <f>H2897*(1-15%)*(1-F2897)</f>
        <v>84.915000000000006</v>
      </c>
      <c r="H2897" s="9">
        <v>99.900000000000006</v>
      </c>
      <c r="I2897" s="9">
        <f>H2897-G2897</f>
        <v>14.984999999999999</v>
      </c>
    </row>
    <row r="2898" ht="14.25">
      <c r="A2898" s="5">
        <v>89047</v>
      </c>
      <c r="B2898" s="6" t="s">
        <v>2959</v>
      </c>
      <c r="C2898" s="7" t="s">
        <v>1446</v>
      </c>
      <c r="D2898" s="7" t="s">
        <v>1447</v>
      </c>
      <c r="E2898" s="5" t="s">
        <v>15</v>
      </c>
      <c r="F2898" s="8"/>
      <c r="G2898" s="9">
        <f>H2898*(1-15%)*(1-F2898)</f>
        <v>11.049999999999999</v>
      </c>
      <c r="H2898" s="9">
        <v>13</v>
      </c>
      <c r="I2898" s="9">
        <f>H2898-G2898</f>
        <v>1.9500000000000011</v>
      </c>
    </row>
    <row r="2899" ht="14.25">
      <c r="A2899" s="5">
        <v>89048</v>
      </c>
      <c r="B2899" s="6" t="s">
        <v>2960</v>
      </c>
      <c r="C2899" s="7" t="s">
        <v>1446</v>
      </c>
      <c r="D2899" s="7" t="s">
        <v>1447</v>
      </c>
      <c r="E2899" s="5" t="s">
        <v>15</v>
      </c>
      <c r="F2899" s="8"/>
      <c r="G2899" s="9">
        <f>H2899*(1-15%)*(1-F2899)</f>
        <v>3.4849999999999994</v>
      </c>
      <c r="H2899" s="9">
        <v>4.0999999999999996</v>
      </c>
      <c r="I2899" s="9">
        <f>H2899-G2899</f>
        <v>0.61500000000000021</v>
      </c>
    </row>
    <row r="2900" ht="14.25">
      <c r="A2900" s="5">
        <v>89702</v>
      </c>
      <c r="B2900" s="6" t="s">
        <v>2961</v>
      </c>
      <c r="C2900" s="7" t="s">
        <v>1446</v>
      </c>
      <c r="D2900" s="7" t="s">
        <v>1447</v>
      </c>
      <c r="E2900" s="5" t="s">
        <v>15</v>
      </c>
      <c r="F2900" s="8"/>
      <c r="G2900" s="9">
        <f>H2900*(1-15%)*(1-F2900)</f>
        <v>2.125</v>
      </c>
      <c r="H2900" s="9">
        <v>2.5</v>
      </c>
      <c r="I2900" s="9">
        <f>H2900-G2900</f>
        <v>0.375</v>
      </c>
    </row>
    <row r="2901" ht="14.25">
      <c r="A2901" s="5">
        <v>89710</v>
      </c>
      <c r="B2901" s="6" t="s">
        <v>2962</v>
      </c>
      <c r="C2901" s="7" t="s">
        <v>1446</v>
      </c>
      <c r="D2901" s="7" t="s">
        <v>1447</v>
      </c>
      <c r="E2901" s="5" t="s">
        <v>15</v>
      </c>
      <c r="F2901" s="8"/>
      <c r="G2901" s="9">
        <f>H2901*(1-15%)*(1-F2901)</f>
        <v>6.1200000000000001</v>
      </c>
      <c r="H2901" s="9">
        <v>7.2000000000000002</v>
      </c>
      <c r="I2901" s="9">
        <f>H2901-G2901</f>
        <v>1.0800000000000001</v>
      </c>
    </row>
    <row r="2902" ht="14.25">
      <c r="A2902" s="5">
        <v>89713</v>
      </c>
      <c r="B2902" s="6" t="s">
        <v>2963</v>
      </c>
      <c r="C2902" s="7" t="s">
        <v>1446</v>
      </c>
      <c r="D2902" s="7" t="s">
        <v>1447</v>
      </c>
      <c r="E2902" s="5" t="s">
        <v>15</v>
      </c>
      <c r="F2902" s="8"/>
      <c r="G2902" s="9">
        <f>H2902*(1-15%)*(1-F2902)</f>
        <v>1.4875</v>
      </c>
      <c r="H2902" s="9">
        <v>1.75</v>
      </c>
      <c r="I2902" s="9">
        <f>H2902-G2902</f>
        <v>0.26249999999999996</v>
      </c>
    </row>
    <row r="2903" ht="14.25">
      <c r="A2903" s="5">
        <v>89714</v>
      </c>
      <c r="B2903" s="6" t="s">
        <v>2964</v>
      </c>
      <c r="C2903" s="7" t="s">
        <v>1446</v>
      </c>
      <c r="D2903" s="7" t="s">
        <v>1447</v>
      </c>
      <c r="E2903" s="5" t="s">
        <v>15</v>
      </c>
      <c r="F2903" s="8"/>
      <c r="G2903" s="9">
        <f>H2903*(1-15%)*(1-F2903)</f>
        <v>4.1224999999999996</v>
      </c>
      <c r="H2903" s="9">
        <v>4.8499999999999996</v>
      </c>
      <c r="I2903" s="9">
        <f>H2903-G2903</f>
        <v>0.72750000000000004</v>
      </c>
    </row>
    <row r="2904" ht="14.25">
      <c r="A2904" s="5">
        <v>89749</v>
      </c>
      <c r="B2904" s="6" t="s">
        <v>2965</v>
      </c>
      <c r="C2904" s="7" t="s">
        <v>1446</v>
      </c>
      <c r="D2904" s="7" t="s">
        <v>1447</v>
      </c>
      <c r="E2904" s="5" t="s">
        <v>15</v>
      </c>
      <c r="F2904" s="8"/>
      <c r="G2904" s="9">
        <f>H2904*(1-15%)*(1-F2904)</f>
        <v>8.5425000000000004</v>
      </c>
      <c r="H2904" s="9">
        <v>10.050000000000001</v>
      </c>
      <c r="I2904" s="9">
        <f>H2904-G2904</f>
        <v>1.5075000000000003</v>
      </c>
    </row>
    <row r="2905" ht="14.25">
      <c r="A2905" s="5">
        <v>89752</v>
      </c>
      <c r="B2905" s="6" t="s">
        <v>2966</v>
      </c>
      <c r="C2905" s="7" t="s">
        <v>1446</v>
      </c>
      <c r="D2905" s="7" t="s">
        <v>1447</v>
      </c>
      <c r="E2905" s="5" t="s">
        <v>15</v>
      </c>
      <c r="F2905" s="8"/>
      <c r="G2905" s="9">
        <f>H2905*(1-15%)*(1-F2905)</f>
        <v>24.564999999999998</v>
      </c>
      <c r="H2905" s="9">
        <v>28.899999999999999</v>
      </c>
      <c r="I2905" s="9">
        <f>H2905-G2905</f>
        <v>4.3350000000000009</v>
      </c>
    </row>
    <row r="2906" ht="14.25">
      <c r="A2906" s="5">
        <v>89756</v>
      </c>
      <c r="B2906" s="6" t="s">
        <v>2967</v>
      </c>
      <c r="C2906" s="7" t="s">
        <v>1446</v>
      </c>
      <c r="D2906" s="7" t="s">
        <v>1447</v>
      </c>
      <c r="E2906" s="5" t="s">
        <v>15</v>
      </c>
      <c r="F2906" s="8"/>
      <c r="G2906" s="9">
        <f>H2906*(1-15%)*(1-F2906)</f>
        <v>51</v>
      </c>
      <c r="H2906" s="9">
        <v>60</v>
      </c>
      <c r="I2906" s="9">
        <f>H2906-G2906</f>
        <v>9</v>
      </c>
    </row>
    <row r="2907" ht="14.25">
      <c r="A2907" s="5">
        <v>89757</v>
      </c>
      <c r="B2907" s="6" t="s">
        <v>2968</v>
      </c>
      <c r="C2907" s="7" t="s">
        <v>1446</v>
      </c>
      <c r="D2907" s="7" t="s">
        <v>1447</v>
      </c>
      <c r="E2907" s="5" t="s">
        <v>15</v>
      </c>
      <c r="F2907" s="8"/>
      <c r="G2907" s="9">
        <f>H2907*(1-15%)*(1-F2907)</f>
        <v>16.141499999999997</v>
      </c>
      <c r="H2907" s="9">
        <v>18.989999999999998</v>
      </c>
      <c r="I2907" s="9">
        <f>H2907-G2907</f>
        <v>2.8485000000000014</v>
      </c>
    </row>
    <row r="2908" ht="14.25">
      <c r="A2908" s="5">
        <v>89758</v>
      </c>
      <c r="B2908" s="6" t="s">
        <v>2969</v>
      </c>
      <c r="C2908" s="7" t="s">
        <v>1446</v>
      </c>
      <c r="D2908" s="7" t="s">
        <v>1447</v>
      </c>
      <c r="E2908" s="5" t="s">
        <v>15</v>
      </c>
      <c r="F2908" s="8"/>
      <c r="G2908" s="9">
        <f>H2908*(1-15%)*(1-F2908)</f>
        <v>1.4449999999999998</v>
      </c>
      <c r="H2908" s="9">
        <v>1.7</v>
      </c>
      <c r="I2908" s="9">
        <f>H2908-G2908</f>
        <v>0.25500000000000012</v>
      </c>
    </row>
    <row r="2909" ht="14.25">
      <c r="A2909" s="5">
        <v>89840</v>
      </c>
      <c r="B2909" s="6" t="s">
        <v>2970</v>
      </c>
      <c r="C2909" s="7" t="s">
        <v>1446</v>
      </c>
      <c r="D2909" s="7" t="s">
        <v>1447</v>
      </c>
      <c r="E2909" s="5" t="s">
        <v>15</v>
      </c>
      <c r="F2909" s="8"/>
      <c r="G2909" s="9">
        <f>H2909*(1-15%)*(1-F2909)</f>
        <v>10.199999999999999</v>
      </c>
      <c r="H2909" s="9">
        <v>12</v>
      </c>
      <c r="I2909" s="9">
        <f>H2909-G2909</f>
        <v>1.8000000000000007</v>
      </c>
    </row>
    <row r="2910" ht="14.25">
      <c r="A2910" s="5">
        <v>89843</v>
      </c>
      <c r="B2910" s="6" t="s">
        <v>2971</v>
      </c>
      <c r="C2910" s="7" t="s">
        <v>1446</v>
      </c>
      <c r="D2910" s="7" t="s">
        <v>1447</v>
      </c>
      <c r="E2910" s="5" t="s">
        <v>15</v>
      </c>
      <c r="F2910" s="8"/>
      <c r="G2910" s="9">
        <f>H2910*(1-15%)*(1-F2910)</f>
        <v>5.0150000000000006</v>
      </c>
      <c r="H2910" s="9">
        <v>5.9000000000000004</v>
      </c>
      <c r="I2910" s="9">
        <f>H2910-G2910</f>
        <v>0.88499999999999979</v>
      </c>
    </row>
    <row r="2911" ht="14.25">
      <c r="A2911" s="5">
        <v>90757</v>
      </c>
      <c r="B2911" s="6" t="s">
        <v>2972</v>
      </c>
      <c r="C2911" s="7" t="s">
        <v>1446</v>
      </c>
      <c r="D2911" s="7" t="s">
        <v>1447</v>
      </c>
      <c r="E2911" s="5" t="s">
        <v>15</v>
      </c>
      <c r="F2911" s="8"/>
      <c r="G2911" s="9">
        <f>H2911*(1-15%)*(1-F2911)</f>
        <v>2.125</v>
      </c>
      <c r="H2911" s="9">
        <v>2.5</v>
      </c>
      <c r="I2911" s="9">
        <f>H2911-G2911</f>
        <v>0.375</v>
      </c>
    </row>
    <row r="2912" ht="14.25">
      <c r="A2912" s="5">
        <v>90758</v>
      </c>
      <c r="B2912" s="6" t="s">
        <v>2973</v>
      </c>
      <c r="C2912" s="7" t="s">
        <v>1446</v>
      </c>
      <c r="D2912" s="7" t="s">
        <v>1447</v>
      </c>
      <c r="E2912" s="5" t="s">
        <v>15</v>
      </c>
      <c r="F2912" s="8"/>
      <c r="G2912" s="9">
        <f>H2912*(1-15%)*(1-F2912)</f>
        <v>3.4849999999999994</v>
      </c>
      <c r="H2912" s="9">
        <v>4.0999999999999996</v>
      </c>
      <c r="I2912" s="9">
        <f>H2912-G2912</f>
        <v>0.61500000000000021</v>
      </c>
    </row>
    <row r="2913" ht="14.25">
      <c r="A2913" s="5">
        <v>90763</v>
      </c>
      <c r="B2913" s="6" t="s">
        <v>2974</v>
      </c>
      <c r="C2913" s="7" t="s">
        <v>1446</v>
      </c>
      <c r="D2913" s="7" t="s">
        <v>1447</v>
      </c>
      <c r="E2913" s="5" t="s">
        <v>15</v>
      </c>
      <c r="F2913" s="8"/>
      <c r="G2913" s="9">
        <f>H2913*(1-15%)*(1-F2913)</f>
        <v>5.8650000000000002</v>
      </c>
      <c r="H2913" s="9">
        <v>6.9000000000000004</v>
      </c>
      <c r="I2913" s="9">
        <f>H2913-G2913</f>
        <v>1.0350000000000001</v>
      </c>
    </row>
    <row r="2914" ht="14.25">
      <c r="A2914" s="5">
        <v>90766</v>
      </c>
      <c r="B2914" s="6" t="s">
        <v>2975</v>
      </c>
      <c r="C2914" s="7" t="s">
        <v>1446</v>
      </c>
      <c r="D2914" s="7" t="s">
        <v>1447</v>
      </c>
      <c r="E2914" s="5" t="s">
        <v>15</v>
      </c>
      <c r="F2914" s="8"/>
      <c r="G2914" s="9">
        <f>H2914*(1-15%)*(1-F2914)</f>
        <v>1.615</v>
      </c>
      <c r="H2914" s="9">
        <v>1.8999999999999999</v>
      </c>
      <c r="I2914" s="9">
        <f>H2914-G2914</f>
        <v>0.28499999999999992</v>
      </c>
    </row>
    <row r="2915" ht="14.25">
      <c r="A2915" s="5">
        <v>90767</v>
      </c>
      <c r="B2915" s="6" t="s">
        <v>2976</v>
      </c>
      <c r="C2915" s="7" t="s">
        <v>1446</v>
      </c>
      <c r="D2915" s="7" t="s">
        <v>1447</v>
      </c>
      <c r="E2915" s="5" t="s">
        <v>15</v>
      </c>
      <c r="F2915" s="8"/>
      <c r="G2915" s="9">
        <f>H2915*(1-15%)*(1-F2915)</f>
        <v>4.165</v>
      </c>
      <c r="H2915" s="9">
        <v>4.9000000000000004</v>
      </c>
      <c r="I2915" s="9">
        <f>H2915-G2915</f>
        <v>0.73500000000000032</v>
      </c>
    </row>
    <row r="2916" ht="14.25">
      <c r="A2916" s="5">
        <v>90770</v>
      </c>
      <c r="B2916" s="6" t="s">
        <v>2977</v>
      </c>
      <c r="C2916" s="7" t="s">
        <v>1446</v>
      </c>
      <c r="D2916" s="7" t="s">
        <v>1447</v>
      </c>
      <c r="E2916" s="5" t="s">
        <v>15</v>
      </c>
      <c r="F2916" s="8"/>
      <c r="G2916" s="9">
        <f>H2916*(1-15%)*(1-F2916)</f>
        <v>13.77</v>
      </c>
      <c r="H2916" s="9">
        <v>16.199999999999999</v>
      </c>
      <c r="I2916" s="9">
        <f>H2916-G2916</f>
        <v>2.4299999999999997</v>
      </c>
    </row>
    <row r="2917" ht="14.25">
      <c r="A2917" s="5">
        <v>90772</v>
      </c>
      <c r="B2917" s="6" t="s">
        <v>2978</v>
      </c>
      <c r="C2917" s="7" t="s">
        <v>1446</v>
      </c>
      <c r="D2917" s="7" t="s">
        <v>1447</v>
      </c>
      <c r="E2917" s="5" t="s">
        <v>15</v>
      </c>
      <c r="F2917" s="8"/>
      <c r="G2917" s="9">
        <f>H2917*(1-15%)*(1-F2917)</f>
        <v>13.77</v>
      </c>
      <c r="H2917" s="9">
        <v>16.199999999999999</v>
      </c>
      <c r="I2917" s="9">
        <f>H2917-G2917</f>
        <v>2.4299999999999997</v>
      </c>
    </row>
    <row r="2918" ht="14.25">
      <c r="A2918" s="5">
        <v>90774</v>
      </c>
      <c r="B2918" s="6" t="s">
        <v>2979</v>
      </c>
      <c r="C2918" s="7" t="s">
        <v>1446</v>
      </c>
      <c r="D2918" s="7" t="s">
        <v>1447</v>
      </c>
      <c r="E2918" s="5" t="s">
        <v>15</v>
      </c>
      <c r="F2918" s="8"/>
      <c r="G2918" s="9">
        <f>H2918*(1-15%)*(1-F2918)</f>
        <v>13.77</v>
      </c>
      <c r="H2918" s="9">
        <v>16.199999999999999</v>
      </c>
      <c r="I2918" s="9">
        <f>H2918-G2918</f>
        <v>2.4299999999999997</v>
      </c>
    </row>
    <row r="2919" ht="14.25">
      <c r="A2919" s="5">
        <v>94336</v>
      </c>
      <c r="B2919" s="6" t="s">
        <v>2980</v>
      </c>
      <c r="C2919" s="7" t="s">
        <v>1446</v>
      </c>
      <c r="D2919" s="7" t="s">
        <v>1447</v>
      </c>
      <c r="E2919" s="5" t="s">
        <v>15</v>
      </c>
      <c r="F2919" s="8"/>
      <c r="G2919" s="9">
        <f>H2919*(1-15%)*(1-F2919)</f>
        <v>33.914999999999999</v>
      </c>
      <c r="H2919" s="9">
        <v>39.899999999999999</v>
      </c>
      <c r="I2919" s="9">
        <f>H2919-G2919</f>
        <v>5.9849999999999994</v>
      </c>
    </row>
    <row r="2920" ht="14.25">
      <c r="A2920" s="5">
        <v>94337</v>
      </c>
      <c r="B2920" s="6" t="s">
        <v>2981</v>
      </c>
      <c r="C2920" s="7" t="s">
        <v>1446</v>
      </c>
      <c r="D2920" s="7" t="s">
        <v>1447</v>
      </c>
      <c r="E2920" s="5" t="s">
        <v>15</v>
      </c>
      <c r="F2920" s="8"/>
      <c r="G2920" s="9">
        <f>H2920*(1-15%)*(1-F2920)</f>
        <v>33.914999999999999</v>
      </c>
      <c r="H2920" s="9">
        <v>39.899999999999999</v>
      </c>
      <c r="I2920" s="9">
        <f>H2920-G2920</f>
        <v>5.9849999999999994</v>
      </c>
    </row>
    <row r="2921" ht="14.25">
      <c r="A2921" s="5">
        <v>94338</v>
      </c>
      <c r="B2921" s="6" t="s">
        <v>2982</v>
      </c>
      <c r="C2921" s="7" t="s">
        <v>1446</v>
      </c>
      <c r="D2921" s="7" t="s">
        <v>1447</v>
      </c>
      <c r="E2921" s="5" t="s">
        <v>15</v>
      </c>
      <c r="F2921" s="8"/>
      <c r="G2921" s="9">
        <f>H2921*(1-15%)*(1-F2921)</f>
        <v>33.914999999999999</v>
      </c>
      <c r="H2921" s="9">
        <v>39.899999999999999</v>
      </c>
      <c r="I2921" s="9">
        <f>H2921-G2921</f>
        <v>5.9849999999999994</v>
      </c>
    </row>
    <row r="2922" ht="14.25">
      <c r="A2922" s="5">
        <v>94339</v>
      </c>
      <c r="B2922" s="6" t="s">
        <v>2983</v>
      </c>
      <c r="C2922" s="7" t="s">
        <v>1446</v>
      </c>
      <c r="D2922" s="7" t="s">
        <v>1447</v>
      </c>
      <c r="E2922" s="5" t="s">
        <v>15</v>
      </c>
      <c r="F2922" s="8"/>
      <c r="G2922" s="9">
        <f>H2922*(1-15%)*(1-F2922)</f>
        <v>33.914999999999999</v>
      </c>
      <c r="H2922" s="9">
        <v>39.899999999999999</v>
      </c>
      <c r="I2922" s="9">
        <f>H2922-G2922</f>
        <v>5.9849999999999994</v>
      </c>
    </row>
    <row r="2923" ht="14.25">
      <c r="A2923" s="5">
        <v>94802</v>
      </c>
      <c r="B2923" s="6" t="s">
        <v>2984</v>
      </c>
      <c r="C2923" s="7" t="s">
        <v>1446</v>
      </c>
      <c r="D2923" s="7" t="s">
        <v>1447</v>
      </c>
      <c r="E2923" s="5" t="s">
        <v>15</v>
      </c>
      <c r="F2923" s="8"/>
      <c r="G2923" s="9">
        <f>H2923*(1-15%)*(1-F2923)</f>
        <v>13.43</v>
      </c>
      <c r="H2923" s="9">
        <v>15.800000000000001</v>
      </c>
      <c r="I2923" s="9">
        <f>H2923-G2923</f>
        <v>2.370000000000001</v>
      </c>
    </row>
    <row r="2924" ht="14.25">
      <c r="A2924" s="5">
        <v>49245</v>
      </c>
      <c r="B2924" s="6" t="s">
        <v>2985</v>
      </c>
      <c r="C2924" s="7" t="s">
        <v>21</v>
      </c>
      <c r="D2924" s="7" t="s">
        <v>11</v>
      </c>
      <c r="E2924" s="5" t="s">
        <v>26</v>
      </c>
      <c r="F2924" s="8"/>
      <c r="G2924" s="9">
        <f>H2924*(1-15%)*(1-F2924)</f>
        <v>178.41499999999999</v>
      </c>
      <c r="H2924" s="10">
        <v>209.90000000000001</v>
      </c>
      <c r="I2924" s="9">
        <f>H2924-G2924</f>
        <v>31.485000000000014</v>
      </c>
    </row>
    <row r="2925" ht="14.25">
      <c r="A2925" s="5">
        <v>49247</v>
      </c>
      <c r="B2925" s="6" t="s">
        <v>2986</v>
      </c>
      <c r="C2925" s="7" t="s">
        <v>21</v>
      </c>
      <c r="D2925" s="7" t="s">
        <v>11</v>
      </c>
      <c r="E2925" s="5" t="s">
        <v>26</v>
      </c>
      <c r="F2925" s="8"/>
      <c r="G2925" s="9">
        <f>H2925*(1-15%)*(1-F2925)</f>
        <v>178.41499999999999</v>
      </c>
      <c r="H2925" s="10">
        <v>209.90000000000001</v>
      </c>
      <c r="I2925" s="9">
        <f>H2925-G2925</f>
        <v>31.485000000000014</v>
      </c>
    </row>
    <row r="2926" ht="14.25">
      <c r="A2926" s="5">
        <v>49249</v>
      </c>
      <c r="B2926" s="6" t="s">
        <v>2987</v>
      </c>
      <c r="C2926" s="7" t="s">
        <v>21</v>
      </c>
      <c r="D2926" s="7" t="s">
        <v>11</v>
      </c>
      <c r="E2926" s="5" t="s">
        <v>26</v>
      </c>
      <c r="F2926" s="8"/>
      <c r="G2926" s="9">
        <f>H2926*(1-15%)*(1-F2926)</f>
        <v>178.41499999999999</v>
      </c>
      <c r="H2926" s="10">
        <v>209.90000000000001</v>
      </c>
      <c r="I2926" s="9">
        <f>H2926-G2926</f>
        <v>31.485000000000014</v>
      </c>
    </row>
    <row r="2927" ht="14.25">
      <c r="A2927" s="5">
        <v>50678</v>
      </c>
      <c r="B2927" s="6" t="s">
        <v>2988</v>
      </c>
      <c r="C2927" s="7" t="s">
        <v>2103</v>
      </c>
      <c r="D2927" s="7" t="s">
        <v>11</v>
      </c>
      <c r="E2927" s="5" t="s">
        <v>43</v>
      </c>
      <c r="F2927" s="8"/>
      <c r="G2927" s="9">
        <f>H2927*(1-15%)*(1-F2927)</f>
        <v>110.41500000000001</v>
      </c>
      <c r="H2927" s="10">
        <v>129.90000000000001</v>
      </c>
      <c r="I2927" s="9">
        <f>H2927-G2927</f>
        <v>19.484999999999999</v>
      </c>
    </row>
    <row r="2928" ht="14.25">
      <c r="A2928" s="5">
        <v>55083</v>
      </c>
      <c r="B2928" s="6" t="s">
        <v>2989</v>
      </c>
      <c r="C2928" s="7" t="s">
        <v>2990</v>
      </c>
      <c r="D2928" s="7" t="s">
        <v>52</v>
      </c>
      <c r="E2928" s="5" t="s">
        <v>43</v>
      </c>
      <c r="F2928" s="8"/>
      <c r="G2928" s="9">
        <f>H2928*(1-15%)*(1-F2928)</f>
        <v>84.915000000000006</v>
      </c>
      <c r="H2928" s="9">
        <v>99.900000000000006</v>
      </c>
      <c r="I2928" s="9">
        <f>H2928-G2928</f>
        <v>14.984999999999999</v>
      </c>
    </row>
    <row r="2929" ht="14.25">
      <c r="A2929" s="5">
        <v>55253</v>
      </c>
      <c r="B2929" s="6" t="s">
        <v>2991</v>
      </c>
      <c r="C2929" s="7" t="s">
        <v>2990</v>
      </c>
      <c r="D2929" s="7" t="s">
        <v>52</v>
      </c>
      <c r="E2929" s="5" t="s">
        <v>43</v>
      </c>
      <c r="F2929" s="8"/>
      <c r="G2929" s="9">
        <f>H2929*(1-15%)*(1-F2929)</f>
        <v>27.964999999999996</v>
      </c>
      <c r="H2929" s="9">
        <v>32.899999999999999</v>
      </c>
      <c r="I2929" s="9">
        <f>H2929-G2929</f>
        <v>4.9350000000000023</v>
      </c>
    </row>
    <row r="2930" ht="14.25">
      <c r="A2930" s="5">
        <v>57731</v>
      </c>
      <c r="B2930" s="6" t="s">
        <v>2992</v>
      </c>
      <c r="C2930" s="7" t="s">
        <v>951</v>
      </c>
      <c r="D2930" s="7" t="s">
        <v>199</v>
      </c>
      <c r="E2930" s="5" t="s">
        <v>68</v>
      </c>
      <c r="F2930" s="8"/>
      <c r="G2930" s="9">
        <f>H2930*(1-15%)*(1-F2930)</f>
        <v>93.415000000000006</v>
      </c>
      <c r="H2930" s="9">
        <v>109.90000000000001</v>
      </c>
      <c r="I2930" s="9">
        <f>H2930-G2930</f>
        <v>16.484999999999999</v>
      </c>
    </row>
    <row r="2931" ht="14.25">
      <c r="A2931" s="5">
        <v>58644</v>
      </c>
      <c r="B2931" s="6" t="s">
        <v>2993</v>
      </c>
      <c r="C2931" s="7" t="s">
        <v>624</v>
      </c>
      <c r="D2931" s="7" t="s">
        <v>11</v>
      </c>
      <c r="E2931" s="5" t="s">
        <v>133</v>
      </c>
      <c r="F2931" s="8"/>
      <c r="G2931" s="9">
        <f>H2931*(1-15%)*(1-F2931)</f>
        <v>284.66499999999996</v>
      </c>
      <c r="H2931" s="9">
        <v>334.89999999999998</v>
      </c>
      <c r="I2931" s="9">
        <f>H2931-G2931</f>
        <v>50.235000000000014</v>
      </c>
    </row>
    <row r="2932" ht="14.25">
      <c r="A2932" s="5">
        <v>85067</v>
      </c>
      <c r="B2932" s="6" t="s">
        <v>2994</v>
      </c>
      <c r="C2932" s="7" t="s">
        <v>14</v>
      </c>
      <c r="D2932" s="7" t="s">
        <v>11</v>
      </c>
      <c r="E2932" s="5" t="s">
        <v>39</v>
      </c>
      <c r="F2932" s="8"/>
      <c r="G2932" s="9">
        <f>H2932*(1-15%)*(1-F2932)</f>
        <v>135.91499999999999</v>
      </c>
      <c r="H2932" s="9">
        <v>159.90000000000001</v>
      </c>
      <c r="I2932" s="9">
        <f>H2932-G2932</f>
        <v>23.985000000000014</v>
      </c>
    </row>
    <row r="2933" ht="14.25">
      <c r="A2933" s="5">
        <v>85734</v>
      </c>
      <c r="B2933" s="6" t="s">
        <v>2995</v>
      </c>
      <c r="C2933" s="7" t="s">
        <v>82</v>
      </c>
      <c r="D2933" s="7" t="s">
        <v>11</v>
      </c>
      <c r="E2933" s="5" t="s">
        <v>15</v>
      </c>
      <c r="F2933" s="8"/>
      <c r="G2933" s="9">
        <f>H2933*(1-15%)*(1-F2933)</f>
        <v>42.414999999999999</v>
      </c>
      <c r="H2933" s="10">
        <v>49.899999999999999</v>
      </c>
      <c r="I2933" s="9">
        <f>H2933-G2933</f>
        <v>7.4849999999999994</v>
      </c>
    </row>
    <row r="2934" ht="14.25">
      <c r="A2934" s="5">
        <v>86044</v>
      </c>
      <c r="B2934" s="6" t="s">
        <v>2996</v>
      </c>
      <c r="C2934" s="7" t="s">
        <v>624</v>
      </c>
      <c r="D2934" s="7" t="s">
        <v>45</v>
      </c>
      <c r="E2934" s="5" t="s">
        <v>15</v>
      </c>
      <c r="F2934" s="8"/>
      <c r="G2934" s="9">
        <f>H2934*(1-15%)*(1-F2934)</f>
        <v>61.965000000000003</v>
      </c>
      <c r="H2934" s="9">
        <v>72.900000000000006</v>
      </c>
      <c r="I2934" s="9">
        <f>H2934-G2934</f>
        <v>10.935000000000002</v>
      </c>
    </row>
    <row r="2935" ht="14.25">
      <c r="A2935" s="5">
        <v>86165</v>
      </c>
      <c r="B2935" s="6" t="s">
        <v>2997</v>
      </c>
      <c r="C2935" s="7" t="s">
        <v>75</v>
      </c>
      <c r="D2935" s="7" t="s">
        <v>11</v>
      </c>
      <c r="E2935" s="5" t="s">
        <v>15</v>
      </c>
      <c r="F2935" s="8"/>
      <c r="G2935" s="9">
        <f>H2935*(1-15%)*(1-F2935)</f>
        <v>42.414999999999999</v>
      </c>
      <c r="H2935" s="10">
        <v>49.899999999999999</v>
      </c>
      <c r="I2935" s="9">
        <f>H2935-G2935</f>
        <v>7.4849999999999994</v>
      </c>
    </row>
    <row r="2936" ht="14.25">
      <c r="A2936" s="5">
        <v>86169</v>
      </c>
      <c r="B2936" s="6" t="s">
        <v>2998</v>
      </c>
      <c r="C2936" s="7" t="s">
        <v>10</v>
      </c>
      <c r="D2936" s="7" t="s">
        <v>61</v>
      </c>
      <c r="E2936" s="5" t="s">
        <v>26</v>
      </c>
      <c r="F2936" s="8"/>
      <c r="G2936" s="9">
        <f>H2936*(1-15%)*(1-F2936)</f>
        <v>254.91499999999996</v>
      </c>
      <c r="H2936" s="10">
        <v>299.89999999999998</v>
      </c>
      <c r="I2936" s="9">
        <f>H2936-G2936</f>
        <v>44.985000000000014</v>
      </c>
    </row>
    <row r="2937" ht="14.25">
      <c r="A2937" s="5">
        <v>86206</v>
      </c>
      <c r="B2937" s="6" t="s">
        <v>2999</v>
      </c>
      <c r="C2937" s="7" t="s">
        <v>1241</v>
      </c>
      <c r="D2937" s="7" t="s">
        <v>61</v>
      </c>
      <c r="E2937" s="5" t="s">
        <v>39</v>
      </c>
      <c r="F2937" s="8"/>
      <c r="G2937" s="9">
        <f>H2937*(1-15%)*(1-F2937)</f>
        <v>254.91499999999996</v>
      </c>
      <c r="H2937" s="10">
        <v>299.89999999999998</v>
      </c>
      <c r="I2937" s="9">
        <f>H2937-G2937</f>
        <v>44.985000000000014</v>
      </c>
    </row>
    <row r="2938" ht="14.25">
      <c r="A2938" s="5">
        <v>86431</v>
      </c>
      <c r="B2938" s="6" t="s">
        <v>3000</v>
      </c>
      <c r="C2938" s="7" t="s">
        <v>624</v>
      </c>
      <c r="D2938" s="7" t="s">
        <v>61</v>
      </c>
      <c r="E2938" s="5" t="s">
        <v>39</v>
      </c>
      <c r="F2938" s="8"/>
      <c r="G2938" s="9">
        <f>H2938*(1-15%)*(1-F2938)</f>
        <v>212.41499999999999</v>
      </c>
      <c r="H2938" s="10">
        <v>249.90000000000001</v>
      </c>
      <c r="I2938" s="9">
        <f>H2938-G2938</f>
        <v>37.485000000000014</v>
      </c>
    </row>
    <row r="2939" ht="14.25">
      <c r="A2939" s="5">
        <v>86432</v>
      </c>
      <c r="B2939" s="6" t="s">
        <v>3001</v>
      </c>
      <c r="C2939" s="7" t="s">
        <v>14</v>
      </c>
      <c r="D2939" s="7" t="s">
        <v>61</v>
      </c>
      <c r="E2939" s="5" t="s">
        <v>39</v>
      </c>
      <c r="F2939" s="8"/>
      <c r="G2939" s="9">
        <f>H2939*(1-15%)*(1-F2939)</f>
        <v>131.66499999999999</v>
      </c>
      <c r="H2939" s="10">
        <v>154.90000000000001</v>
      </c>
      <c r="I2939" s="9">
        <f>H2939-G2939</f>
        <v>23.235000000000014</v>
      </c>
    </row>
    <row r="2940" ht="14.25">
      <c r="A2940" s="5">
        <v>86465</v>
      </c>
      <c r="B2940" s="6" t="s">
        <v>3002</v>
      </c>
      <c r="C2940" s="7" t="s">
        <v>82</v>
      </c>
      <c r="D2940" s="7" t="s">
        <v>61</v>
      </c>
      <c r="E2940" s="5" t="s">
        <v>39</v>
      </c>
      <c r="F2940" s="8"/>
      <c r="G2940" s="9">
        <f>H2940*(1-15%)*(1-F2940)</f>
        <v>59.415000000000006</v>
      </c>
      <c r="H2940" s="10">
        <v>69.900000000000006</v>
      </c>
      <c r="I2940" s="9">
        <f>H2940-G2940</f>
        <v>10.484999999999999</v>
      </c>
    </row>
    <row r="2941" ht="14.25">
      <c r="A2941" s="5">
        <v>87018</v>
      </c>
      <c r="B2941" s="6" t="s">
        <v>3003</v>
      </c>
      <c r="C2941" s="7" t="s">
        <v>94</v>
      </c>
      <c r="D2941" s="7" t="s">
        <v>95</v>
      </c>
      <c r="E2941" s="5" t="s">
        <v>43</v>
      </c>
      <c r="F2941" s="8"/>
      <c r="G2941" s="9">
        <f>H2941*(1-15%)*(1-F2941)</f>
        <v>30.514999999999997</v>
      </c>
      <c r="H2941" s="10">
        <v>35.899999999999999</v>
      </c>
      <c r="I2941" s="9">
        <f>H2941-G2941</f>
        <v>5.3850000000000016</v>
      </c>
    </row>
    <row r="2942" ht="14.25">
      <c r="A2942" s="5">
        <v>87019</v>
      </c>
      <c r="B2942" s="6" t="s">
        <v>3004</v>
      </c>
      <c r="C2942" s="7" t="s">
        <v>94</v>
      </c>
      <c r="D2942" s="7" t="s">
        <v>95</v>
      </c>
      <c r="E2942" s="5" t="s">
        <v>43</v>
      </c>
      <c r="F2942" s="8"/>
      <c r="G2942" s="9">
        <f>H2942*(1-15%)*(1-F2942)</f>
        <v>33.064999999999998</v>
      </c>
      <c r="H2942" s="10">
        <v>38.899999999999999</v>
      </c>
      <c r="I2942" s="9">
        <f>H2942-G2942</f>
        <v>5.8350000000000009</v>
      </c>
    </row>
    <row r="2943" ht="14.25">
      <c r="A2943" s="5">
        <v>87020</v>
      </c>
      <c r="B2943" s="6" t="s">
        <v>3005</v>
      </c>
      <c r="C2943" s="7" t="s">
        <v>94</v>
      </c>
      <c r="D2943" s="7" t="s">
        <v>95</v>
      </c>
      <c r="E2943" s="5" t="s">
        <v>43</v>
      </c>
      <c r="F2943" s="8"/>
      <c r="G2943" s="9">
        <f>H2943*(1-15%)*(1-F2943)</f>
        <v>49.214999999999996</v>
      </c>
      <c r="H2943" s="10">
        <v>57.899999999999999</v>
      </c>
      <c r="I2943" s="9">
        <f>H2943-G2943</f>
        <v>8.6850000000000023</v>
      </c>
    </row>
    <row r="2944" ht="14.25">
      <c r="A2944" s="5">
        <v>87030</v>
      </c>
      <c r="B2944" s="6" t="s">
        <v>3006</v>
      </c>
      <c r="C2944" s="7" t="s">
        <v>426</v>
      </c>
      <c r="D2944" s="7" t="s">
        <v>219</v>
      </c>
      <c r="E2944" s="5" t="s">
        <v>39</v>
      </c>
      <c r="F2944" s="8"/>
      <c r="G2944" s="9">
        <f>H2944*(1-15%)*(1-F2944)</f>
        <v>118.91500000000001</v>
      </c>
      <c r="H2944" s="10">
        <v>139.90000000000001</v>
      </c>
      <c r="I2944" s="9">
        <f>H2944-G2944</f>
        <v>20.984999999999999</v>
      </c>
    </row>
    <row r="2945" ht="14.25">
      <c r="A2945" s="5">
        <v>87031</v>
      </c>
      <c r="B2945" s="6" t="s">
        <v>3007</v>
      </c>
      <c r="C2945" s="7" t="s">
        <v>426</v>
      </c>
      <c r="D2945" s="7" t="s">
        <v>219</v>
      </c>
      <c r="E2945" s="5" t="s">
        <v>26</v>
      </c>
      <c r="F2945" s="8"/>
      <c r="G2945" s="9">
        <f>H2945*(1-15%)*(1-F2945)</f>
        <v>118.91500000000001</v>
      </c>
      <c r="H2945" s="10">
        <v>139.90000000000001</v>
      </c>
      <c r="I2945" s="9">
        <f>H2945-G2945</f>
        <v>20.984999999999999</v>
      </c>
    </row>
    <row r="2946" ht="14.25">
      <c r="A2946" s="5">
        <v>87139</v>
      </c>
      <c r="B2946" s="6" t="s">
        <v>3008</v>
      </c>
      <c r="C2946" s="7" t="s">
        <v>14</v>
      </c>
      <c r="D2946" s="7" t="s">
        <v>11</v>
      </c>
      <c r="E2946" s="5" t="s">
        <v>43</v>
      </c>
      <c r="F2946" s="8"/>
      <c r="G2946" s="9">
        <f>H2946*(1-15%)*(1-F2946)</f>
        <v>135.91499999999999</v>
      </c>
      <c r="H2946" s="9">
        <v>159.90000000000001</v>
      </c>
      <c r="I2946" s="9">
        <f>H2946-G2946</f>
        <v>23.985000000000014</v>
      </c>
    </row>
    <row r="2947" ht="14.25">
      <c r="A2947" s="5">
        <v>87898</v>
      </c>
      <c r="B2947" s="6" t="s">
        <v>3009</v>
      </c>
      <c r="C2947" s="7" t="s">
        <v>38</v>
      </c>
      <c r="D2947" s="7" t="s">
        <v>11</v>
      </c>
      <c r="E2947" s="5" t="s">
        <v>68</v>
      </c>
      <c r="F2947" s="8"/>
      <c r="G2947" s="9">
        <f>H2947*(1-15%)*(1-F2947)</f>
        <v>148.66499999999999</v>
      </c>
      <c r="H2947" s="9">
        <v>174.90000000000001</v>
      </c>
      <c r="I2947" s="9">
        <f>H2947-G2947</f>
        <v>26.235000000000014</v>
      </c>
    </row>
    <row r="2948" ht="14.25">
      <c r="A2948" s="5">
        <v>88016</v>
      </c>
      <c r="B2948" s="6" t="s">
        <v>3010</v>
      </c>
      <c r="C2948" s="7" t="s">
        <v>109</v>
      </c>
      <c r="D2948" s="7" t="s">
        <v>110</v>
      </c>
      <c r="E2948" s="5" t="s">
        <v>26</v>
      </c>
      <c r="F2948" s="8"/>
      <c r="G2948" s="9">
        <f>H2948*(1-15%)*(1-F2948)</f>
        <v>57.715000000000003</v>
      </c>
      <c r="H2948" s="9">
        <v>67.900000000000006</v>
      </c>
      <c r="I2948" s="9">
        <f>H2948-G2948</f>
        <v>10.185000000000002</v>
      </c>
    </row>
    <row r="2949" ht="14.25">
      <c r="A2949" s="5">
        <v>88019</v>
      </c>
      <c r="B2949" s="6" t="s">
        <v>3011</v>
      </c>
      <c r="C2949" s="7" t="s">
        <v>397</v>
      </c>
      <c r="D2949" s="7" t="s">
        <v>11</v>
      </c>
      <c r="E2949" s="5" t="s">
        <v>133</v>
      </c>
      <c r="F2949" s="8"/>
      <c r="G2949" s="9">
        <f>H2949*(1-15%)*(1-F2949)</f>
        <v>203.91499999999999</v>
      </c>
      <c r="H2949" s="9">
        <v>239.90000000000001</v>
      </c>
      <c r="I2949" s="9">
        <f>H2949-G2949</f>
        <v>35.985000000000014</v>
      </c>
    </row>
    <row r="2950" ht="14.25">
      <c r="A2950" s="5">
        <v>88209</v>
      </c>
      <c r="B2950" s="6" t="s">
        <v>3012</v>
      </c>
      <c r="C2950" s="7" t="s">
        <v>75</v>
      </c>
      <c r="D2950" s="7" t="s">
        <v>61</v>
      </c>
      <c r="E2950" s="5" t="s">
        <v>39</v>
      </c>
      <c r="F2950" s="8"/>
      <c r="G2950" s="9">
        <f>H2950*(1-15%)*(1-F2950)</f>
        <v>110.41500000000001</v>
      </c>
      <c r="H2950" s="10">
        <v>129.90000000000001</v>
      </c>
      <c r="I2950" s="9">
        <f>H2950-G2950</f>
        <v>19.484999999999999</v>
      </c>
    </row>
    <row r="2951" ht="14.25">
      <c r="A2951" s="5">
        <v>88364</v>
      </c>
      <c r="B2951" s="6" t="s">
        <v>3013</v>
      </c>
      <c r="C2951" s="7" t="s">
        <v>36</v>
      </c>
      <c r="D2951" s="7" t="s">
        <v>11</v>
      </c>
      <c r="E2951" s="5" t="s">
        <v>39</v>
      </c>
      <c r="F2951" s="8"/>
      <c r="G2951" s="9">
        <f>H2951*(1-15%)*(1-F2951)</f>
        <v>148.66499999999999</v>
      </c>
      <c r="H2951" s="9">
        <v>174.90000000000001</v>
      </c>
      <c r="I2951" s="9">
        <f>H2951-G2951</f>
        <v>26.235000000000014</v>
      </c>
    </row>
    <row r="2952" ht="14.25">
      <c r="A2952" s="5">
        <v>88468</v>
      </c>
      <c r="B2952" s="6" t="s">
        <v>3014</v>
      </c>
      <c r="C2952" s="7" t="s">
        <v>75</v>
      </c>
      <c r="D2952" s="7" t="s">
        <v>103</v>
      </c>
      <c r="E2952" s="5" t="s">
        <v>39</v>
      </c>
      <c r="F2952" s="8"/>
      <c r="G2952" s="9">
        <f>H2952*(1-15%)*(1-F2952)</f>
        <v>13.515000000000001</v>
      </c>
      <c r="H2952" s="10">
        <v>15.9</v>
      </c>
      <c r="I2952" s="9">
        <f>H2952-G2952</f>
        <v>2.3849999999999998</v>
      </c>
    </row>
    <row r="2953" ht="14.25">
      <c r="A2953" s="5">
        <v>52110</v>
      </c>
      <c r="B2953" s="6" t="s">
        <v>3015</v>
      </c>
      <c r="C2953" s="7" t="s">
        <v>87</v>
      </c>
      <c r="D2953" s="7" t="s">
        <v>52</v>
      </c>
      <c r="E2953" s="5" t="s">
        <v>39</v>
      </c>
      <c r="F2953" s="8"/>
      <c r="G2953" s="9">
        <f>H2953*(1-15%)*(1-F2953)</f>
        <v>56.015000000000001</v>
      </c>
      <c r="H2953" s="10">
        <v>65.900000000000006</v>
      </c>
      <c r="I2953" s="9">
        <f>H2953-G2953</f>
        <v>9.8850000000000051</v>
      </c>
    </row>
    <row r="2954" ht="14.25">
      <c r="A2954" s="5">
        <v>52122</v>
      </c>
      <c r="B2954" s="6" t="s">
        <v>3016</v>
      </c>
      <c r="C2954" s="7" t="s">
        <v>87</v>
      </c>
      <c r="D2954" s="7" t="s">
        <v>52</v>
      </c>
      <c r="E2954" s="5" t="s">
        <v>39</v>
      </c>
      <c r="F2954" s="8"/>
      <c r="G2954" s="9">
        <f>H2954*(1-15%)*(1-F2954)</f>
        <v>50.914999999999999</v>
      </c>
      <c r="H2954" s="10">
        <v>59.899999999999999</v>
      </c>
      <c r="I2954" s="9">
        <f>H2954-G2954</f>
        <v>8.9849999999999994</v>
      </c>
    </row>
    <row r="2955" ht="14.25">
      <c r="A2955" s="5">
        <v>52136</v>
      </c>
      <c r="B2955" s="6" t="s">
        <v>3017</v>
      </c>
      <c r="C2955" s="7" t="s">
        <v>87</v>
      </c>
      <c r="D2955" s="7" t="s">
        <v>52</v>
      </c>
      <c r="E2955" s="5" t="s">
        <v>39</v>
      </c>
      <c r="F2955" s="8"/>
      <c r="G2955" s="9">
        <f>H2955*(1-15%)*(1-F2955)</f>
        <v>53.464999999999996</v>
      </c>
      <c r="H2955" s="10">
        <v>62.899999999999999</v>
      </c>
      <c r="I2955" s="9">
        <f>H2955-G2955</f>
        <v>9.4350000000000023</v>
      </c>
    </row>
    <row r="2956" ht="14.25">
      <c r="A2956" s="5">
        <v>52140</v>
      </c>
      <c r="B2956" s="6" t="s">
        <v>3018</v>
      </c>
      <c r="C2956" s="7" t="s">
        <v>87</v>
      </c>
      <c r="D2956" s="7" t="s">
        <v>52</v>
      </c>
      <c r="E2956" s="5" t="s">
        <v>39</v>
      </c>
      <c r="F2956" s="8"/>
      <c r="G2956" s="9">
        <f>H2956*(1-15%)*(1-F2956)</f>
        <v>53.464999999999996</v>
      </c>
      <c r="H2956" s="10">
        <v>62.899999999999999</v>
      </c>
      <c r="I2956" s="9">
        <f>H2956-G2956</f>
        <v>9.4350000000000023</v>
      </c>
    </row>
    <row r="2957" ht="14.25">
      <c r="A2957" s="5">
        <v>52147</v>
      </c>
      <c r="B2957" s="6" t="s">
        <v>3019</v>
      </c>
      <c r="C2957" s="7" t="s">
        <v>87</v>
      </c>
      <c r="D2957" s="7" t="s">
        <v>52</v>
      </c>
      <c r="E2957" s="5" t="s">
        <v>39</v>
      </c>
      <c r="F2957" s="8"/>
      <c r="G2957" s="9">
        <f>H2957*(1-15%)*(1-F2957)</f>
        <v>56.015000000000001</v>
      </c>
      <c r="H2957" s="10">
        <v>65.900000000000006</v>
      </c>
      <c r="I2957" s="9">
        <f>H2957-G2957</f>
        <v>9.8850000000000051</v>
      </c>
    </row>
    <row r="2958" ht="14.25">
      <c r="A2958" s="5">
        <v>52164</v>
      </c>
      <c r="B2958" s="6" t="s">
        <v>3020</v>
      </c>
      <c r="C2958" s="7" t="s">
        <v>87</v>
      </c>
      <c r="D2958" s="7" t="s">
        <v>52</v>
      </c>
      <c r="E2958" s="5" t="s">
        <v>26</v>
      </c>
      <c r="F2958" s="8"/>
      <c r="G2958" s="9">
        <f>H2958*(1-15%)*(1-F2958)</f>
        <v>56.015000000000001</v>
      </c>
      <c r="H2958" s="10">
        <v>65.900000000000006</v>
      </c>
      <c r="I2958" s="9">
        <f>H2958-G2958</f>
        <v>9.8850000000000051</v>
      </c>
    </row>
    <row r="2959" ht="14.25">
      <c r="A2959" s="5">
        <v>52172</v>
      </c>
      <c r="B2959" s="6" t="s">
        <v>3021</v>
      </c>
      <c r="C2959" s="7" t="s">
        <v>87</v>
      </c>
      <c r="D2959" s="7" t="s">
        <v>52</v>
      </c>
      <c r="E2959" s="5" t="s">
        <v>26</v>
      </c>
      <c r="F2959" s="8"/>
      <c r="G2959" s="9">
        <f>H2959*(1-15%)*(1-F2959)</f>
        <v>67.915000000000006</v>
      </c>
      <c r="H2959" s="10">
        <v>79.900000000000006</v>
      </c>
      <c r="I2959" s="9">
        <f>H2959-G2959</f>
        <v>11.984999999999999</v>
      </c>
    </row>
    <row r="2960" ht="14.25">
      <c r="A2960" s="5">
        <v>52175</v>
      </c>
      <c r="B2960" s="6" t="s">
        <v>3022</v>
      </c>
      <c r="C2960" s="7" t="s">
        <v>87</v>
      </c>
      <c r="D2960" s="7" t="s">
        <v>52</v>
      </c>
      <c r="E2960" s="5" t="s">
        <v>39</v>
      </c>
      <c r="F2960" s="8"/>
      <c r="G2960" s="9">
        <f>H2960*(1-15%)*(1-F2960)</f>
        <v>59.415000000000006</v>
      </c>
      <c r="H2960" s="10">
        <v>69.900000000000006</v>
      </c>
      <c r="I2960" s="9">
        <f>H2960-G2960</f>
        <v>10.484999999999999</v>
      </c>
    </row>
    <row r="2961" ht="14.25">
      <c r="A2961" s="5">
        <v>55243</v>
      </c>
      <c r="B2961" s="6" t="s">
        <v>3023</v>
      </c>
      <c r="C2961" s="7" t="s">
        <v>87</v>
      </c>
      <c r="D2961" s="7" t="s">
        <v>52</v>
      </c>
      <c r="E2961" s="5" t="s">
        <v>26</v>
      </c>
      <c r="F2961" s="8"/>
      <c r="G2961" s="9">
        <f>H2961*(1-15%)*(1-F2961)</f>
        <v>50.914999999999999</v>
      </c>
      <c r="H2961" s="10">
        <v>59.899999999999999</v>
      </c>
      <c r="I2961" s="9">
        <f>H2961-G2961</f>
        <v>8.9849999999999994</v>
      </c>
    </row>
    <row r="2962" ht="14.25">
      <c r="A2962" s="5">
        <v>55245</v>
      </c>
      <c r="B2962" s="6" t="s">
        <v>3024</v>
      </c>
      <c r="C2962" s="7" t="s">
        <v>87</v>
      </c>
      <c r="D2962" s="7" t="s">
        <v>52</v>
      </c>
      <c r="E2962" s="5" t="s">
        <v>26</v>
      </c>
      <c r="F2962" s="8"/>
      <c r="G2962" s="9">
        <f>H2962*(1-15%)*(1-F2962)</f>
        <v>53.464999999999996</v>
      </c>
      <c r="H2962" s="10">
        <v>62.899999999999999</v>
      </c>
      <c r="I2962" s="9">
        <f>H2962-G2962</f>
        <v>9.4350000000000023</v>
      </c>
    </row>
    <row r="2963" ht="14.25">
      <c r="A2963" s="5">
        <v>55930</v>
      </c>
      <c r="B2963" s="6" t="s">
        <v>3025</v>
      </c>
      <c r="C2963" s="7" t="s">
        <v>951</v>
      </c>
      <c r="D2963" s="7" t="s">
        <v>52</v>
      </c>
      <c r="E2963" s="5" t="s">
        <v>133</v>
      </c>
      <c r="F2963" s="8"/>
      <c r="G2963" s="9">
        <f>H2963*(1-15%)*(1-F2963)</f>
        <v>71.314999999999998</v>
      </c>
      <c r="H2963" s="10">
        <v>83.900000000000006</v>
      </c>
      <c r="I2963" s="9">
        <f>H2963-G2963</f>
        <v>12.585000000000008</v>
      </c>
    </row>
    <row r="2964" ht="14.25">
      <c r="A2964" s="5">
        <v>56601</v>
      </c>
      <c r="B2964" s="6" t="s">
        <v>3026</v>
      </c>
      <c r="C2964" s="7" t="s">
        <v>87</v>
      </c>
      <c r="D2964" s="7" t="s">
        <v>52</v>
      </c>
      <c r="E2964" s="5" t="s">
        <v>39</v>
      </c>
      <c r="F2964" s="8"/>
      <c r="G2964" s="9">
        <f>H2964*(1-15%)*(1-F2964)</f>
        <v>50.914999999999999</v>
      </c>
      <c r="H2964" s="10">
        <v>59.899999999999999</v>
      </c>
      <c r="I2964" s="9">
        <f>H2964-G2964</f>
        <v>8.9849999999999994</v>
      </c>
    </row>
    <row r="2965" ht="14.25">
      <c r="A2965" s="5">
        <v>85483</v>
      </c>
      <c r="B2965" s="6" t="s">
        <v>3027</v>
      </c>
      <c r="C2965" s="7" t="s">
        <v>17</v>
      </c>
      <c r="D2965" s="7" t="s">
        <v>71</v>
      </c>
      <c r="E2965" s="5" t="s">
        <v>68</v>
      </c>
      <c r="F2965" s="8"/>
      <c r="G2965" s="9">
        <f>H2965*(1-15%)*(1-F2965)</f>
        <v>42.414999999999999</v>
      </c>
      <c r="H2965" s="9">
        <v>49.899999999999999</v>
      </c>
      <c r="I2965" s="9">
        <f>H2965-G2965</f>
        <v>7.4849999999999994</v>
      </c>
    </row>
    <row r="2966" ht="14.25">
      <c r="A2966" s="5">
        <v>85916</v>
      </c>
      <c r="B2966" s="6" t="s">
        <v>3028</v>
      </c>
      <c r="C2966" s="7" t="s">
        <v>82</v>
      </c>
      <c r="D2966" s="7" t="s">
        <v>45</v>
      </c>
      <c r="E2966" s="5" t="s">
        <v>15</v>
      </c>
      <c r="F2966" s="8"/>
      <c r="G2966" s="9">
        <f>H2966*(1-15%)*(1-F2966)</f>
        <v>63.665000000000006</v>
      </c>
      <c r="H2966" s="9">
        <v>74.900000000000006</v>
      </c>
      <c r="I2966" s="9">
        <f>H2966-G2966</f>
        <v>11.234999999999999</v>
      </c>
    </row>
    <row r="2967" ht="14.25">
      <c r="A2967" s="5">
        <v>85917</v>
      </c>
      <c r="B2967" s="6" t="s">
        <v>3029</v>
      </c>
      <c r="C2967" s="7" t="s">
        <v>82</v>
      </c>
      <c r="D2967" s="7" t="s">
        <v>45</v>
      </c>
      <c r="E2967" s="5" t="s">
        <v>15</v>
      </c>
      <c r="F2967" s="8"/>
      <c r="G2967" s="9">
        <f>H2967*(1-15%)*(1-F2967)</f>
        <v>59.415000000000006</v>
      </c>
      <c r="H2967" s="9">
        <v>69.900000000000006</v>
      </c>
      <c r="I2967" s="9">
        <f>H2967-G2967</f>
        <v>10.484999999999999</v>
      </c>
    </row>
    <row r="2968" ht="14.25">
      <c r="A2968" s="5">
        <v>85918</v>
      </c>
      <c r="B2968" s="6" t="s">
        <v>3030</v>
      </c>
      <c r="C2968" s="7" t="s">
        <v>82</v>
      </c>
      <c r="D2968" s="7" t="s">
        <v>103</v>
      </c>
      <c r="E2968" s="5" t="s">
        <v>15</v>
      </c>
      <c r="F2968" s="8"/>
      <c r="G2968" s="9">
        <f>H2968*(1-15%)*(1-F2968)</f>
        <v>31.364999999999998</v>
      </c>
      <c r="H2968" s="9">
        <v>36.899999999999999</v>
      </c>
      <c r="I2968" s="9">
        <f>H2968-G2968</f>
        <v>5.5350000000000001</v>
      </c>
    </row>
    <row r="2969" ht="14.25">
      <c r="A2969" s="5">
        <v>85919</v>
      </c>
      <c r="B2969" s="6" t="s">
        <v>3031</v>
      </c>
      <c r="C2969" s="7" t="s">
        <v>82</v>
      </c>
      <c r="D2969" s="7" t="s">
        <v>103</v>
      </c>
      <c r="E2969" s="5" t="s">
        <v>15</v>
      </c>
      <c r="F2969" s="8"/>
      <c r="G2969" s="9">
        <f>H2969*(1-15%)*(1-F2969)</f>
        <v>42.414999999999999</v>
      </c>
      <c r="H2969" s="10">
        <v>49.899999999999999</v>
      </c>
      <c r="I2969" s="9">
        <f>H2969-G2969</f>
        <v>7.4849999999999994</v>
      </c>
    </row>
    <row r="2970" ht="14.25">
      <c r="A2970" s="5">
        <v>86024</v>
      </c>
      <c r="B2970" s="6" t="s">
        <v>3032</v>
      </c>
      <c r="C2970" s="7" t="s">
        <v>82</v>
      </c>
      <c r="D2970" s="7" t="s">
        <v>219</v>
      </c>
      <c r="E2970" s="5" t="s">
        <v>26</v>
      </c>
      <c r="F2970" s="8"/>
      <c r="G2970" s="9">
        <f>H2970*(1-15%)*(1-F2970)</f>
        <v>32.214999999999996</v>
      </c>
      <c r="H2970" s="9">
        <v>37.899999999999999</v>
      </c>
      <c r="I2970" s="9">
        <f>H2970-G2970</f>
        <v>5.6850000000000023</v>
      </c>
    </row>
    <row r="2971" ht="14.25">
      <c r="A2971" s="5">
        <v>86037</v>
      </c>
      <c r="B2971" s="6" t="s">
        <v>3033</v>
      </c>
      <c r="C2971" s="7" t="s">
        <v>94</v>
      </c>
      <c r="D2971" s="7" t="s">
        <v>95</v>
      </c>
      <c r="E2971" s="5" t="s">
        <v>39</v>
      </c>
      <c r="F2971" s="8"/>
      <c r="G2971" s="9">
        <f>H2971*(1-15%)*(1-F2971)</f>
        <v>39.015000000000001</v>
      </c>
      <c r="H2971" s="10">
        <v>45.899999999999999</v>
      </c>
      <c r="I2971" s="9">
        <f>H2971-G2971</f>
        <v>6.884999999999998</v>
      </c>
    </row>
    <row r="2972" ht="14.25">
      <c r="A2972" s="5">
        <v>86116</v>
      </c>
      <c r="B2972" s="6" t="s">
        <v>3034</v>
      </c>
      <c r="C2972" s="7" t="s">
        <v>82</v>
      </c>
      <c r="D2972" s="7" t="s">
        <v>11</v>
      </c>
      <c r="E2972" s="5" t="s">
        <v>39</v>
      </c>
      <c r="F2972" s="8"/>
      <c r="G2972" s="9">
        <f>H2972*(1-15%)*(1-F2972)</f>
        <v>78.965000000000003</v>
      </c>
      <c r="H2972" s="9">
        <v>92.900000000000006</v>
      </c>
      <c r="I2972" s="9">
        <f>H2972-G2972</f>
        <v>13.935000000000002</v>
      </c>
    </row>
    <row r="2973" ht="14.25">
      <c r="A2973" s="5">
        <v>86295</v>
      </c>
      <c r="B2973" s="6" t="s">
        <v>3035</v>
      </c>
      <c r="C2973" s="7" t="s">
        <v>94</v>
      </c>
      <c r="D2973" s="7" t="s">
        <v>95</v>
      </c>
      <c r="E2973" s="5" t="s">
        <v>43</v>
      </c>
      <c r="F2973" s="8"/>
      <c r="G2973" s="9">
        <f>H2973*(1-15%)*(1-F2973)</f>
        <v>59.415000000000006</v>
      </c>
      <c r="H2973" s="10">
        <v>69.900000000000006</v>
      </c>
      <c r="I2973" s="9">
        <f>H2973-G2973</f>
        <v>10.484999999999999</v>
      </c>
    </row>
    <row r="2974" ht="14.25">
      <c r="A2974" s="5">
        <v>87351</v>
      </c>
      <c r="B2974" s="6" t="s">
        <v>3036</v>
      </c>
      <c r="C2974" s="7" t="s">
        <v>82</v>
      </c>
      <c r="D2974" s="7" t="s">
        <v>183</v>
      </c>
      <c r="E2974" s="5" t="s">
        <v>15</v>
      </c>
      <c r="F2974" s="8"/>
      <c r="G2974" s="9">
        <f>H2974*(1-15%)*(1-F2974)</f>
        <v>50.914999999999999</v>
      </c>
      <c r="H2974" s="10">
        <v>59.899999999999999</v>
      </c>
      <c r="I2974" s="9">
        <f>H2974-G2974</f>
        <v>8.9849999999999994</v>
      </c>
    </row>
    <row r="2975" ht="14.25">
      <c r="A2975" s="5">
        <v>87768</v>
      </c>
      <c r="B2975" s="6" t="s">
        <v>3037</v>
      </c>
      <c r="C2975" s="7" t="s">
        <v>94</v>
      </c>
      <c r="D2975" s="7" t="s">
        <v>95</v>
      </c>
      <c r="E2975" s="5" t="s">
        <v>43</v>
      </c>
      <c r="F2975" s="8"/>
      <c r="G2975" s="9">
        <f>H2975*(1-15%)*(1-F2975)</f>
        <v>40.714999999999996</v>
      </c>
      <c r="H2975" s="10">
        <v>47.899999999999999</v>
      </c>
      <c r="I2975" s="9">
        <f>H2975-G2975</f>
        <v>7.1850000000000023</v>
      </c>
    </row>
    <row r="2976" ht="14.25">
      <c r="A2976" s="5">
        <v>87896</v>
      </c>
      <c r="B2976" s="6" t="s">
        <v>3038</v>
      </c>
      <c r="C2976" s="7" t="s">
        <v>17</v>
      </c>
      <c r="D2976" s="7" t="s">
        <v>11</v>
      </c>
      <c r="E2976" s="5" t="s">
        <v>3039</v>
      </c>
      <c r="F2976" s="8"/>
      <c r="G2976" s="9">
        <f>H2976*(1-15%)*(1-F2976)</f>
        <v>186.91499999999999</v>
      </c>
      <c r="H2976" s="9">
        <v>219.90000000000001</v>
      </c>
      <c r="I2976" s="9">
        <f>H2976-G2976</f>
        <v>32.985000000000014</v>
      </c>
    </row>
    <row r="2977" ht="14.25">
      <c r="A2977" s="5">
        <v>88007</v>
      </c>
      <c r="B2977" s="6" t="s">
        <v>3040</v>
      </c>
      <c r="C2977" s="7" t="s">
        <v>94</v>
      </c>
      <c r="D2977" s="7" t="s">
        <v>95</v>
      </c>
      <c r="E2977" s="5" t="s">
        <v>43</v>
      </c>
      <c r="F2977" s="8"/>
      <c r="G2977" s="9">
        <f>H2977*(1-15%)*(1-F2977)</f>
        <v>42.414999999999999</v>
      </c>
      <c r="H2977" s="10">
        <v>49.899999999999999</v>
      </c>
      <c r="I2977" s="9">
        <f>H2977-G2977</f>
        <v>7.4849999999999994</v>
      </c>
    </row>
    <row r="2978" ht="14.25">
      <c r="A2978" s="5">
        <v>88008</v>
      </c>
      <c r="B2978" s="6" t="s">
        <v>3041</v>
      </c>
      <c r="C2978" s="7" t="s">
        <v>94</v>
      </c>
      <c r="D2978" s="7" t="s">
        <v>95</v>
      </c>
      <c r="E2978" s="5" t="s">
        <v>43</v>
      </c>
      <c r="F2978" s="8"/>
      <c r="G2978" s="9">
        <f>H2978*(1-15%)*(1-F2978)</f>
        <v>40.714999999999996</v>
      </c>
      <c r="H2978" s="10">
        <v>47.899999999999999</v>
      </c>
      <c r="I2978" s="9">
        <f>H2978-G2978</f>
        <v>7.1850000000000023</v>
      </c>
    </row>
    <row r="2979" ht="14.25">
      <c r="A2979" s="5">
        <v>88009</v>
      </c>
      <c r="B2979" s="6" t="s">
        <v>3042</v>
      </c>
      <c r="C2979" s="7" t="s">
        <v>109</v>
      </c>
      <c r="D2979" s="7" t="s">
        <v>110</v>
      </c>
      <c r="E2979" s="5" t="s">
        <v>26</v>
      </c>
      <c r="F2979" s="8"/>
      <c r="G2979" s="9">
        <f>H2979*(1-15%)*(1-F2979)</f>
        <v>57.715000000000003</v>
      </c>
      <c r="H2979" s="9">
        <v>67.900000000000006</v>
      </c>
      <c r="I2979" s="9">
        <f>H2979-G2979</f>
        <v>10.185000000000002</v>
      </c>
    </row>
    <row r="2980" ht="14.25">
      <c r="A2980" s="5">
        <v>88077</v>
      </c>
      <c r="B2980" s="6" t="s">
        <v>3043</v>
      </c>
      <c r="C2980" s="7" t="s">
        <v>75</v>
      </c>
      <c r="D2980" s="7" t="s">
        <v>45</v>
      </c>
      <c r="E2980" s="5" t="s">
        <v>3039</v>
      </c>
      <c r="F2980" s="8"/>
      <c r="G2980" s="9">
        <f>H2980*(1-15%)*(1-F2980)</f>
        <v>73.865000000000009</v>
      </c>
      <c r="H2980" s="10">
        <v>86.900000000000006</v>
      </c>
      <c r="I2980" s="9">
        <f>H2980-G2980</f>
        <v>13.034999999999997</v>
      </c>
    </row>
    <row r="2981" ht="14.25">
      <c r="A2981" s="5">
        <v>88082</v>
      </c>
      <c r="B2981" s="6" t="s">
        <v>3044</v>
      </c>
      <c r="C2981" s="7" t="s">
        <v>75</v>
      </c>
      <c r="D2981" s="7" t="s">
        <v>45</v>
      </c>
      <c r="E2981" s="5" t="s">
        <v>3039</v>
      </c>
      <c r="F2981" s="8"/>
      <c r="G2981" s="9">
        <f>H2981*(1-15%)*(1-F2981)</f>
        <v>73.865000000000009</v>
      </c>
      <c r="H2981" s="10">
        <v>86.900000000000006</v>
      </c>
      <c r="I2981" s="9">
        <f>H2981-G2981</f>
        <v>13.034999999999997</v>
      </c>
    </row>
    <row r="2982" ht="14.25">
      <c r="A2982" s="5">
        <v>88199</v>
      </c>
      <c r="B2982" s="6" t="s">
        <v>3045</v>
      </c>
      <c r="C2982" s="7" t="s">
        <v>82</v>
      </c>
      <c r="D2982" s="7" t="s">
        <v>45</v>
      </c>
      <c r="E2982" s="5" t="s">
        <v>43</v>
      </c>
      <c r="F2982" s="8"/>
      <c r="G2982" s="9">
        <f>H2982*(1-15%)*(1-F2982)</f>
        <v>31.364999999999998</v>
      </c>
      <c r="H2982" s="10">
        <v>36.899999999999999</v>
      </c>
      <c r="I2982" s="9">
        <f>H2982-G2982</f>
        <v>5.5350000000000001</v>
      </c>
    </row>
    <row r="2983" ht="14.25">
      <c r="A2983" s="5">
        <v>89788</v>
      </c>
      <c r="B2983" s="6" t="s">
        <v>3046</v>
      </c>
      <c r="C2983" s="7" t="s">
        <v>94</v>
      </c>
      <c r="D2983" s="7" t="s">
        <v>95</v>
      </c>
      <c r="E2983" s="5" t="s">
        <v>43</v>
      </c>
      <c r="F2983" s="8"/>
      <c r="G2983" s="9">
        <f>H2983*(1-15%)*(1-F2983)</f>
        <v>57.715000000000003</v>
      </c>
      <c r="H2983" s="10">
        <v>67.900000000000006</v>
      </c>
      <c r="I2983" s="9">
        <f>H2983-G2983</f>
        <v>10.185000000000002</v>
      </c>
    </row>
    <row r="2984" ht="14.25">
      <c r="A2984" s="5">
        <v>89789</v>
      </c>
      <c r="B2984" s="6" t="s">
        <v>3047</v>
      </c>
      <c r="C2984" s="7" t="s">
        <v>94</v>
      </c>
      <c r="D2984" s="7" t="s">
        <v>95</v>
      </c>
      <c r="E2984" s="5" t="s">
        <v>43</v>
      </c>
      <c r="F2984" s="8"/>
      <c r="G2984" s="9">
        <f>H2984*(1-15%)*(1-F2984)</f>
        <v>29.664999999999999</v>
      </c>
      <c r="H2984" s="10">
        <v>34.899999999999999</v>
      </c>
      <c r="I2984" s="9">
        <f>H2984-G2984</f>
        <v>5.2349999999999994</v>
      </c>
    </row>
    <row r="2985" ht="14.25">
      <c r="A2985" s="11">
        <v>52507</v>
      </c>
      <c r="B2985" s="6" t="s">
        <v>3048</v>
      </c>
      <c r="C2985" s="7" t="s">
        <v>17</v>
      </c>
      <c r="D2985" s="7" t="s">
        <v>11</v>
      </c>
      <c r="E2985" s="5" t="s">
        <v>133</v>
      </c>
      <c r="F2985" s="8"/>
      <c r="G2985" s="9">
        <f>H2985*(1-15%)*(1-F2985)</f>
        <v>186.91499999999999</v>
      </c>
      <c r="H2985" s="9">
        <v>219.90000000000001</v>
      </c>
      <c r="I2985" s="9">
        <f>H2985-G2985</f>
        <v>32.985000000000014</v>
      </c>
    </row>
    <row r="2986" ht="14.25">
      <c r="A2986" s="11">
        <v>56198</v>
      </c>
      <c r="B2986" s="6" t="s">
        <v>3049</v>
      </c>
      <c r="C2986" s="7" t="s">
        <v>87</v>
      </c>
      <c r="D2986" s="7" t="s">
        <v>183</v>
      </c>
      <c r="E2986" s="5" t="s">
        <v>39</v>
      </c>
      <c r="F2986" s="8"/>
      <c r="G2986" s="9">
        <f>H2986*(1-15%)*(1-F2986)</f>
        <v>101.91500000000001</v>
      </c>
      <c r="H2986" s="10">
        <v>119.90000000000001</v>
      </c>
      <c r="I2986" s="9">
        <f>H2986-G2986</f>
        <v>17.984999999999999</v>
      </c>
    </row>
    <row r="2987" ht="14.25">
      <c r="A2987" s="11">
        <v>58981</v>
      </c>
      <c r="B2987" s="6" t="s">
        <v>3050</v>
      </c>
      <c r="C2987" s="7" t="s">
        <v>109</v>
      </c>
      <c r="D2987" s="7" t="s">
        <v>110</v>
      </c>
      <c r="E2987" s="5" t="s">
        <v>43</v>
      </c>
      <c r="F2987" s="8"/>
      <c r="G2987" s="9">
        <f>H2987*(1-15%)*(1-F2987)</f>
        <v>138.465</v>
      </c>
      <c r="H2987" s="10">
        <v>162.90000000000001</v>
      </c>
      <c r="I2987" s="9">
        <f>H2987-G2987</f>
        <v>24.435000000000002</v>
      </c>
    </row>
    <row r="2988" ht="14.25">
      <c r="A2988" s="11">
        <v>58982</v>
      </c>
      <c r="B2988" s="6" t="s">
        <v>3051</v>
      </c>
      <c r="C2988" s="7" t="s">
        <v>109</v>
      </c>
      <c r="D2988" s="7" t="s">
        <v>110</v>
      </c>
      <c r="E2988" s="5" t="s">
        <v>43</v>
      </c>
      <c r="F2988" s="8"/>
      <c r="G2988" s="9">
        <f>H2988*(1-15%)*(1-F2988)</f>
        <v>138.465</v>
      </c>
      <c r="H2988" s="10">
        <v>162.90000000000001</v>
      </c>
      <c r="I2988" s="9">
        <f>H2988-G2988</f>
        <v>24.435000000000002</v>
      </c>
    </row>
    <row r="2989" ht="14.25">
      <c r="A2989" s="11">
        <v>58983</v>
      </c>
      <c r="B2989" s="6" t="s">
        <v>3052</v>
      </c>
      <c r="C2989" s="7" t="s">
        <v>109</v>
      </c>
      <c r="D2989" s="7" t="s">
        <v>110</v>
      </c>
      <c r="E2989" s="5" t="s">
        <v>43</v>
      </c>
      <c r="F2989" s="8"/>
      <c r="G2989" s="9">
        <f>H2989*(1-15%)*(1-F2989)</f>
        <v>138.465</v>
      </c>
      <c r="H2989" s="10">
        <v>162.90000000000001</v>
      </c>
      <c r="I2989" s="9">
        <f>H2989-G2989</f>
        <v>24.435000000000002</v>
      </c>
    </row>
    <row r="2990" ht="14.25">
      <c r="A2990" s="11">
        <v>58986</v>
      </c>
      <c r="B2990" s="6" t="s">
        <v>3053</v>
      </c>
      <c r="C2990" s="7" t="s">
        <v>109</v>
      </c>
      <c r="D2990" s="7" t="s">
        <v>110</v>
      </c>
      <c r="E2990" s="5" t="s">
        <v>43</v>
      </c>
      <c r="F2990" s="8"/>
      <c r="G2990" s="9">
        <f>H2990*(1-15%)*(1-F2990)</f>
        <v>138.465</v>
      </c>
      <c r="H2990" s="10">
        <v>162.90000000000001</v>
      </c>
      <c r="I2990" s="9">
        <f>H2990-G2990</f>
        <v>24.435000000000002</v>
      </c>
    </row>
    <row r="2991" ht="14.25">
      <c r="A2991" s="11">
        <v>58990</v>
      </c>
      <c r="B2991" s="6" t="s">
        <v>3054</v>
      </c>
      <c r="C2991" s="7" t="s">
        <v>109</v>
      </c>
      <c r="D2991" s="7" t="s">
        <v>110</v>
      </c>
      <c r="E2991" s="5" t="s">
        <v>43</v>
      </c>
      <c r="F2991" s="8"/>
      <c r="G2991" s="9">
        <f>H2991*(1-15%)*(1-F2991)</f>
        <v>138.465</v>
      </c>
      <c r="H2991" s="10">
        <v>162.90000000000001</v>
      </c>
      <c r="I2991" s="9">
        <f>H2991-G2991</f>
        <v>24.435000000000002</v>
      </c>
    </row>
    <row r="2992" ht="14.25">
      <c r="A2992" s="11">
        <v>58991</v>
      </c>
      <c r="B2992" s="6" t="s">
        <v>3055</v>
      </c>
      <c r="C2992" s="7" t="s">
        <v>109</v>
      </c>
      <c r="D2992" s="7" t="s">
        <v>110</v>
      </c>
      <c r="E2992" s="5" t="s">
        <v>43</v>
      </c>
      <c r="F2992" s="8"/>
      <c r="G2992" s="9">
        <f>H2992*(1-15%)*(1-F2992)</f>
        <v>138.465</v>
      </c>
      <c r="H2992" s="10">
        <v>162.90000000000001</v>
      </c>
      <c r="I2992" s="9">
        <f>H2992-G2992</f>
        <v>24.435000000000002</v>
      </c>
    </row>
    <row r="2993" ht="14.25">
      <c r="A2993" s="11">
        <v>58992</v>
      </c>
      <c r="B2993" s="6" t="s">
        <v>3056</v>
      </c>
      <c r="C2993" s="7" t="s">
        <v>109</v>
      </c>
      <c r="D2993" s="7" t="s">
        <v>110</v>
      </c>
      <c r="E2993" s="5" t="s">
        <v>43</v>
      </c>
      <c r="F2993" s="8"/>
      <c r="G2993" s="9">
        <f>H2993*(1-15%)*(1-F2993)</f>
        <v>138.465</v>
      </c>
      <c r="H2993" s="10">
        <v>162.90000000000001</v>
      </c>
      <c r="I2993" s="9">
        <f>H2993-G2993</f>
        <v>24.435000000000002</v>
      </c>
    </row>
    <row r="2994" ht="14.25">
      <c r="A2994" s="11">
        <v>58993</v>
      </c>
      <c r="B2994" s="6" t="s">
        <v>3057</v>
      </c>
      <c r="C2994" s="7" t="s">
        <v>109</v>
      </c>
      <c r="D2994" s="7" t="s">
        <v>110</v>
      </c>
      <c r="E2994" s="5" t="s">
        <v>43</v>
      </c>
      <c r="F2994" s="8"/>
      <c r="G2994" s="9">
        <f>H2994*(1-15%)*(1-F2994)</f>
        <v>138.465</v>
      </c>
      <c r="H2994" s="10">
        <v>162.90000000000001</v>
      </c>
      <c r="I2994" s="9">
        <f>H2994-G2994</f>
        <v>24.435000000000002</v>
      </c>
    </row>
    <row r="2995" ht="14.25">
      <c r="A2995" s="11">
        <v>58994</v>
      </c>
      <c r="B2995" s="6" t="s">
        <v>3058</v>
      </c>
      <c r="C2995" s="7" t="s">
        <v>109</v>
      </c>
      <c r="D2995" s="7" t="s">
        <v>110</v>
      </c>
      <c r="E2995" s="5" t="s">
        <v>43</v>
      </c>
      <c r="F2995" s="8"/>
      <c r="G2995" s="9">
        <f>H2995*(1-15%)*(1-F2995)</f>
        <v>138.465</v>
      </c>
      <c r="H2995" s="10">
        <v>162.90000000000001</v>
      </c>
      <c r="I2995" s="9">
        <f>H2995-G2995</f>
        <v>24.435000000000002</v>
      </c>
    </row>
    <row r="2996" ht="14.25">
      <c r="A2996" s="11">
        <v>58996</v>
      </c>
      <c r="B2996" s="6" t="s">
        <v>3059</v>
      </c>
      <c r="C2996" s="7" t="s">
        <v>109</v>
      </c>
      <c r="D2996" s="7" t="s">
        <v>110</v>
      </c>
      <c r="E2996" s="5" t="s">
        <v>43</v>
      </c>
      <c r="F2996" s="8"/>
      <c r="G2996" s="9">
        <f>H2996*(1-15%)*(1-F2996)</f>
        <v>138.465</v>
      </c>
      <c r="H2996" s="10">
        <v>162.90000000000001</v>
      </c>
      <c r="I2996" s="9">
        <f>H2996-G2996</f>
        <v>24.435000000000002</v>
      </c>
    </row>
    <row r="2997" ht="14.25">
      <c r="A2997" s="11">
        <v>58997</v>
      </c>
      <c r="B2997" s="6" t="s">
        <v>3060</v>
      </c>
      <c r="C2997" s="7" t="s">
        <v>109</v>
      </c>
      <c r="D2997" s="7" t="s">
        <v>110</v>
      </c>
      <c r="E2997" s="5" t="s">
        <v>43</v>
      </c>
      <c r="F2997" s="8"/>
      <c r="G2997" s="9">
        <f>H2997*(1-15%)*(1-F2997)</f>
        <v>138.465</v>
      </c>
      <c r="H2997" s="10">
        <v>162.90000000000001</v>
      </c>
      <c r="I2997" s="9">
        <f>H2997-G2997</f>
        <v>24.435000000000002</v>
      </c>
    </row>
    <row r="2998" ht="14.25">
      <c r="A2998" s="11">
        <v>58998</v>
      </c>
      <c r="B2998" s="6" t="s">
        <v>3061</v>
      </c>
      <c r="C2998" s="7" t="s">
        <v>109</v>
      </c>
      <c r="D2998" s="7" t="s">
        <v>110</v>
      </c>
      <c r="E2998" s="5" t="s">
        <v>43</v>
      </c>
      <c r="F2998" s="8"/>
      <c r="G2998" s="9">
        <f>H2998*(1-15%)*(1-F2998)</f>
        <v>138.465</v>
      </c>
      <c r="H2998" s="10">
        <v>162.90000000000001</v>
      </c>
      <c r="I2998" s="9">
        <f>H2998-G2998</f>
        <v>24.435000000000002</v>
      </c>
    </row>
    <row r="2999" ht="14.25">
      <c r="A2999" s="11">
        <v>59000</v>
      </c>
      <c r="B2999" s="6" t="s">
        <v>3062</v>
      </c>
      <c r="C2999" s="7" t="s">
        <v>109</v>
      </c>
      <c r="D2999" s="7" t="s">
        <v>110</v>
      </c>
      <c r="E2999" s="5" t="s">
        <v>43</v>
      </c>
      <c r="F2999" s="8"/>
      <c r="G2999" s="9">
        <f>H2999*(1-15%)*(1-F2999)</f>
        <v>138.465</v>
      </c>
      <c r="H2999" s="10">
        <v>162.90000000000001</v>
      </c>
      <c r="I2999" s="9">
        <f>H2999-G2999</f>
        <v>24.435000000000002</v>
      </c>
    </row>
    <row r="3000" ht="14.25">
      <c r="A3000" s="11">
        <v>59002</v>
      </c>
      <c r="B3000" s="6" t="s">
        <v>3063</v>
      </c>
      <c r="C3000" s="7" t="s">
        <v>109</v>
      </c>
      <c r="D3000" s="7" t="s">
        <v>110</v>
      </c>
      <c r="E3000" s="5" t="s">
        <v>43</v>
      </c>
      <c r="F3000" s="8"/>
      <c r="G3000" s="9">
        <f>H3000*(1-15%)*(1-F3000)</f>
        <v>138.465</v>
      </c>
      <c r="H3000" s="10">
        <v>162.90000000000001</v>
      </c>
      <c r="I3000" s="9">
        <f>H3000-G3000</f>
        <v>24.435000000000002</v>
      </c>
    </row>
    <row r="3001" ht="14.25">
      <c r="A3001" s="11">
        <v>59003</v>
      </c>
      <c r="B3001" s="6" t="s">
        <v>3064</v>
      </c>
      <c r="C3001" s="7" t="s">
        <v>109</v>
      </c>
      <c r="D3001" s="7" t="s">
        <v>110</v>
      </c>
      <c r="E3001" s="5" t="s">
        <v>43</v>
      </c>
      <c r="F3001" s="8"/>
      <c r="G3001" s="9">
        <f>H3001*(1-15%)*(1-F3001)</f>
        <v>138.465</v>
      </c>
      <c r="H3001" s="10">
        <v>162.90000000000001</v>
      </c>
      <c r="I3001" s="9">
        <f>H3001-G3001</f>
        <v>24.435000000000002</v>
      </c>
    </row>
    <row r="3002" ht="14.25">
      <c r="A3002" s="11">
        <v>59039</v>
      </c>
      <c r="B3002" s="6" t="s">
        <v>3065</v>
      </c>
      <c r="C3002" s="7" t="s">
        <v>109</v>
      </c>
      <c r="D3002" s="7" t="s">
        <v>110</v>
      </c>
      <c r="E3002" s="5" t="s">
        <v>43</v>
      </c>
      <c r="F3002" s="8"/>
      <c r="G3002" s="9">
        <f>H3002*(1-15%)*(1-F3002)</f>
        <v>93.415000000000006</v>
      </c>
      <c r="H3002" s="10">
        <v>109.90000000000001</v>
      </c>
      <c r="I3002" s="9">
        <f>H3002-G3002</f>
        <v>16.484999999999999</v>
      </c>
    </row>
    <row r="3003" ht="14.25">
      <c r="A3003" s="11">
        <v>59040</v>
      </c>
      <c r="B3003" s="6" t="s">
        <v>3066</v>
      </c>
      <c r="C3003" s="7" t="s">
        <v>109</v>
      </c>
      <c r="D3003" s="7" t="s">
        <v>110</v>
      </c>
      <c r="E3003" s="5" t="s">
        <v>43</v>
      </c>
      <c r="F3003" s="8"/>
      <c r="G3003" s="9">
        <f>H3003*(1-15%)*(1-F3003)</f>
        <v>93.415000000000006</v>
      </c>
      <c r="H3003" s="10">
        <v>109.90000000000001</v>
      </c>
      <c r="I3003" s="9">
        <f>H3003-G3003</f>
        <v>16.484999999999999</v>
      </c>
    </row>
    <row r="3004" ht="14.25">
      <c r="A3004" s="11">
        <v>59041</v>
      </c>
      <c r="B3004" s="6" t="s">
        <v>3067</v>
      </c>
      <c r="C3004" s="7" t="s">
        <v>109</v>
      </c>
      <c r="D3004" s="7" t="s">
        <v>110</v>
      </c>
      <c r="E3004" s="5" t="s">
        <v>43</v>
      </c>
      <c r="F3004" s="8"/>
      <c r="G3004" s="9">
        <f>H3004*(1-15%)*(1-F3004)</f>
        <v>93.415000000000006</v>
      </c>
      <c r="H3004" s="10">
        <v>109.90000000000001</v>
      </c>
      <c r="I3004" s="9">
        <f>H3004-G3004</f>
        <v>16.484999999999999</v>
      </c>
    </row>
    <row r="3005" ht="14.25">
      <c r="A3005" s="11">
        <v>59042</v>
      </c>
      <c r="B3005" s="6" t="s">
        <v>3068</v>
      </c>
      <c r="C3005" s="7" t="s">
        <v>109</v>
      </c>
      <c r="D3005" s="7" t="s">
        <v>110</v>
      </c>
      <c r="E3005" s="5" t="s">
        <v>43</v>
      </c>
      <c r="F3005" s="8"/>
      <c r="G3005" s="9">
        <f>H3005*(1-15%)*(1-F3005)</f>
        <v>93.415000000000006</v>
      </c>
      <c r="H3005" s="10">
        <v>109.90000000000001</v>
      </c>
      <c r="I3005" s="9">
        <f>H3005-G3005</f>
        <v>16.484999999999999</v>
      </c>
    </row>
    <row r="3006" ht="14.25">
      <c r="A3006" s="11">
        <v>59043</v>
      </c>
      <c r="B3006" s="6" t="s">
        <v>3069</v>
      </c>
      <c r="C3006" s="7" t="s">
        <v>109</v>
      </c>
      <c r="D3006" s="7" t="s">
        <v>110</v>
      </c>
      <c r="E3006" s="5" t="s">
        <v>43</v>
      </c>
      <c r="F3006" s="8"/>
      <c r="G3006" s="9">
        <f>H3006*(1-15%)*(1-F3006)</f>
        <v>93.415000000000006</v>
      </c>
      <c r="H3006" s="10">
        <v>109.90000000000001</v>
      </c>
      <c r="I3006" s="9">
        <f>H3006-G3006</f>
        <v>16.484999999999999</v>
      </c>
    </row>
    <row r="3007" ht="14.25">
      <c r="A3007" s="11">
        <v>59044</v>
      </c>
      <c r="B3007" s="6" t="s">
        <v>3070</v>
      </c>
      <c r="C3007" s="7" t="s">
        <v>109</v>
      </c>
      <c r="D3007" s="7" t="s">
        <v>110</v>
      </c>
      <c r="E3007" s="5" t="s">
        <v>43</v>
      </c>
      <c r="F3007" s="8"/>
      <c r="G3007" s="9">
        <f>H3007*(1-15%)*(1-F3007)</f>
        <v>93.415000000000006</v>
      </c>
      <c r="H3007" s="10">
        <v>109.90000000000001</v>
      </c>
      <c r="I3007" s="9">
        <f>H3007-G3007</f>
        <v>16.484999999999999</v>
      </c>
    </row>
    <row r="3008" ht="14.25">
      <c r="A3008" s="11">
        <v>59045</v>
      </c>
      <c r="B3008" s="6" t="s">
        <v>3071</v>
      </c>
      <c r="C3008" s="7" t="s">
        <v>109</v>
      </c>
      <c r="D3008" s="7" t="s">
        <v>110</v>
      </c>
      <c r="E3008" s="5" t="s">
        <v>43</v>
      </c>
      <c r="F3008" s="8"/>
      <c r="G3008" s="9">
        <f>H3008*(1-15%)*(1-F3008)</f>
        <v>93.415000000000006</v>
      </c>
      <c r="H3008" s="10">
        <v>109.90000000000001</v>
      </c>
      <c r="I3008" s="9">
        <f>H3008-G3008</f>
        <v>16.484999999999999</v>
      </c>
    </row>
    <row r="3009" ht="14.25">
      <c r="A3009" s="11">
        <v>59046</v>
      </c>
      <c r="B3009" s="6" t="s">
        <v>3072</v>
      </c>
      <c r="C3009" s="7" t="s">
        <v>109</v>
      </c>
      <c r="D3009" s="7" t="s">
        <v>110</v>
      </c>
      <c r="E3009" s="5" t="s">
        <v>43</v>
      </c>
      <c r="F3009" s="8"/>
      <c r="G3009" s="9">
        <f>H3009*(1-15%)*(1-F3009)</f>
        <v>93.415000000000006</v>
      </c>
      <c r="H3009" s="10">
        <v>109.90000000000001</v>
      </c>
      <c r="I3009" s="9">
        <f>H3009-G3009</f>
        <v>16.484999999999999</v>
      </c>
    </row>
    <row r="3010" ht="14.25">
      <c r="A3010" s="11">
        <v>59047</v>
      </c>
      <c r="B3010" s="6" t="s">
        <v>3073</v>
      </c>
      <c r="C3010" s="7" t="s">
        <v>109</v>
      </c>
      <c r="D3010" s="7" t="s">
        <v>110</v>
      </c>
      <c r="E3010" s="5" t="s">
        <v>43</v>
      </c>
      <c r="F3010" s="8"/>
      <c r="G3010" s="9">
        <f>H3010*(1-15%)*(1-F3010)</f>
        <v>93.415000000000006</v>
      </c>
      <c r="H3010" s="10">
        <v>109.90000000000001</v>
      </c>
      <c r="I3010" s="9">
        <f>H3010-G3010</f>
        <v>16.484999999999999</v>
      </c>
    </row>
    <row r="3011" ht="14.25">
      <c r="A3011" s="11">
        <v>59048</v>
      </c>
      <c r="B3011" s="6" t="s">
        <v>3074</v>
      </c>
      <c r="C3011" s="7" t="s">
        <v>109</v>
      </c>
      <c r="D3011" s="7" t="s">
        <v>110</v>
      </c>
      <c r="E3011" s="5" t="s">
        <v>43</v>
      </c>
      <c r="F3011" s="8"/>
      <c r="G3011" s="9">
        <f>H3011*(1-15%)*(1-F3011)</f>
        <v>93.415000000000006</v>
      </c>
      <c r="H3011" s="10">
        <v>109.90000000000001</v>
      </c>
      <c r="I3011" s="9">
        <f>H3011-G3011</f>
        <v>16.484999999999999</v>
      </c>
    </row>
    <row r="3012" ht="14.25">
      <c r="A3012" s="11">
        <v>59049</v>
      </c>
      <c r="B3012" s="6" t="s">
        <v>3075</v>
      </c>
      <c r="C3012" s="7" t="s">
        <v>109</v>
      </c>
      <c r="D3012" s="7" t="s">
        <v>110</v>
      </c>
      <c r="E3012" s="5" t="s">
        <v>43</v>
      </c>
      <c r="F3012" s="8"/>
      <c r="G3012" s="9">
        <f>H3012*(1-15%)*(1-F3012)</f>
        <v>93.415000000000006</v>
      </c>
      <c r="H3012" s="10">
        <v>109.90000000000001</v>
      </c>
      <c r="I3012" s="9">
        <f>H3012-G3012</f>
        <v>16.484999999999999</v>
      </c>
    </row>
    <row r="3013" ht="14.25">
      <c r="A3013" s="11">
        <v>59050</v>
      </c>
      <c r="B3013" s="6" t="s">
        <v>3076</v>
      </c>
      <c r="C3013" s="7" t="s">
        <v>109</v>
      </c>
      <c r="D3013" s="7" t="s">
        <v>110</v>
      </c>
      <c r="E3013" s="5" t="s">
        <v>43</v>
      </c>
      <c r="F3013" s="8"/>
      <c r="G3013" s="9">
        <f>H3013*(1-15%)*(1-F3013)</f>
        <v>93.415000000000006</v>
      </c>
      <c r="H3013" s="10">
        <v>109.90000000000001</v>
      </c>
      <c r="I3013" s="9">
        <f>H3013-G3013</f>
        <v>16.484999999999999</v>
      </c>
    </row>
    <row r="3014" ht="14.25">
      <c r="A3014" s="11">
        <v>59051</v>
      </c>
      <c r="B3014" s="6" t="s">
        <v>3077</v>
      </c>
      <c r="C3014" s="7" t="s">
        <v>109</v>
      </c>
      <c r="D3014" s="7" t="s">
        <v>110</v>
      </c>
      <c r="E3014" s="5" t="s">
        <v>26</v>
      </c>
      <c r="F3014" s="8"/>
      <c r="G3014" s="9">
        <f>H3014*(1-15%)*(1-F3014)</f>
        <v>70.465000000000003</v>
      </c>
      <c r="H3014" s="10">
        <v>82.900000000000006</v>
      </c>
      <c r="I3014" s="9">
        <f>H3014-G3014</f>
        <v>12.435000000000002</v>
      </c>
    </row>
    <row r="3015" ht="14.25">
      <c r="A3015" s="11">
        <v>59052</v>
      </c>
      <c r="B3015" s="6" t="s">
        <v>3078</v>
      </c>
      <c r="C3015" s="7" t="s">
        <v>109</v>
      </c>
      <c r="D3015" s="7" t="s">
        <v>110</v>
      </c>
      <c r="E3015" s="5" t="s">
        <v>26</v>
      </c>
      <c r="F3015" s="8"/>
      <c r="G3015" s="9">
        <f>H3015*(1-15%)*(1-F3015)</f>
        <v>70.465000000000003</v>
      </c>
      <c r="H3015" s="10">
        <v>82.900000000000006</v>
      </c>
      <c r="I3015" s="9">
        <f>H3015-G3015</f>
        <v>12.435000000000002</v>
      </c>
    </row>
    <row r="3016" ht="14.25">
      <c r="A3016" s="11">
        <v>59053</v>
      </c>
      <c r="B3016" s="6" t="s">
        <v>3079</v>
      </c>
      <c r="C3016" s="7" t="s">
        <v>109</v>
      </c>
      <c r="D3016" s="7" t="s">
        <v>110</v>
      </c>
      <c r="E3016" s="5" t="s">
        <v>26</v>
      </c>
      <c r="F3016" s="8"/>
      <c r="G3016" s="9">
        <f>H3016*(1-15%)*(1-F3016)</f>
        <v>70.465000000000003</v>
      </c>
      <c r="H3016" s="10">
        <v>82.900000000000006</v>
      </c>
      <c r="I3016" s="9">
        <f>H3016-G3016</f>
        <v>12.435000000000002</v>
      </c>
    </row>
    <row r="3017" ht="14.25">
      <c r="A3017" s="11">
        <v>59701</v>
      </c>
      <c r="B3017" s="6" t="s">
        <v>3080</v>
      </c>
      <c r="C3017" s="7" t="s">
        <v>87</v>
      </c>
      <c r="D3017" s="7" t="s">
        <v>183</v>
      </c>
      <c r="E3017" s="5" t="s">
        <v>39</v>
      </c>
      <c r="F3017" s="8"/>
      <c r="G3017" s="9">
        <f>H3017*(1-15%)*(1-F3017)</f>
        <v>93.415000000000006</v>
      </c>
      <c r="H3017" s="10">
        <v>109.90000000000001</v>
      </c>
      <c r="I3017" s="9">
        <f>H3017-G3017</f>
        <v>16.484999999999999</v>
      </c>
    </row>
    <row r="3018" ht="14.25">
      <c r="A3018" s="11">
        <v>85452</v>
      </c>
      <c r="B3018" s="6" t="s">
        <v>3081</v>
      </c>
      <c r="C3018" s="7" t="s">
        <v>2990</v>
      </c>
      <c r="D3018" s="7" t="s">
        <v>52</v>
      </c>
      <c r="E3018" s="5" t="s">
        <v>43</v>
      </c>
      <c r="F3018" s="8"/>
      <c r="G3018" s="9">
        <f>H3018*(1-15%)*(1-F3018)</f>
        <v>50.914999999999999</v>
      </c>
      <c r="H3018" s="10">
        <v>59.899999999999999</v>
      </c>
      <c r="I3018" s="9">
        <f>H3018-G3018</f>
        <v>8.9849999999999994</v>
      </c>
    </row>
    <row r="3019" ht="14.25">
      <c r="A3019" s="11">
        <v>85482</v>
      </c>
      <c r="B3019" s="6" t="s">
        <v>3082</v>
      </c>
      <c r="C3019" s="7" t="s">
        <v>17</v>
      </c>
      <c r="D3019" s="7" t="s">
        <v>71</v>
      </c>
      <c r="E3019" s="5" t="s">
        <v>133</v>
      </c>
      <c r="F3019" s="8"/>
      <c r="G3019" s="9">
        <f>H3019*(1-15%)*(1-F3019)</f>
        <v>42.414999999999999</v>
      </c>
      <c r="H3019" s="9">
        <v>49.899999999999999</v>
      </c>
      <c r="I3019" s="9">
        <f>H3019-G3019</f>
        <v>7.4849999999999994</v>
      </c>
    </row>
    <row r="3020" ht="14.25">
      <c r="A3020" s="11">
        <v>85847</v>
      </c>
      <c r="B3020" s="6" t="s">
        <v>3083</v>
      </c>
      <c r="C3020" s="7" t="s">
        <v>109</v>
      </c>
      <c r="D3020" s="7" t="s">
        <v>110</v>
      </c>
      <c r="E3020" s="5" t="s">
        <v>43</v>
      </c>
      <c r="F3020" s="8"/>
      <c r="G3020" s="9">
        <f>H3020*(1-15%)*(1-F3020)</f>
        <v>106.16500000000001</v>
      </c>
      <c r="H3020" s="9">
        <v>124.90000000000001</v>
      </c>
      <c r="I3020" s="9">
        <f>H3020-G3020</f>
        <v>18.734999999999999</v>
      </c>
    </row>
    <row r="3021" ht="14.25">
      <c r="A3021" s="11">
        <v>86079</v>
      </c>
      <c r="B3021" s="6" t="s">
        <v>3084</v>
      </c>
      <c r="C3021" s="7" t="s">
        <v>38</v>
      </c>
      <c r="D3021" s="7" t="s">
        <v>11</v>
      </c>
      <c r="E3021" s="5" t="s">
        <v>39</v>
      </c>
      <c r="F3021" s="8"/>
      <c r="G3021" s="9">
        <f>H3021*(1-15%)*(1-F3021)</f>
        <v>140.16499999999999</v>
      </c>
      <c r="H3021" s="10">
        <v>164.90000000000001</v>
      </c>
      <c r="I3021" s="9">
        <f>H3021-G3021</f>
        <v>24.735000000000014</v>
      </c>
    </row>
    <row r="3022" ht="14.25">
      <c r="A3022" s="11">
        <v>86081</v>
      </c>
      <c r="B3022" s="6" t="s">
        <v>3085</v>
      </c>
      <c r="C3022" s="7" t="s">
        <v>38</v>
      </c>
      <c r="D3022" s="7" t="s">
        <v>11</v>
      </c>
      <c r="E3022" s="5" t="s">
        <v>39</v>
      </c>
      <c r="F3022" s="8"/>
      <c r="G3022" s="9">
        <f>H3022*(1-15%)*(1-F3022)</f>
        <v>161.41499999999999</v>
      </c>
      <c r="H3022" s="10">
        <v>189.90000000000001</v>
      </c>
      <c r="I3022" s="9">
        <f>H3022-G3022</f>
        <v>28.485000000000014</v>
      </c>
    </row>
    <row r="3023" ht="14.25">
      <c r="A3023" s="11">
        <v>86170</v>
      </c>
      <c r="B3023" s="6" t="s">
        <v>3086</v>
      </c>
      <c r="C3023" s="7" t="s">
        <v>624</v>
      </c>
      <c r="D3023" s="7" t="s">
        <v>61</v>
      </c>
      <c r="E3023" s="5" t="s">
        <v>43</v>
      </c>
      <c r="F3023" s="8"/>
      <c r="G3023" s="9">
        <f>H3023*(1-15%)*(1-F3023)</f>
        <v>314.41499999999996</v>
      </c>
      <c r="H3023" s="10">
        <v>369.89999999999998</v>
      </c>
      <c r="I3023" s="9">
        <f>H3023-G3023</f>
        <v>55.485000000000014</v>
      </c>
    </row>
    <row r="3024" ht="14.25">
      <c r="A3024" s="11">
        <v>86171</v>
      </c>
      <c r="B3024" s="6" t="s">
        <v>3087</v>
      </c>
      <c r="C3024" s="7" t="s">
        <v>70</v>
      </c>
      <c r="D3024" s="7" t="s">
        <v>61</v>
      </c>
      <c r="E3024" s="5" t="s">
        <v>43</v>
      </c>
      <c r="F3024" s="8"/>
      <c r="G3024" s="9">
        <f>H3024*(1-15%)*(1-F3024)</f>
        <v>246.41499999999996</v>
      </c>
      <c r="H3024" s="10">
        <v>289.89999999999998</v>
      </c>
      <c r="I3024" s="9">
        <f>H3024-G3024</f>
        <v>43.485000000000014</v>
      </c>
    </row>
    <row r="3025" ht="14.25">
      <c r="A3025" s="11">
        <v>86172</v>
      </c>
      <c r="B3025" s="6" t="s">
        <v>3088</v>
      </c>
      <c r="C3025" s="7" t="s">
        <v>10</v>
      </c>
      <c r="D3025" s="7" t="s">
        <v>61</v>
      </c>
      <c r="E3025" s="5" t="s">
        <v>43</v>
      </c>
      <c r="F3025" s="8"/>
      <c r="G3025" s="9">
        <f>H3025*(1-15%)*(1-F3025)</f>
        <v>229.41499999999996</v>
      </c>
      <c r="H3025" s="10">
        <v>269.89999999999998</v>
      </c>
      <c r="I3025" s="9">
        <f>H3025-G3025</f>
        <v>40.485000000000014</v>
      </c>
    </row>
    <row r="3026" ht="14.25">
      <c r="A3026" s="11">
        <v>86173</v>
      </c>
      <c r="B3026" s="6" t="s">
        <v>3089</v>
      </c>
      <c r="C3026" s="7" t="s">
        <v>397</v>
      </c>
      <c r="D3026" s="7" t="s">
        <v>61</v>
      </c>
      <c r="E3026" s="5" t="s">
        <v>43</v>
      </c>
      <c r="F3026" s="8"/>
      <c r="G3026" s="9">
        <f>H3026*(1-15%)*(1-F3026)</f>
        <v>233.66499999999996</v>
      </c>
      <c r="H3026" s="10">
        <v>274.89999999999998</v>
      </c>
      <c r="I3026" s="9">
        <f>H3026-G3026</f>
        <v>41.235000000000014</v>
      </c>
    </row>
    <row r="3027" ht="14.25">
      <c r="A3027" s="11">
        <v>86175</v>
      </c>
      <c r="B3027" s="6" t="s">
        <v>3090</v>
      </c>
      <c r="C3027" s="7" t="s">
        <v>1241</v>
      </c>
      <c r="D3027" s="7" t="s">
        <v>61</v>
      </c>
      <c r="E3027" s="5" t="s">
        <v>43</v>
      </c>
      <c r="F3027" s="8"/>
      <c r="G3027" s="9">
        <f>H3027*(1-15%)*(1-F3027)</f>
        <v>229.41499999999996</v>
      </c>
      <c r="H3027" s="10">
        <v>269.89999999999998</v>
      </c>
      <c r="I3027" s="9">
        <f>H3027-G3027</f>
        <v>40.485000000000014</v>
      </c>
    </row>
    <row r="3028" ht="14.25">
      <c r="A3028" s="11">
        <v>86176</v>
      </c>
      <c r="B3028" s="6" t="s">
        <v>3091</v>
      </c>
      <c r="C3028" s="7" t="s">
        <v>17</v>
      </c>
      <c r="D3028" s="7" t="s">
        <v>61</v>
      </c>
      <c r="E3028" s="5" t="s">
        <v>43</v>
      </c>
      <c r="F3028" s="8"/>
      <c r="G3028" s="9">
        <f>H3028*(1-15%)*(1-F3028)</f>
        <v>191.16499999999999</v>
      </c>
      <c r="H3028" s="10">
        <v>224.90000000000001</v>
      </c>
      <c r="I3028" s="9">
        <f>H3028-G3028</f>
        <v>33.735000000000014</v>
      </c>
    </row>
    <row r="3029" ht="14.25">
      <c r="A3029" s="11">
        <v>86177</v>
      </c>
      <c r="B3029" s="6" t="s">
        <v>3092</v>
      </c>
      <c r="C3029" s="7" t="s">
        <v>10</v>
      </c>
      <c r="D3029" s="7" t="s">
        <v>61</v>
      </c>
      <c r="E3029" s="5" t="s">
        <v>43</v>
      </c>
      <c r="F3029" s="8"/>
      <c r="G3029" s="9">
        <f>H3029*(1-15%)*(1-F3029)</f>
        <v>237.91499999999996</v>
      </c>
      <c r="H3029" s="10">
        <v>279.89999999999998</v>
      </c>
      <c r="I3029" s="9">
        <f>H3029-G3029</f>
        <v>41.985000000000014</v>
      </c>
    </row>
    <row r="3030" ht="14.25">
      <c r="A3030" s="11">
        <v>86178</v>
      </c>
      <c r="B3030" s="6" t="s">
        <v>3093</v>
      </c>
      <c r="C3030" s="7" t="s">
        <v>21</v>
      </c>
      <c r="D3030" s="7" t="s">
        <v>61</v>
      </c>
      <c r="E3030" s="5" t="s">
        <v>43</v>
      </c>
      <c r="F3030" s="8"/>
      <c r="G3030" s="9">
        <f>H3030*(1-15%)*(1-F3030)</f>
        <v>195.41499999999999</v>
      </c>
      <c r="H3030" s="10">
        <v>229.90000000000001</v>
      </c>
      <c r="I3030" s="9">
        <f>H3030-G3030</f>
        <v>34.485000000000014</v>
      </c>
    </row>
    <row r="3031" ht="14.25">
      <c r="A3031" s="11">
        <v>86179</v>
      </c>
      <c r="B3031" s="6" t="s">
        <v>3094</v>
      </c>
      <c r="C3031" s="7" t="s">
        <v>705</v>
      </c>
      <c r="D3031" s="7" t="s">
        <v>61</v>
      </c>
      <c r="E3031" s="5" t="s">
        <v>43</v>
      </c>
      <c r="F3031" s="8"/>
      <c r="G3031" s="9">
        <f>H3031*(1-15%)*(1-F3031)</f>
        <v>152.91499999999999</v>
      </c>
      <c r="H3031" s="10">
        <v>179.90000000000001</v>
      </c>
      <c r="I3031" s="9">
        <f>H3031-G3031</f>
        <v>26.985000000000014</v>
      </c>
    </row>
    <row r="3032" ht="14.25">
      <c r="A3032" s="11">
        <v>86180</v>
      </c>
      <c r="B3032" s="6" t="s">
        <v>3095</v>
      </c>
      <c r="C3032" s="7" t="s">
        <v>14</v>
      </c>
      <c r="D3032" s="7" t="s">
        <v>61</v>
      </c>
      <c r="E3032" s="5" t="s">
        <v>43</v>
      </c>
      <c r="F3032" s="8"/>
      <c r="G3032" s="9">
        <f>H3032*(1-15%)*(1-F3032)</f>
        <v>152.91499999999999</v>
      </c>
      <c r="H3032" s="10">
        <v>179.90000000000001</v>
      </c>
      <c r="I3032" s="9">
        <f>H3032-G3032</f>
        <v>26.985000000000014</v>
      </c>
    </row>
    <row r="3033" ht="14.25">
      <c r="A3033" s="11">
        <v>86181</v>
      </c>
      <c r="B3033" s="6" t="s">
        <v>3096</v>
      </c>
      <c r="C3033" s="7" t="s">
        <v>70</v>
      </c>
      <c r="D3033" s="7" t="s">
        <v>61</v>
      </c>
      <c r="E3033" s="5" t="s">
        <v>43</v>
      </c>
      <c r="F3033" s="8"/>
      <c r="G3033" s="9">
        <f>H3033*(1-15%)*(1-F3033)</f>
        <v>178.41499999999999</v>
      </c>
      <c r="H3033" s="10">
        <v>209.90000000000001</v>
      </c>
      <c r="I3033" s="9">
        <f>H3033-G3033</f>
        <v>31.485000000000014</v>
      </c>
    </row>
    <row r="3034" ht="14.25">
      <c r="A3034" s="11">
        <v>86182</v>
      </c>
      <c r="B3034" s="6" t="s">
        <v>3097</v>
      </c>
      <c r="C3034" s="7" t="s">
        <v>70</v>
      </c>
      <c r="D3034" s="7" t="s">
        <v>61</v>
      </c>
      <c r="E3034" s="5" t="s">
        <v>43</v>
      </c>
      <c r="F3034" s="8"/>
      <c r="G3034" s="9">
        <f>H3034*(1-15%)*(1-F3034)</f>
        <v>169.91499999999999</v>
      </c>
      <c r="H3034" s="10">
        <v>199.90000000000001</v>
      </c>
      <c r="I3034" s="9">
        <f>H3034-G3034</f>
        <v>29.985000000000014</v>
      </c>
    </row>
    <row r="3035" ht="14.25">
      <c r="A3035" s="11">
        <v>86183</v>
      </c>
      <c r="B3035" s="6" t="s">
        <v>3098</v>
      </c>
      <c r="C3035" s="7" t="s">
        <v>17</v>
      </c>
      <c r="D3035" s="7" t="s">
        <v>61</v>
      </c>
      <c r="E3035" s="5" t="s">
        <v>43</v>
      </c>
      <c r="F3035" s="8"/>
      <c r="G3035" s="9">
        <f>H3035*(1-15%)*(1-F3035)</f>
        <v>161.41499999999999</v>
      </c>
      <c r="H3035" s="10">
        <v>189.90000000000001</v>
      </c>
      <c r="I3035" s="9">
        <f>H3035-G3035</f>
        <v>28.485000000000014</v>
      </c>
    </row>
    <row r="3036" ht="14.25">
      <c r="A3036" s="11">
        <v>86184</v>
      </c>
      <c r="B3036" s="6" t="s">
        <v>3099</v>
      </c>
      <c r="C3036" s="7" t="s">
        <v>38</v>
      </c>
      <c r="D3036" s="7" t="s">
        <v>61</v>
      </c>
      <c r="E3036" s="5" t="s">
        <v>43</v>
      </c>
      <c r="F3036" s="8"/>
      <c r="G3036" s="9">
        <f>H3036*(1-15%)*(1-F3036)</f>
        <v>161.41499999999999</v>
      </c>
      <c r="H3036" s="10">
        <v>189.90000000000001</v>
      </c>
      <c r="I3036" s="9">
        <f>H3036-G3036</f>
        <v>28.485000000000014</v>
      </c>
    </row>
    <row r="3037" ht="14.25">
      <c r="A3037" s="11">
        <v>86188</v>
      </c>
      <c r="B3037" s="6" t="s">
        <v>3100</v>
      </c>
      <c r="C3037" s="7" t="s">
        <v>36</v>
      </c>
      <c r="D3037" s="7" t="s">
        <v>61</v>
      </c>
      <c r="E3037" s="5" t="s">
        <v>43</v>
      </c>
      <c r="F3037" s="8"/>
      <c r="G3037" s="9">
        <f>H3037*(1-15%)*(1-F3037)</f>
        <v>148.66499999999999</v>
      </c>
      <c r="H3037" s="10">
        <v>174.90000000000001</v>
      </c>
      <c r="I3037" s="9">
        <f>H3037-G3037</f>
        <v>26.235000000000014</v>
      </c>
    </row>
    <row r="3038" ht="14.25">
      <c r="A3038" s="11">
        <v>86189</v>
      </c>
      <c r="B3038" s="6" t="s">
        <v>3101</v>
      </c>
      <c r="C3038" s="7" t="s">
        <v>399</v>
      </c>
      <c r="D3038" s="7" t="s">
        <v>61</v>
      </c>
      <c r="E3038" s="5" t="s">
        <v>43</v>
      </c>
      <c r="F3038" s="8"/>
      <c r="G3038" s="9">
        <f>H3038*(1-15%)*(1-F3038)</f>
        <v>144.41499999999999</v>
      </c>
      <c r="H3038" s="10">
        <v>169.90000000000001</v>
      </c>
      <c r="I3038" s="9">
        <f>H3038-G3038</f>
        <v>25.485000000000014</v>
      </c>
    </row>
    <row r="3039" ht="14.25">
      <c r="A3039" s="11">
        <v>86190</v>
      </c>
      <c r="B3039" s="6" t="s">
        <v>3102</v>
      </c>
      <c r="C3039" s="7" t="s">
        <v>75</v>
      </c>
      <c r="D3039" s="7" t="s">
        <v>61</v>
      </c>
      <c r="E3039" s="5" t="s">
        <v>43</v>
      </c>
      <c r="F3039" s="8"/>
      <c r="G3039" s="9">
        <f>H3039*(1-15%)*(1-F3039)</f>
        <v>135.91499999999999</v>
      </c>
      <c r="H3039" s="10">
        <v>159.90000000000001</v>
      </c>
      <c r="I3039" s="9">
        <f>H3039-G3039</f>
        <v>23.985000000000014</v>
      </c>
    </row>
    <row r="3040" ht="14.25">
      <c r="A3040" s="11">
        <v>86191</v>
      </c>
      <c r="B3040" s="6" t="s">
        <v>3103</v>
      </c>
      <c r="C3040" s="7" t="s">
        <v>14</v>
      </c>
      <c r="D3040" s="7" t="s">
        <v>61</v>
      </c>
      <c r="E3040" s="5" t="s">
        <v>43</v>
      </c>
      <c r="F3040" s="8"/>
      <c r="G3040" s="9">
        <f>H3040*(1-15%)*(1-F3040)</f>
        <v>135.91499999999999</v>
      </c>
      <c r="H3040" s="10">
        <v>159.90000000000001</v>
      </c>
      <c r="I3040" s="9">
        <f>H3040-G3040</f>
        <v>23.985000000000014</v>
      </c>
    </row>
    <row r="3041" ht="14.25">
      <c r="A3041" s="11">
        <v>86192</v>
      </c>
      <c r="B3041" s="6" t="s">
        <v>3104</v>
      </c>
      <c r="C3041" s="7" t="s">
        <v>14</v>
      </c>
      <c r="D3041" s="7" t="s">
        <v>61</v>
      </c>
      <c r="E3041" s="5" t="s">
        <v>43</v>
      </c>
      <c r="F3041" s="8"/>
      <c r="G3041" s="9">
        <f>H3041*(1-15%)*(1-F3041)</f>
        <v>169.91499999999999</v>
      </c>
      <c r="H3041" s="10">
        <v>199.90000000000001</v>
      </c>
      <c r="I3041" s="9">
        <f>H3041-G3041</f>
        <v>29.985000000000014</v>
      </c>
    </row>
    <row r="3042" ht="14.25">
      <c r="A3042" s="11">
        <v>86193</v>
      </c>
      <c r="B3042" s="6" t="s">
        <v>3105</v>
      </c>
      <c r="C3042" s="7" t="s">
        <v>1327</v>
      </c>
      <c r="D3042" s="7" t="s">
        <v>61</v>
      </c>
      <c r="E3042" s="5" t="s">
        <v>43</v>
      </c>
      <c r="F3042" s="8"/>
      <c r="G3042" s="9">
        <f>H3042*(1-15%)*(1-F3042)</f>
        <v>135.91499999999999</v>
      </c>
      <c r="H3042" s="10">
        <v>159.90000000000001</v>
      </c>
      <c r="I3042" s="9">
        <f>H3042-G3042</f>
        <v>23.985000000000014</v>
      </c>
    </row>
    <row r="3043" ht="14.25">
      <c r="A3043" s="11">
        <v>86194</v>
      </c>
      <c r="B3043" s="6" t="s">
        <v>3106</v>
      </c>
      <c r="C3043" s="7" t="s">
        <v>82</v>
      </c>
      <c r="D3043" s="7" t="s">
        <v>61</v>
      </c>
      <c r="E3043" s="5" t="s">
        <v>43</v>
      </c>
      <c r="F3043" s="8"/>
      <c r="G3043" s="9">
        <f>H3043*(1-15%)*(1-F3043)</f>
        <v>114.66500000000001</v>
      </c>
      <c r="H3043" s="10">
        <v>134.90000000000001</v>
      </c>
      <c r="I3043" s="9">
        <f>H3043-G3043</f>
        <v>20.234999999999999</v>
      </c>
    </row>
    <row r="3044" ht="14.25">
      <c r="A3044" s="11">
        <v>86195</v>
      </c>
      <c r="B3044" s="6" t="s">
        <v>3107</v>
      </c>
      <c r="C3044" s="7" t="s">
        <v>694</v>
      </c>
      <c r="D3044" s="7" t="s">
        <v>61</v>
      </c>
      <c r="E3044" s="5" t="s">
        <v>43</v>
      </c>
      <c r="F3044" s="8"/>
      <c r="G3044" s="9">
        <f>H3044*(1-15%)*(1-F3044)</f>
        <v>101.91500000000001</v>
      </c>
      <c r="H3044" s="10">
        <v>119.90000000000001</v>
      </c>
      <c r="I3044" s="9">
        <f>H3044-G3044</f>
        <v>17.984999999999999</v>
      </c>
    </row>
    <row r="3045" ht="14.25">
      <c r="A3045" s="11">
        <v>86196</v>
      </c>
      <c r="B3045" s="6" t="s">
        <v>3108</v>
      </c>
      <c r="C3045" s="7" t="s">
        <v>694</v>
      </c>
      <c r="D3045" s="7" t="s">
        <v>61</v>
      </c>
      <c r="E3045" s="5" t="s">
        <v>43</v>
      </c>
      <c r="F3045" s="8"/>
      <c r="G3045" s="9">
        <f>H3045*(1-15%)*(1-F3045)</f>
        <v>101.91500000000001</v>
      </c>
      <c r="H3045" s="10">
        <v>119.90000000000001</v>
      </c>
      <c r="I3045" s="9">
        <f>H3045-G3045</f>
        <v>17.984999999999999</v>
      </c>
    </row>
    <row r="3046" ht="14.25">
      <c r="A3046" s="11">
        <v>86197</v>
      </c>
      <c r="B3046" s="6" t="s">
        <v>3109</v>
      </c>
      <c r="C3046" s="7" t="s">
        <v>75</v>
      </c>
      <c r="D3046" s="7" t="s">
        <v>61</v>
      </c>
      <c r="E3046" s="5" t="s">
        <v>43</v>
      </c>
      <c r="F3046" s="8"/>
      <c r="G3046" s="9">
        <f>H3046*(1-15%)*(1-F3046)</f>
        <v>84.915000000000006</v>
      </c>
      <c r="H3046" s="10">
        <v>99.900000000000006</v>
      </c>
      <c r="I3046" s="9">
        <f>H3046-G3046</f>
        <v>14.984999999999999</v>
      </c>
    </row>
    <row r="3047" ht="14.25">
      <c r="A3047" s="11">
        <v>86200</v>
      </c>
      <c r="B3047" s="6" t="s">
        <v>3110</v>
      </c>
      <c r="C3047" s="7" t="s">
        <v>82</v>
      </c>
      <c r="D3047" s="7" t="s">
        <v>61</v>
      </c>
      <c r="E3047" s="5" t="s">
        <v>43</v>
      </c>
      <c r="F3047" s="8"/>
      <c r="G3047" s="9">
        <f>H3047*(1-15%)*(1-F3047)</f>
        <v>123.16500000000001</v>
      </c>
      <c r="H3047" s="10">
        <v>144.90000000000001</v>
      </c>
      <c r="I3047" s="9">
        <f>H3047-G3047</f>
        <v>21.734999999999999</v>
      </c>
    </row>
    <row r="3048" ht="14.25">
      <c r="A3048" s="11">
        <v>86201</v>
      </c>
      <c r="B3048" s="6" t="s">
        <v>3111</v>
      </c>
      <c r="C3048" s="7" t="s">
        <v>10</v>
      </c>
      <c r="D3048" s="7" t="s">
        <v>61</v>
      </c>
      <c r="E3048" s="5" t="s">
        <v>43</v>
      </c>
      <c r="F3048" s="8"/>
      <c r="G3048" s="9">
        <f>H3048*(1-15%)*(1-F3048)</f>
        <v>50.914999999999999</v>
      </c>
      <c r="H3048" s="10">
        <v>59.899999999999999</v>
      </c>
      <c r="I3048" s="9">
        <f>H3048-G3048</f>
        <v>8.9849999999999994</v>
      </c>
    </row>
    <row r="3049" ht="14.25">
      <c r="A3049" s="11">
        <v>86203</v>
      </c>
      <c r="B3049" s="6" t="s">
        <v>3112</v>
      </c>
      <c r="C3049" s="7" t="s">
        <v>17</v>
      </c>
      <c r="D3049" s="7" t="s">
        <v>61</v>
      </c>
      <c r="E3049" s="5" t="s">
        <v>43</v>
      </c>
      <c r="F3049" s="8"/>
      <c r="G3049" s="9">
        <f>H3049*(1-15%)*(1-F3049)</f>
        <v>50.914999999999999</v>
      </c>
      <c r="H3049" s="10">
        <v>59.899999999999999</v>
      </c>
      <c r="I3049" s="9">
        <f>H3049-G3049</f>
        <v>8.9849999999999994</v>
      </c>
    </row>
    <row r="3050" ht="14.25">
      <c r="A3050" s="11">
        <v>86204</v>
      </c>
      <c r="B3050" s="6" t="s">
        <v>3113</v>
      </c>
      <c r="C3050" s="7" t="s">
        <v>82</v>
      </c>
      <c r="D3050" s="7" t="s">
        <v>61</v>
      </c>
      <c r="E3050" s="5" t="s">
        <v>43</v>
      </c>
      <c r="F3050" s="8"/>
      <c r="G3050" s="9">
        <f>H3050*(1-15%)*(1-F3050)</f>
        <v>46.664999999999999</v>
      </c>
      <c r="H3050" s="10">
        <v>54.899999999999999</v>
      </c>
      <c r="I3050" s="9">
        <f>H3050-G3050</f>
        <v>8.2349999999999994</v>
      </c>
    </row>
    <row r="3051" ht="14.25">
      <c r="A3051" s="11">
        <v>86212</v>
      </c>
      <c r="B3051" s="6" t="s">
        <v>3114</v>
      </c>
      <c r="C3051" s="7" t="s">
        <v>201</v>
      </c>
      <c r="D3051" s="7" t="s">
        <v>183</v>
      </c>
      <c r="E3051" s="5" t="s">
        <v>15</v>
      </c>
      <c r="F3051" s="8"/>
      <c r="G3051" s="9">
        <f>H3051*(1-15%)*(1-F3051)</f>
        <v>55.165000000000006</v>
      </c>
      <c r="H3051" s="10">
        <v>64.900000000000006</v>
      </c>
      <c r="I3051" s="9">
        <f>H3051-G3051</f>
        <v>9.7349999999999994</v>
      </c>
    </row>
    <row r="3052" ht="14.25">
      <c r="A3052" s="11">
        <v>86214</v>
      </c>
      <c r="B3052" s="6" t="s">
        <v>3115</v>
      </c>
      <c r="C3052" s="7" t="s">
        <v>201</v>
      </c>
      <c r="D3052" s="7" t="s">
        <v>183</v>
      </c>
      <c r="E3052" s="5" t="s">
        <v>15</v>
      </c>
      <c r="F3052" s="8"/>
      <c r="G3052" s="9">
        <f>H3052*(1-15%)*(1-F3052)</f>
        <v>50.914999999999999</v>
      </c>
      <c r="H3052" s="10">
        <v>59.899999999999999</v>
      </c>
      <c r="I3052" s="9">
        <f>H3052-G3052</f>
        <v>8.9849999999999994</v>
      </c>
    </row>
    <row r="3053" ht="14.25">
      <c r="A3053" s="11">
        <v>86218</v>
      </c>
      <c r="B3053" s="6" t="s">
        <v>3116</v>
      </c>
      <c r="C3053" s="7" t="s">
        <v>201</v>
      </c>
      <c r="D3053" s="7" t="s">
        <v>183</v>
      </c>
      <c r="E3053" s="5" t="s">
        <v>15</v>
      </c>
      <c r="F3053" s="8"/>
      <c r="G3053" s="9">
        <f>H3053*(1-15%)*(1-F3053)</f>
        <v>55.165000000000006</v>
      </c>
      <c r="H3053" s="10">
        <v>64.900000000000006</v>
      </c>
      <c r="I3053" s="9">
        <f>H3053-G3053</f>
        <v>9.7349999999999994</v>
      </c>
    </row>
    <row r="3054" ht="14.25">
      <c r="A3054" s="11">
        <v>86220</v>
      </c>
      <c r="B3054" s="6" t="s">
        <v>3117</v>
      </c>
      <c r="C3054" s="7" t="s">
        <v>201</v>
      </c>
      <c r="D3054" s="7" t="s">
        <v>183</v>
      </c>
      <c r="E3054" s="5" t="s">
        <v>15</v>
      </c>
      <c r="F3054" s="8"/>
      <c r="G3054" s="9">
        <f>H3054*(1-15%)*(1-F3054)</f>
        <v>50.914999999999999</v>
      </c>
      <c r="H3054" s="10">
        <v>59.899999999999999</v>
      </c>
      <c r="I3054" s="9">
        <f>H3054-G3054</f>
        <v>8.9849999999999994</v>
      </c>
    </row>
    <row r="3055" ht="14.25">
      <c r="A3055" s="11">
        <v>86297</v>
      </c>
      <c r="B3055" s="6" t="s">
        <v>3118</v>
      </c>
      <c r="C3055" s="7" t="s">
        <v>79</v>
      </c>
      <c r="D3055" s="7" t="s">
        <v>61</v>
      </c>
      <c r="E3055" s="5" t="s">
        <v>43</v>
      </c>
      <c r="F3055" s="8"/>
      <c r="G3055" s="9">
        <f>H3055*(1-15%)*(1-F3055)</f>
        <v>144.41499999999999</v>
      </c>
      <c r="H3055" s="10">
        <v>169.90000000000001</v>
      </c>
      <c r="I3055" s="9">
        <f>H3055-G3055</f>
        <v>25.485000000000014</v>
      </c>
    </row>
    <row r="3056" ht="14.25">
      <c r="A3056" s="11">
        <v>86760</v>
      </c>
      <c r="B3056" s="6" t="s">
        <v>3119</v>
      </c>
      <c r="C3056" s="7" t="s">
        <v>70</v>
      </c>
      <c r="D3056" s="7" t="s">
        <v>103</v>
      </c>
      <c r="E3056" s="5" t="s">
        <v>15</v>
      </c>
      <c r="F3056" s="8"/>
      <c r="G3056" s="9">
        <f>H3056*(1-15%)*(1-F3056)</f>
        <v>33.914999999999999</v>
      </c>
      <c r="H3056" s="10">
        <v>39.899999999999999</v>
      </c>
      <c r="I3056" s="9">
        <f>H3056-G3056</f>
        <v>5.9849999999999994</v>
      </c>
    </row>
    <row r="3057" ht="14.25">
      <c r="A3057" s="11">
        <v>86762</v>
      </c>
      <c r="B3057" s="6" t="s">
        <v>3120</v>
      </c>
      <c r="C3057" s="7" t="s">
        <v>17</v>
      </c>
      <c r="D3057" s="7" t="s">
        <v>45</v>
      </c>
      <c r="E3057" s="5" t="s">
        <v>15</v>
      </c>
      <c r="F3057" s="8"/>
      <c r="G3057" s="9">
        <f>H3057*(1-15%)*(1-F3057)</f>
        <v>39.015000000000001</v>
      </c>
      <c r="H3057" s="10">
        <v>45.899999999999999</v>
      </c>
      <c r="I3057" s="9">
        <f>H3057-G3057</f>
        <v>6.884999999999998</v>
      </c>
    </row>
    <row r="3058" ht="14.25">
      <c r="A3058" s="11">
        <v>86764</v>
      </c>
      <c r="B3058" s="6" t="s">
        <v>3121</v>
      </c>
      <c r="C3058" s="7" t="s">
        <v>14</v>
      </c>
      <c r="D3058" s="7" t="s">
        <v>45</v>
      </c>
      <c r="E3058" s="5" t="s">
        <v>15</v>
      </c>
      <c r="F3058" s="8"/>
      <c r="G3058" s="9">
        <f>H3058*(1-15%)*(1-F3058)</f>
        <v>36.464999999999996</v>
      </c>
      <c r="H3058" s="10">
        <v>42.899999999999999</v>
      </c>
      <c r="I3058" s="9">
        <f>H3058-G3058</f>
        <v>6.4350000000000023</v>
      </c>
    </row>
    <row r="3059" ht="14.25">
      <c r="A3059" s="11">
        <v>86766</v>
      </c>
      <c r="B3059" s="6" t="s">
        <v>3122</v>
      </c>
      <c r="C3059" s="7" t="s">
        <v>82</v>
      </c>
      <c r="D3059" s="7" t="s">
        <v>103</v>
      </c>
      <c r="E3059" s="5" t="s">
        <v>15</v>
      </c>
      <c r="F3059" s="8"/>
      <c r="G3059" s="9">
        <f>H3059*(1-15%)*(1-F3059)</f>
        <v>23.715</v>
      </c>
      <c r="H3059" s="10">
        <v>27.899999999999999</v>
      </c>
      <c r="I3059" s="9">
        <f>H3059-G3059</f>
        <v>4.1849999999999987</v>
      </c>
    </row>
    <row r="3060" ht="14.25">
      <c r="A3060" s="11">
        <v>86767</v>
      </c>
      <c r="B3060" s="6" t="s">
        <v>3123</v>
      </c>
      <c r="C3060" s="7" t="s">
        <v>82</v>
      </c>
      <c r="D3060" s="7" t="s">
        <v>45</v>
      </c>
      <c r="E3060" s="5" t="s">
        <v>15</v>
      </c>
      <c r="F3060" s="8"/>
      <c r="G3060" s="9">
        <f>H3060*(1-15%)*(1-F3060)</f>
        <v>31.364999999999998</v>
      </c>
      <c r="H3060" s="10">
        <v>36.899999999999999</v>
      </c>
      <c r="I3060" s="9">
        <f>H3060-G3060</f>
        <v>5.5350000000000001</v>
      </c>
    </row>
    <row r="3061" ht="14.25">
      <c r="A3061" s="11">
        <v>86768</v>
      </c>
      <c r="B3061" s="6" t="s">
        <v>3124</v>
      </c>
      <c r="C3061" s="7" t="s">
        <v>17</v>
      </c>
      <c r="D3061" s="7" t="s">
        <v>103</v>
      </c>
      <c r="E3061" s="5" t="s">
        <v>15</v>
      </c>
      <c r="F3061" s="8"/>
      <c r="G3061" s="9">
        <f>H3061*(1-15%)*(1-F3061)</f>
        <v>38.164999999999999</v>
      </c>
      <c r="H3061" s="10">
        <v>44.899999999999999</v>
      </c>
      <c r="I3061" s="9">
        <f>H3061-G3061</f>
        <v>6.7349999999999994</v>
      </c>
    </row>
    <row r="3062" ht="14.25">
      <c r="A3062" s="11">
        <v>86948</v>
      </c>
      <c r="B3062" s="6" t="s">
        <v>3125</v>
      </c>
      <c r="C3062" s="7" t="s">
        <v>2990</v>
      </c>
      <c r="D3062" s="7" t="s">
        <v>52</v>
      </c>
      <c r="E3062" s="5" t="s">
        <v>15</v>
      </c>
      <c r="F3062" s="8"/>
      <c r="G3062" s="9">
        <f>H3062*(1-15%)*(1-F3062)</f>
        <v>55.165000000000006</v>
      </c>
      <c r="H3062" s="10">
        <v>64.900000000000006</v>
      </c>
      <c r="I3062" s="9">
        <f>H3062-G3062</f>
        <v>9.7349999999999994</v>
      </c>
    </row>
    <row r="3063" ht="14.25">
      <c r="A3063" s="11">
        <v>86949</v>
      </c>
      <c r="B3063" s="6" t="s">
        <v>3126</v>
      </c>
      <c r="C3063" s="7" t="s">
        <v>2990</v>
      </c>
      <c r="D3063" s="7" t="s">
        <v>52</v>
      </c>
      <c r="E3063" s="5" t="s">
        <v>15</v>
      </c>
      <c r="F3063" s="8"/>
      <c r="G3063" s="9">
        <f>H3063*(1-15%)*(1-F3063)</f>
        <v>93.415000000000006</v>
      </c>
      <c r="H3063" s="10">
        <v>109.90000000000001</v>
      </c>
      <c r="I3063" s="9">
        <f>H3063-G3063</f>
        <v>16.484999999999999</v>
      </c>
    </row>
    <row r="3064" ht="14.25">
      <c r="A3064" s="11">
        <v>86950</v>
      </c>
      <c r="B3064" s="6" t="s">
        <v>3127</v>
      </c>
      <c r="C3064" s="7" t="s">
        <v>2990</v>
      </c>
      <c r="D3064" s="7" t="s">
        <v>52</v>
      </c>
      <c r="E3064" s="5" t="s">
        <v>15</v>
      </c>
      <c r="F3064" s="8"/>
      <c r="G3064" s="9">
        <f>H3064*(1-15%)*(1-F3064)</f>
        <v>44.964999999999996</v>
      </c>
      <c r="H3064" s="10">
        <v>52.899999999999999</v>
      </c>
      <c r="I3064" s="9">
        <f>H3064-G3064</f>
        <v>7.9350000000000023</v>
      </c>
    </row>
    <row r="3065" ht="14.25">
      <c r="A3065" s="11">
        <v>86951</v>
      </c>
      <c r="B3065" s="6" t="s">
        <v>3128</v>
      </c>
      <c r="C3065" s="7" t="s">
        <v>79</v>
      </c>
      <c r="D3065" s="7" t="s">
        <v>52</v>
      </c>
      <c r="E3065" s="5" t="s">
        <v>15</v>
      </c>
      <c r="F3065" s="8"/>
      <c r="G3065" s="9">
        <f>H3065*(1-15%)*(1-F3065)</f>
        <v>93.415000000000006</v>
      </c>
      <c r="H3065" s="10">
        <v>109.90000000000001</v>
      </c>
      <c r="I3065" s="9">
        <f>H3065-G3065</f>
        <v>16.484999999999999</v>
      </c>
    </row>
    <row r="3066" ht="14.25">
      <c r="A3066" s="11">
        <v>86952</v>
      </c>
      <c r="B3066" s="6" t="s">
        <v>3129</v>
      </c>
      <c r="C3066" s="7" t="s">
        <v>79</v>
      </c>
      <c r="D3066" s="7" t="s">
        <v>52</v>
      </c>
      <c r="E3066" s="5" t="s">
        <v>15</v>
      </c>
      <c r="F3066" s="8"/>
      <c r="G3066" s="9">
        <f>H3066*(1-15%)*(1-F3066)</f>
        <v>55.165000000000006</v>
      </c>
      <c r="H3066" s="10">
        <v>64.900000000000006</v>
      </c>
      <c r="I3066" s="9">
        <f>H3066-G3066</f>
        <v>9.7349999999999994</v>
      </c>
    </row>
    <row r="3067" ht="14.25">
      <c r="A3067" s="11">
        <v>86954</v>
      </c>
      <c r="B3067" s="6" t="s">
        <v>3130</v>
      </c>
      <c r="C3067" s="7" t="s">
        <v>79</v>
      </c>
      <c r="D3067" s="7" t="s">
        <v>52</v>
      </c>
      <c r="E3067" s="5" t="s">
        <v>15</v>
      </c>
      <c r="F3067" s="8"/>
      <c r="G3067" s="9">
        <f>H3067*(1-15%)*(1-F3067)</f>
        <v>84.915000000000006</v>
      </c>
      <c r="H3067" s="10">
        <v>99.900000000000006</v>
      </c>
      <c r="I3067" s="9">
        <f>H3067-G3067</f>
        <v>14.984999999999999</v>
      </c>
    </row>
    <row r="3068" ht="14.25">
      <c r="A3068" s="11">
        <v>87352</v>
      </c>
      <c r="B3068" s="6" t="s">
        <v>3131</v>
      </c>
      <c r="C3068" s="7" t="s">
        <v>109</v>
      </c>
      <c r="D3068" s="7" t="s">
        <v>183</v>
      </c>
      <c r="E3068" s="5" t="s">
        <v>39</v>
      </c>
      <c r="F3068" s="8"/>
      <c r="G3068" s="9">
        <f>H3068*(1-15%)*(1-F3068)</f>
        <v>67.915000000000006</v>
      </c>
      <c r="H3068" s="10">
        <v>79.900000000000006</v>
      </c>
      <c r="I3068" s="9">
        <f>H3068-G3068</f>
        <v>11.984999999999999</v>
      </c>
    </row>
    <row r="3069" ht="14.25">
      <c r="A3069" s="11">
        <v>87353</v>
      </c>
      <c r="B3069" s="6" t="s">
        <v>3132</v>
      </c>
      <c r="C3069" s="7" t="s">
        <v>226</v>
      </c>
      <c r="D3069" s="7" t="s">
        <v>183</v>
      </c>
      <c r="E3069" s="5" t="s">
        <v>26</v>
      </c>
      <c r="F3069" s="8"/>
      <c r="G3069" s="9">
        <f>H3069*(1-15%)*(1-F3069)</f>
        <v>59.415000000000006</v>
      </c>
      <c r="H3069" s="10">
        <v>69.900000000000006</v>
      </c>
      <c r="I3069" s="9">
        <f>H3069-G3069</f>
        <v>10.484999999999999</v>
      </c>
    </row>
    <row r="3070" ht="14.25">
      <c r="A3070" s="11">
        <v>87363</v>
      </c>
      <c r="B3070" s="6" t="s">
        <v>3133</v>
      </c>
      <c r="C3070" s="7" t="s">
        <v>2116</v>
      </c>
      <c r="D3070" s="7" t="s">
        <v>183</v>
      </c>
      <c r="E3070" s="5" t="s">
        <v>26</v>
      </c>
      <c r="F3070" s="8"/>
      <c r="G3070" s="9">
        <f>H3070*(1-15%)*(1-F3070)</f>
        <v>76.415000000000006</v>
      </c>
      <c r="H3070" s="10">
        <v>89.900000000000006</v>
      </c>
      <c r="I3070" s="9">
        <f>H3070-G3070</f>
        <v>13.484999999999999</v>
      </c>
    </row>
    <row r="3071" ht="14.25">
      <c r="A3071" s="11">
        <v>87512</v>
      </c>
      <c r="B3071" s="6" t="s">
        <v>3134</v>
      </c>
      <c r="C3071" s="7" t="s">
        <v>397</v>
      </c>
      <c r="D3071" s="7" t="s">
        <v>45</v>
      </c>
      <c r="E3071" s="5" t="s">
        <v>15</v>
      </c>
      <c r="F3071" s="8"/>
      <c r="G3071" s="9">
        <f>H3071*(1-15%)*(1-F3071)</f>
        <v>30.514999999999997</v>
      </c>
      <c r="H3071" s="10">
        <v>35.899999999999999</v>
      </c>
      <c r="I3071" s="9">
        <f>H3071-G3071</f>
        <v>5.3850000000000016</v>
      </c>
    </row>
    <row r="3072" ht="14.25">
      <c r="A3072" s="11">
        <v>87514</v>
      </c>
      <c r="B3072" s="6" t="s">
        <v>3135</v>
      </c>
      <c r="C3072" s="7" t="s">
        <v>75</v>
      </c>
      <c r="D3072" s="7" t="s">
        <v>45</v>
      </c>
      <c r="E3072" s="5" t="s">
        <v>15</v>
      </c>
      <c r="F3072" s="8"/>
      <c r="G3072" s="9">
        <f>H3072*(1-15%)*(1-F3072)</f>
        <v>27.964999999999996</v>
      </c>
      <c r="H3072" s="10">
        <v>32.899999999999999</v>
      </c>
      <c r="I3072" s="9">
        <f>H3072-G3072</f>
        <v>4.9350000000000023</v>
      </c>
    </row>
    <row r="3073" ht="14.25">
      <c r="A3073" s="11">
        <v>87515</v>
      </c>
      <c r="B3073" s="6" t="s">
        <v>3136</v>
      </c>
      <c r="C3073" s="7" t="s">
        <v>1327</v>
      </c>
      <c r="D3073" s="7" t="s">
        <v>45</v>
      </c>
      <c r="E3073" s="5" t="s">
        <v>15</v>
      </c>
      <c r="F3073" s="8"/>
      <c r="G3073" s="9">
        <f>H3073*(1-15%)*(1-F3073)</f>
        <v>42.414999999999999</v>
      </c>
      <c r="H3073" s="10">
        <v>49.899999999999999</v>
      </c>
      <c r="I3073" s="9">
        <f>H3073-G3073</f>
        <v>7.4849999999999994</v>
      </c>
    </row>
    <row r="3074" ht="14.25">
      <c r="A3074" s="11">
        <v>87516</v>
      </c>
      <c r="B3074" s="6" t="s">
        <v>3137</v>
      </c>
      <c r="C3074" s="7" t="s">
        <v>17</v>
      </c>
      <c r="D3074" s="7" t="s">
        <v>103</v>
      </c>
      <c r="E3074" s="5" t="s">
        <v>15</v>
      </c>
      <c r="F3074" s="8"/>
      <c r="G3074" s="9">
        <f>H3074*(1-15%)*(1-F3074)</f>
        <v>31.364999999999998</v>
      </c>
      <c r="H3074" s="10">
        <v>36.899999999999999</v>
      </c>
      <c r="I3074" s="9">
        <f>H3074-G3074</f>
        <v>5.5350000000000001</v>
      </c>
    </row>
    <row r="3075" ht="14.25">
      <c r="A3075" s="11">
        <v>88010</v>
      </c>
      <c r="B3075" s="6" t="s">
        <v>3138</v>
      </c>
      <c r="C3075" s="7" t="s">
        <v>109</v>
      </c>
      <c r="D3075" s="7" t="s">
        <v>110</v>
      </c>
      <c r="E3075" s="5" t="s">
        <v>26</v>
      </c>
      <c r="F3075" s="8"/>
      <c r="G3075" s="9">
        <f>H3075*(1-15%)*(1-F3075)</f>
        <v>57.715000000000003</v>
      </c>
      <c r="H3075" s="9">
        <v>67.900000000000006</v>
      </c>
      <c r="I3075" s="9">
        <f>H3075-G3075</f>
        <v>10.185000000000002</v>
      </c>
    </row>
    <row r="3076" ht="14.25">
      <c r="A3076" s="11">
        <v>88011</v>
      </c>
      <c r="B3076" s="6" t="s">
        <v>3139</v>
      </c>
      <c r="C3076" s="7" t="s">
        <v>109</v>
      </c>
      <c r="D3076" s="7" t="s">
        <v>110</v>
      </c>
      <c r="E3076" s="5" t="s">
        <v>26</v>
      </c>
      <c r="F3076" s="8"/>
      <c r="G3076" s="9">
        <f>H3076*(1-15%)*(1-F3076)</f>
        <v>57.715000000000003</v>
      </c>
      <c r="H3076" s="9">
        <v>67.900000000000006</v>
      </c>
      <c r="I3076" s="9">
        <f>H3076-G3076</f>
        <v>10.185000000000002</v>
      </c>
    </row>
    <row r="3077" ht="14.25">
      <c r="A3077" s="11">
        <v>88015</v>
      </c>
      <c r="B3077" s="6" t="s">
        <v>3140</v>
      </c>
      <c r="C3077" s="7" t="s">
        <v>109</v>
      </c>
      <c r="D3077" s="7" t="s">
        <v>110</v>
      </c>
      <c r="E3077" s="5" t="s">
        <v>26</v>
      </c>
      <c r="F3077" s="8"/>
      <c r="G3077" s="9">
        <f>H3077*(1-15%)*(1-F3077)</f>
        <v>57.715000000000003</v>
      </c>
      <c r="H3077" s="9">
        <v>67.900000000000006</v>
      </c>
      <c r="I3077" s="9">
        <f>H3077-G3077</f>
        <v>10.185000000000002</v>
      </c>
    </row>
    <row r="3078" ht="14.25">
      <c r="A3078" s="11">
        <v>88018</v>
      </c>
      <c r="B3078" s="6" t="s">
        <v>3141</v>
      </c>
      <c r="C3078" s="7" t="s">
        <v>109</v>
      </c>
      <c r="D3078" s="7" t="s">
        <v>110</v>
      </c>
      <c r="E3078" s="5" t="s">
        <v>26</v>
      </c>
      <c r="F3078" s="8"/>
      <c r="G3078" s="9">
        <f>H3078*(1-15%)*(1-F3078)</f>
        <v>57.715000000000003</v>
      </c>
      <c r="H3078" s="9">
        <v>67.900000000000006</v>
      </c>
      <c r="I3078" s="9">
        <f>H3078-G3078</f>
        <v>10.185000000000002</v>
      </c>
    </row>
    <row r="3079" ht="14.25">
      <c r="A3079" s="11">
        <v>88057</v>
      </c>
      <c r="B3079" s="6" t="s">
        <v>3142</v>
      </c>
      <c r="C3079" s="7" t="s">
        <v>82</v>
      </c>
      <c r="D3079" s="7" t="s">
        <v>183</v>
      </c>
      <c r="E3079" s="5" t="s">
        <v>15</v>
      </c>
      <c r="F3079" s="8"/>
      <c r="G3079" s="9">
        <f>H3079*(1-15%)*(1-F3079)</f>
        <v>25.414999999999999</v>
      </c>
      <c r="H3079" s="9">
        <v>29.899999999999999</v>
      </c>
      <c r="I3079" s="9">
        <f>H3079-G3079</f>
        <v>4.4849999999999994</v>
      </c>
    </row>
    <row r="3080" ht="14.25">
      <c r="A3080" s="11">
        <v>88412</v>
      </c>
      <c r="B3080" s="6" t="s">
        <v>3143</v>
      </c>
      <c r="C3080" s="7" t="s">
        <v>82</v>
      </c>
      <c r="D3080" s="7" t="s">
        <v>61</v>
      </c>
      <c r="E3080" s="5" t="s">
        <v>43</v>
      </c>
      <c r="F3080" s="8"/>
      <c r="G3080" s="9">
        <f>H3080*(1-15%)*(1-F3080)</f>
        <v>101.91500000000001</v>
      </c>
      <c r="H3080" s="10">
        <v>119.90000000000001</v>
      </c>
      <c r="I3080" s="9">
        <f>H3080-G3080</f>
        <v>17.984999999999999</v>
      </c>
    </row>
    <row r="3081" ht="14.25">
      <c r="A3081" s="11">
        <v>88421</v>
      </c>
      <c r="B3081" s="6" t="s">
        <v>3144</v>
      </c>
      <c r="C3081" s="7" t="s">
        <v>82</v>
      </c>
      <c r="D3081" s="7" t="s">
        <v>11</v>
      </c>
      <c r="E3081" s="5" t="s">
        <v>15</v>
      </c>
      <c r="F3081" s="8"/>
      <c r="G3081" s="9">
        <f>H3081*(1-15%)*(1-F3081)</f>
        <v>42.414999999999999</v>
      </c>
      <c r="H3081" s="10">
        <v>49.899999999999999</v>
      </c>
      <c r="I3081" s="9">
        <f>H3081-G3081</f>
        <v>7.4849999999999994</v>
      </c>
    </row>
    <row r="3082" ht="14.25">
      <c r="A3082" s="11">
        <v>88441</v>
      </c>
      <c r="B3082" s="6" t="s">
        <v>3145</v>
      </c>
      <c r="C3082" s="7" t="s">
        <v>82</v>
      </c>
      <c r="D3082" s="7" t="s">
        <v>11</v>
      </c>
      <c r="E3082" s="5" t="s">
        <v>15</v>
      </c>
      <c r="F3082" s="8"/>
      <c r="G3082" s="9">
        <f>H3082*(1-15%)*(1-F3082)</f>
        <v>42.414999999999999</v>
      </c>
      <c r="H3082" s="10">
        <v>49.899999999999999</v>
      </c>
      <c r="I3082" s="9">
        <f>H3082-G3082</f>
        <v>7.4849999999999994</v>
      </c>
    </row>
    <row r="3083" ht="14.25">
      <c r="A3083" s="11">
        <v>88447</v>
      </c>
      <c r="B3083" s="6" t="s">
        <v>3146</v>
      </c>
      <c r="C3083" s="7" t="s">
        <v>82</v>
      </c>
      <c r="D3083" s="7" t="s">
        <v>11</v>
      </c>
      <c r="E3083" s="5" t="s">
        <v>15</v>
      </c>
      <c r="F3083" s="8"/>
      <c r="G3083" s="9">
        <f>H3083*(1-15%)*(1-F3083)</f>
        <v>42.414999999999999</v>
      </c>
      <c r="H3083" s="10">
        <v>49.899999999999999</v>
      </c>
      <c r="I3083" s="9">
        <f>H3083-G3083</f>
        <v>7.4849999999999994</v>
      </c>
    </row>
    <row r="3084" ht="14.25">
      <c r="A3084" s="11">
        <v>88451</v>
      </c>
      <c r="B3084" s="6" t="s">
        <v>3147</v>
      </c>
      <c r="C3084" s="7" t="s">
        <v>82</v>
      </c>
      <c r="D3084" s="7" t="s">
        <v>11</v>
      </c>
      <c r="E3084" s="5" t="s">
        <v>15</v>
      </c>
      <c r="F3084" s="8"/>
      <c r="G3084" s="9">
        <f>H3084*(1-15%)*(1-F3084)</f>
        <v>42.414999999999999</v>
      </c>
      <c r="H3084" s="10">
        <v>49.899999999999999</v>
      </c>
      <c r="I3084" s="9">
        <f>H3084-G3084</f>
        <v>7.4849999999999994</v>
      </c>
    </row>
    <row r="3085" ht="14.25">
      <c r="A3085" s="11">
        <v>88473</v>
      </c>
      <c r="B3085" s="6" t="s">
        <v>3148</v>
      </c>
      <c r="C3085" s="7" t="s">
        <v>109</v>
      </c>
      <c r="D3085" s="7" t="s">
        <v>110</v>
      </c>
      <c r="E3085" s="5" t="s">
        <v>26</v>
      </c>
      <c r="F3085" s="8"/>
      <c r="G3085" s="9">
        <f>H3085*(1-15%)*(1-F3085)</f>
        <v>53.464999999999996</v>
      </c>
      <c r="H3085" s="10">
        <v>62.899999999999999</v>
      </c>
      <c r="I3085" s="9">
        <f>H3085-G3085</f>
        <v>9.4350000000000023</v>
      </c>
    </row>
    <row r="3086" ht="14.25">
      <c r="A3086" s="11">
        <v>88515</v>
      </c>
      <c r="B3086" s="6" t="s">
        <v>3149</v>
      </c>
      <c r="C3086" s="7" t="s">
        <v>109</v>
      </c>
      <c r="D3086" s="7" t="s">
        <v>110</v>
      </c>
      <c r="E3086" s="5" t="s">
        <v>43</v>
      </c>
      <c r="F3086" s="8"/>
      <c r="G3086" s="9">
        <f>H3086*(1-15%)*(1-F3086)</f>
        <v>55.165000000000006</v>
      </c>
      <c r="H3086" s="9">
        <v>64.900000000000006</v>
      </c>
      <c r="I3086" s="9">
        <f>H3086-G3086</f>
        <v>9.7349999999999994</v>
      </c>
    </row>
    <row r="3087" ht="14.25">
      <c r="A3087" s="11">
        <v>88516</v>
      </c>
      <c r="B3087" s="6" t="s">
        <v>3150</v>
      </c>
      <c r="C3087" s="7" t="s">
        <v>109</v>
      </c>
      <c r="D3087" s="7" t="s">
        <v>110</v>
      </c>
      <c r="E3087" s="5" t="s">
        <v>43</v>
      </c>
      <c r="F3087" s="8"/>
      <c r="G3087" s="9">
        <f>H3087*(1-15%)*(1-F3087)</f>
        <v>55.165000000000006</v>
      </c>
      <c r="H3087" s="9">
        <v>64.900000000000006</v>
      </c>
      <c r="I3087" s="9">
        <f>H3087-G3087</f>
        <v>9.7349999999999994</v>
      </c>
    </row>
    <row r="3088" ht="14.25">
      <c r="A3088" s="11">
        <v>88517</v>
      </c>
      <c r="B3088" s="6" t="s">
        <v>3151</v>
      </c>
      <c r="C3088" s="7" t="s">
        <v>109</v>
      </c>
      <c r="D3088" s="7" t="s">
        <v>110</v>
      </c>
      <c r="E3088" s="5" t="s">
        <v>43</v>
      </c>
      <c r="F3088" s="8"/>
      <c r="G3088" s="9">
        <f>H3088*(1-15%)*(1-F3088)</f>
        <v>55.165000000000006</v>
      </c>
      <c r="H3088" s="9">
        <v>64.900000000000006</v>
      </c>
      <c r="I3088" s="9">
        <f>H3088-G3088</f>
        <v>9.7349999999999994</v>
      </c>
    </row>
    <row r="3089" ht="14.25">
      <c r="A3089" s="11">
        <v>88518</v>
      </c>
      <c r="B3089" s="6" t="s">
        <v>3152</v>
      </c>
      <c r="C3089" s="7" t="s">
        <v>109</v>
      </c>
      <c r="D3089" s="7" t="s">
        <v>110</v>
      </c>
      <c r="E3089" s="5" t="s">
        <v>43</v>
      </c>
      <c r="F3089" s="8"/>
      <c r="G3089" s="9">
        <f>H3089*(1-15%)*(1-F3089)</f>
        <v>55.165000000000006</v>
      </c>
      <c r="H3089" s="9">
        <v>64.900000000000006</v>
      </c>
      <c r="I3089" s="9">
        <f>H3089-G3089</f>
        <v>9.7349999999999994</v>
      </c>
    </row>
    <row r="3090" ht="14.25">
      <c r="A3090" s="11">
        <v>88519</v>
      </c>
      <c r="B3090" s="6" t="s">
        <v>3153</v>
      </c>
      <c r="C3090" s="7" t="s">
        <v>109</v>
      </c>
      <c r="D3090" s="7" t="s">
        <v>110</v>
      </c>
      <c r="E3090" s="5" t="s">
        <v>43</v>
      </c>
      <c r="F3090" s="8"/>
      <c r="G3090" s="9">
        <f>H3090*(1-15%)*(1-F3090)</f>
        <v>55.165000000000006</v>
      </c>
      <c r="H3090" s="9">
        <v>64.900000000000006</v>
      </c>
      <c r="I3090" s="9">
        <f>H3090-G3090</f>
        <v>9.7349999999999994</v>
      </c>
    </row>
    <row r="3091" ht="14.25">
      <c r="A3091" s="11">
        <v>88520</v>
      </c>
      <c r="B3091" s="6" t="s">
        <v>3154</v>
      </c>
      <c r="C3091" s="7" t="s">
        <v>109</v>
      </c>
      <c r="D3091" s="7" t="s">
        <v>110</v>
      </c>
      <c r="E3091" s="5" t="s">
        <v>43</v>
      </c>
      <c r="F3091" s="8"/>
      <c r="G3091" s="9">
        <f>H3091*(1-15%)*(1-F3091)</f>
        <v>55.165000000000006</v>
      </c>
      <c r="H3091" s="9">
        <v>64.900000000000006</v>
      </c>
      <c r="I3091" s="9">
        <f>H3091-G3091</f>
        <v>9.7349999999999994</v>
      </c>
    </row>
    <row r="3092" ht="14.25">
      <c r="A3092" s="11">
        <v>88521</v>
      </c>
      <c r="B3092" s="6" t="s">
        <v>3155</v>
      </c>
      <c r="C3092" s="7" t="s">
        <v>109</v>
      </c>
      <c r="D3092" s="7" t="s">
        <v>110</v>
      </c>
      <c r="E3092" s="5" t="s">
        <v>43</v>
      </c>
      <c r="F3092" s="8"/>
      <c r="G3092" s="9">
        <f>H3092*(1-15%)*(1-F3092)</f>
        <v>55.165000000000006</v>
      </c>
      <c r="H3092" s="9">
        <v>64.900000000000006</v>
      </c>
      <c r="I3092" s="9">
        <f>H3092-G3092</f>
        <v>9.7349999999999994</v>
      </c>
    </row>
    <row r="3093" ht="14.25">
      <c r="A3093" s="11">
        <v>88522</v>
      </c>
      <c r="B3093" s="6" t="s">
        <v>3156</v>
      </c>
      <c r="C3093" s="7" t="s">
        <v>109</v>
      </c>
      <c r="D3093" s="7" t="s">
        <v>110</v>
      </c>
      <c r="E3093" s="5" t="s">
        <v>43</v>
      </c>
      <c r="F3093" s="8"/>
      <c r="G3093" s="9">
        <f>H3093*(1-15%)*(1-F3093)</f>
        <v>55.165000000000006</v>
      </c>
      <c r="H3093" s="9">
        <v>64.900000000000006</v>
      </c>
      <c r="I3093" s="9">
        <f>H3093-G3093</f>
        <v>9.7349999999999994</v>
      </c>
    </row>
    <row r="3094" ht="14.25">
      <c r="A3094" s="11">
        <v>88523</v>
      </c>
      <c r="B3094" s="6" t="s">
        <v>3157</v>
      </c>
      <c r="C3094" s="7" t="s">
        <v>109</v>
      </c>
      <c r="D3094" s="7" t="s">
        <v>110</v>
      </c>
      <c r="E3094" s="5" t="s">
        <v>43</v>
      </c>
      <c r="F3094" s="8"/>
      <c r="G3094" s="9">
        <f>H3094*(1-15%)*(1-F3094)</f>
        <v>55.165000000000006</v>
      </c>
      <c r="H3094" s="9">
        <v>64.900000000000006</v>
      </c>
      <c r="I3094" s="9">
        <f>H3094-G3094</f>
        <v>9.7349999999999994</v>
      </c>
    </row>
    <row r="3095" ht="14.25">
      <c r="A3095" s="11">
        <v>88527</v>
      </c>
      <c r="B3095" s="6" t="s">
        <v>3158</v>
      </c>
      <c r="C3095" s="7" t="s">
        <v>109</v>
      </c>
      <c r="D3095" s="7" t="s">
        <v>110</v>
      </c>
      <c r="E3095" s="5" t="s">
        <v>43</v>
      </c>
      <c r="F3095" s="8"/>
      <c r="G3095" s="9">
        <f>H3095*(1-15%)*(1-F3095)</f>
        <v>55.165000000000006</v>
      </c>
      <c r="H3095" s="9">
        <v>64.900000000000006</v>
      </c>
      <c r="I3095" s="9">
        <f>H3095-G3095</f>
        <v>9.7349999999999994</v>
      </c>
    </row>
    <row r="3096" ht="14.25">
      <c r="A3096" s="11">
        <v>88552</v>
      </c>
      <c r="B3096" s="6" t="s">
        <v>3159</v>
      </c>
      <c r="C3096" s="7" t="s">
        <v>109</v>
      </c>
      <c r="D3096" s="7" t="s">
        <v>110</v>
      </c>
      <c r="E3096" s="5" t="s">
        <v>39</v>
      </c>
      <c r="F3096" s="8"/>
      <c r="G3096" s="9">
        <f>H3096*(1-15%)*(1-F3096)</f>
        <v>55.165000000000006</v>
      </c>
      <c r="H3096" s="10">
        <v>64.900000000000006</v>
      </c>
      <c r="I3096" s="9">
        <f>H3096-G3096</f>
        <v>9.7349999999999994</v>
      </c>
    </row>
    <row r="3097" ht="14.25">
      <c r="A3097" s="11">
        <v>88554</v>
      </c>
      <c r="B3097" s="6" t="s">
        <v>3160</v>
      </c>
      <c r="C3097" s="7" t="s">
        <v>109</v>
      </c>
      <c r="D3097" s="7" t="s">
        <v>110</v>
      </c>
      <c r="E3097" s="5" t="s">
        <v>39</v>
      </c>
      <c r="F3097" s="8"/>
      <c r="G3097" s="9">
        <f>H3097*(1-15%)*(1-F3097)</f>
        <v>55.165000000000006</v>
      </c>
      <c r="H3097" s="10">
        <v>64.900000000000006</v>
      </c>
      <c r="I3097" s="9">
        <f>H3097-G3097</f>
        <v>9.7349999999999994</v>
      </c>
    </row>
    <row r="3098" ht="14.25">
      <c r="A3098" s="11">
        <v>88556</v>
      </c>
      <c r="B3098" s="6" t="s">
        <v>3161</v>
      </c>
      <c r="C3098" s="7" t="s">
        <v>109</v>
      </c>
      <c r="D3098" s="7" t="s">
        <v>110</v>
      </c>
      <c r="E3098" s="5" t="s">
        <v>39</v>
      </c>
      <c r="F3098" s="8"/>
      <c r="G3098" s="9">
        <f>H3098*(1-15%)*(1-F3098)</f>
        <v>55.165000000000006</v>
      </c>
      <c r="H3098" s="10">
        <v>64.900000000000006</v>
      </c>
      <c r="I3098" s="9">
        <f>H3098-G3098</f>
        <v>9.7349999999999994</v>
      </c>
    </row>
    <row r="3099" ht="14.25">
      <c r="A3099" s="11">
        <v>88560</v>
      </c>
      <c r="B3099" s="6" t="s">
        <v>3162</v>
      </c>
      <c r="C3099" s="7" t="s">
        <v>10</v>
      </c>
      <c r="D3099" s="7" t="s">
        <v>71</v>
      </c>
      <c r="E3099" s="5" t="s">
        <v>39</v>
      </c>
      <c r="F3099" s="8"/>
      <c r="G3099" s="9">
        <f>H3099*(1-15%)*(1-F3099)</f>
        <v>25.414999999999999</v>
      </c>
      <c r="H3099" s="9">
        <v>29.899999999999999</v>
      </c>
      <c r="I3099" s="9">
        <f>H3099-G3099</f>
        <v>4.4849999999999994</v>
      </c>
    </row>
    <row r="3100" ht="14.25">
      <c r="A3100" s="11">
        <v>88585</v>
      </c>
      <c r="B3100" s="6" t="s">
        <v>3163</v>
      </c>
      <c r="C3100" s="7" t="s">
        <v>109</v>
      </c>
      <c r="D3100" s="7" t="s">
        <v>110</v>
      </c>
      <c r="E3100" s="5" t="s">
        <v>26</v>
      </c>
      <c r="F3100" s="8"/>
      <c r="G3100" s="9">
        <f>H3100*(1-15%)*(1-F3100)</f>
        <v>53.464999999999996</v>
      </c>
      <c r="H3100" s="10">
        <v>62.899999999999999</v>
      </c>
      <c r="I3100" s="9">
        <f>H3100-G3100</f>
        <v>9.4350000000000023</v>
      </c>
    </row>
    <row r="3101" ht="14.25">
      <c r="A3101" s="11">
        <v>88662</v>
      </c>
      <c r="B3101" s="6" t="s">
        <v>3164</v>
      </c>
      <c r="C3101" s="7" t="s">
        <v>109</v>
      </c>
      <c r="D3101" s="7" t="s">
        <v>110</v>
      </c>
      <c r="E3101" s="5" t="s">
        <v>43</v>
      </c>
      <c r="F3101" s="8"/>
      <c r="G3101" s="9">
        <f>H3101*(1-15%)*(1-F3101)</f>
        <v>138.465</v>
      </c>
      <c r="H3101" s="10">
        <v>162.90000000000001</v>
      </c>
      <c r="I3101" s="9">
        <f>H3101-G3101</f>
        <v>24.435000000000002</v>
      </c>
    </row>
    <row r="3102" ht="14.25">
      <c r="A3102" s="11">
        <v>88663</v>
      </c>
      <c r="B3102" s="6" t="s">
        <v>3165</v>
      </c>
      <c r="C3102" s="7" t="s">
        <v>109</v>
      </c>
      <c r="D3102" s="7" t="s">
        <v>110</v>
      </c>
      <c r="E3102" s="5" t="s">
        <v>43</v>
      </c>
      <c r="F3102" s="8"/>
      <c r="G3102" s="9">
        <f>H3102*(1-15%)*(1-F3102)</f>
        <v>138.465</v>
      </c>
      <c r="H3102" s="10">
        <v>162.90000000000001</v>
      </c>
      <c r="I3102" s="9">
        <f>H3102-G3102</f>
        <v>24.435000000000002</v>
      </c>
    </row>
    <row r="3103" ht="14.25">
      <c r="A3103" s="11">
        <v>88664</v>
      </c>
      <c r="B3103" s="6" t="s">
        <v>3166</v>
      </c>
      <c r="C3103" s="7" t="s">
        <v>109</v>
      </c>
      <c r="D3103" s="7" t="s">
        <v>110</v>
      </c>
      <c r="E3103" s="5" t="s">
        <v>43</v>
      </c>
      <c r="F3103" s="8"/>
      <c r="G3103" s="9">
        <f>H3103*(1-15%)*(1-F3103)</f>
        <v>138.465</v>
      </c>
      <c r="H3103" s="10">
        <v>162.90000000000001</v>
      </c>
      <c r="I3103" s="9">
        <f>H3103-G3103</f>
        <v>24.435000000000002</v>
      </c>
    </row>
    <row r="3104" ht="14.25">
      <c r="A3104" s="11">
        <v>88665</v>
      </c>
      <c r="B3104" s="6" t="s">
        <v>3167</v>
      </c>
      <c r="C3104" s="7" t="s">
        <v>109</v>
      </c>
      <c r="D3104" s="7" t="s">
        <v>110</v>
      </c>
      <c r="E3104" s="5" t="s">
        <v>43</v>
      </c>
      <c r="F3104" s="8"/>
      <c r="G3104" s="9">
        <f>H3104*(1-15%)*(1-F3104)</f>
        <v>138.465</v>
      </c>
      <c r="H3104" s="10">
        <v>162.90000000000001</v>
      </c>
      <c r="I3104" s="9">
        <f>H3104-G3104</f>
        <v>24.435000000000002</v>
      </c>
    </row>
    <row r="3105" ht="14.25">
      <c r="A3105" s="11">
        <v>88666</v>
      </c>
      <c r="B3105" s="6" t="s">
        <v>3168</v>
      </c>
      <c r="C3105" s="7" t="s">
        <v>109</v>
      </c>
      <c r="D3105" s="7" t="s">
        <v>110</v>
      </c>
      <c r="E3105" s="5" t="s">
        <v>43</v>
      </c>
      <c r="F3105" s="8"/>
      <c r="G3105" s="9">
        <f>H3105*(1-15%)*(1-F3105)</f>
        <v>138.465</v>
      </c>
      <c r="H3105" s="10">
        <v>162.90000000000001</v>
      </c>
      <c r="I3105" s="9">
        <f>H3105-G3105</f>
        <v>24.435000000000002</v>
      </c>
    </row>
    <row r="3106" ht="14.25">
      <c r="A3106" s="11">
        <v>88669</v>
      </c>
      <c r="B3106" s="6" t="s">
        <v>3169</v>
      </c>
      <c r="C3106" s="7" t="s">
        <v>109</v>
      </c>
      <c r="D3106" s="7" t="s">
        <v>110</v>
      </c>
      <c r="E3106" s="5" t="s">
        <v>43</v>
      </c>
      <c r="F3106" s="8"/>
      <c r="G3106" s="9">
        <f>H3106*(1-15%)*(1-F3106)</f>
        <v>138.465</v>
      </c>
      <c r="H3106" s="10">
        <v>162.90000000000001</v>
      </c>
      <c r="I3106" s="9">
        <f>H3106-G3106</f>
        <v>24.435000000000002</v>
      </c>
    </row>
    <row r="3107" ht="14.25">
      <c r="A3107" s="11">
        <v>88921</v>
      </c>
      <c r="B3107" s="6" t="s">
        <v>3170</v>
      </c>
      <c r="C3107" s="7" t="s">
        <v>25</v>
      </c>
      <c r="D3107" s="7" t="s">
        <v>61</v>
      </c>
      <c r="E3107" s="5" t="s">
        <v>43</v>
      </c>
      <c r="F3107" s="8"/>
      <c r="G3107" s="9">
        <f>H3107*(1-15%)*(1-F3107)</f>
        <v>178.41499999999999</v>
      </c>
      <c r="H3107" s="9">
        <v>209.90000000000001</v>
      </c>
      <c r="I3107" s="9">
        <f>H3107-G3107</f>
        <v>31.485000000000014</v>
      </c>
    </row>
    <row r="3108" ht="14.25">
      <c r="A3108" s="11">
        <v>88924</v>
      </c>
      <c r="B3108" s="6" t="s">
        <v>3171</v>
      </c>
      <c r="C3108" s="7" t="s">
        <v>17</v>
      </c>
      <c r="D3108" s="7" t="s">
        <v>61</v>
      </c>
      <c r="E3108" s="5" t="s">
        <v>43</v>
      </c>
      <c r="F3108" s="8"/>
      <c r="G3108" s="9">
        <f>H3108*(1-15%)*(1-F3108)</f>
        <v>144.41499999999999</v>
      </c>
      <c r="H3108" s="10">
        <v>169.90000000000001</v>
      </c>
      <c r="I3108" s="9">
        <f>H3108-G3108</f>
        <v>25.485000000000014</v>
      </c>
    </row>
    <row r="3109" ht="14.25">
      <c r="A3109" s="11">
        <v>94682</v>
      </c>
      <c r="B3109" s="6" t="s">
        <v>3172</v>
      </c>
      <c r="C3109" s="7" t="s">
        <v>1446</v>
      </c>
      <c r="D3109" s="7" t="s">
        <v>1447</v>
      </c>
      <c r="E3109" s="5" t="s">
        <v>15</v>
      </c>
      <c r="F3109" s="8"/>
      <c r="G3109" s="9">
        <f>H3109*(1-15%)*(1-F3109)</f>
        <v>20.986499999999999</v>
      </c>
      <c r="H3109" s="10">
        <v>24.690000000000001</v>
      </c>
      <c r="I3109" s="9">
        <f>H3109-G3109</f>
        <v>3.7035000000000018</v>
      </c>
    </row>
    <row r="3110" ht="14.25">
      <c r="A3110" s="11">
        <v>94684</v>
      </c>
      <c r="B3110" s="6" t="s">
        <v>3173</v>
      </c>
      <c r="C3110" s="7" t="s">
        <v>1446</v>
      </c>
      <c r="D3110" s="7" t="s">
        <v>1447</v>
      </c>
      <c r="E3110" s="5" t="s">
        <v>15</v>
      </c>
      <c r="F3110" s="8"/>
      <c r="G3110" s="9">
        <f>H3110*(1-15%)*(1-F3110)</f>
        <v>2.7200000000000002</v>
      </c>
      <c r="H3110" s="10">
        <v>3.2000000000000002</v>
      </c>
      <c r="I3110" s="9">
        <f>H3110-G3110</f>
        <v>0.47999999999999998</v>
      </c>
    </row>
    <row r="3111" ht="14.25">
      <c r="A3111" s="11">
        <v>94687</v>
      </c>
      <c r="B3111" s="6" t="s">
        <v>3174</v>
      </c>
      <c r="C3111" s="7" t="s">
        <v>1446</v>
      </c>
      <c r="D3111" s="7" t="s">
        <v>1447</v>
      </c>
      <c r="E3111" s="5" t="s">
        <v>15</v>
      </c>
      <c r="F3111" s="8"/>
      <c r="G3111" s="9">
        <f>H3111*(1-15%)*(1-F3111)</f>
        <v>0.255</v>
      </c>
      <c r="H3111" s="10">
        <v>0.29999999999999999</v>
      </c>
      <c r="I3111" s="9">
        <f>H3111-G3111</f>
        <v>4.4999999999999984e-002</v>
      </c>
    </row>
    <row r="3112" ht="14.25">
      <c r="A3112" s="11">
        <v>94691</v>
      </c>
      <c r="B3112" s="6" t="s">
        <v>3175</v>
      </c>
      <c r="C3112" s="7" t="s">
        <v>1446</v>
      </c>
      <c r="D3112" s="7" t="s">
        <v>1447</v>
      </c>
      <c r="E3112" s="5" t="s">
        <v>15</v>
      </c>
      <c r="F3112" s="8"/>
      <c r="G3112" s="9">
        <f>H3112*(1-15%)*(1-F3112)</f>
        <v>0.442</v>
      </c>
      <c r="H3112" s="10">
        <v>0.52000000000000002</v>
      </c>
      <c r="I3112" s="9">
        <f>H3112-G3112</f>
        <v>7.8000000000000014e-002</v>
      </c>
    </row>
    <row r="3113" ht="14.25">
      <c r="A3113" s="11">
        <v>94698</v>
      </c>
      <c r="B3113" s="6" t="s">
        <v>3176</v>
      </c>
      <c r="C3113" s="7" t="s">
        <v>1446</v>
      </c>
      <c r="D3113" s="7" t="s">
        <v>1447</v>
      </c>
      <c r="E3113" s="5" t="s">
        <v>15</v>
      </c>
      <c r="F3113" s="8"/>
      <c r="G3113" s="9">
        <f>H3113*(1-15%)*(1-F3113)</f>
        <v>2.3715000000000002</v>
      </c>
      <c r="H3113" s="10">
        <v>2.79</v>
      </c>
      <c r="I3113" s="9">
        <f>H3113-G3113</f>
        <v>0.41849999999999987</v>
      </c>
    </row>
    <row r="3114" ht="14.25">
      <c r="A3114" s="12">
        <v>48296</v>
      </c>
      <c r="B3114" s="6" t="s">
        <v>3177</v>
      </c>
      <c r="C3114" s="7" t="s">
        <v>17</v>
      </c>
      <c r="D3114" s="7" t="s">
        <v>11</v>
      </c>
      <c r="E3114" s="5" t="s">
        <v>26</v>
      </c>
      <c r="F3114" s="8"/>
      <c r="G3114" s="9">
        <f>H3114*(1-15%)*(1-F3114)</f>
        <v>140.16499999999999</v>
      </c>
      <c r="H3114" s="9">
        <v>164.90000000000001</v>
      </c>
      <c r="I3114" s="9">
        <f>H3114-G3114</f>
        <v>24.735000000000014</v>
      </c>
    </row>
    <row r="3115" ht="14.25">
      <c r="A3115" s="12">
        <v>48303</v>
      </c>
      <c r="B3115" s="6" t="s">
        <v>3178</v>
      </c>
      <c r="C3115" s="7" t="s">
        <v>17</v>
      </c>
      <c r="D3115" s="7" t="s">
        <v>11</v>
      </c>
      <c r="E3115" s="5" t="s">
        <v>12</v>
      </c>
      <c r="F3115" s="8"/>
      <c r="G3115" s="9">
        <f>H3115*(1-15%)*(1-F3115)</f>
        <v>140.16499999999999</v>
      </c>
      <c r="H3115" s="9">
        <v>164.90000000000001</v>
      </c>
      <c r="I3115" s="9">
        <f>H3115-G3115</f>
        <v>24.735000000000014</v>
      </c>
    </row>
    <row r="3116" ht="14.25">
      <c r="A3116" s="12">
        <v>48307</v>
      </c>
      <c r="B3116" s="6" t="s">
        <v>3179</v>
      </c>
      <c r="C3116" s="7" t="s">
        <v>17</v>
      </c>
      <c r="D3116" s="7" t="s">
        <v>11</v>
      </c>
      <c r="E3116" s="5" t="s">
        <v>12</v>
      </c>
      <c r="F3116" s="8"/>
      <c r="G3116" s="9">
        <f>H3116*(1-15%)*(1-F3116)</f>
        <v>140.16499999999999</v>
      </c>
      <c r="H3116" s="9">
        <v>164.90000000000001</v>
      </c>
      <c r="I3116" s="9">
        <f>H3116-G3116</f>
        <v>24.735000000000014</v>
      </c>
    </row>
    <row r="3117" ht="14.25">
      <c r="A3117" s="12">
        <v>48310</v>
      </c>
      <c r="B3117" s="6" t="s">
        <v>3180</v>
      </c>
      <c r="C3117" s="7" t="s">
        <v>17</v>
      </c>
      <c r="D3117" s="7" t="s">
        <v>11</v>
      </c>
      <c r="E3117" s="5" t="s">
        <v>12</v>
      </c>
      <c r="F3117" s="8"/>
      <c r="G3117" s="9">
        <f>H3117*(1-15%)*(1-F3117)</f>
        <v>140.16499999999999</v>
      </c>
      <c r="H3117" s="9">
        <v>164.90000000000001</v>
      </c>
      <c r="I3117" s="9">
        <f>H3117-G3117</f>
        <v>24.735000000000014</v>
      </c>
    </row>
    <row r="3118" ht="14.25">
      <c r="A3118" s="12">
        <v>48313</v>
      </c>
      <c r="B3118" s="6" t="s">
        <v>3181</v>
      </c>
      <c r="C3118" s="7" t="s">
        <v>17</v>
      </c>
      <c r="D3118" s="7" t="s">
        <v>11</v>
      </c>
      <c r="E3118" s="5" t="s">
        <v>26</v>
      </c>
      <c r="F3118" s="8"/>
      <c r="G3118" s="9">
        <f>H3118*(1-15%)*(1-F3118)</f>
        <v>140.16499999999999</v>
      </c>
      <c r="H3118" s="9">
        <v>164.90000000000001</v>
      </c>
      <c r="I3118" s="9">
        <f>H3118-G3118</f>
        <v>24.735000000000014</v>
      </c>
    </row>
    <row r="3119" ht="14.25">
      <c r="A3119" s="12">
        <v>48315</v>
      </c>
      <c r="B3119" s="6" t="s">
        <v>3182</v>
      </c>
      <c r="C3119" s="7" t="s">
        <v>17</v>
      </c>
      <c r="D3119" s="7" t="s">
        <v>11</v>
      </c>
      <c r="E3119" s="5" t="s">
        <v>12</v>
      </c>
      <c r="F3119" s="8"/>
      <c r="G3119" s="9">
        <f>H3119*(1-15%)*(1-F3119)</f>
        <v>140.16499999999999</v>
      </c>
      <c r="H3119" s="9">
        <v>164.90000000000001</v>
      </c>
      <c r="I3119" s="9">
        <f>H3119-G3119</f>
        <v>24.735000000000014</v>
      </c>
    </row>
    <row r="3120" ht="14.25">
      <c r="A3120" s="12">
        <v>49154</v>
      </c>
      <c r="B3120" s="6" t="s">
        <v>3183</v>
      </c>
      <c r="C3120" s="7" t="s">
        <v>21</v>
      </c>
      <c r="D3120" s="7" t="s">
        <v>11</v>
      </c>
      <c r="E3120" s="5" t="s">
        <v>133</v>
      </c>
      <c r="F3120" s="8"/>
      <c r="G3120" s="9">
        <f>H3120*(1-15%)*(1-F3120)</f>
        <v>178.41499999999999</v>
      </c>
      <c r="H3120" s="9">
        <v>209.90000000000001</v>
      </c>
      <c r="I3120" s="9">
        <f>H3120-G3120</f>
        <v>31.485000000000014</v>
      </c>
    </row>
    <row r="3121" ht="14.25">
      <c r="A3121" s="12">
        <v>49193</v>
      </c>
      <c r="B3121" s="6" t="s">
        <v>3184</v>
      </c>
      <c r="C3121" s="7" t="s">
        <v>21</v>
      </c>
      <c r="D3121" s="7" t="s">
        <v>11</v>
      </c>
      <c r="E3121" s="5" t="s">
        <v>133</v>
      </c>
      <c r="F3121" s="8"/>
      <c r="G3121" s="9">
        <f>H3121*(1-15%)*(1-F3121)</f>
        <v>178.41499999999999</v>
      </c>
      <c r="H3121" s="9">
        <v>209.90000000000001</v>
      </c>
      <c r="I3121" s="9">
        <f>H3121-G3121</f>
        <v>31.485000000000014</v>
      </c>
    </row>
    <row r="3122" ht="14.25">
      <c r="A3122" s="12">
        <v>49244</v>
      </c>
      <c r="B3122" s="6" t="s">
        <v>3185</v>
      </c>
      <c r="C3122" s="7" t="s">
        <v>21</v>
      </c>
      <c r="D3122" s="7" t="s">
        <v>11</v>
      </c>
      <c r="E3122" s="5" t="s">
        <v>26</v>
      </c>
      <c r="F3122" s="8"/>
      <c r="G3122" s="9">
        <f>H3122*(1-15%)*(1-F3122)</f>
        <v>178.41499999999999</v>
      </c>
      <c r="H3122" s="9">
        <v>209.90000000000001</v>
      </c>
      <c r="I3122" s="9">
        <f>H3122-G3122</f>
        <v>31.485000000000014</v>
      </c>
    </row>
    <row r="3123" ht="14.25">
      <c r="A3123" s="12">
        <v>49250</v>
      </c>
      <c r="B3123" s="6" t="s">
        <v>3186</v>
      </c>
      <c r="C3123" s="7" t="s">
        <v>21</v>
      </c>
      <c r="D3123" s="7" t="s">
        <v>11</v>
      </c>
      <c r="E3123" s="5" t="s">
        <v>12</v>
      </c>
      <c r="F3123" s="8"/>
      <c r="G3123" s="9">
        <f>H3123*(1-15%)*(1-F3123)</f>
        <v>178.41499999999999</v>
      </c>
      <c r="H3123" s="9">
        <v>209.90000000000001</v>
      </c>
      <c r="I3123" s="9">
        <f>H3123-G3123</f>
        <v>31.485000000000014</v>
      </c>
    </row>
    <row r="3124" ht="14.25">
      <c r="A3124" s="12">
        <v>49252</v>
      </c>
      <c r="B3124" s="6" t="s">
        <v>3187</v>
      </c>
      <c r="C3124" s="7" t="s">
        <v>21</v>
      </c>
      <c r="D3124" s="7" t="s">
        <v>11</v>
      </c>
      <c r="E3124" s="5" t="s">
        <v>12</v>
      </c>
      <c r="F3124" s="8"/>
      <c r="G3124" s="9">
        <f>H3124*(1-15%)*(1-F3124)</f>
        <v>178.41499999999999</v>
      </c>
      <c r="H3124" s="9">
        <v>209.90000000000001</v>
      </c>
      <c r="I3124" s="9">
        <f>H3124-G3124</f>
        <v>31.485000000000014</v>
      </c>
    </row>
    <row r="3125" ht="14.25">
      <c r="A3125" s="12">
        <v>52493</v>
      </c>
      <c r="B3125" s="6" t="s">
        <v>3188</v>
      </c>
      <c r="C3125" s="7" t="s">
        <v>17</v>
      </c>
      <c r="D3125" s="7" t="s">
        <v>11</v>
      </c>
      <c r="E3125" s="5" t="s">
        <v>26</v>
      </c>
      <c r="F3125" s="8"/>
      <c r="G3125" s="9">
        <f>H3125*(1-15%)*(1-F3125)</f>
        <v>140.16499999999999</v>
      </c>
      <c r="H3125" s="9">
        <v>164.90000000000001</v>
      </c>
      <c r="I3125" s="9">
        <f>H3125-G3125</f>
        <v>24.735000000000014</v>
      </c>
    </row>
    <row r="3126" ht="14.25">
      <c r="A3126" s="12">
        <v>58372</v>
      </c>
      <c r="B3126" s="6" t="s">
        <v>3189</v>
      </c>
      <c r="C3126" s="7" t="s">
        <v>17</v>
      </c>
      <c r="D3126" s="7" t="s">
        <v>11</v>
      </c>
      <c r="E3126" s="5" t="s">
        <v>68</v>
      </c>
      <c r="F3126" s="8"/>
      <c r="G3126" s="9">
        <f>H3126*(1-15%)*(1-F3126)</f>
        <v>140.16499999999999</v>
      </c>
      <c r="H3126" s="9">
        <v>164.90000000000001</v>
      </c>
      <c r="I3126" s="9">
        <f>H3126-G3126</f>
        <v>24.735000000000014</v>
      </c>
    </row>
    <row r="3127" ht="14.25">
      <c r="A3127" s="12">
        <v>58373</v>
      </c>
      <c r="B3127" s="6" t="s">
        <v>3190</v>
      </c>
      <c r="C3127" s="7" t="s">
        <v>17</v>
      </c>
      <c r="D3127" s="7" t="s">
        <v>11</v>
      </c>
      <c r="E3127" s="5" t="s">
        <v>12</v>
      </c>
      <c r="F3127" s="8"/>
      <c r="G3127" s="9">
        <f>H3127*(1-15%)*(1-F3127)</f>
        <v>140.16499999999999</v>
      </c>
      <c r="H3127" s="9">
        <v>164.90000000000001</v>
      </c>
      <c r="I3127" s="9">
        <f>H3127-G3127</f>
        <v>24.735000000000014</v>
      </c>
    </row>
    <row r="3128" ht="14.25">
      <c r="A3128" s="12">
        <v>59525</v>
      </c>
      <c r="B3128" s="6" t="s">
        <v>3191</v>
      </c>
      <c r="C3128" s="7" t="s">
        <v>75</v>
      </c>
      <c r="D3128" s="7" t="s">
        <v>45</v>
      </c>
      <c r="E3128" s="5" t="s">
        <v>3192</v>
      </c>
      <c r="F3128" s="8"/>
      <c r="G3128" s="9">
        <f>H3128*(1-15%)*(1-F3128)</f>
        <v>57.715000000000003</v>
      </c>
      <c r="H3128" s="9">
        <v>67.900000000000006</v>
      </c>
      <c r="I3128" s="9">
        <f>H3128-G3128</f>
        <v>10.185000000000002</v>
      </c>
    </row>
    <row r="3129" ht="14.25">
      <c r="A3129" s="12">
        <v>59823</v>
      </c>
      <c r="B3129" s="6" t="s">
        <v>3193</v>
      </c>
      <c r="C3129" s="7" t="s">
        <v>75</v>
      </c>
      <c r="D3129" s="7" t="s">
        <v>45</v>
      </c>
      <c r="E3129" s="5" t="s">
        <v>3192</v>
      </c>
      <c r="F3129" s="8"/>
      <c r="G3129" s="9">
        <f>H3129*(1-15%)*(1-F3129)</f>
        <v>73.865000000000009</v>
      </c>
      <c r="H3129" s="9">
        <v>86.900000000000006</v>
      </c>
      <c r="I3129" s="9">
        <f>H3129-G3129</f>
        <v>13.034999999999997</v>
      </c>
    </row>
    <row r="3130" ht="14.25">
      <c r="A3130" s="12">
        <v>59824</v>
      </c>
      <c r="B3130" s="6" t="s">
        <v>3194</v>
      </c>
      <c r="C3130" s="7" t="s">
        <v>75</v>
      </c>
      <c r="D3130" s="7" t="s">
        <v>45</v>
      </c>
      <c r="E3130" s="5" t="s">
        <v>3192</v>
      </c>
      <c r="F3130" s="8"/>
      <c r="G3130" s="9">
        <f>H3130*(1-15%)*(1-F3130)</f>
        <v>57.715000000000003</v>
      </c>
      <c r="H3130" s="9">
        <v>67.900000000000006</v>
      </c>
      <c r="I3130" s="9">
        <f>H3130-G3130</f>
        <v>10.185000000000002</v>
      </c>
    </row>
    <row r="3131" ht="14.25">
      <c r="A3131" s="12">
        <v>59829</v>
      </c>
      <c r="B3131" s="6" t="s">
        <v>3195</v>
      </c>
      <c r="C3131" s="7" t="s">
        <v>75</v>
      </c>
      <c r="D3131" s="7" t="s">
        <v>45</v>
      </c>
      <c r="E3131" s="5" t="s">
        <v>3192</v>
      </c>
      <c r="F3131" s="8"/>
      <c r="G3131" s="9">
        <f>H3131*(1-15%)*(1-F3131)</f>
        <v>50.914999999999999</v>
      </c>
      <c r="H3131" s="9">
        <v>59.899999999999999</v>
      </c>
      <c r="I3131" s="9">
        <f>H3131-G3131</f>
        <v>8.9849999999999994</v>
      </c>
    </row>
    <row r="3132" ht="14.25">
      <c r="A3132" s="12">
        <v>59830</v>
      </c>
      <c r="B3132" s="6" t="s">
        <v>3196</v>
      </c>
      <c r="C3132" s="7" t="s">
        <v>75</v>
      </c>
      <c r="D3132" s="7" t="s">
        <v>103</v>
      </c>
      <c r="E3132" s="5" t="s">
        <v>3192</v>
      </c>
      <c r="F3132" s="8"/>
      <c r="G3132" s="9">
        <f>H3132*(1-15%)*(1-F3132)</f>
        <v>49.214999999999996</v>
      </c>
      <c r="H3132" s="9">
        <v>57.899999999999999</v>
      </c>
      <c r="I3132" s="9">
        <f>H3132-G3132</f>
        <v>8.6850000000000023</v>
      </c>
    </row>
    <row r="3133" ht="14.25">
      <c r="A3133" s="12">
        <v>59831</v>
      </c>
      <c r="B3133" s="6" t="s">
        <v>3197</v>
      </c>
      <c r="C3133" s="7" t="s">
        <v>75</v>
      </c>
      <c r="D3133" s="7" t="s">
        <v>45</v>
      </c>
      <c r="E3133" s="5" t="s">
        <v>3192</v>
      </c>
      <c r="F3133" s="8"/>
      <c r="G3133" s="9">
        <f>H3133*(1-15%)*(1-F3133)</f>
        <v>94.265000000000001</v>
      </c>
      <c r="H3133" s="9">
        <v>110.90000000000001</v>
      </c>
      <c r="I3133" s="9">
        <f>H3133-G3133</f>
        <v>16.635000000000005</v>
      </c>
    </row>
    <row r="3134" ht="14.25">
      <c r="A3134" s="12">
        <v>81330</v>
      </c>
      <c r="B3134" s="6" t="s">
        <v>3198</v>
      </c>
      <c r="C3134" s="7" t="s">
        <v>21</v>
      </c>
      <c r="D3134" s="7" t="s">
        <v>11</v>
      </c>
      <c r="E3134" s="5" t="s">
        <v>26</v>
      </c>
      <c r="F3134" s="8"/>
      <c r="G3134" s="9">
        <f>H3134*(1-15%)*(1-F3134)</f>
        <v>178.41499999999999</v>
      </c>
      <c r="H3134" s="9">
        <v>209.90000000000001</v>
      </c>
      <c r="I3134" s="9">
        <f>H3134-G3134</f>
        <v>31.485000000000014</v>
      </c>
    </row>
    <row r="3135" ht="14.25">
      <c r="A3135" s="12">
        <v>81384</v>
      </c>
      <c r="B3135" s="6" t="s">
        <v>3199</v>
      </c>
      <c r="C3135" s="7" t="s">
        <v>21</v>
      </c>
      <c r="D3135" s="7" t="s">
        <v>11</v>
      </c>
      <c r="E3135" s="5" t="s">
        <v>26</v>
      </c>
      <c r="F3135" s="8"/>
      <c r="G3135" s="9">
        <f>H3135*(1-15%)*(1-F3135)</f>
        <v>178.41499999999999</v>
      </c>
      <c r="H3135" s="9">
        <v>209.90000000000001</v>
      </c>
      <c r="I3135" s="9">
        <f>H3135-G3135</f>
        <v>31.485000000000014</v>
      </c>
    </row>
    <row r="3136" ht="14.25">
      <c r="A3136" s="12">
        <v>85440</v>
      </c>
      <c r="B3136" s="6" t="s">
        <v>3200</v>
      </c>
      <c r="C3136" s="7" t="s">
        <v>21</v>
      </c>
      <c r="D3136" s="7" t="s">
        <v>45</v>
      </c>
      <c r="E3136" s="5" t="s">
        <v>133</v>
      </c>
      <c r="F3136" s="8"/>
      <c r="G3136" s="9">
        <f>H3136*(1-15%)*(1-F3136)</f>
        <v>57.715000000000003</v>
      </c>
      <c r="H3136" s="9">
        <v>67.900000000000006</v>
      </c>
      <c r="I3136" s="9">
        <f>H3136-G3136</f>
        <v>10.185000000000002</v>
      </c>
    </row>
    <row r="3137" ht="14.25">
      <c r="A3137" s="12">
        <v>85584</v>
      </c>
      <c r="B3137" s="6" t="s">
        <v>3201</v>
      </c>
      <c r="C3137" s="7" t="s">
        <v>75</v>
      </c>
      <c r="D3137" s="7" t="s">
        <v>583</v>
      </c>
      <c r="E3137" s="5" t="s">
        <v>3192</v>
      </c>
      <c r="F3137" s="8"/>
      <c r="G3137" s="9">
        <f>H3137*(1-15%)*(1-F3137)</f>
        <v>80.665000000000006</v>
      </c>
      <c r="H3137" s="9">
        <v>94.900000000000006</v>
      </c>
      <c r="I3137" s="9">
        <f>H3137-G3137</f>
        <v>14.234999999999999</v>
      </c>
    </row>
    <row r="3138" ht="14.25">
      <c r="A3138" s="12">
        <v>85699</v>
      </c>
      <c r="B3138" s="6" t="s">
        <v>3202</v>
      </c>
      <c r="C3138" s="7" t="s">
        <v>70</v>
      </c>
      <c r="D3138" s="7" t="s">
        <v>11</v>
      </c>
      <c r="E3138" s="5" t="s">
        <v>3192</v>
      </c>
      <c r="F3138" s="8"/>
      <c r="G3138" s="9">
        <f>H3138*(1-15%)*(1-F3138)</f>
        <v>271.91499999999996</v>
      </c>
      <c r="H3138" s="9">
        <v>319.89999999999998</v>
      </c>
      <c r="I3138" s="9">
        <f>H3138-G3138</f>
        <v>47.985000000000014</v>
      </c>
    </row>
    <row r="3139" ht="14.25">
      <c r="A3139" s="12">
        <v>86202</v>
      </c>
      <c r="B3139" s="6" t="s">
        <v>3203</v>
      </c>
      <c r="C3139" s="7" t="s">
        <v>70</v>
      </c>
      <c r="D3139" s="7" t="s">
        <v>61</v>
      </c>
      <c r="E3139" s="5" t="s">
        <v>43</v>
      </c>
      <c r="F3139" s="8"/>
      <c r="G3139" s="9">
        <f>H3139*(1-15%)*(1-F3139)</f>
        <v>50.914999999999999</v>
      </c>
      <c r="H3139" s="9">
        <v>59.899999999999999</v>
      </c>
      <c r="I3139" s="9">
        <f>H3139-G3139</f>
        <v>8.9849999999999994</v>
      </c>
    </row>
    <row r="3140" ht="14.25">
      <c r="A3140" s="12">
        <v>86369</v>
      </c>
      <c r="B3140" s="6" t="s">
        <v>3204</v>
      </c>
      <c r="C3140" s="7" t="s">
        <v>75</v>
      </c>
      <c r="D3140" s="7" t="s">
        <v>11</v>
      </c>
      <c r="E3140" s="5" t="s">
        <v>3192</v>
      </c>
      <c r="F3140" s="8"/>
      <c r="G3140" s="9">
        <f>H3140*(1-15%)*(1-F3140)</f>
        <v>84.915000000000006</v>
      </c>
      <c r="H3140" s="9">
        <v>99.900000000000006</v>
      </c>
      <c r="I3140" s="9">
        <f>H3140-G3140</f>
        <v>14.984999999999999</v>
      </c>
    </row>
    <row r="3141" ht="14.25">
      <c r="A3141" s="12">
        <v>87268</v>
      </c>
      <c r="B3141" s="6" t="s">
        <v>3205</v>
      </c>
      <c r="C3141" s="7" t="s">
        <v>109</v>
      </c>
      <c r="D3141" s="7" t="s">
        <v>110</v>
      </c>
      <c r="E3141" s="5" t="s">
        <v>3192</v>
      </c>
      <c r="F3141" s="8"/>
      <c r="G3141" s="9">
        <f>H3141*(1-15%)*(1-F3141)</f>
        <v>254.91499999999996</v>
      </c>
      <c r="H3141" s="9">
        <v>299.89999999999998</v>
      </c>
      <c r="I3141" s="9">
        <f>H3141-G3141</f>
        <v>44.985000000000014</v>
      </c>
    </row>
    <row r="3142" ht="14.25">
      <c r="A3142" s="12">
        <v>87364</v>
      </c>
      <c r="B3142" s="6" t="s">
        <v>3206</v>
      </c>
      <c r="C3142" s="7" t="s">
        <v>75</v>
      </c>
      <c r="D3142" s="7" t="s">
        <v>183</v>
      </c>
      <c r="E3142" s="5" t="s">
        <v>3192</v>
      </c>
      <c r="F3142" s="8"/>
      <c r="G3142" s="9">
        <f>H3142*(1-15%)*(1-F3142)</f>
        <v>67.915000000000006</v>
      </c>
      <c r="H3142" s="9">
        <v>79.900000000000006</v>
      </c>
      <c r="I3142" s="9">
        <f>H3142-G3142</f>
        <v>11.984999999999999</v>
      </c>
    </row>
    <row r="3143" ht="14.25">
      <c r="A3143" s="12">
        <v>87536</v>
      </c>
      <c r="B3143" s="6" t="s">
        <v>3207</v>
      </c>
      <c r="C3143" s="7" t="s">
        <v>951</v>
      </c>
      <c r="D3143" s="7" t="s">
        <v>61</v>
      </c>
      <c r="E3143" s="5" t="s">
        <v>3192</v>
      </c>
      <c r="F3143" s="8"/>
      <c r="G3143" s="9">
        <f>H3143*(1-15%)*(1-F3143)</f>
        <v>93.415000000000006</v>
      </c>
      <c r="H3143" s="9">
        <v>109.90000000000001</v>
      </c>
      <c r="I3143" s="9">
        <f>H3143-G3143</f>
        <v>16.484999999999999</v>
      </c>
    </row>
    <row r="3144" ht="14.25">
      <c r="A3144" s="12">
        <v>87636</v>
      </c>
      <c r="B3144" s="6" t="s">
        <v>3208</v>
      </c>
      <c r="C3144" s="7" t="s">
        <v>426</v>
      </c>
      <c r="D3144" s="7" t="s">
        <v>219</v>
      </c>
      <c r="E3144" s="5" t="s">
        <v>3192</v>
      </c>
      <c r="F3144" s="8"/>
      <c r="G3144" s="9">
        <f>H3144*(1-15%)*(1-F3144)</f>
        <v>169.91499999999999</v>
      </c>
      <c r="H3144" s="9">
        <v>199.90000000000001</v>
      </c>
      <c r="I3144" s="9">
        <f>H3144-G3144</f>
        <v>29.985000000000014</v>
      </c>
    </row>
    <row r="3145" ht="14.25">
      <c r="A3145" s="12">
        <v>88361</v>
      </c>
      <c r="B3145" s="6" t="s">
        <v>3209</v>
      </c>
      <c r="C3145" s="7" t="s">
        <v>75</v>
      </c>
      <c r="D3145" s="7" t="s">
        <v>103</v>
      </c>
      <c r="E3145" s="5" t="s">
        <v>3192</v>
      </c>
      <c r="F3145" s="8"/>
      <c r="G3145" s="9">
        <f>H3145*(1-15%)*(1-F3145)</f>
        <v>25.414999999999999</v>
      </c>
      <c r="H3145" s="9">
        <v>29.899999999999999</v>
      </c>
      <c r="I3145" s="9">
        <f>H3145-G3145</f>
        <v>4.4849999999999994</v>
      </c>
    </row>
    <row r="3146" ht="14.25">
      <c r="A3146" s="12">
        <v>88889</v>
      </c>
      <c r="B3146" s="6" t="s">
        <v>3210</v>
      </c>
      <c r="C3146" s="7" t="s">
        <v>17</v>
      </c>
      <c r="D3146" s="7" t="s">
        <v>45</v>
      </c>
      <c r="E3146" s="5" t="s">
        <v>43</v>
      </c>
      <c r="F3146" s="8"/>
      <c r="G3146" s="9">
        <f>H3146*(1-15%)*(1-F3146)</f>
        <v>53.464999999999996</v>
      </c>
      <c r="H3146" s="9">
        <v>62.899999999999999</v>
      </c>
      <c r="I3146" s="9">
        <f>H3146-G3146</f>
        <v>9.4350000000000023</v>
      </c>
    </row>
    <row r="3147" ht="14.25">
      <c r="A3147" s="12">
        <v>88910</v>
      </c>
      <c r="B3147" s="6" t="s">
        <v>3211</v>
      </c>
      <c r="C3147" s="7" t="s">
        <v>951</v>
      </c>
      <c r="D3147" s="7" t="s">
        <v>199</v>
      </c>
      <c r="E3147" s="5" t="s">
        <v>133</v>
      </c>
      <c r="F3147" s="8"/>
      <c r="G3147" s="9">
        <f>H3147*(1-15%)*(1-F3147)</f>
        <v>67.915000000000006</v>
      </c>
      <c r="H3147" s="9">
        <v>79.900000000000006</v>
      </c>
      <c r="I3147" s="9">
        <f>H3147-G3147</f>
        <v>11.984999999999999</v>
      </c>
    </row>
    <row r="3148" ht="14.25">
      <c r="A3148" s="12">
        <v>88911</v>
      </c>
      <c r="B3148" s="6" t="s">
        <v>3212</v>
      </c>
      <c r="C3148" s="7" t="s">
        <v>70</v>
      </c>
      <c r="D3148" s="7" t="s">
        <v>103</v>
      </c>
      <c r="E3148" s="5" t="s">
        <v>133</v>
      </c>
      <c r="F3148" s="8"/>
      <c r="G3148" s="9">
        <f>H3148*(1-15%)*(1-F3148)</f>
        <v>46.664999999999999</v>
      </c>
      <c r="H3148" s="9">
        <v>54.899999999999999</v>
      </c>
      <c r="I3148" s="9">
        <f>H3148-G3148</f>
        <v>8.2349999999999994</v>
      </c>
    </row>
    <row r="3149" ht="14.25">
      <c r="A3149" s="12">
        <v>89258</v>
      </c>
      <c r="B3149" s="6" t="s">
        <v>3213</v>
      </c>
      <c r="C3149" s="7" t="s">
        <v>36</v>
      </c>
      <c r="D3149" s="7" t="s">
        <v>11</v>
      </c>
      <c r="E3149" s="5" t="s">
        <v>26</v>
      </c>
      <c r="F3149" s="8"/>
      <c r="G3149" s="9">
        <f>H3149*(1-15%)*(1-F3149)</f>
        <v>148.66499999999999</v>
      </c>
      <c r="H3149" s="9">
        <v>174.90000000000001</v>
      </c>
      <c r="I3149" s="9">
        <f>H3149-G3149</f>
        <v>26.235000000000014</v>
      </c>
    </row>
    <row r="3150" ht="14.25">
      <c r="A3150" s="12">
        <v>89397</v>
      </c>
      <c r="B3150" s="6" t="s">
        <v>3214</v>
      </c>
      <c r="C3150" s="7" t="s">
        <v>1446</v>
      </c>
      <c r="D3150" s="7" t="s">
        <v>1447</v>
      </c>
      <c r="E3150" s="5" t="s">
        <v>3192</v>
      </c>
      <c r="F3150" s="8"/>
      <c r="G3150" s="9">
        <f>H3150*(1-15%)*(1-F3150)</f>
        <v>19.125</v>
      </c>
      <c r="H3150" s="9">
        <v>22.5</v>
      </c>
      <c r="I3150" s="9">
        <f>H3150-G3150</f>
        <v>3.375</v>
      </c>
    </row>
    <row r="3151" ht="14.25">
      <c r="A3151" s="12">
        <v>89398</v>
      </c>
      <c r="B3151" s="6" t="s">
        <v>3215</v>
      </c>
      <c r="C3151" s="7" t="s">
        <v>1446</v>
      </c>
      <c r="D3151" s="7" t="s">
        <v>1447</v>
      </c>
      <c r="E3151" s="5" t="s">
        <v>3192</v>
      </c>
      <c r="F3151" s="8"/>
      <c r="G3151" s="9">
        <f>H3151*(1-15%)*(1-F3151)</f>
        <v>3.9099999999999997</v>
      </c>
      <c r="H3151" s="9">
        <v>4.5999999999999996</v>
      </c>
      <c r="I3151" s="9">
        <f>H3151-G3151</f>
        <v>0.68999999999999995</v>
      </c>
    </row>
    <row r="3152" ht="14.25">
      <c r="A3152" s="12">
        <v>89399</v>
      </c>
      <c r="B3152" s="6" t="s">
        <v>3216</v>
      </c>
      <c r="C3152" s="7" t="s">
        <v>1446</v>
      </c>
      <c r="D3152" s="7" t="s">
        <v>1447</v>
      </c>
      <c r="E3152" s="5" t="s">
        <v>3192</v>
      </c>
      <c r="F3152" s="8"/>
      <c r="G3152" s="9">
        <f>H3152*(1-15%)*(1-F3152)</f>
        <v>10.199999999999999</v>
      </c>
      <c r="H3152" s="9">
        <v>12</v>
      </c>
      <c r="I3152" s="9">
        <f>H3152-G3152</f>
        <v>1.8000000000000007</v>
      </c>
    </row>
    <row r="3153" ht="14.25">
      <c r="A3153" s="12">
        <v>89400</v>
      </c>
      <c r="B3153" s="6" t="s">
        <v>3217</v>
      </c>
      <c r="C3153" s="7" t="s">
        <v>1446</v>
      </c>
      <c r="D3153" s="7" t="s">
        <v>1447</v>
      </c>
      <c r="E3153" s="5" t="s">
        <v>3192</v>
      </c>
      <c r="F3153" s="8"/>
      <c r="G3153" s="9">
        <f>H3153*(1-15%)*(1-F3153)</f>
        <v>5.0150000000000006</v>
      </c>
      <c r="H3153" s="9">
        <v>5.9000000000000004</v>
      </c>
      <c r="I3153" s="9">
        <f>H3153-G3153</f>
        <v>0.88499999999999979</v>
      </c>
    </row>
    <row r="3154" ht="14.25">
      <c r="A3154" s="12">
        <v>89401</v>
      </c>
      <c r="B3154" s="6" t="s">
        <v>3218</v>
      </c>
      <c r="C3154" s="7" t="s">
        <v>1446</v>
      </c>
      <c r="D3154" s="7" t="s">
        <v>1447</v>
      </c>
      <c r="E3154" s="5" t="s">
        <v>3192</v>
      </c>
      <c r="F3154" s="8"/>
      <c r="G3154" s="9">
        <f>H3154*(1-15%)*(1-F3154)</f>
        <v>12.834999999999999</v>
      </c>
      <c r="H3154" s="9">
        <v>15.1</v>
      </c>
      <c r="I3154" s="9">
        <f>H3154-G3154</f>
        <v>2.2650000000000006</v>
      </c>
    </row>
    <row r="3155" ht="14.25">
      <c r="A3155" s="12">
        <v>89402</v>
      </c>
      <c r="B3155" s="6" t="s">
        <v>3219</v>
      </c>
      <c r="C3155" s="7" t="s">
        <v>1446</v>
      </c>
      <c r="D3155" s="7" t="s">
        <v>1447</v>
      </c>
      <c r="E3155" s="5" t="s">
        <v>3192</v>
      </c>
      <c r="F3155" s="8"/>
      <c r="G3155" s="9">
        <f>H3155*(1-15%)*(1-F3155)</f>
        <v>8.9249999999999989</v>
      </c>
      <c r="H3155" s="9">
        <v>10.5</v>
      </c>
      <c r="I3155" s="9">
        <f>H3155-G3155</f>
        <v>1.5750000000000011</v>
      </c>
    </row>
    <row r="3156" ht="14.25">
      <c r="A3156" s="12">
        <v>89420</v>
      </c>
      <c r="B3156" s="6" t="s">
        <v>3220</v>
      </c>
      <c r="C3156" s="7" t="s">
        <v>75</v>
      </c>
      <c r="D3156" s="7" t="s">
        <v>45</v>
      </c>
      <c r="E3156" s="5" t="s">
        <v>3192</v>
      </c>
      <c r="F3156" s="8"/>
      <c r="G3156" s="9">
        <f>H3156*(1-15%)*(1-F3156)</f>
        <v>57.715000000000003</v>
      </c>
      <c r="H3156" s="9">
        <v>67.900000000000006</v>
      </c>
      <c r="I3156" s="9">
        <f>H3156-G3156</f>
        <v>10.185000000000002</v>
      </c>
    </row>
    <row r="3157" ht="14.25">
      <c r="A3157" s="12">
        <v>89421</v>
      </c>
      <c r="B3157" s="6" t="s">
        <v>3221</v>
      </c>
      <c r="C3157" s="7" t="s">
        <v>75</v>
      </c>
      <c r="D3157" s="7" t="s">
        <v>45</v>
      </c>
      <c r="E3157" s="5" t="s">
        <v>3192</v>
      </c>
      <c r="F3157" s="8"/>
      <c r="G3157" s="9">
        <f>H3157*(1-15%)*(1-F3157)</f>
        <v>55.165000000000006</v>
      </c>
      <c r="H3157" s="9">
        <v>64.900000000000006</v>
      </c>
      <c r="I3157" s="9">
        <f>H3157-G3157</f>
        <v>9.7349999999999994</v>
      </c>
    </row>
    <row r="3158" ht="14.25">
      <c r="A3158" s="12">
        <v>89422</v>
      </c>
      <c r="B3158" s="6" t="s">
        <v>3222</v>
      </c>
      <c r="C3158" s="7" t="s">
        <v>75</v>
      </c>
      <c r="D3158" s="7" t="s">
        <v>45</v>
      </c>
      <c r="E3158" s="5" t="s">
        <v>133</v>
      </c>
      <c r="F3158" s="8"/>
      <c r="G3158" s="9">
        <f>H3158*(1-15%)*(1-F3158)</f>
        <v>73.865000000000009</v>
      </c>
      <c r="H3158" s="9">
        <v>86.900000000000006</v>
      </c>
      <c r="I3158" s="9">
        <f>H3158-G3158</f>
        <v>13.034999999999997</v>
      </c>
    </row>
    <row r="3159" ht="14.25">
      <c r="A3159" s="12">
        <v>89446</v>
      </c>
      <c r="B3159" s="6" t="s">
        <v>3223</v>
      </c>
      <c r="C3159" s="7" t="s">
        <v>70</v>
      </c>
      <c r="D3159" s="7" t="s">
        <v>45</v>
      </c>
      <c r="E3159" s="5" t="s">
        <v>26</v>
      </c>
      <c r="F3159" s="8"/>
      <c r="G3159" s="9">
        <f>H3159*(1-15%)*(1-F3159)</f>
        <v>101.91500000000001</v>
      </c>
      <c r="H3159" s="9">
        <v>119.90000000000001</v>
      </c>
      <c r="I3159" s="9">
        <f>H3159-G3159</f>
        <v>17.984999999999999</v>
      </c>
    </row>
    <row r="3160" ht="14.25">
      <c r="A3160" s="12">
        <v>89494</v>
      </c>
      <c r="B3160" s="6" t="s">
        <v>3224</v>
      </c>
      <c r="C3160" s="7" t="s">
        <v>65</v>
      </c>
      <c r="D3160" s="7" t="s">
        <v>103</v>
      </c>
      <c r="E3160" s="5" t="s">
        <v>26</v>
      </c>
      <c r="F3160" s="8"/>
      <c r="G3160" s="9">
        <f>H3160*(1-15%)*(1-F3160)</f>
        <v>32.214999999999996</v>
      </c>
      <c r="H3160" s="9">
        <v>37.899999999999999</v>
      </c>
      <c r="I3160" s="9">
        <f>H3160-G3160</f>
        <v>5.6850000000000023</v>
      </c>
    </row>
    <row r="3161" ht="14.25">
      <c r="A3161" s="12">
        <v>90308</v>
      </c>
      <c r="B3161" s="6" t="s">
        <v>3225</v>
      </c>
      <c r="C3161" s="7" t="s">
        <v>624</v>
      </c>
      <c r="D3161" s="7" t="s">
        <v>11</v>
      </c>
      <c r="E3161" s="5" t="s">
        <v>68</v>
      </c>
      <c r="F3161" s="8"/>
      <c r="G3161" s="9">
        <f>H3161*(1-15%)*(1-F3161)</f>
        <v>182.66499999999999</v>
      </c>
      <c r="H3161" s="9">
        <v>214.90000000000001</v>
      </c>
      <c r="I3161" s="9">
        <f>H3161-G3161</f>
        <v>32.235000000000014</v>
      </c>
    </row>
    <row r="3162" ht="14.25">
      <c r="A3162" s="12">
        <v>94216</v>
      </c>
      <c r="B3162" s="6" t="s">
        <v>3226</v>
      </c>
      <c r="C3162" s="7" t="s">
        <v>426</v>
      </c>
      <c r="D3162" s="7" t="s">
        <v>61</v>
      </c>
      <c r="E3162" s="5" t="s">
        <v>68</v>
      </c>
      <c r="F3162" s="8"/>
      <c r="G3162" s="9">
        <f>H3162*(1-15%)*(1-F3162)</f>
        <v>118.91500000000001</v>
      </c>
      <c r="H3162" s="9">
        <v>139.90000000000001</v>
      </c>
      <c r="I3162" s="9">
        <f>H3162-G3162</f>
        <v>20.984999999999999</v>
      </c>
    </row>
    <row r="3163" ht="14.25">
      <c r="A3163" s="5">
        <v>4509</v>
      </c>
      <c r="B3163" s="13" t="s">
        <v>3227</v>
      </c>
      <c r="C3163" s="7" t="s">
        <v>426</v>
      </c>
      <c r="D3163" s="7" t="s">
        <v>219</v>
      </c>
      <c r="E3163" s="5" t="s">
        <v>68</v>
      </c>
      <c r="F3163" s="8"/>
      <c r="G3163" s="9">
        <f>H3163*(1-15%)*(1-F3163)</f>
        <v>127.41500000000001</v>
      </c>
      <c r="H3163" s="9">
        <v>149.90000000000001</v>
      </c>
      <c r="I3163" s="9">
        <f>H3163-G3163</f>
        <v>22.484999999999999</v>
      </c>
    </row>
    <row r="3164" ht="14.25">
      <c r="A3164" s="5">
        <v>49242</v>
      </c>
      <c r="B3164" s="13" t="s">
        <v>3228</v>
      </c>
      <c r="C3164" s="7" t="s">
        <v>21</v>
      </c>
      <c r="D3164" s="7" t="s">
        <v>71</v>
      </c>
      <c r="E3164" s="5" t="s">
        <v>133</v>
      </c>
      <c r="F3164" s="8"/>
      <c r="G3164" s="9">
        <f>H3164*(1-15%)*(1-F3164)</f>
        <v>33.914999999999999</v>
      </c>
      <c r="H3164" s="9">
        <v>39.899999999999999</v>
      </c>
      <c r="I3164" s="9">
        <f>H3164-G3164</f>
        <v>5.9849999999999994</v>
      </c>
    </row>
    <row r="3165" ht="14.25">
      <c r="A3165" s="5">
        <v>55194</v>
      </c>
      <c r="B3165" s="13" t="s">
        <v>3229</v>
      </c>
      <c r="C3165" s="7" t="s">
        <v>2990</v>
      </c>
      <c r="D3165" s="7" t="s">
        <v>52</v>
      </c>
      <c r="E3165" s="5" t="s">
        <v>43</v>
      </c>
      <c r="F3165" s="8"/>
      <c r="G3165" s="9">
        <f>H3165*(1-15%)*(1-F3165)</f>
        <v>42.414999999999999</v>
      </c>
      <c r="H3165" s="9">
        <v>49.899999999999999</v>
      </c>
      <c r="I3165" s="9">
        <f>H3165-G3165</f>
        <v>7.4849999999999994</v>
      </c>
    </row>
    <row r="3166" ht="14.25">
      <c r="A3166" s="5">
        <v>85051</v>
      </c>
      <c r="B3166" s="13" t="s">
        <v>3230</v>
      </c>
      <c r="C3166" s="7" t="s">
        <v>75</v>
      </c>
      <c r="D3166" s="7" t="s">
        <v>583</v>
      </c>
      <c r="E3166" s="5" t="s">
        <v>3192</v>
      </c>
      <c r="F3166" s="8"/>
      <c r="G3166" s="9">
        <f>H3166*(1-15%)*(1-F3166)</f>
        <v>62.815000000000005</v>
      </c>
      <c r="H3166" s="9">
        <v>73.900000000000006</v>
      </c>
      <c r="I3166" s="9">
        <f>H3166-G3166</f>
        <v>11.085000000000001</v>
      </c>
    </row>
    <row r="3167" ht="14.25">
      <c r="A3167" s="5">
        <v>85052</v>
      </c>
      <c r="B3167" s="13" t="s">
        <v>3231</v>
      </c>
      <c r="C3167" s="7" t="s">
        <v>75</v>
      </c>
      <c r="D3167" s="7" t="s">
        <v>583</v>
      </c>
      <c r="E3167" s="5" t="s">
        <v>26</v>
      </c>
      <c r="F3167" s="8"/>
      <c r="G3167" s="9">
        <f>H3167*(1-15%)*(1-F3167)</f>
        <v>62.815000000000005</v>
      </c>
      <c r="H3167" s="9">
        <v>73.900000000000006</v>
      </c>
      <c r="I3167" s="9">
        <f>H3167-G3167</f>
        <v>11.085000000000001</v>
      </c>
    </row>
    <row r="3168" ht="14.25">
      <c r="A3168" s="5">
        <v>85058</v>
      </c>
      <c r="B3168" s="13" t="s">
        <v>3232</v>
      </c>
      <c r="C3168" s="7" t="s">
        <v>75</v>
      </c>
      <c r="D3168" s="7" t="s">
        <v>583</v>
      </c>
      <c r="E3168" s="5" t="s">
        <v>3192</v>
      </c>
      <c r="F3168" s="8"/>
      <c r="G3168" s="9">
        <f>H3168*(1-15%)*(1-F3168)</f>
        <v>62.815000000000005</v>
      </c>
      <c r="H3168" s="9">
        <v>73.900000000000006</v>
      </c>
      <c r="I3168" s="9">
        <f>H3168-G3168</f>
        <v>11.085000000000001</v>
      </c>
    </row>
    <row r="3169" ht="14.25">
      <c r="A3169" s="5">
        <v>85096</v>
      </c>
      <c r="B3169" s="13" t="s">
        <v>3233</v>
      </c>
      <c r="C3169" s="7" t="s">
        <v>75</v>
      </c>
      <c r="D3169" s="7" t="s">
        <v>583</v>
      </c>
      <c r="E3169" s="5" t="s">
        <v>3192</v>
      </c>
      <c r="F3169" s="8"/>
      <c r="G3169" s="9">
        <f>H3169*(1-15%)*(1-F3169)</f>
        <v>80.665000000000006</v>
      </c>
      <c r="H3169" s="9">
        <v>94.900000000000006</v>
      </c>
      <c r="I3169" s="9">
        <f>H3169-G3169</f>
        <v>14.234999999999999</v>
      </c>
    </row>
    <row r="3170" ht="14.25">
      <c r="A3170" s="5">
        <v>85097</v>
      </c>
      <c r="B3170" s="13" t="s">
        <v>3234</v>
      </c>
      <c r="C3170" s="7" t="s">
        <v>75</v>
      </c>
      <c r="D3170" s="7" t="s">
        <v>583</v>
      </c>
      <c r="E3170" s="5" t="s">
        <v>26</v>
      </c>
      <c r="F3170" s="8"/>
      <c r="G3170" s="9">
        <f>H3170*(1-15%)*(1-F3170)</f>
        <v>80.665000000000006</v>
      </c>
      <c r="H3170" s="9">
        <v>94.900000000000006</v>
      </c>
      <c r="I3170" s="9">
        <f>H3170-G3170</f>
        <v>14.234999999999999</v>
      </c>
    </row>
    <row r="3171" ht="14.25">
      <c r="A3171" s="5">
        <v>85098</v>
      </c>
      <c r="B3171" s="13" t="s">
        <v>3235</v>
      </c>
      <c r="C3171" s="7" t="s">
        <v>75</v>
      </c>
      <c r="D3171" s="7" t="s">
        <v>583</v>
      </c>
      <c r="E3171" s="5" t="s">
        <v>3192</v>
      </c>
      <c r="F3171" s="8"/>
      <c r="G3171" s="9">
        <f>H3171*(1-15%)*(1-F3171)</f>
        <v>80.665000000000006</v>
      </c>
      <c r="H3171" s="9">
        <v>94.900000000000006</v>
      </c>
      <c r="I3171" s="9">
        <f>H3171-G3171</f>
        <v>14.234999999999999</v>
      </c>
    </row>
    <row r="3172" ht="14.25">
      <c r="A3172" s="5">
        <v>85099</v>
      </c>
      <c r="B3172" s="13" t="s">
        <v>3236</v>
      </c>
      <c r="C3172" s="7" t="s">
        <v>75</v>
      </c>
      <c r="D3172" s="7" t="s">
        <v>583</v>
      </c>
      <c r="E3172" s="5" t="s">
        <v>3192</v>
      </c>
      <c r="F3172" s="8"/>
      <c r="G3172" s="9">
        <f>H3172*(1-15%)*(1-F3172)</f>
        <v>80.665000000000006</v>
      </c>
      <c r="H3172" s="9">
        <v>94.900000000000006</v>
      </c>
      <c r="I3172" s="9">
        <f>H3172-G3172</f>
        <v>14.234999999999999</v>
      </c>
    </row>
    <row r="3173" ht="14.25">
      <c r="A3173" s="5">
        <v>86028</v>
      </c>
      <c r="B3173" s="13" t="s">
        <v>3237</v>
      </c>
      <c r="C3173" s="7" t="s">
        <v>14</v>
      </c>
      <c r="D3173" s="7" t="s">
        <v>183</v>
      </c>
      <c r="E3173" s="5" t="s">
        <v>3192</v>
      </c>
      <c r="F3173" s="8"/>
      <c r="G3173" s="9">
        <f>H3173*(1-15%)*(1-F3173)</f>
        <v>84.915000000000006</v>
      </c>
      <c r="H3173" s="9">
        <v>99.900000000000006</v>
      </c>
      <c r="I3173" s="9">
        <f>H3173-G3173</f>
        <v>14.984999999999999</v>
      </c>
    </row>
    <row r="3174" ht="14.25">
      <c r="A3174" s="5">
        <v>86077</v>
      </c>
      <c r="B3174" s="13" t="s">
        <v>3238</v>
      </c>
      <c r="C3174" s="7" t="s">
        <v>21</v>
      </c>
      <c r="D3174" s="7" t="s">
        <v>71</v>
      </c>
      <c r="E3174" s="5" t="s">
        <v>3192</v>
      </c>
      <c r="F3174" s="8"/>
      <c r="G3174" s="9">
        <f>H3174*(1-15%)*(1-F3174)</f>
        <v>33.914999999999999</v>
      </c>
      <c r="H3174" s="9">
        <v>39.899999999999999</v>
      </c>
      <c r="I3174" s="9">
        <f>H3174-G3174</f>
        <v>5.9849999999999994</v>
      </c>
    </row>
    <row r="3175" ht="14.25">
      <c r="A3175" s="5">
        <v>87951</v>
      </c>
      <c r="B3175" s="13" t="s">
        <v>3239</v>
      </c>
      <c r="C3175" s="7" t="s">
        <v>3240</v>
      </c>
      <c r="D3175" s="7" t="s">
        <v>11</v>
      </c>
      <c r="E3175" s="5" t="s">
        <v>3192</v>
      </c>
      <c r="F3175" s="8"/>
      <c r="G3175" s="9">
        <f>H3175*(1-15%)*(1-F3175)</f>
        <v>330.64999999999998</v>
      </c>
      <c r="H3175" s="9">
        <v>389</v>
      </c>
      <c r="I3175" s="9">
        <f>H3175-G3175</f>
        <v>58.350000000000023</v>
      </c>
    </row>
    <row r="3176" ht="14.25">
      <c r="A3176" s="5">
        <v>88305</v>
      </c>
      <c r="B3176" s="13" t="s">
        <v>3241</v>
      </c>
      <c r="C3176" s="7" t="s">
        <v>10</v>
      </c>
      <c r="D3176" s="7" t="s">
        <v>11</v>
      </c>
      <c r="E3176" s="5" t="s">
        <v>3192</v>
      </c>
      <c r="F3176" s="8"/>
      <c r="G3176" s="9">
        <f>H3176*(1-15%)*(1-F3176)</f>
        <v>93.415000000000006</v>
      </c>
      <c r="H3176" s="9">
        <v>109.90000000000001</v>
      </c>
      <c r="I3176" s="9">
        <f>H3176-G3176</f>
        <v>16.484999999999999</v>
      </c>
    </row>
    <row r="3177" ht="14.25">
      <c r="A3177" s="5">
        <v>88306</v>
      </c>
      <c r="B3177" s="13" t="s">
        <v>3242</v>
      </c>
      <c r="C3177" s="7" t="s">
        <v>33</v>
      </c>
      <c r="D3177" s="7" t="s">
        <v>11</v>
      </c>
      <c r="E3177" s="5" t="s">
        <v>3192</v>
      </c>
      <c r="F3177" s="8"/>
      <c r="G3177" s="9">
        <f>H3177*(1-15%)*(1-F3177)</f>
        <v>101.91500000000001</v>
      </c>
      <c r="H3177" s="9">
        <v>119.90000000000001</v>
      </c>
      <c r="I3177" s="9">
        <f>H3177-G3177</f>
        <v>17.984999999999999</v>
      </c>
    </row>
    <row r="3178" ht="14.25">
      <c r="A3178" s="5">
        <v>88688</v>
      </c>
      <c r="B3178" s="13" t="s">
        <v>3243</v>
      </c>
      <c r="C3178" s="7" t="s">
        <v>82</v>
      </c>
      <c r="D3178" s="7" t="s">
        <v>45</v>
      </c>
      <c r="E3178" s="5" t="s">
        <v>43</v>
      </c>
      <c r="F3178" s="8"/>
      <c r="G3178" s="9">
        <f>H3178*(1-15%)*(1-F3178)</f>
        <v>63.665000000000006</v>
      </c>
      <c r="H3178" s="9">
        <v>74.900000000000006</v>
      </c>
      <c r="I3178" s="9">
        <f>H3178-G3178</f>
        <v>11.234999999999999</v>
      </c>
    </row>
    <row r="3179" ht="14.25">
      <c r="A3179" s="5">
        <v>88691</v>
      </c>
      <c r="B3179" s="13" t="s">
        <v>3244</v>
      </c>
      <c r="C3179" s="7" t="s">
        <v>82</v>
      </c>
      <c r="D3179" s="7" t="s">
        <v>45</v>
      </c>
      <c r="E3179" s="5" t="s">
        <v>26</v>
      </c>
      <c r="F3179" s="8"/>
      <c r="G3179" s="9">
        <f>H3179*(1-15%)*(1-F3179)</f>
        <v>63.665000000000006</v>
      </c>
      <c r="H3179" s="9">
        <v>74.900000000000006</v>
      </c>
      <c r="I3179" s="9">
        <f>H3179-G3179</f>
        <v>11.234999999999999</v>
      </c>
    </row>
    <row r="3180" ht="14.25">
      <c r="A3180" s="5">
        <v>88694</v>
      </c>
      <c r="B3180" s="13" t="s">
        <v>3245</v>
      </c>
      <c r="C3180" s="7" t="s">
        <v>82</v>
      </c>
      <c r="D3180" s="7" t="s">
        <v>45</v>
      </c>
      <c r="E3180" s="5" t="s">
        <v>26</v>
      </c>
      <c r="F3180" s="8"/>
      <c r="G3180" s="9">
        <f>H3180*(1-15%)*(1-F3180)</f>
        <v>63.665000000000006</v>
      </c>
      <c r="H3180" s="9">
        <v>74.900000000000006</v>
      </c>
      <c r="I3180" s="9">
        <f>H3180-G3180</f>
        <v>11.234999999999999</v>
      </c>
    </row>
    <row r="3181" ht="14.25">
      <c r="A3181" s="5">
        <v>88697</v>
      </c>
      <c r="B3181" s="13" t="s">
        <v>3246</v>
      </c>
      <c r="C3181" s="7" t="s">
        <v>82</v>
      </c>
      <c r="D3181" s="7" t="s">
        <v>45</v>
      </c>
      <c r="E3181" s="5" t="s">
        <v>3192</v>
      </c>
      <c r="F3181" s="8"/>
      <c r="G3181" s="9">
        <f>H3181*(1-15%)*(1-F3181)</f>
        <v>63.665000000000006</v>
      </c>
      <c r="H3181" s="9">
        <v>74.900000000000006</v>
      </c>
      <c r="I3181" s="9">
        <f>H3181-G3181</f>
        <v>11.234999999999999</v>
      </c>
    </row>
    <row r="3182" ht="14.25">
      <c r="A3182" s="5">
        <v>88700</v>
      </c>
      <c r="B3182" s="13" t="s">
        <v>3247</v>
      </c>
      <c r="C3182" s="7" t="s">
        <v>82</v>
      </c>
      <c r="D3182" s="7" t="s">
        <v>45</v>
      </c>
      <c r="E3182" s="5" t="s">
        <v>43</v>
      </c>
      <c r="F3182" s="8"/>
      <c r="G3182" s="9">
        <f>H3182*(1-15%)*(1-F3182)</f>
        <v>63.665000000000006</v>
      </c>
      <c r="H3182" s="9">
        <v>74.900000000000006</v>
      </c>
      <c r="I3182" s="9">
        <f>H3182-G3182</f>
        <v>11.234999999999999</v>
      </c>
    </row>
    <row r="3183" ht="14.25">
      <c r="A3183" s="5">
        <v>88730</v>
      </c>
      <c r="B3183" s="13" t="s">
        <v>3248</v>
      </c>
      <c r="C3183" s="7" t="s">
        <v>75</v>
      </c>
      <c r="D3183" s="7" t="s">
        <v>583</v>
      </c>
      <c r="E3183" s="5" t="s">
        <v>3192</v>
      </c>
      <c r="F3183" s="8"/>
      <c r="G3183" s="9">
        <f>H3183*(1-15%)*(1-F3183)</f>
        <v>80.665000000000006</v>
      </c>
      <c r="H3183" s="9">
        <v>94.900000000000006</v>
      </c>
      <c r="I3183" s="9">
        <f>H3183-G3183</f>
        <v>14.234999999999999</v>
      </c>
    </row>
    <row r="3184" ht="14.25">
      <c r="A3184" s="5">
        <v>89299</v>
      </c>
      <c r="B3184" s="13" t="s">
        <v>3249</v>
      </c>
      <c r="C3184" s="7" t="s">
        <v>201</v>
      </c>
      <c r="D3184" s="7" t="s">
        <v>61</v>
      </c>
      <c r="E3184" s="5" t="s">
        <v>3192</v>
      </c>
      <c r="F3184" s="8"/>
      <c r="G3184" s="9">
        <f>H3184*(1-15%)*(1-F3184)</f>
        <v>1190</v>
      </c>
      <c r="H3184" s="9">
        <v>1400</v>
      </c>
      <c r="I3184" s="9">
        <f>H3184-G3184</f>
        <v>210</v>
      </c>
    </row>
    <row r="3185" ht="14.25">
      <c r="A3185" s="5">
        <v>89300</v>
      </c>
      <c r="B3185" s="13" t="s">
        <v>3250</v>
      </c>
      <c r="C3185" s="7" t="s">
        <v>201</v>
      </c>
      <c r="D3185" s="7" t="s">
        <v>61</v>
      </c>
      <c r="E3185" s="5" t="s">
        <v>3192</v>
      </c>
      <c r="F3185" s="8"/>
      <c r="G3185" s="9">
        <f>H3185*(1-15%)*(1-F3185)</f>
        <v>509.91499999999996</v>
      </c>
      <c r="H3185" s="9">
        <v>599.89999999999998</v>
      </c>
      <c r="I3185" s="9">
        <f>H3185-G3185</f>
        <v>89.985000000000014</v>
      </c>
    </row>
    <row r="3186" ht="14.25">
      <c r="A3186" s="5">
        <v>94378</v>
      </c>
      <c r="B3186" s="13" t="s">
        <v>3251</v>
      </c>
      <c r="C3186" s="7" t="s">
        <v>1446</v>
      </c>
      <c r="D3186" s="7" t="s">
        <v>1447</v>
      </c>
      <c r="E3186" s="5" t="s">
        <v>3192</v>
      </c>
      <c r="F3186" s="8"/>
      <c r="G3186" s="9">
        <f>H3186*(1-15%)*(1-F3186)</f>
        <v>1.02</v>
      </c>
      <c r="H3186" s="9">
        <v>1.2</v>
      </c>
      <c r="I3186" s="9">
        <f>H3186-G3186</f>
        <v>0.17999999999999994</v>
      </c>
    </row>
    <row r="3187" ht="14.25">
      <c r="A3187" s="5">
        <v>95139</v>
      </c>
      <c r="B3187" s="13" t="s">
        <v>3252</v>
      </c>
      <c r="C3187" s="7" t="s">
        <v>1446</v>
      </c>
      <c r="D3187" s="7" t="s">
        <v>1447</v>
      </c>
      <c r="E3187" s="5" t="s">
        <v>3192</v>
      </c>
      <c r="F3187" s="8"/>
      <c r="G3187" s="9">
        <f>H3187*(1-15%)*(1-F3187)</f>
        <v>3.774</v>
      </c>
      <c r="H3187" s="9">
        <v>4.4400000000000004</v>
      </c>
      <c r="I3187" s="9">
        <f>H3187-G3187</f>
        <v>0.66600000000000037</v>
      </c>
    </row>
    <row r="3188" ht="14.25">
      <c r="A3188" s="5">
        <v>86464</v>
      </c>
      <c r="B3188" s="13" t="s">
        <v>3253</v>
      </c>
      <c r="C3188" s="7" t="s">
        <v>36</v>
      </c>
      <c r="D3188" s="7" t="s">
        <v>61</v>
      </c>
      <c r="E3188" s="5" t="s">
        <v>43</v>
      </c>
      <c r="F3188" s="8"/>
      <c r="G3188" s="9">
        <f>H3188*(1-15%)*(1-F3188)</f>
        <v>152.91499999999999</v>
      </c>
      <c r="H3188" s="9">
        <v>179.90000000000001</v>
      </c>
      <c r="I3188" s="9">
        <f>H3188-G3188</f>
        <v>26.985000000000014</v>
      </c>
    </row>
    <row r="3189" ht="14.25">
      <c r="A3189" s="5">
        <v>86504</v>
      </c>
      <c r="B3189" s="13" t="s">
        <v>3254</v>
      </c>
      <c r="C3189" s="7" t="s">
        <v>1656</v>
      </c>
      <c r="D3189" s="7" t="s">
        <v>347</v>
      </c>
      <c r="E3189" s="5" t="s">
        <v>43</v>
      </c>
      <c r="F3189" s="8"/>
      <c r="G3189" s="9">
        <f>H3189*(1-15%)*(1-F3189)</f>
        <v>97.665000000000006</v>
      </c>
      <c r="H3189" s="9">
        <v>114.90000000000001</v>
      </c>
      <c r="I3189" s="9">
        <f>H3189-G3189</f>
        <v>17.234999999999999</v>
      </c>
    </row>
    <row r="3190" ht="14.25">
      <c r="A3190" s="5">
        <v>86505</v>
      </c>
      <c r="B3190" s="13" t="s">
        <v>3255</v>
      </c>
      <c r="C3190" s="7" t="s">
        <v>1656</v>
      </c>
      <c r="D3190" s="7" t="s">
        <v>347</v>
      </c>
      <c r="E3190" s="5" t="s">
        <v>26</v>
      </c>
      <c r="F3190" s="8"/>
      <c r="G3190" s="9">
        <f>H3190*(1-15%)*(1-F3190)</f>
        <v>97.665000000000006</v>
      </c>
      <c r="H3190" s="9">
        <v>114.90000000000001</v>
      </c>
      <c r="I3190" s="9">
        <f>H3190-G3190</f>
        <v>17.234999999999999</v>
      </c>
    </row>
    <row r="3191" ht="14.25">
      <c r="A3191" s="5">
        <v>87988</v>
      </c>
      <c r="B3191" s="13" t="s">
        <v>3256</v>
      </c>
      <c r="C3191" s="7" t="s">
        <v>10</v>
      </c>
      <c r="D3191" s="7" t="s">
        <v>71</v>
      </c>
      <c r="E3191" s="5" t="s">
        <v>43</v>
      </c>
      <c r="F3191" s="8"/>
      <c r="G3191" s="9">
        <f>H3191*(1-15%)*(1-F3191)</f>
        <v>42.414999999999999</v>
      </c>
      <c r="H3191" s="9">
        <v>49.899999999999999</v>
      </c>
      <c r="I3191" s="9">
        <f>H3191-G3191</f>
        <v>7.4849999999999994</v>
      </c>
    </row>
    <row r="3192" ht="14.25">
      <c r="A3192" s="5">
        <v>88340</v>
      </c>
      <c r="B3192" s="13" t="s">
        <v>3257</v>
      </c>
      <c r="C3192" s="7" t="s">
        <v>1656</v>
      </c>
      <c r="D3192" s="7" t="s">
        <v>347</v>
      </c>
      <c r="E3192" s="5" t="s">
        <v>26</v>
      </c>
      <c r="F3192" s="8"/>
      <c r="G3192" s="9">
        <f>H3192*(1-15%)*(1-F3192)</f>
        <v>80.665000000000006</v>
      </c>
      <c r="H3192" s="9">
        <v>94.900000000000006</v>
      </c>
      <c r="I3192" s="9">
        <f>H3192-G3192</f>
        <v>14.234999999999999</v>
      </c>
    </row>
    <row r="3193" ht="14.25">
      <c r="A3193" s="5">
        <v>90151</v>
      </c>
      <c r="B3193" s="13" t="s">
        <v>3258</v>
      </c>
      <c r="C3193" s="7" t="s">
        <v>94</v>
      </c>
      <c r="D3193" s="7" t="s">
        <v>95</v>
      </c>
      <c r="E3193" s="5" t="s">
        <v>43</v>
      </c>
      <c r="F3193" s="8"/>
      <c r="G3193" s="9">
        <f>H3193*(1-15%)*(1-F3193)</f>
        <v>59.415000000000006</v>
      </c>
      <c r="H3193" s="9">
        <v>69.900000000000006</v>
      </c>
      <c r="I3193" s="9">
        <f>H3193-G3193</f>
        <v>10.484999999999999</v>
      </c>
    </row>
    <row r="3194" ht="14.25">
      <c r="A3194" s="5">
        <v>95151</v>
      </c>
      <c r="B3194" s="13" t="s">
        <v>3259</v>
      </c>
      <c r="C3194" s="7" t="s">
        <v>1446</v>
      </c>
      <c r="D3194" s="7" t="s">
        <v>1447</v>
      </c>
      <c r="E3194" s="5" t="s">
        <v>3192</v>
      </c>
      <c r="F3194" s="8"/>
      <c r="G3194" s="9">
        <f>H3194*(1-15%)*(1-F3194)</f>
        <v>16.914999999999999</v>
      </c>
      <c r="H3194" s="9">
        <v>19.899999999999999</v>
      </c>
      <c r="I3194" s="9">
        <f>H3194-G3194</f>
        <v>2.9849999999999994</v>
      </c>
    </row>
    <row r="3195" ht="14.25">
      <c r="A3195" s="5">
        <v>95159</v>
      </c>
      <c r="B3195" s="13" t="s">
        <v>3260</v>
      </c>
      <c r="C3195" s="7" t="s">
        <v>1446</v>
      </c>
      <c r="D3195" s="7" t="s">
        <v>1447</v>
      </c>
      <c r="E3195" s="5" t="s">
        <v>3192</v>
      </c>
      <c r="F3195" s="8"/>
      <c r="G3195" s="9">
        <f>H3195*(1-15%)*(1-F3195)</f>
        <v>42.5</v>
      </c>
      <c r="H3195" s="9">
        <v>50</v>
      </c>
      <c r="I3195" s="9">
        <f>H3195-G3195</f>
        <v>7.5</v>
      </c>
    </row>
    <row r="3196" ht="14.25">
      <c r="A3196" s="5">
        <v>1062</v>
      </c>
      <c r="B3196" s="7" t="s">
        <v>3261</v>
      </c>
      <c r="C3196" s="7" t="s">
        <v>3262</v>
      </c>
      <c r="D3196" s="7" t="s">
        <v>11</v>
      </c>
      <c r="E3196" s="5" t="s">
        <v>43</v>
      </c>
      <c r="F3196" s="8"/>
      <c r="G3196" s="9">
        <f>H3196*(1-30%)*(1-F3196)</f>
        <v>125.92999999999999</v>
      </c>
      <c r="H3196" s="9">
        <v>179.90000000000001</v>
      </c>
      <c r="I3196" s="9">
        <f>H3196-G3196</f>
        <v>53.970000000000013</v>
      </c>
    </row>
    <row r="3197" ht="14.25">
      <c r="A3197" s="5">
        <v>1073</v>
      </c>
      <c r="B3197" s="7" t="s">
        <v>3263</v>
      </c>
      <c r="C3197" s="7" t="s">
        <v>3262</v>
      </c>
      <c r="D3197" s="7" t="s">
        <v>45</v>
      </c>
      <c r="E3197" s="5" t="s">
        <v>43</v>
      </c>
      <c r="F3197" s="8"/>
      <c r="G3197" s="9">
        <f>H3197*(1-30%)*(1-F3197)</f>
        <v>38.493000000000002</v>
      </c>
      <c r="H3197" s="9">
        <v>54.990000000000002</v>
      </c>
      <c r="I3197" s="9">
        <f>H3197-G3197</f>
        <v>16.497</v>
      </c>
    </row>
    <row r="3198" ht="14.25">
      <c r="A3198" s="5">
        <v>1128</v>
      </c>
      <c r="B3198" s="7" t="s">
        <v>3264</v>
      </c>
      <c r="C3198" s="7" t="s">
        <v>3265</v>
      </c>
      <c r="D3198" s="7" t="s">
        <v>110</v>
      </c>
      <c r="E3198" s="5" t="s">
        <v>26</v>
      </c>
      <c r="F3198" s="8"/>
      <c r="G3198" s="9">
        <f>H3198*(1-30%)*(1-F3198)</f>
        <v>37.092999999999996</v>
      </c>
      <c r="H3198" s="9">
        <v>52.990000000000002</v>
      </c>
      <c r="I3198" s="9">
        <f>H3198-G3198</f>
        <v>15.897000000000006</v>
      </c>
    </row>
    <row r="3199" ht="14.25">
      <c r="A3199" s="5">
        <v>1159</v>
      </c>
      <c r="B3199" s="7" t="s">
        <v>3266</v>
      </c>
      <c r="C3199" s="7" t="s">
        <v>3265</v>
      </c>
      <c r="D3199" s="7" t="s">
        <v>110</v>
      </c>
      <c r="E3199" s="5" t="s">
        <v>43</v>
      </c>
      <c r="F3199" s="8"/>
      <c r="G3199" s="9">
        <f>H3199*(1-30%)*(1-F3199)</f>
        <v>51.092999999999996</v>
      </c>
      <c r="H3199" s="9">
        <v>72.989999999999995</v>
      </c>
      <c r="I3199" s="9">
        <f>H3199-G3199</f>
        <v>21.896999999999998</v>
      </c>
    </row>
    <row r="3200" ht="14.25">
      <c r="A3200" s="5">
        <v>1160</v>
      </c>
      <c r="B3200" s="7" t="s">
        <v>3267</v>
      </c>
      <c r="C3200" s="7" t="s">
        <v>3265</v>
      </c>
      <c r="D3200" s="7" t="s">
        <v>110</v>
      </c>
      <c r="E3200" s="5" t="s">
        <v>3268</v>
      </c>
      <c r="F3200" s="8"/>
      <c r="G3200" s="9">
        <f>H3200*(1-30%)*(1-F3200)</f>
        <v>51.092999999999996</v>
      </c>
      <c r="H3200" s="9">
        <v>72.989999999999995</v>
      </c>
      <c r="I3200" s="9">
        <f>H3200-G3200</f>
        <v>21.896999999999998</v>
      </c>
    </row>
    <row r="3201" ht="14.25">
      <c r="A3201" s="5">
        <v>1192</v>
      </c>
      <c r="B3201" s="7" t="s">
        <v>3269</v>
      </c>
      <c r="C3201" s="7" t="s">
        <v>3265</v>
      </c>
      <c r="D3201" s="7" t="s">
        <v>110</v>
      </c>
      <c r="E3201" s="5" t="s">
        <v>26</v>
      </c>
      <c r="F3201" s="8"/>
      <c r="G3201" s="9">
        <f>H3201*(1-30%)*(1-F3201)</f>
        <v>51.092999999999996</v>
      </c>
      <c r="H3201" s="9">
        <v>72.989999999999995</v>
      </c>
      <c r="I3201" s="9">
        <f>H3201-G3201</f>
        <v>21.896999999999998</v>
      </c>
    </row>
    <row r="3202" ht="14.25">
      <c r="A3202" s="5">
        <v>1204</v>
      </c>
      <c r="B3202" s="7" t="s">
        <v>3270</v>
      </c>
      <c r="C3202" s="7" t="s">
        <v>3265</v>
      </c>
      <c r="D3202" s="7" t="s">
        <v>110</v>
      </c>
      <c r="E3202" s="5" t="s">
        <v>3268</v>
      </c>
      <c r="F3202" s="8"/>
      <c r="G3202" s="9">
        <f>H3202*(1-30%)*(1-F3202)</f>
        <v>38.493000000000002</v>
      </c>
      <c r="H3202" s="9">
        <v>54.990000000000002</v>
      </c>
      <c r="I3202" s="9">
        <f>H3202-G3202</f>
        <v>16.497</v>
      </c>
    </row>
    <row r="3203" ht="14.25">
      <c r="A3203" s="5">
        <v>1245</v>
      </c>
      <c r="B3203" s="7" t="s">
        <v>3271</v>
      </c>
      <c r="C3203" s="7" t="s">
        <v>3265</v>
      </c>
      <c r="D3203" s="7" t="s">
        <v>470</v>
      </c>
      <c r="E3203" s="5" t="s">
        <v>39</v>
      </c>
      <c r="F3203" s="8"/>
      <c r="G3203" s="9">
        <f>H3203*(1-30%)*(1-F3203)</f>
        <v>13.992999999999999</v>
      </c>
      <c r="H3203" s="9">
        <v>19.989999999999998</v>
      </c>
      <c r="I3203" s="9">
        <f>H3203-G3203</f>
        <v>5.9969999999999999</v>
      </c>
    </row>
    <row r="3204" ht="14.25">
      <c r="A3204" s="5">
        <v>1246</v>
      </c>
      <c r="B3204" s="7" t="s">
        <v>3272</v>
      </c>
      <c r="C3204" s="7" t="s">
        <v>3265</v>
      </c>
      <c r="D3204" s="7" t="s">
        <v>470</v>
      </c>
      <c r="E3204" s="5" t="s">
        <v>39</v>
      </c>
      <c r="F3204" s="8"/>
      <c r="G3204" s="9">
        <f>H3204*(1-30%)*(1-F3204)</f>
        <v>13.992999999999999</v>
      </c>
      <c r="H3204" s="9">
        <v>19.989999999999998</v>
      </c>
      <c r="I3204" s="9">
        <f>H3204-G3204</f>
        <v>5.9969999999999999</v>
      </c>
    </row>
    <row r="3205" ht="14.25">
      <c r="A3205" s="5">
        <v>1249</v>
      </c>
      <c r="B3205" s="7" t="s">
        <v>3273</v>
      </c>
      <c r="C3205" s="7" t="s">
        <v>3265</v>
      </c>
      <c r="D3205" s="7" t="s">
        <v>110</v>
      </c>
      <c r="E3205" s="5" t="s">
        <v>26</v>
      </c>
      <c r="F3205" s="8"/>
      <c r="G3205" s="9">
        <f>H3205*(1-30%)*(1-F3205)</f>
        <v>41.993000000000002</v>
      </c>
      <c r="H3205" s="9">
        <v>59.990000000000002</v>
      </c>
      <c r="I3205" s="9">
        <f>H3205-G3205</f>
        <v>17.997</v>
      </c>
    </row>
    <row r="3206" ht="14.25">
      <c r="A3206" s="5">
        <v>1278</v>
      </c>
      <c r="B3206" s="7" t="s">
        <v>3274</v>
      </c>
      <c r="C3206" s="7" t="s">
        <v>3265</v>
      </c>
      <c r="D3206" s="7" t="s">
        <v>110</v>
      </c>
      <c r="E3206" s="5" t="s">
        <v>26</v>
      </c>
      <c r="F3206" s="8"/>
      <c r="G3206" s="9">
        <f>H3206*(1-30%)*(1-F3206)</f>
        <v>44.092999999999996</v>
      </c>
      <c r="H3206" s="9">
        <v>62.990000000000002</v>
      </c>
      <c r="I3206" s="9">
        <f>H3206-G3206</f>
        <v>18.897000000000006</v>
      </c>
    </row>
    <row r="3207" ht="14.25">
      <c r="A3207" s="5">
        <v>1324</v>
      </c>
      <c r="B3207" s="7" t="s">
        <v>3275</v>
      </c>
      <c r="C3207" s="7" t="s">
        <v>3276</v>
      </c>
      <c r="D3207" s="7" t="s">
        <v>45</v>
      </c>
      <c r="E3207" s="5" t="s">
        <v>15</v>
      </c>
      <c r="F3207" s="8"/>
      <c r="G3207" s="9">
        <f>H3207*(1-30%)*(1-F3207)</f>
        <v>41.292999999999999</v>
      </c>
      <c r="H3207" s="9">
        <v>58.990000000000002</v>
      </c>
      <c r="I3207" s="9">
        <f>H3207-G3207</f>
        <v>17.697000000000003</v>
      </c>
    </row>
    <row r="3208" ht="14.25">
      <c r="A3208" s="5">
        <v>1454</v>
      </c>
      <c r="B3208" s="7" t="s">
        <v>3277</v>
      </c>
      <c r="C3208" s="7" t="s">
        <v>3265</v>
      </c>
      <c r="D3208" s="7" t="s">
        <v>110</v>
      </c>
      <c r="E3208" s="5" t="s">
        <v>43</v>
      </c>
      <c r="F3208" s="8"/>
      <c r="G3208" s="9">
        <f>H3208*(1-30%)*(1-F3208)</f>
        <v>69.992999999999995</v>
      </c>
      <c r="H3208" s="9">
        <v>99.989999999999995</v>
      </c>
      <c r="I3208" s="9">
        <f>H3208-G3208</f>
        <v>29.997</v>
      </c>
    </row>
    <row r="3209" ht="14.25">
      <c r="A3209" s="5">
        <v>1635</v>
      </c>
      <c r="B3209" s="7" t="s">
        <v>3278</v>
      </c>
      <c r="C3209" s="7" t="s">
        <v>3265</v>
      </c>
      <c r="D3209" s="7" t="s">
        <v>110</v>
      </c>
      <c r="E3209" s="5" t="s">
        <v>26</v>
      </c>
      <c r="F3209" s="8"/>
      <c r="G3209" s="9">
        <f>H3209*(1-30%)*(1-F3209)</f>
        <v>160.99299999999999</v>
      </c>
      <c r="H3209" s="9">
        <v>229.99000000000001</v>
      </c>
      <c r="I3209" s="9">
        <f>H3209-G3209</f>
        <v>68.997000000000014</v>
      </c>
    </row>
    <row r="3210" ht="14.25">
      <c r="A3210" s="5">
        <v>1641</v>
      </c>
      <c r="B3210" s="7" t="s">
        <v>3279</v>
      </c>
      <c r="C3210" s="7" t="s">
        <v>3280</v>
      </c>
      <c r="D3210" s="7" t="s">
        <v>95</v>
      </c>
      <c r="E3210" s="5" t="s">
        <v>43</v>
      </c>
      <c r="F3210" s="8"/>
      <c r="G3210" s="9">
        <f>H3210*(1-30%)*(1-F3210)</f>
        <v>33.592999999999996</v>
      </c>
      <c r="H3210" s="9">
        <v>47.990000000000002</v>
      </c>
      <c r="I3210" s="9">
        <f>H3210-G3210</f>
        <v>14.397000000000006</v>
      </c>
    </row>
    <row r="3211" ht="14.25">
      <c r="A3211" s="5">
        <v>1644</v>
      </c>
      <c r="B3211" s="7" t="s">
        <v>3281</v>
      </c>
      <c r="C3211" s="7" t="s">
        <v>3280</v>
      </c>
      <c r="D3211" s="7" t="s">
        <v>95</v>
      </c>
      <c r="E3211" s="5" t="s">
        <v>43</v>
      </c>
      <c r="F3211" s="8"/>
      <c r="G3211" s="9">
        <f>H3211*(1-30%)*(1-F3211)</f>
        <v>48.992999999999995</v>
      </c>
      <c r="H3211" s="9">
        <v>69.989999999999995</v>
      </c>
      <c r="I3211" s="9">
        <f>H3211-G3211</f>
        <v>20.997</v>
      </c>
    </row>
    <row r="3212" ht="14.25">
      <c r="A3212" s="5">
        <v>1727</v>
      </c>
      <c r="B3212" s="7" t="s">
        <v>3282</v>
      </c>
      <c r="C3212" s="7" t="s">
        <v>3280</v>
      </c>
      <c r="D3212" s="7" t="s">
        <v>95</v>
      </c>
      <c r="E3212" s="5" t="s">
        <v>43</v>
      </c>
      <c r="F3212" s="8"/>
      <c r="G3212" s="9">
        <f>H3212*(1-30%)*(1-F3212)</f>
        <v>37.092999999999996</v>
      </c>
      <c r="H3212" s="9">
        <v>52.990000000000002</v>
      </c>
      <c r="I3212" s="9">
        <f>H3212-G3212</f>
        <v>15.897000000000006</v>
      </c>
    </row>
    <row r="3213" ht="14.25">
      <c r="A3213" s="5">
        <v>1728</v>
      </c>
      <c r="B3213" s="7" t="s">
        <v>3283</v>
      </c>
      <c r="C3213" s="7" t="s">
        <v>3280</v>
      </c>
      <c r="D3213" s="7" t="s">
        <v>95</v>
      </c>
      <c r="E3213" s="5" t="s">
        <v>3268</v>
      </c>
      <c r="F3213" s="8"/>
      <c r="G3213" s="9">
        <f>H3213*(1-30%)*(1-F3213)</f>
        <v>37.092999999999996</v>
      </c>
      <c r="H3213" s="9">
        <v>52.990000000000002</v>
      </c>
      <c r="I3213" s="9">
        <f>H3213-G3213</f>
        <v>15.897000000000006</v>
      </c>
    </row>
    <row r="3214" ht="14.25">
      <c r="A3214" s="5">
        <v>3719</v>
      </c>
      <c r="B3214" s="7" t="s">
        <v>3284</v>
      </c>
      <c r="C3214" s="7" t="s">
        <v>3276</v>
      </c>
      <c r="D3214" s="7" t="s">
        <v>45</v>
      </c>
      <c r="E3214" s="5" t="s">
        <v>15</v>
      </c>
      <c r="F3214" s="8"/>
      <c r="G3214" s="9">
        <f>H3214*(1-30%)*(1-F3214)</f>
        <v>13.992999999999999</v>
      </c>
      <c r="H3214" s="9">
        <v>19.989999999999998</v>
      </c>
      <c r="I3214" s="9">
        <f>H3214-G3214</f>
        <v>5.9969999999999999</v>
      </c>
    </row>
    <row r="3215" ht="14.25">
      <c r="A3215" s="5">
        <v>3724</v>
      </c>
      <c r="B3215" s="7" t="s">
        <v>3285</v>
      </c>
      <c r="C3215" s="7" t="s">
        <v>3276</v>
      </c>
      <c r="D3215" s="7" t="s">
        <v>11</v>
      </c>
      <c r="E3215" s="5" t="s">
        <v>15</v>
      </c>
      <c r="F3215" s="8"/>
      <c r="G3215" s="9">
        <f>H3215*(1-30%)*(1-F3215)</f>
        <v>80.492999999999995</v>
      </c>
      <c r="H3215" s="9">
        <v>114.98999999999999</v>
      </c>
      <c r="I3215" s="9">
        <f>H3215-G3215</f>
        <v>34.497</v>
      </c>
    </row>
    <row r="3216" ht="14.25">
      <c r="A3216" s="5">
        <v>4303</v>
      </c>
      <c r="B3216" s="7" t="s">
        <v>3286</v>
      </c>
      <c r="C3216" s="7" t="s">
        <v>3280</v>
      </c>
      <c r="D3216" s="7" t="s">
        <v>183</v>
      </c>
      <c r="E3216" s="5" t="s">
        <v>15</v>
      </c>
      <c r="F3216" s="8"/>
      <c r="G3216" s="9">
        <f>H3216*(1-30%)*(1-F3216)</f>
        <v>20.992999999999999</v>
      </c>
      <c r="H3216" s="9">
        <v>29.989999999999998</v>
      </c>
      <c r="I3216" s="9">
        <f>H3216-G3216</f>
        <v>8.9969999999999999</v>
      </c>
    </row>
    <row r="3217" ht="14.25">
      <c r="A3217" s="5">
        <v>4347</v>
      </c>
      <c r="B3217" s="7" t="s">
        <v>3287</v>
      </c>
      <c r="C3217" s="7" t="s">
        <v>3280</v>
      </c>
      <c r="D3217" s="7" t="s">
        <v>183</v>
      </c>
      <c r="E3217" s="5" t="s">
        <v>15</v>
      </c>
      <c r="F3217" s="8"/>
      <c r="G3217" s="9">
        <f>H3217*(1-30%)*(1-F3217)</f>
        <v>20.992999999999999</v>
      </c>
      <c r="H3217" s="9">
        <v>29.989999999999998</v>
      </c>
      <c r="I3217" s="9">
        <f>H3217-G3217</f>
        <v>8.9969999999999999</v>
      </c>
    </row>
    <row r="3218" ht="14.25">
      <c r="A3218" s="5">
        <v>4379</v>
      </c>
      <c r="B3218" s="7" t="s">
        <v>3288</v>
      </c>
      <c r="C3218" s="7" t="s">
        <v>3262</v>
      </c>
      <c r="D3218" s="7" t="s">
        <v>183</v>
      </c>
      <c r="E3218" s="5" t="s">
        <v>15</v>
      </c>
      <c r="F3218" s="8"/>
      <c r="G3218" s="9">
        <f>H3218*(1-30%)*(1-F3218)</f>
        <v>47.592999999999996</v>
      </c>
      <c r="H3218" s="9">
        <v>67.989999999999995</v>
      </c>
      <c r="I3218" s="9">
        <f>H3218-G3218</f>
        <v>20.396999999999998</v>
      </c>
    </row>
    <row r="3219" ht="14.25">
      <c r="A3219" s="5">
        <v>4704</v>
      </c>
      <c r="B3219" s="7" t="s">
        <v>3289</v>
      </c>
      <c r="C3219" s="7" t="s">
        <v>3290</v>
      </c>
      <c r="D3219" s="7" t="s">
        <v>183</v>
      </c>
      <c r="E3219" s="5" t="s">
        <v>15</v>
      </c>
      <c r="F3219" s="8"/>
      <c r="G3219" s="9">
        <f>H3219*(1-30%)*(1-F3219)</f>
        <v>142.03</v>
      </c>
      <c r="H3219" s="9">
        <v>202.90000000000001</v>
      </c>
      <c r="I3219" s="9">
        <f>H3219-G3219</f>
        <v>60.870000000000005</v>
      </c>
    </row>
    <row r="3220" ht="14.25">
      <c r="A3220" s="5">
        <v>5230</v>
      </c>
      <c r="B3220" s="7" t="s">
        <v>3291</v>
      </c>
      <c r="C3220" s="7" t="s">
        <v>3262</v>
      </c>
      <c r="D3220" s="7" t="s">
        <v>183</v>
      </c>
      <c r="E3220" s="5" t="s">
        <v>15</v>
      </c>
      <c r="F3220" s="8"/>
      <c r="G3220" s="9">
        <f>H3220*(1-30%)*(1-F3220)</f>
        <v>40.592999999999996</v>
      </c>
      <c r="H3220" s="9">
        <v>57.990000000000002</v>
      </c>
      <c r="I3220" s="9">
        <f>H3220-G3220</f>
        <v>17.397000000000006</v>
      </c>
    </row>
    <row r="3221" ht="14.25">
      <c r="A3221" s="5">
        <v>5231</v>
      </c>
      <c r="B3221" s="7" t="s">
        <v>3292</v>
      </c>
      <c r="C3221" s="7" t="s">
        <v>3262</v>
      </c>
      <c r="D3221" s="7" t="s">
        <v>183</v>
      </c>
      <c r="E3221" s="5" t="s">
        <v>15</v>
      </c>
      <c r="F3221" s="8"/>
      <c r="G3221" s="9">
        <f>H3221*(1-30%)*(1-F3221)</f>
        <v>38.493000000000002</v>
      </c>
      <c r="H3221" s="9">
        <v>54.990000000000002</v>
      </c>
      <c r="I3221" s="9">
        <f>H3221-G3221</f>
        <v>16.497</v>
      </c>
    </row>
    <row r="3222" ht="14.25">
      <c r="A3222" s="5">
        <v>5545</v>
      </c>
      <c r="B3222" s="7" t="s">
        <v>3293</v>
      </c>
      <c r="C3222" s="7" t="s">
        <v>3294</v>
      </c>
      <c r="D3222" s="7" t="s">
        <v>11</v>
      </c>
      <c r="E3222" s="5" t="s">
        <v>3268</v>
      </c>
      <c r="F3222" s="8"/>
      <c r="G3222" s="9">
        <f>H3222*(1-30%)*(1-F3222)</f>
        <v>118.92999999999999</v>
      </c>
      <c r="H3222" s="9">
        <v>169.90000000000001</v>
      </c>
      <c r="I3222" s="9">
        <f>H3222-G3222</f>
        <v>50.970000000000013</v>
      </c>
    </row>
    <row r="3223" ht="14.25">
      <c r="A3223" s="5">
        <v>6266</v>
      </c>
      <c r="B3223" s="7" t="s">
        <v>3295</v>
      </c>
      <c r="C3223" s="7" t="s">
        <v>3290</v>
      </c>
      <c r="D3223" s="7" t="s">
        <v>183</v>
      </c>
      <c r="E3223" s="5" t="s">
        <v>15</v>
      </c>
      <c r="F3223" s="8"/>
      <c r="G3223" s="9">
        <f>H3223*(1-30%)*(1-F3223)</f>
        <v>45.492999999999995</v>
      </c>
      <c r="H3223" s="9">
        <v>64.989999999999995</v>
      </c>
      <c r="I3223" s="9">
        <f>H3223-G3223</f>
        <v>19.497</v>
      </c>
    </row>
    <row r="3224" ht="14.25">
      <c r="A3224" s="5">
        <v>7066</v>
      </c>
      <c r="B3224" s="7" t="s">
        <v>3296</v>
      </c>
      <c r="C3224" s="7" t="s">
        <v>3280</v>
      </c>
      <c r="D3224" s="7" t="s">
        <v>95</v>
      </c>
      <c r="E3224" s="5" t="s">
        <v>43</v>
      </c>
      <c r="F3224" s="8"/>
      <c r="G3224" s="9">
        <f>H3224*(1-30%)*(1-F3224)</f>
        <v>34.993000000000002</v>
      </c>
      <c r="H3224" s="9">
        <v>49.990000000000002</v>
      </c>
      <c r="I3224" s="9">
        <f>H3224-G3224</f>
        <v>14.997</v>
      </c>
    </row>
    <row r="3225" ht="14.25">
      <c r="A3225" s="5">
        <v>7194</v>
      </c>
      <c r="B3225" s="7" t="s">
        <v>3297</v>
      </c>
      <c r="C3225" s="7" t="s">
        <v>3280</v>
      </c>
      <c r="D3225" s="7" t="s">
        <v>95</v>
      </c>
      <c r="E3225" s="5" t="s">
        <v>15</v>
      </c>
      <c r="F3225" s="8"/>
      <c r="G3225" s="9">
        <f>H3225*(1-30%)*(1-F3225)</f>
        <v>20.992999999999999</v>
      </c>
      <c r="H3225" s="9">
        <v>29.989999999999998</v>
      </c>
      <c r="I3225" s="9">
        <f>H3225-G3225</f>
        <v>8.9969999999999999</v>
      </c>
    </row>
    <row r="3226" ht="14.25">
      <c r="A3226" s="5">
        <v>7217</v>
      </c>
      <c r="B3226" s="7" t="s">
        <v>3298</v>
      </c>
      <c r="C3226" s="7" t="s">
        <v>3280</v>
      </c>
      <c r="D3226" s="7" t="s">
        <v>95</v>
      </c>
      <c r="E3226" s="5" t="s">
        <v>15</v>
      </c>
      <c r="F3226" s="8"/>
      <c r="G3226" s="9">
        <f>H3226*(1-30%)*(1-F3226)</f>
        <v>20.992999999999999</v>
      </c>
      <c r="H3226" s="9">
        <v>29.989999999999998</v>
      </c>
      <c r="I3226" s="9">
        <f>H3226-G3226</f>
        <v>8.9969999999999999</v>
      </c>
    </row>
    <row r="3227" ht="14.25">
      <c r="A3227" s="5">
        <v>7233</v>
      </c>
      <c r="B3227" s="7" t="s">
        <v>3299</v>
      </c>
      <c r="C3227" s="7" t="s">
        <v>3280</v>
      </c>
      <c r="D3227" s="7" t="s">
        <v>95</v>
      </c>
      <c r="E3227" s="5" t="s">
        <v>43</v>
      </c>
      <c r="F3227" s="8"/>
      <c r="G3227" s="9">
        <f>H3227*(1-30%)*(1-F3227)</f>
        <v>20.992999999999999</v>
      </c>
      <c r="H3227" s="9">
        <v>29.989999999999998</v>
      </c>
      <c r="I3227" s="9">
        <f>H3227-G3227</f>
        <v>8.9969999999999999</v>
      </c>
    </row>
    <row r="3228" ht="14.25">
      <c r="A3228" s="5">
        <v>7234</v>
      </c>
      <c r="B3228" s="7" t="s">
        <v>3300</v>
      </c>
      <c r="C3228" s="7" t="s">
        <v>3280</v>
      </c>
      <c r="D3228" s="7" t="s">
        <v>95</v>
      </c>
      <c r="E3228" s="5" t="s">
        <v>43</v>
      </c>
      <c r="F3228" s="8"/>
      <c r="G3228" s="9">
        <f>H3228*(1-30%)*(1-F3228)</f>
        <v>37.092999999999996</v>
      </c>
      <c r="H3228" s="9">
        <v>52.990000000000002</v>
      </c>
      <c r="I3228" s="9">
        <f>H3228-G3228</f>
        <v>15.897000000000006</v>
      </c>
    </row>
    <row r="3229" ht="14.25">
      <c r="A3229" s="5">
        <v>7290</v>
      </c>
      <c r="B3229" s="7" t="s">
        <v>3301</v>
      </c>
      <c r="C3229" s="7" t="s">
        <v>3302</v>
      </c>
      <c r="D3229" s="7" t="s">
        <v>219</v>
      </c>
      <c r="E3229" s="5" t="s">
        <v>43</v>
      </c>
      <c r="F3229" s="8"/>
      <c r="G3229" s="9">
        <f>H3229*(1-30%)*(1-F3229)</f>
        <v>51.092999999999996</v>
      </c>
      <c r="H3229" s="9">
        <v>72.989999999999995</v>
      </c>
      <c r="I3229" s="9">
        <f>H3229-G3229</f>
        <v>21.896999999999998</v>
      </c>
    </row>
    <row r="3230" ht="14.25">
      <c r="A3230" s="5">
        <v>7378</v>
      </c>
      <c r="B3230" s="7" t="s">
        <v>3303</v>
      </c>
      <c r="C3230" s="7" t="s">
        <v>3290</v>
      </c>
      <c r="D3230" s="7" t="s">
        <v>183</v>
      </c>
      <c r="E3230" s="5" t="s">
        <v>15</v>
      </c>
      <c r="F3230" s="8"/>
      <c r="G3230" s="9">
        <f>H3230*(1-30%)*(1-F3230)</f>
        <v>48.992999999999995</v>
      </c>
      <c r="H3230" s="9">
        <v>69.989999999999995</v>
      </c>
      <c r="I3230" s="9">
        <f>H3230-G3230</f>
        <v>20.997</v>
      </c>
    </row>
    <row r="3231" ht="14.25">
      <c r="A3231" s="5">
        <v>7379</v>
      </c>
      <c r="B3231" s="7" t="s">
        <v>3304</v>
      </c>
      <c r="C3231" s="7" t="s">
        <v>3302</v>
      </c>
      <c r="D3231" s="7" t="s">
        <v>219</v>
      </c>
      <c r="E3231" s="5" t="s">
        <v>43</v>
      </c>
      <c r="F3231" s="8"/>
      <c r="G3231" s="9">
        <f>H3231*(1-30%)*(1-F3231)</f>
        <v>55.992999999999995</v>
      </c>
      <c r="H3231" s="9">
        <v>79.989999999999995</v>
      </c>
      <c r="I3231" s="9">
        <f>H3231-G3231</f>
        <v>23.997</v>
      </c>
    </row>
    <row r="3232" ht="14.25">
      <c r="A3232" s="5">
        <v>7394</v>
      </c>
      <c r="B3232" s="7" t="s">
        <v>3305</v>
      </c>
      <c r="C3232" s="7" t="s">
        <v>3302</v>
      </c>
      <c r="D3232" s="7" t="s">
        <v>219</v>
      </c>
      <c r="E3232" s="5" t="s">
        <v>43</v>
      </c>
      <c r="F3232" s="8"/>
      <c r="G3232" s="9">
        <f>H3232*(1-30%)*(1-F3232)</f>
        <v>69.992999999999995</v>
      </c>
      <c r="H3232" s="9">
        <v>99.989999999999995</v>
      </c>
      <c r="I3232" s="9">
        <f>H3232-G3232</f>
        <v>29.997</v>
      </c>
    </row>
    <row r="3233" ht="14.25">
      <c r="A3233" s="5">
        <v>7395</v>
      </c>
      <c r="B3233" s="7" t="s">
        <v>3306</v>
      </c>
      <c r="C3233" s="7" t="s">
        <v>3302</v>
      </c>
      <c r="D3233" s="7" t="s">
        <v>219</v>
      </c>
      <c r="E3233" s="5" t="s">
        <v>43</v>
      </c>
      <c r="F3233" s="8"/>
      <c r="G3233" s="9">
        <f>H3233*(1-30%)*(1-F3233)</f>
        <v>87.429999999999993</v>
      </c>
      <c r="H3233" s="9">
        <v>124.90000000000001</v>
      </c>
      <c r="I3233" s="9">
        <f>H3233-G3233</f>
        <v>37.470000000000013</v>
      </c>
    </row>
    <row r="3234" ht="14.25">
      <c r="A3234" s="5">
        <v>7396</v>
      </c>
      <c r="B3234" s="7" t="s">
        <v>3307</v>
      </c>
      <c r="C3234" s="7" t="s">
        <v>3302</v>
      </c>
      <c r="D3234" s="7" t="s">
        <v>219</v>
      </c>
      <c r="E3234" s="5" t="s">
        <v>43</v>
      </c>
      <c r="F3234" s="8"/>
      <c r="G3234" s="9">
        <f>H3234*(1-30%)*(1-F3234)</f>
        <v>40.592999999999996</v>
      </c>
      <c r="H3234" s="9">
        <v>57.990000000000002</v>
      </c>
      <c r="I3234" s="9">
        <f>H3234-G3234</f>
        <v>17.397000000000006</v>
      </c>
    </row>
    <row r="3235" ht="14.25">
      <c r="A3235" s="5">
        <v>7450</v>
      </c>
      <c r="B3235" s="7" t="s">
        <v>3308</v>
      </c>
      <c r="C3235" s="7" t="s">
        <v>3302</v>
      </c>
      <c r="D3235" s="7" t="s">
        <v>219</v>
      </c>
      <c r="E3235" s="5" t="s">
        <v>43</v>
      </c>
      <c r="F3235" s="8"/>
      <c r="G3235" s="9">
        <f>H3235*(1-30%)*(1-F3235)</f>
        <v>75.592999999999989</v>
      </c>
      <c r="H3235" s="9">
        <v>107.98999999999999</v>
      </c>
      <c r="I3235" s="9">
        <f>H3235-G3235</f>
        <v>32.397000000000006</v>
      </c>
    </row>
    <row r="3236" ht="14.25">
      <c r="A3236" s="5">
        <v>9400</v>
      </c>
      <c r="B3236" s="7" t="s">
        <v>3309</v>
      </c>
      <c r="C3236" s="7" t="s">
        <v>3262</v>
      </c>
      <c r="D3236" s="7" t="s">
        <v>110</v>
      </c>
      <c r="E3236" s="5" t="s">
        <v>43</v>
      </c>
      <c r="F3236" s="8"/>
      <c r="G3236" s="9">
        <f>H3236*(1-30%)*(1-F3236)</f>
        <v>41.993000000000002</v>
      </c>
      <c r="H3236" s="9">
        <v>59.990000000000002</v>
      </c>
      <c r="I3236" s="9">
        <f>H3236-G3236</f>
        <v>17.997</v>
      </c>
    </row>
    <row r="3237" ht="14.25">
      <c r="A3237" s="5">
        <v>9401</v>
      </c>
      <c r="B3237" s="7" t="s">
        <v>3310</v>
      </c>
      <c r="C3237" s="7" t="s">
        <v>3262</v>
      </c>
      <c r="D3237" s="7" t="s">
        <v>110</v>
      </c>
      <c r="E3237" s="5" t="s">
        <v>43</v>
      </c>
      <c r="F3237" s="8"/>
      <c r="G3237" s="9">
        <f>H3237*(1-30%)*(1-F3237)</f>
        <v>41.993000000000002</v>
      </c>
      <c r="H3237" s="9">
        <v>59.990000000000002</v>
      </c>
      <c r="I3237" s="9">
        <f>H3237-G3237</f>
        <v>17.997</v>
      </c>
    </row>
    <row r="3238" ht="14.25">
      <c r="A3238" s="5">
        <v>9496</v>
      </c>
      <c r="B3238" s="7" t="s">
        <v>3311</v>
      </c>
      <c r="C3238" s="7" t="s">
        <v>3262</v>
      </c>
      <c r="D3238" s="7" t="s">
        <v>110</v>
      </c>
      <c r="E3238" s="5" t="s">
        <v>43</v>
      </c>
      <c r="F3238" s="8"/>
      <c r="G3238" s="9">
        <f>H3238*(1-30%)*(1-F3238)</f>
        <v>45.492999999999995</v>
      </c>
      <c r="H3238" s="9">
        <v>64.989999999999995</v>
      </c>
      <c r="I3238" s="9">
        <f>H3238-G3238</f>
        <v>19.497</v>
      </c>
    </row>
    <row r="3239" ht="14.25">
      <c r="A3239" s="5">
        <v>9497</v>
      </c>
      <c r="B3239" s="7" t="s">
        <v>3312</v>
      </c>
      <c r="C3239" s="7" t="s">
        <v>3262</v>
      </c>
      <c r="D3239" s="7" t="s">
        <v>110</v>
      </c>
      <c r="E3239" s="5" t="s">
        <v>43</v>
      </c>
      <c r="F3239" s="8"/>
      <c r="G3239" s="9">
        <f>H3239*(1-30%)*(1-F3239)</f>
        <v>45.492999999999995</v>
      </c>
      <c r="H3239" s="9">
        <v>64.989999999999995</v>
      </c>
      <c r="I3239" s="9">
        <f>H3239-G3239</f>
        <v>19.497</v>
      </c>
    </row>
    <row r="3240" ht="14.25">
      <c r="A3240" s="5">
        <v>9585</v>
      </c>
      <c r="B3240" s="7" t="s">
        <v>3313</v>
      </c>
      <c r="C3240" s="7" t="s">
        <v>3262</v>
      </c>
      <c r="D3240" s="7" t="s">
        <v>110</v>
      </c>
      <c r="E3240" s="5" t="s">
        <v>43</v>
      </c>
      <c r="F3240" s="8"/>
      <c r="G3240" s="9">
        <f>H3240*(1-30%)*(1-F3240)</f>
        <v>45.492999999999995</v>
      </c>
      <c r="H3240" s="9">
        <v>64.989999999999995</v>
      </c>
      <c r="I3240" s="9">
        <f>H3240-G3240</f>
        <v>19.497</v>
      </c>
    </row>
    <row r="3241" ht="14.25">
      <c r="A3241" s="5">
        <v>9589</v>
      </c>
      <c r="B3241" s="7" t="s">
        <v>3314</v>
      </c>
      <c r="C3241" s="7" t="s">
        <v>3262</v>
      </c>
      <c r="D3241" s="7" t="s">
        <v>110</v>
      </c>
      <c r="E3241" s="5" t="s">
        <v>43</v>
      </c>
      <c r="F3241" s="8"/>
      <c r="G3241" s="9">
        <f>H3241*(1-30%)*(1-F3241)</f>
        <v>45.492999999999995</v>
      </c>
      <c r="H3241" s="9">
        <v>64.989999999999995</v>
      </c>
      <c r="I3241" s="9">
        <f>H3241-G3241</f>
        <v>19.497</v>
      </c>
    </row>
    <row r="3242" ht="14.25">
      <c r="A3242" s="5">
        <v>9590</v>
      </c>
      <c r="B3242" s="7" t="s">
        <v>3315</v>
      </c>
      <c r="C3242" s="7" t="s">
        <v>3262</v>
      </c>
      <c r="D3242" s="7" t="s">
        <v>110</v>
      </c>
      <c r="E3242" s="5" t="s">
        <v>43</v>
      </c>
      <c r="F3242" s="8"/>
      <c r="G3242" s="9">
        <f>H3242*(1-30%)*(1-F3242)</f>
        <v>45.492999999999995</v>
      </c>
      <c r="H3242" s="9">
        <v>64.989999999999995</v>
      </c>
      <c r="I3242" s="9">
        <f>H3242-G3242</f>
        <v>19.497</v>
      </c>
    </row>
    <row r="3243" ht="14.25">
      <c r="A3243" s="5">
        <v>9591</v>
      </c>
      <c r="B3243" s="7" t="s">
        <v>3316</v>
      </c>
      <c r="C3243" s="7" t="s">
        <v>3262</v>
      </c>
      <c r="D3243" s="7" t="s">
        <v>110</v>
      </c>
      <c r="E3243" s="5" t="s">
        <v>43</v>
      </c>
      <c r="F3243" s="8"/>
      <c r="G3243" s="9">
        <f>H3243*(1-30%)*(1-F3243)</f>
        <v>45.492999999999995</v>
      </c>
      <c r="H3243" s="9">
        <v>64.989999999999995</v>
      </c>
      <c r="I3243" s="9">
        <f>H3243-G3243</f>
        <v>19.497</v>
      </c>
    </row>
    <row r="3244" ht="14.25">
      <c r="A3244" s="5">
        <v>9593</v>
      </c>
      <c r="B3244" s="7" t="s">
        <v>3317</v>
      </c>
      <c r="C3244" s="7" t="s">
        <v>3262</v>
      </c>
      <c r="D3244" s="7" t="s">
        <v>110</v>
      </c>
      <c r="E3244" s="5" t="s">
        <v>43</v>
      </c>
      <c r="F3244" s="8"/>
      <c r="G3244" s="9">
        <f>H3244*(1-30%)*(1-F3244)</f>
        <v>45.492999999999995</v>
      </c>
      <c r="H3244" s="9">
        <v>64.989999999999995</v>
      </c>
      <c r="I3244" s="9">
        <f>H3244-G3244</f>
        <v>19.497</v>
      </c>
    </row>
    <row r="3245" ht="14.25">
      <c r="A3245" s="5">
        <v>10019</v>
      </c>
      <c r="B3245" s="7" t="s">
        <v>3318</v>
      </c>
      <c r="C3245" s="7" t="s">
        <v>3265</v>
      </c>
      <c r="D3245" s="7" t="s">
        <v>110</v>
      </c>
      <c r="E3245" s="5" t="s">
        <v>43</v>
      </c>
      <c r="F3245" s="8"/>
      <c r="G3245" s="9">
        <f>H3245*(1-30%)*(1-F3245)</f>
        <v>41.993000000000002</v>
      </c>
      <c r="H3245" s="9">
        <v>59.990000000000002</v>
      </c>
      <c r="I3245" s="9">
        <f>H3245-G3245</f>
        <v>17.997</v>
      </c>
    </row>
    <row r="3246" ht="14.25">
      <c r="A3246" s="5">
        <v>10020</v>
      </c>
      <c r="B3246" s="7" t="s">
        <v>3319</v>
      </c>
      <c r="C3246" s="7" t="s">
        <v>3265</v>
      </c>
      <c r="D3246" s="7" t="s">
        <v>110</v>
      </c>
      <c r="E3246" s="5" t="s">
        <v>43</v>
      </c>
      <c r="F3246" s="8"/>
      <c r="G3246" s="9">
        <f>H3246*(1-30%)*(1-F3246)</f>
        <v>41.993000000000002</v>
      </c>
      <c r="H3246" s="9">
        <v>59.990000000000002</v>
      </c>
      <c r="I3246" s="9">
        <f>H3246-G3246</f>
        <v>17.997</v>
      </c>
    </row>
    <row r="3247" ht="14.25">
      <c r="A3247" s="5">
        <v>10140</v>
      </c>
      <c r="B3247" s="7" t="s">
        <v>3320</v>
      </c>
      <c r="C3247" s="7" t="s">
        <v>3265</v>
      </c>
      <c r="D3247" s="7" t="s">
        <v>110</v>
      </c>
      <c r="E3247" s="5" t="s">
        <v>26</v>
      </c>
      <c r="F3247" s="8"/>
      <c r="G3247" s="9">
        <f>H3247*(1-30%)*(1-F3247)</f>
        <v>41.993000000000002</v>
      </c>
      <c r="H3247" s="9">
        <v>59.990000000000002</v>
      </c>
      <c r="I3247" s="9">
        <f>H3247-G3247</f>
        <v>17.997</v>
      </c>
    </row>
    <row r="3248" ht="14.25">
      <c r="A3248" s="5">
        <v>10282</v>
      </c>
      <c r="B3248" s="7" t="s">
        <v>3321</v>
      </c>
      <c r="C3248" s="7" t="s">
        <v>3265</v>
      </c>
      <c r="D3248" s="7" t="s">
        <v>110</v>
      </c>
      <c r="E3248" s="5" t="s">
        <v>43</v>
      </c>
      <c r="F3248" s="8"/>
      <c r="G3248" s="9">
        <f>H3248*(1-30%)*(1-F3248)</f>
        <v>41.993000000000002</v>
      </c>
      <c r="H3248" s="9">
        <v>59.990000000000002</v>
      </c>
      <c r="I3248" s="9">
        <f>H3248-G3248</f>
        <v>17.997</v>
      </c>
    </row>
    <row r="3249" ht="14.25">
      <c r="A3249" s="5">
        <v>10297</v>
      </c>
      <c r="B3249" s="7" t="s">
        <v>3322</v>
      </c>
      <c r="C3249" s="7" t="s">
        <v>3265</v>
      </c>
      <c r="D3249" s="7" t="s">
        <v>110</v>
      </c>
      <c r="E3249" s="5" t="s">
        <v>26</v>
      </c>
      <c r="F3249" s="8"/>
      <c r="G3249" s="9">
        <f>H3249*(1-30%)*(1-F3249)</f>
        <v>41.993000000000002</v>
      </c>
      <c r="H3249" s="9">
        <v>59.990000000000002</v>
      </c>
      <c r="I3249" s="9">
        <f>H3249-G3249</f>
        <v>17.997</v>
      </c>
    </row>
    <row r="3250" ht="14.25">
      <c r="A3250" s="5">
        <v>12597</v>
      </c>
      <c r="B3250" s="7" t="s">
        <v>3323</v>
      </c>
      <c r="C3250" s="7" t="s">
        <v>3324</v>
      </c>
      <c r="D3250" s="7" t="s">
        <v>110</v>
      </c>
      <c r="E3250" s="5" t="s">
        <v>26</v>
      </c>
      <c r="F3250" s="8"/>
      <c r="G3250" s="9">
        <f>H3250*(1-30%)*(1-F3250)</f>
        <v>19.592999999999996</v>
      </c>
      <c r="H3250" s="9">
        <v>27.989999999999998</v>
      </c>
      <c r="I3250" s="9">
        <f>H3250-G3250</f>
        <v>8.397000000000002</v>
      </c>
    </row>
    <row r="3251" ht="14.25">
      <c r="A3251" s="5">
        <v>12702</v>
      </c>
      <c r="B3251" s="7" t="s">
        <v>3325</v>
      </c>
      <c r="C3251" s="7" t="s">
        <v>3324</v>
      </c>
      <c r="D3251" s="7" t="s">
        <v>110</v>
      </c>
      <c r="E3251" s="5" t="s">
        <v>26</v>
      </c>
      <c r="F3251" s="8"/>
      <c r="G3251" s="9">
        <f>H3251*(1-30%)*(1-F3251)</f>
        <v>19.592999999999996</v>
      </c>
      <c r="H3251" s="9">
        <v>27.989999999999998</v>
      </c>
      <c r="I3251" s="9">
        <f>H3251-G3251</f>
        <v>8.397000000000002</v>
      </c>
    </row>
    <row r="3252" ht="14.25">
      <c r="A3252" s="5">
        <v>12961</v>
      </c>
      <c r="B3252" s="7" t="s">
        <v>3326</v>
      </c>
      <c r="C3252" s="7" t="s">
        <v>3290</v>
      </c>
      <c r="D3252" s="7" t="s">
        <v>45</v>
      </c>
      <c r="E3252" s="5" t="s">
        <v>43</v>
      </c>
      <c r="F3252" s="8"/>
      <c r="G3252" s="9">
        <f>H3252*(1-30%)*(1-F3252)</f>
        <v>76.992999999999995</v>
      </c>
      <c r="H3252" s="9">
        <v>109.98999999999999</v>
      </c>
      <c r="I3252" s="9">
        <f>H3252-G3252</f>
        <v>32.997</v>
      </c>
    </row>
    <row r="3253" ht="14.25">
      <c r="A3253" s="5">
        <v>12965</v>
      </c>
      <c r="B3253" s="7" t="s">
        <v>3327</v>
      </c>
      <c r="C3253" s="7" t="s">
        <v>3290</v>
      </c>
      <c r="D3253" s="7" t="s">
        <v>45</v>
      </c>
      <c r="E3253" s="5" t="s">
        <v>43</v>
      </c>
      <c r="F3253" s="8"/>
      <c r="G3253" s="9">
        <f>H3253*(1-30%)*(1-F3253)</f>
        <v>76.992999999999995</v>
      </c>
      <c r="H3253" s="9">
        <v>109.98999999999999</v>
      </c>
      <c r="I3253" s="9">
        <f>H3253-G3253</f>
        <v>32.997</v>
      </c>
    </row>
    <row r="3254" ht="14.25">
      <c r="A3254" s="5">
        <v>12967</v>
      </c>
      <c r="B3254" s="7" t="s">
        <v>3328</v>
      </c>
      <c r="C3254" s="7" t="s">
        <v>3329</v>
      </c>
      <c r="D3254" s="7" t="s">
        <v>45</v>
      </c>
      <c r="E3254" s="5" t="s">
        <v>43</v>
      </c>
      <c r="F3254" s="8"/>
      <c r="G3254" s="9">
        <f>H3254*(1-30%)*(1-F3254)</f>
        <v>76.992999999999995</v>
      </c>
      <c r="H3254" s="9">
        <v>109.98999999999999</v>
      </c>
      <c r="I3254" s="9">
        <f>H3254-G3254</f>
        <v>32.997</v>
      </c>
    </row>
    <row r="3255" ht="14.25">
      <c r="A3255" s="5">
        <v>17585</v>
      </c>
      <c r="B3255" s="7" t="s">
        <v>3330</v>
      </c>
      <c r="C3255" s="7" t="s">
        <v>3331</v>
      </c>
      <c r="D3255" s="7" t="s">
        <v>71</v>
      </c>
      <c r="E3255" s="5" t="s">
        <v>43</v>
      </c>
      <c r="F3255" s="8"/>
      <c r="G3255" s="9">
        <f>H3255*(1-30%)*(1-F3255)</f>
        <v>27.292999999999999</v>
      </c>
      <c r="H3255" s="9">
        <v>38.990000000000002</v>
      </c>
      <c r="I3255" s="9">
        <f>H3255-G3255</f>
        <v>11.697000000000003</v>
      </c>
    </row>
    <row r="3256" ht="14.25">
      <c r="A3256" s="5">
        <v>19811</v>
      </c>
      <c r="B3256" s="7" t="s">
        <v>3332</v>
      </c>
      <c r="C3256" s="7" t="s">
        <v>3290</v>
      </c>
      <c r="D3256" s="7" t="s">
        <v>45</v>
      </c>
      <c r="E3256" s="5" t="s">
        <v>15</v>
      </c>
      <c r="F3256" s="8"/>
      <c r="G3256" s="9">
        <f>H3256*(1-30%)*(1-F3256)</f>
        <v>76.992999999999995</v>
      </c>
      <c r="H3256" s="9">
        <v>109.98999999999999</v>
      </c>
      <c r="I3256" s="9">
        <f>H3256-G3256</f>
        <v>32.997</v>
      </c>
    </row>
    <row r="3257" ht="14.25">
      <c r="A3257" s="5">
        <v>19814</v>
      </c>
      <c r="B3257" s="7" t="s">
        <v>3333</v>
      </c>
      <c r="C3257" s="7" t="s">
        <v>3290</v>
      </c>
      <c r="D3257" s="7" t="s">
        <v>45</v>
      </c>
      <c r="E3257" s="5" t="s">
        <v>15</v>
      </c>
      <c r="F3257" s="8"/>
      <c r="G3257" s="9">
        <f>H3257*(1-30%)*(1-F3257)</f>
        <v>76.992999999999995</v>
      </c>
      <c r="H3257" s="9">
        <v>109.98999999999999</v>
      </c>
      <c r="I3257" s="9">
        <f>H3257-G3257</f>
        <v>32.997</v>
      </c>
    </row>
    <row r="3258" ht="14.25">
      <c r="A3258" s="5">
        <v>19815</v>
      </c>
      <c r="B3258" s="7" t="s">
        <v>3334</v>
      </c>
      <c r="C3258" s="7" t="s">
        <v>3324</v>
      </c>
      <c r="D3258" s="7" t="s">
        <v>110</v>
      </c>
      <c r="E3258" s="5" t="s">
        <v>43</v>
      </c>
      <c r="F3258" s="8"/>
      <c r="G3258" s="9">
        <f>H3258*(1-30%)*(1-F3258)</f>
        <v>30.093</v>
      </c>
      <c r="H3258" s="9">
        <v>42.990000000000002</v>
      </c>
      <c r="I3258" s="9">
        <f>H3258-G3258</f>
        <v>12.897000000000002</v>
      </c>
    </row>
    <row r="3259" ht="14.25">
      <c r="A3259" s="5">
        <v>19816</v>
      </c>
      <c r="B3259" s="7" t="s">
        <v>3335</v>
      </c>
      <c r="C3259" s="7" t="s">
        <v>3280</v>
      </c>
      <c r="D3259" s="7" t="s">
        <v>95</v>
      </c>
      <c r="E3259" s="5" t="s">
        <v>43</v>
      </c>
      <c r="F3259" s="8"/>
      <c r="G3259" s="9">
        <f>H3259*(1-30%)*(1-F3259)</f>
        <v>33.592999999999996</v>
      </c>
      <c r="H3259" s="9">
        <v>47.990000000000002</v>
      </c>
      <c r="I3259" s="9">
        <f>H3259-G3259</f>
        <v>14.397000000000006</v>
      </c>
    </row>
    <row r="3260" ht="14.25">
      <c r="A3260" s="5">
        <v>23291</v>
      </c>
      <c r="B3260" s="7" t="s">
        <v>3336</v>
      </c>
      <c r="C3260" s="7" t="s">
        <v>3337</v>
      </c>
      <c r="D3260" s="7" t="s">
        <v>174</v>
      </c>
      <c r="E3260" s="5" t="s">
        <v>26</v>
      </c>
      <c r="F3260" s="8"/>
      <c r="G3260" s="9">
        <f>H3260*(1-30%)*(1-F3260)</f>
        <v>44.092999999999996</v>
      </c>
      <c r="H3260" s="9">
        <v>62.990000000000002</v>
      </c>
      <c r="I3260" s="9">
        <f>H3260-G3260</f>
        <v>18.897000000000006</v>
      </c>
    </row>
    <row r="3261" ht="14.25">
      <c r="A3261" s="5">
        <v>23304</v>
      </c>
      <c r="B3261" s="7" t="s">
        <v>3338</v>
      </c>
      <c r="C3261" s="7" t="s">
        <v>3337</v>
      </c>
      <c r="D3261" s="7" t="s">
        <v>174</v>
      </c>
      <c r="E3261" s="5" t="s">
        <v>26</v>
      </c>
      <c r="F3261" s="8"/>
      <c r="G3261" s="9">
        <f>H3261*(1-30%)*(1-F3261)</f>
        <v>45.492999999999995</v>
      </c>
      <c r="H3261" s="9">
        <v>64.989999999999995</v>
      </c>
      <c r="I3261" s="9">
        <f>H3261-G3261</f>
        <v>19.497</v>
      </c>
    </row>
    <row r="3262" ht="14.25">
      <c r="A3262" s="5">
        <v>24850</v>
      </c>
      <c r="B3262" s="7" t="s">
        <v>3339</v>
      </c>
      <c r="C3262" s="7" t="s">
        <v>3337</v>
      </c>
      <c r="D3262" s="7" t="s">
        <v>11</v>
      </c>
      <c r="E3262" s="5" t="s">
        <v>15</v>
      </c>
      <c r="F3262" s="8"/>
      <c r="G3262" s="9">
        <f>H3262*(1-30%)*(1-F3262)</f>
        <v>132.99299999999999</v>
      </c>
      <c r="H3262" s="9">
        <v>189.99000000000001</v>
      </c>
      <c r="I3262" s="9">
        <f>H3262-G3262</f>
        <v>56.997000000000014</v>
      </c>
    </row>
    <row r="3263" ht="14.25">
      <c r="A3263" s="5">
        <v>26657</v>
      </c>
      <c r="B3263" s="7" t="s">
        <v>3340</v>
      </c>
      <c r="C3263" s="7" t="s">
        <v>3341</v>
      </c>
      <c r="D3263" s="7" t="s">
        <v>11</v>
      </c>
      <c r="E3263" s="5" t="s">
        <v>15</v>
      </c>
      <c r="F3263" s="8"/>
      <c r="G3263" s="9">
        <f>H3263*(1-30%)*(1-F3263)</f>
        <v>129.43000000000001</v>
      </c>
      <c r="H3263" s="9">
        <v>184.90000000000001</v>
      </c>
      <c r="I3263" s="9">
        <f>H3263-G3263</f>
        <v>55.469999999999999</v>
      </c>
    </row>
    <row r="3264" ht="14.25">
      <c r="A3264" s="5">
        <v>30178</v>
      </c>
      <c r="B3264" s="7" t="s">
        <v>3342</v>
      </c>
      <c r="C3264" s="7" t="s">
        <v>3265</v>
      </c>
      <c r="D3264" s="7" t="s">
        <v>110</v>
      </c>
      <c r="E3264" s="5" t="s">
        <v>3268</v>
      </c>
      <c r="F3264" s="8"/>
      <c r="G3264" s="9">
        <f>H3264*(1-30%)*(1-F3264)</f>
        <v>51.092999999999996</v>
      </c>
      <c r="H3264" s="9">
        <v>72.989999999999995</v>
      </c>
      <c r="I3264" s="9">
        <f>H3264-G3264</f>
        <v>21.896999999999998</v>
      </c>
    </row>
    <row r="3265" ht="14.25">
      <c r="A3265" s="5">
        <v>30199</v>
      </c>
      <c r="B3265" s="7" t="s">
        <v>3343</v>
      </c>
      <c r="C3265" s="7" t="s">
        <v>3280</v>
      </c>
      <c r="D3265" s="7" t="s">
        <v>95</v>
      </c>
      <c r="E3265" s="5" t="s">
        <v>43</v>
      </c>
      <c r="F3265" s="8"/>
      <c r="G3265" s="9">
        <f>H3265*(1-30%)*(1-F3265)</f>
        <v>31.492999999999999</v>
      </c>
      <c r="H3265" s="9">
        <v>44.990000000000002</v>
      </c>
      <c r="I3265" s="9">
        <f>H3265-G3265</f>
        <v>13.497000000000003</v>
      </c>
    </row>
    <row r="3266" ht="14.25">
      <c r="A3266" s="5">
        <v>30203</v>
      </c>
      <c r="B3266" s="7" t="s">
        <v>3344</v>
      </c>
      <c r="C3266" s="7" t="s">
        <v>3280</v>
      </c>
      <c r="D3266" s="7" t="s">
        <v>95</v>
      </c>
      <c r="E3266" s="5" t="s">
        <v>43</v>
      </c>
      <c r="F3266" s="8"/>
      <c r="G3266" s="9">
        <f>H3266*(1-30%)*(1-F3266)</f>
        <v>47.592999999999996</v>
      </c>
      <c r="H3266" s="9">
        <v>67.989999999999995</v>
      </c>
      <c r="I3266" s="9">
        <f>H3266-G3266</f>
        <v>20.396999999999998</v>
      </c>
    </row>
    <row r="3267" ht="14.25">
      <c r="A3267" s="5">
        <v>30207</v>
      </c>
      <c r="B3267" s="7" t="s">
        <v>3345</v>
      </c>
      <c r="C3267" s="7" t="s">
        <v>3280</v>
      </c>
      <c r="D3267" s="7" t="s">
        <v>95</v>
      </c>
      <c r="E3267" s="5" t="s">
        <v>43</v>
      </c>
      <c r="F3267" s="8"/>
      <c r="G3267" s="9">
        <f>H3267*(1-30%)*(1-F3267)</f>
        <v>34.993000000000002</v>
      </c>
      <c r="H3267" s="9">
        <v>49.990000000000002</v>
      </c>
      <c r="I3267" s="9">
        <f>H3267-G3267</f>
        <v>14.997</v>
      </c>
    </row>
    <row r="3268" ht="14.25">
      <c r="A3268" s="5">
        <v>30302</v>
      </c>
      <c r="B3268" s="7" t="s">
        <v>3346</v>
      </c>
      <c r="C3268" s="7" t="s">
        <v>3280</v>
      </c>
      <c r="D3268" s="7" t="s">
        <v>95</v>
      </c>
      <c r="E3268" s="5" t="s">
        <v>43</v>
      </c>
      <c r="F3268" s="8"/>
      <c r="G3268" s="9">
        <f>H3268*(1-30%)*(1-F3268)</f>
        <v>33.592999999999996</v>
      </c>
      <c r="H3268" s="9">
        <v>47.990000000000002</v>
      </c>
      <c r="I3268" s="9">
        <f>H3268-G3268</f>
        <v>14.397000000000006</v>
      </c>
    </row>
    <row r="3269" ht="14.25">
      <c r="A3269" s="5">
        <v>36893</v>
      </c>
      <c r="B3269" s="7" t="s">
        <v>3347</v>
      </c>
      <c r="C3269" s="7" t="s">
        <v>1446</v>
      </c>
      <c r="D3269" s="7" t="s">
        <v>1447</v>
      </c>
      <c r="E3269" s="5" t="s">
        <v>15</v>
      </c>
      <c r="F3269" s="8"/>
      <c r="G3269" s="9">
        <f>H3269*(1-30%)*(1-F3269)</f>
        <v>2.4499999999999997</v>
      </c>
      <c r="H3269" s="9">
        <v>3.5</v>
      </c>
      <c r="I3269" s="9">
        <f>H3269-G3269</f>
        <v>1.0500000000000003</v>
      </c>
    </row>
    <row r="3270" ht="14.25">
      <c r="A3270" s="5">
        <v>37451</v>
      </c>
      <c r="B3270" s="7" t="s">
        <v>3348</v>
      </c>
      <c r="C3270" s="7" t="s">
        <v>3290</v>
      </c>
      <c r="D3270" s="7" t="s">
        <v>183</v>
      </c>
      <c r="E3270" s="5" t="s">
        <v>15</v>
      </c>
      <c r="F3270" s="8"/>
      <c r="G3270" s="9">
        <f>H3270*(1-30%)*(1-F3270)</f>
        <v>34.292999999999999</v>
      </c>
      <c r="H3270" s="9">
        <v>48.990000000000002</v>
      </c>
      <c r="I3270" s="9">
        <f>H3270-G3270</f>
        <v>14.697000000000003</v>
      </c>
    </row>
    <row r="3271" ht="14.25">
      <c r="A3271" s="5">
        <v>37455</v>
      </c>
      <c r="B3271" s="7" t="s">
        <v>3349</v>
      </c>
      <c r="C3271" s="7" t="s">
        <v>3290</v>
      </c>
      <c r="D3271" s="7" t="s">
        <v>183</v>
      </c>
      <c r="E3271" s="5" t="s">
        <v>15</v>
      </c>
      <c r="F3271" s="8"/>
      <c r="G3271" s="9">
        <f>H3271*(1-30%)*(1-F3271)</f>
        <v>15.392999999999997</v>
      </c>
      <c r="H3271" s="9">
        <v>21.989999999999998</v>
      </c>
      <c r="I3271" s="9">
        <f>H3271-G3271</f>
        <v>6.5970000000000013</v>
      </c>
    </row>
    <row r="3272" ht="14.25">
      <c r="A3272" s="5">
        <v>39153</v>
      </c>
      <c r="B3272" s="7" t="s">
        <v>3350</v>
      </c>
      <c r="C3272" s="7" t="s">
        <v>3290</v>
      </c>
      <c r="D3272" s="7" t="s">
        <v>183</v>
      </c>
      <c r="E3272" s="5" t="s">
        <v>15</v>
      </c>
      <c r="F3272" s="8"/>
      <c r="G3272" s="9">
        <f>H3272*(1-30%)*(1-F3272)</f>
        <v>15.392999999999997</v>
      </c>
      <c r="H3272" s="9">
        <v>21.989999999999998</v>
      </c>
      <c r="I3272" s="9">
        <f>H3272-G3272</f>
        <v>6.5970000000000013</v>
      </c>
    </row>
    <row r="3273" ht="14.25">
      <c r="A3273" s="5">
        <v>39155</v>
      </c>
      <c r="B3273" s="7" t="s">
        <v>3351</v>
      </c>
      <c r="C3273" s="7" t="s">
        <v>3290</v>
      </c>
      <c r="D3273" s="7" t="s">
        <v>183</v>
      </c>
      <c r="E3273" s="5" t="s">
        <v>15</v>
      </c>
      <c r="F3273" s="8"/>
      <c r="G3273" s="9">
        <f>H3273*(1-30%)*(1-F3273)</f>
        <v>15.392999999999997</v>
      </c>
      <c r="H3273" s="9">
        <v>21.989999999999998</v>
      </c>
      <c r="I3273" s="9">
        <f>H3273-G3273</f>
        <v>6.5970000000000013</v>
      </c>
    </row>
    <row r="3274" ht="14.25">
      <c r="A3274" s="5">
        <v>39156</v>
      </c>
      <c r="B3274" s="7" t="s">
        <v>3352</v>
      </c>
      <c r="C3274" s="7" t="s">
        <v>3290</v>
      </c>
      <c r="D3274" s="7" t="s">
        <v>183</v>
      </c>
      <c r="E3274" s="5" t="s">
        <v>15</v>
      </c>
      <c r="F3274" s="8"/>
      <c r="G3274" s="9">
        <f>H3274*(1-30%)*(1-F3274)</f>
        <v>27.229999999999997</v>
      </c>
      <c r="H3274" s="9">
        <v>38.899999999999999</v>
      </c>
      <c r="I3274" s="9">
        <f>H3274-G3274</f>
        <v>11.670000000000002</v>
      </c>
    </row>
    <row r="3275" ht="14.25">
      <c r="A3275" s="5">
        <v>39198</v>
      </c>
      <c r="B3275" s="7" t="s">
        <v>3353</v>
      </c>
      <c r="C3275" s="7" t="s">
        <v>3324</v>
      </c>
      <c r="D3275" s="7" t="s">
        <v>183</v>
      </c>
      <c r="E3275" s="5" t="s">
        <v>15</v>
      </c>
      <c r="F3275" s="8"/>
      <c r="G3275" s="9">
        <f>H3275*(1-30%)*(1-F3275)</f>
        <v>27.992999999999999</v>
      </c>
      <c r="H3275" s="9">
        <v>39.990000000000002</v>
      </c>
      <c r="I3275" s="9">
        <f>H3275-G3275</f>
        <v>11.997000000000003</v>
      </c>
    </row>
    <row r="3276" ht="14.25">
      <c r="A3276" s="5">
        <v>39199</v>
      </c>
      <c r="B3276" s="7" t="s">
        <v>3354</v>
      </c>
      <c r="C3276" s="7" t="s">
        <v>3324</v>
      </c>
      <c r="D3276" s="7" t="s">
        <v>183</v>
      </c>
      <c r="E3276" s="5" t="s">
        <v>15</v>
      </c>
      <c r="F3276" s="8"/>
      <c r="G3276" s="9">
        <f>H3276*(1-30%)*(1-F3276)</f>
        <v>24.492999999999999</v>
      </c>
      <c r="H3276" s="9">
        <v>34.990000000000002</v>
      </c>
      <c r="I3276" s="9">
        <f>H3276-G3276</f>
        <v>10.497000000000003</v>
      </c>
    </row>
    <row r="3277" ht="14.25">
      <c r="A3277" s="5">
        <v>39987</v>
      </c>
      <c r="B3277" s="7" t="s">
        <v>3355</v>
      </c>
      <c r="C3277" s="7" t="s">
        <v>3290</v>
      </c>
      <c r="D3277" s="7" t="s">
        <v>183</v>
      </c>
      <c r="E3277" s="5" t="s">
        <v>15</v>
      </c>
      <c r="F3277" s="8"/>
      <c r="G3277" s="9">
        <f>H3277*(1-30%)*(1-F3277)</f>
        <v>30.093</v>
      </c>
      <c r="H3277" s="9">
        <v>42.990000000000002</v>
      </c>
      <c r="I3277" s="9">
        <f>H3277-G3277</f>
        <v>12.897000000000002</v>
      </c>
    </row>
    <row r="3278" ht="14.25">
      <c r="A3278" s="5">
        <v>40469</v>
      </c>
      <c r="B3278" s="7" t="s">
        <v>3356</v>
      </c>
      <c r="C3278" s="7" t="s">
        <v>1446</v>
      </c>
      <c r="D3278" s="7" t="s">
        <v>1447</v>
      </c>
      <c r="E3278" s="5" t="s">
        <v>15</v>
      </c>
      <c r="F3278" s="8"/>
      <c r="G3278" s="9">
        <f>H3278*(1-30%)*(1-F3278)</f>
        <v>6.6499999999999995</v>
      </c>
      <c r="H3278" s="9">
        <v>9.5</v>
      </c>
      <c r="I3278" s="9">
        <f>H3278-G3278</f>
        <v>2.8500000000000005</v>
      </c>
    </row>
    <row r="3279" ht="14.25">
      <c r="A3279" s="5">
        <v>41049</v>
      </c>
      <c r="B3279" s="7" t="s">
        <v>3357</v>
      </c>
      <c r="C3279" s="7" t="s">
        <v>3290</v>
      </c>
      <c r="D3279" s="7" t="s">
        <v>183</v>
      </c>
      <c r="E3279" s="5" t="s">
        <v>15</v>
      </c>
      <c r="F3279" s="8"/>
      <c r="G3279" s="9">
        <f>H3279*(1-30%)*(1-F3279)</f>
        <v>41.993000000000002</v>
      </c>
      <c r="H3279" s="9">
        <v>59.990000000000002</v>
      </c>
      <c r="I3279" s="9">
        <f>H3279-G3279</f>
        <v>17.997</v>
      </c>
    </row>
    <row r="3280" ht="14.25">
      <c r="A3280" s="5">
        <v>41403</v>
      </c>
      <c r="B3280" s="7" t="s">
        <v>3358</v>
      </c>
      <c r="C3280" s="7" t="s">
        <v>3290</v>
      </c>
      <c r="D3280" s="7" t="s">
        <v>183</v>
      </c>
      <c r="E3280" s="5" t="s">
        <v>15</v>
      </c>
      <c r="F3280" s="8"/>
      <c r="G3280" s="9">
        <f>H3280*(1-30%)*(1-F3280)</f>
        <v>51.792999999999992</v>
      </c>
      <c r="H3280" s="9">
        <v>73.989999999999995</v>
      </c>
      <c r="I3280" s="9">
        <f>H3280-G3280</f>
        <v>22.197000000000003</v>
      </c>
    </row>
    <row r="3281" ht="14.25">
      <c r="A3281" s="5">
        <v>41690</v>
      </c>
      <c r="B3281" s="7" t="s">
        <v>3359</v>
      </c>
      <c r="C3281" s="7" t="s">
        <v>3290</v>
      </c>
      <c r="D3281" s="7" t="s">
        <v>183</v>
      </c>
      <c r="E3281" s="5" t="s">
        <v>15</v>
      </c>
      <c r="F3281" s="8"/>
      <c r="G3281" s="9">
        <f>H3281*(1-30%)*(1-F3281)</f>
        <v>24.492999999999999</v>
      </c>
      <c r="H3281" s="9">
        <v>34.990000000000002</v>
      </c>
      <c r="I3281" s="9">
        <f>H3281-G3281</f>
        <v>10.497000000000003</v>
      </c>
    </row>
    <row r="3282" ht="14.25">
      <c r="A3282" s="5">
        <v>41813</v>
      </c>
      <c r="B3282" s="7" t="s">
        <v>3360</v>
      </c>
      <c r="C3282" s="7" t="s">
        <v>3290</v>
      </c>
      <c r="D3282" s="7" t="s">
        <v>183</v>
      </c>
      <c r="E3282" s="5" t="s">
        <v>15</v>
      </c>
      <c r="F3282" s="8"/>
      <c r="G3282" s="9">
        <f>H3282*(1-30%)*(1-F3282)</f>
        <v>27.992999999999999</v>
      </c>
      <c r="H3282" s="9">
        <v>39.990000000000002</v>
      </c>
      <c r="I3282" s="9">
        <f>H3282-G3282</f>
        <v>11.997000000000003</v>
      </c>
    </row>
    <row r="3283" ht="14.25">
      <c r="A3283" s="5">
        <v>41815</v>
      </c>
      <c r="B3283" s="7" t="s">
        <v>3361</v>
      </c>
      <c r="C3283" s="7" t="s">
        <v>3290</v>
      </c>
      <c r="D3283" s="7" t="s">
        <v>183</v>
      </c>
      <c r="E3283" s="5" t="s">
        <v>15</v>
      </c>
      <c r="F3283" s="8"/>
      <c r="G3283" s="9">
        <f>H3283*(1-30%)*(1-F3283)</f>
        <v>27.292999999999999</v>
      </c>
      <c r="H3283" s="9">
        <v>38.990000000000002</v>
      </c>
      <c r="I3283" s="9">
        <f>H3283-G3283</f>
        <v>11.697000000000003</v>
      </c>
    </row>
    <row r="3284" ht="14.25">
      <c r="A3284" s="5">
        <v>42121</v>
      </c>
      <c r="B3284" s="7" t="s">
        <v>3362</v>
      </c>
      <c r="C3284" s="7" t="s">
        <v>3290</v>
      </c>
      <c r="D3284" s="7" t="s">
        <v>183</v>
      </c>
      <c r="E3284" s="5" t="s">
        <v>15</v>
      </c>
      <c r="F3284" s="8"/>
      <c r="G3284" s="9">
        <f>H3284*(1-30%)*(1-F3284)</f>
        <v>37.729999999999997</v>
      </c>
      <c r="H3284" s="9">
        <v>53.899999999999999</v>
      </c>
      <c r="I3284" s="9">
        <f>H3284-G3284</f>
        <v>16.170000000000002</v>
      </c>
    </row>
    <row r="3285" ht="14.25">
      <c r="A3285" s="5">
        <v>42126</v>
      </c>
      <c r="B3285" s="7" t="s">
        <v>3363</v>
      </c>
      <c r="C3285" s="7" t="s">
        <v>3290</v>
      </c>
      <c r="D3285" s="7" t="s">
        <v>183</v>
      </c>
      <c r="E3285" s="5" t="s">
        <v>15</v>
      </c>
      <c r="F3285" s="8"/>
      <c r="G3285" s="9">
        <f>H3285*(1-30%)*(1-F3285)</f>
        <v>38.493000000000002</v>
      </c>
      <c r="H3285" s="9">
        <v>54.990000000000002</v>
      </c>
      <c r="I3285" s="9">
        <f>H3285-G3285</f>
        <v>16.497</v>
      </c>
    </row>
    <row r="3286" ht="14.25">
      <c r="A3286" s="5">
        <v>42129</v>
      </c>
      <c r="B3286" s="7" t="s">
        <v>3364</v>
      </c>
      <c r="C3286" s="7" t="s">
        <v>3290</v>
      </c>
      <c r="D3286" s="7" t="s">
        <v>183</v>
      </c>
      <c r="E3286" s="5" t="s">
        <v>15</v>
      </c>
      <c r="F3286" s="8"/>
      <c r="G3286" s="9">
        <f>H3286*(1-30%)*(1-F3286)</f>
        <v>24.492999999999999</v>
      </c>
      <c r="H3286" s="9">
        <v>34.990000000000002</v>
      </c>
      <c r="I3286" s="9">
        <f>H3286-G3286</f>
        <v>10.497000000000003</v>
      </c>
    </row>
    <row r="3287" ht="14.25">
      <c r="A3287" s="5">
        <v>42130</v>
      </c>
      <c r="B3287" s="7" t="s">
        <v>3365</v>
      </c>
      <c r="C3287" s="7" t="s">
        <v>3290</v>
      </c>
      <c r="D3287" s="7" t="s">
        <v>183</v>
      </c>
      <c r="E3287" s="5" t="s">
        <v>15</v>
      </c>
      <c r="F3287" s="8"/>
      <c r="G3287" s="9">
        <f>H3287*(1-30%)*(1-F3287)</f>
        <v>62.93</v>
      </c>
      <c r="H3287" s="9">
        <v>89.900000000000006</v>
      </c>
      <c r="I3287" s="9">
        <f>H3287-G3287</f>
        <v>26.970000000000006</v>
      </c>
    </row>
    <row r="3288" ht="14.25">
      <c r="A3288" s="5">
        <v>42132</v>
      </c>
      <c r="B3288" s="7" t="s">
        <v>3366</v>
      </c>
      <c r="C3288" s="7" t="s">
        <v>3290</v>
      </c>
      <c r="D3288" s="7" t="s">
        <v>183</v>
      </c>
      <c r="E3288" s="5" t="s">
        <v>15</v>
      </c>
      <c r="F3288" s="8"/>
      <c r="G3288" s="9">
        <f>H3288*(1-30%)*(1-F3288)</f>
        <v>53.192999999999991</v>
      </c>
      <c r="H3288" s="9">
        <v>75.989999999999995</v>
      </c>
      <c r="I3288" s="9">
        <f>H3288-G3288</f>
        <v>22.797000000000004</v>
      </c>
    </row>
    <row r="3289" ht="14.25">
      <c r="A3289" s="5">
        <v>42133</v>
      </c>
      <c r="B3289" s="7" t="s">
        <v>3367</v>
      </c>
      <c r="C3289" s="7" t="s">
        <v>3290</v>
      </c>
      <c r="D3289" s="7" t="s">
        <v>183</v>
      </c>
      <c r="E3289" s="5" t="s">
        <v>15</v>
      </c>
      <c r="F3289" s="8"/>
      <c r="G3289" s="9">
        <f>H3289*(1-30%)*(1-F3289)</f>
        <v>34.993000000000002</v>
      </c>
      <c r="H3289" s="9">
        <v>49.990000000000002</v>
      </c>
      <c r="I3289" s="9">
        <f>H3289-G3289</f>
        <v>14.997</v>
      </c>
    </row>
    <row r="3290" ht="14.25">
      <c r="A3290" s="5">
        <v>42134</v>
      </c>
      <c r="B3290" s="7" t="s">
        <v>3368</v>
      </c>
      <c r="C3290" s="7" t="s">
        <v>3290</v>
      </c>
      <c r="D3290" s="7" t="s">
        <v>183</v>
      </c>
      <c r="E3290" s="5" t="s">
        <v>15</v>
      </c>
      <c r="F3290" s="8"/>
      <c r="G3290" s="9">
        <f>H3290*(1-30%)*(1-F3290)</f>
        <v>27.992999999999999</v>
      </c>
      <c r="H3290" s="9">
        <v>39.990000000000002</v>
      </c>
      <c r="I3290" s="9">
        <f>H3290-G3290</f>
        <v>11.997000000000003</v>
      </c>
    </row>
    <row r="3291" ht="14.25">
      <c r="A3291" s="5">
        <v>42138</v>
      </c>
      <c r="B3291" s="7" t="s">
        <v>3369</v>
      </c>
      <c r="C3291" s="7" t="s">
        <v>3290</v>
      </c>
      <c r="D3291" s="7" t="s">
        <v>183</v>
      </c>
      <c r="E3291" s="5" t="s">
        <v>15</v>
      </c>
      <c r="F3291" s="8"/>
      <c r="G3291" s="9">
        <f>H3291*(1-30%)*(1-F3291)</f>
        <v>48.992999999999995</v>
      </c>
      <c r="H3291" s="9">
        <v>69.989999999999995</v>
      </c>
      <c r="I3291" s="9">
        <f>H3291-G3291</f>
        <v>20.997</v>
      </c>
    </row>
    <row r="3292" ht="14.25">
      <c r="A3292" s="5">
        <v>42140</v>
      </c>
      <c r="B3292" s="7" t="s">
        <v>3370</v>
      </c>
      <c r="C3292" s="7" t="s">
        <v>3290</v>
      </c>
      <c r="D3292" s="7" t="s">
        <v>183</v>
      </c>
      <c r="E3292" s="5" t="s">
        <v>15</v>
      </c>
      <c r="F3292" s="8"/>
      <c r="G3292" s="9">
        <f>H3292*(1-30%)*(1-F3292)</f>
        <v>41.993000000000002</v>
      </c>
      <c r="H3292" s="9">
        <v>59.990000000000002</v>
      </c>
      <c r="I3292" s="9">
        <f>H3292-G3292</f>
        <v>17.997</v>
      </c>
    </row>
    <row r="3293" ht="14.25">
      <c r="A3293" s="5">
        <v>42141</v>
      </c>
      <c r="B3293" s="7" t="s">
        <v>3371</v>
      </c>
      <c r="C3293" s="7" t="s">
        <v>3324</v>
      </c>
      <c r="D3293" s="7" t="s">
        <v>183</v>
      </c>
      <c r="E3293" s="5" t="s">
        <v>15</v>
      </c>
      <c r="F3293" s="8"/>
      <c r="G3293" s="9">
        <f>H3293*(1-30%)*(1-F3293)</f>
        <v>18.892999999999997</v>
      </c>
      <c r="H3293" s="9">
        <v>26.989999999999998</v>
      </c>
      <c r="I3293" s="9">
        <f>H3293-G3293</f>
        <v>8.0970000000000013</v>
      </c>
    </row>
    <row r="3294" ht="14.25">
      <c r="A3294" s="5">
        <v>42144</v>
      </c>
      <c r="B3294" s="7" t="s">
        <v>3372</v>
      </c>
      <c r="C3294" s="7" t="s">
        <v>3290</v>
      </c>
      <c r="D3294" s="7" t="s">
        <v>183</v>
      </c>
      <c r="E3294" s="5" t="s">
        <v>15</v>
      </c>
      <c r="F3294" s="8"/>
      <c r="G3294" s="9">
        <f>H3294*(1-30%)*(1-F3294)</f>
        <v>15.392999999999997</v>
      </c>
      <c r="H3294" s="9">
        <v>21.989999999999998</v>
      </c>
      <c r="I3294" s="9">
        <f>H3294-G3294</f>
        <v>6.5970000000000013</v>
      </c>
    </row>
    <row r="3295" ht="14.25">
      <c r="A3295" s="5">
        <v>42147</v>
      </c>
      <c r="B3295" s="7" t="s">
        <v>3373</v>
      </c>
      <c r="C3295" s="7" t="s">
        <v>3290</v>
      </c>
      <c r="D3295" s="7" t="s">
        <v>183</v>
      </c>
      <c r="E3295" s="5" t="s">
        <v>15</v>
      </c>
      <c r="F3295" s="8"/>
      <c r="G3295" s="9">
        <f>H3295*(1-30%)*(1-F3295)</f>
        <v>68.592999999999989</v>
      </c>
      <c r="H3295" s="9">
        <v>97.989999999999995</v>
      </c>
      <c r="I3295" s="9">
        <f>H3295-G3295</f>
        <v>29.397000000000006</v>
      </c>
    </row>
    <row r="3296" ht="14.25">
      <c r="A3296" s="5">
        <v>42168</v>
      </c>
      <c r="B3296" s="7" t="s">
        <v>3374</v>
      </c>
      <c r="C3296" s="7" t="s">
        <v>3290</v>
      </c>
      <c r="D3296" s="7" t="s">
        <v>183</v>
      </c>
      <c r="E3296" s="5" t="s">
        <v>15</v>
      </c>
      <c r="F3296" s="8"/>
      <c r="G3296" s="9">
        <f>H3296*(1-30%)*(1-F3296)</f>
        <v>34.93</v>
      </c>
      <c r="H3296" s="9">
        <v>49.899999999999999</v>
      </c>
      <c r="I3296" s="9">
        <f>H3296-G3296</f>
        <v>14.969999999999999</v>
      </c>
    </row>
    <row r="3297" ht="14.25">
      <c r="A3297" s="5">
        <v>42170</v>
      </c>
      <c r="B3297" s="7" t="s">
        <v>3375</v>
      </c>
      <c r="C3297" s="7" t="s">
        <v>3290</v>
      </c>
      <c r="D3297" s="7" t="s">
        <v>183</v>
      </c>
      <c r="E3297" s="5" t="s">
        <v>15</v>
      </c>
      <c r="F3297" s="8"/>
      <c r="G3297" s="9">
        <f>H3297*(1-30%)*(1-F3297)</f>
        <v>45.43</v>
      </c>
      <c r="H3297" s="9">
        <v>64.900000000000006</v>
      </c>
      <c r="I3297" s="9">
        <f>H3297-G3297</f>
        <v>19.470000000000006</v>
      </c>
    </row>
    <row r="3298" ht="14.25">
      <c r="A3298" s="5">
        <v>42171</v>
      </c>
      <c r="B3298" s="7" t="s">
        <v>3376</v>
      </c>
      <c r="C3298" s="7" t="s">
        <v>3290</v>
      </c>
      <c r="D3298" s="7" t="s">
        <v>183</v>
      </c>
      <c r="E3298" s="5" t="s">
        <v>15</v>
      </c>
      <c r="F3298" s="8"/>
      <c r="G3298" s="9">
        <f>H3298*(1-30%)*(1-F3298)</f>
        <v>104.92999999999999</v>
      </c>
      <c r="H3298" s="9">
        <v>149.90000000000001</v>
      </c>
      <c r="I3298" s="9">
        <f>H3298-G3298</f>
        <v>44.970000000000013</v>
      </c>
    </row>
    <row r="3299" ht="14.25">
      <c r="A3299" s="5">
        <v>42177</v>
      </c>
      <c r="B3299" s="7" t="s">
        <v>3377</v>
      </c>
      <c r="C3299" s="7" t="s">
        <v>3290</v>
      </c>
      <c r="D3299" s="7" t="s">
        <v>183</v>
      </c>
      <c r="E3299" s="5" t="s">
        <v>15</v>
      </c>
      <c r="F3299" s="8"/>
      <c r="G3299" s="9">
        <f>H3299*(1-30%)*(1-F3299)</f>
        <v>48.992999999999995</v>
      </c>
      <c r="H3299" s="9">
        <v>69.989999999999995</v>
      </c>
      <c r="I3299" s="9">
        <f>H3299-G3299</f>
        <v>20.997</v>
      </c>
    </row>
    <row r="3300" ht="14.25">
      <c r="A3300" s="5">
        <v>42204</v>
      </c>
      <c r="B3300" s="7" t="s">
        <v>3378</v>
      </c>
      <c r="C3300" s="7" t="s">
        <v>3290</v>
      </c>
      <c r="D3300" s="7" t="s">
        <v>183</v>
      </c>
      <c r="E3300" s="5" t="s">
        <v>15</v>
      </c>
      <c r="F3300" s="8"/>
      <c r="G3300" s="9">
        <f>H3300*(1-30%)*(1-F3300)</f>
        <v>34.292999999999999</v>
      </c>
      <c r="H3300" s="9">
        <v>48.990000000000002</v>
      </c>
      <c r="I3300" s="9">
        <f>H3300-G3300</f>
        <v>14.697000000000003</v>
      </c>
    </row>
    <row r="3301" ht="14.25">
      <c r="A3301" s="5">
        <v>42604</v>
      </c>
      <c r="B3301" s="7" t="s">
        <v>3379</v>
      </c>
      <c r="C3301" s="7" t="s">
        <v>3290</v>
      </c>
      <c r="D3301" s="7" t="s">
        <v>183</v>
      </c>
      <c r="E3301" s="5" t="s">
        <v>15</v>
      </c>
      <c r="F3301" s="8"/>
      <c r="G3301" s="9">
        <f>H3301*(1-30%)*(1-F3301)</f>
        <v>31.492999999999999</v>
      </c>
      <c r="H3301" s="9">
        <v>44.990000000000002</v>
      </c>
      <c r="I3301" s="9">
        <f>H3301-G3301</f>
        <v>13.497000000000003</v>
      </c>
    </row>
    <row r="3302" ht="14.25">
      <c r="A3302" s="5">
        <v>42785</v>
      </c>
      <c r="B3302" s="7" t="s">
        <v>3380</v>
      </c>
      <c r="C3302" s="7" t="s">
        <v>3290</v>
      </c>
      <c r="D3302" s="7" t="s">
        <v>183</v>
      </c>
      <c r="E3302" s="5" t="s">
        <v>15</v>
      </c>
      <c r="F3302" s="8"/>
      <c r="G3302" s="9">
        <f>H3302*(1-30%)*(1-F3302)</f>
        <v>13.992999999999999</v>
      </c>
      <c r="H3302" s="9">
        <v>19.989999999999998</v>
      </c>
      <c r="I3302" s="9">
        <f>H3302-G3302</f>
        <v>5.9969999999999999</v>
      </c>
    </row>
    <row r="3303" ht="14.25">
      <c r="A3303" s="5">
        <v>42917</v>
      </c>
      <c r="B3303" s="7" t="s">
        <v>3381</v>
      </c>
      <c r="C3303" s="7" t="s">
        <v>3290</v>
      </c>
      <c r="D3303" s="7" t="s">
        <v>183</v>
      </c>
      <c r="E3303" s="5" t="s">
        <v>15</v>
      </c>
      <c r="F3303" s="8"/>
      <c r="G3303" s="9">
        <f>H3303*(1-30%)*(1-F3303)</f>
        <v>37.729999999999997</v>
      </c>
      <c r="H3303" s="9">
        <v>53.899999999999999</v>
      </c>
      <c r="I3303" s="9">
        <f>H3303-G3303</f>
        <v>16.170000000000002</v>
      </c>
    </row>
    <row r="3304" ht="14.25">
      <c r="A3304" s="5">
        <v>42919</v>
      </c>
      <c r="B3304" s="7" t="s">
        <v>3382</v>
      </c>
      <c r="C3304" s="7" t="s">
        <v>3290</v>
      </c>
      <c r="D3304" s="7" t="s">
        <v>183</v>
      </c>
      <c r="E3304" s="5" t="s">
        <v>15</v>
      </c>
      <c r="F3304" s="8"/>
      <c r="G3304" s="9">
        <f>H3304*(1-30%)*(1-F3304)</f>
        <v>46.829999999999998</v>
      </c>
      <c r="H3304" s="9">
        <v>66.900000000000006</v>
      </c>
      <c r="I3304" s="9">
        <f>H3304-G3304</f>
        <v>20.070000000000007</v>
      </c>
    </row>
    <row r="3305" ht="14.25">
      <c r="A3305" s="5">
        <v>42920</v>
      </c>
      <c r="B3305" s="7" t="s">
        <v>3383</v>
      </c>
      <c r="C3305" s="7" t="s">
        <v>3290</v>
      </c>
      <c r="D3305" s="7" t="s">
        <v>183</v>
      </c>
      <c r="E3305" s="5" t="s">
        <v>15</v>
      </c>
      <c r="F3305" s="8"/>
      <c r="G3305" s="9">
        <f>H3305*(1-30%)*(1-F3305)</f>
        <v>41.993000000000002</v>
      </c>
      <c r="H3305" s="9">
        <v>59.990000000000002</v>
      </c>
      <c r="I3305" s="9">
        <f>H3305-G3305</f>
        <v>17.997</v>
      </c>
    </row>
    <row r="3306" ht="14.25">
      <c r="A3306" s="5">
        <v>42921</v>
      </c>
      <c r="B3306" s="7" t="s">
        <v>3384</v>
      </c>
      <c r="C3306" s="7" t="s">
        <v>3290</v>
      </c>
      <c r="D3306" s="7" t="s">
        <v>183</v>
      </c>
      <c r="E3306" s="5" t="s">
        <v>15</v>
      </c>
      <c r="F3306" s="8"/>
      <c r="G3306" s="9">
        <f>H3306*(1-30%)*(1-F3306)</f>
        <v>34.993000000000002</v>
      </c>
      <c r="H3306" s="9">
        <v>49.990000000000002</v>
      </c>
      <c r="I3306" s="9">
        <f>H3306-G3306</f>
        <v>14.997</v>
      </c>
    </row>
    <row r="3307" ht="14.25">
      <c r="A3307" s="5">
        <v>42922</v>
      </c>
      <c r="B3307" s="7" t="s">
        <v>3385</v>
      </c>
      <c r="C3307" s="7" t="s">
        <v>3290</v>
      </c>
      <c r="D3307" s="7" t="s">
        <v>183</v>
      </c>
      <c r="E3307" s="5" t="s">
        <v>15</v>
      </c>
      <c r="F3307" s="8"/>
      <c r="G3307" s="9">
        <f>H3307*(1-30%)*(1-F3307)</f>
        <v>38.493000000000002</v>
      </c>
      <c r="H3307" s="9">
        <v>54.990000000000002</v>
      </c>
      <c r="I3307" s="9">
        <f>H3307-G3307</f>
        <v>16.497</v>
      </c>
    </row>
    <row r="3308" ht="14.25">
      <c r="A3308" s="5">
        <v>42924</v>
      </c>
      <c r="B3308" s="7" t="s">
        <v>3386</v>
      </c>
      <c r="C3308" s="7" t="s">
        <v>3290</v>
      </c>
      <c r="D3308" s="7" t="s">
        <v>183</v>
      </c>
      <c r="E3308" s="5" t="s">
        <v>15</v>
      </c>
      <c r="F3308" s="8"/>
      <c r="G3308" s="9">
        <f>H3308*(1-30%)*(1-F3308)</f>
        <v>41.93</v>
      </c>
      <c r="H3308" s="9">
        <v>59.899999999999999</v>
      </c>
      <c r="I3308" s="9">
        <f>H3308-G3308</f>
        <v>17.969999999999999</v>
      </c>
    </row>
    <row r="3309" ht="14.25">
      <c r="A3309" s="5">
        <v>42932</v>
      </c>
      <c r="B3309" s="7" t="s">
        <v>3387</v>
      </c>
      <c r="C3309" s="7" t="s">
        <v>3290</v>
      </c>
      <c r="D3309" s="7" t="s">
        <v>183</v>
      </c>
      <c r="E3309" s="5" t="s">
        <v>43</v>
      </c>
      <c r="F3309" s="8"/>
      <c r="G3309" s="9">
        <f>H3309*(1-30%)*(1-F3309)</f>
        <v>37.092999999999996</v>
      </c>
      <c r="H3309" s="9">
        <v>52.990000000000002</v>
      </c>
      <c r="I3309" s="9">
        <f>H3309-G3309</f>
        <v>15.897000000000006</v>
      </c>
    </row>
    <row r="3310" ht="14.25">
      <c r="A3310" s="5">
        <v>42938</v>
      </c>
      <c r="B3310" s="7" t="s">
        <v>3388</v>
      </c>
      <c r="C3310" s="7" t="s">
        <v>3290</v>
      </c>
      <c r="D3310" s="7" t="s">
        <v>183</v>
      </c>
      <c r="E3310" s="5" t="s">
        <v>15</v>
      </c>
      <c r="F3310" s="8"/>
      <c r="G3310" s="9">
        <f>H3310*(1-30%)*(1-F3310)</f>
        <v>83.230000000000004</v>
      </c>
      <c r="H3310" s="9">
        <v>118.90000000000001</v>
      </c>
      <c r="I3310" s="9">
        <f>H3310-G3310</f>
        <v>35.670000000000002</v>
      </c>
    </row>
    <row r="3311" ht="14.25">
      <c r="A3311" s="5">
        <v>42940</v>
      </c>
      <c r="B3311" s="7" t="s">
        <v>3389</v>
      </c>
      <c r="C3311" s="7" t="s">
        <v>3290</v>
      </c>
      <c r="D3311" s="7" t="s">
        <v>183</v>
      </c>
      <c r="E3311" s="5" t="s">
        <v>15</v>
      </c>
      <c r="F3311" s="8"/>
      <c r="G3311" s="9">
        <f>H3311*(1-30%)*(1-F3311)</f>
        <v>27.992999999999999</v>
      </c>
      <c r="H3311" s="9">
        <v>39.990000000000002</v>
      </c>
      <c r="I3311" s="9">
        <f>H3311-G3311</f>
        <v>11.997000000000003</v>
      </c>
    </row>
    <row r="3312" ht="14.25">
      <c r="A3312" s="5">
        <v>42942</v>
      </c>
      <c r="B3312" s="7" t="s">
        <v>3390</v>
      </c>
      <c r="C3312" s="7" t="s">
        <v>3290</v>
      </c>
      <c r="D3312" s="7" t="s">
        <v>183</v>
      </c>
      <c r="E3312" s="5" t="s">
        <v>15</v>
      </c>
      <c r="F3312" s="8"/>
      <c r="G3312" s="9">
        <f>H3312*(1-30%)*(1-F3312)</f>
        <v>48.992999999999995</v>
      </c>
      <c r="H3312" s="9">
        <v>69.989999999999995</v>
      </c>
      <c r="I3312" s="9">
        <f>H3312-G3312</f>
        <v>20.997</v>
      </c>
    </row>
    <row r="3313" ht="14.25">
      <c r="A3313" s="5">
        <v>42943</v>
      </c>
      <c r="B3313" s="7" t="s">
        <v>3391</v>
      </c>
      <c r="C3313" s="7" t="s">
        <v>3290</v>
      </c>
      <c r="D3313" s="7" t="s">
        <v>183</v>
      </c>
      <c r="E3313" s="5" t="s">
        <v>15</v>
      </c>
      <c r="F3313" s="8"/>
      <c r="G3313" s="9">
        <f>H3313*(1-30%)*(1-F3313)</f>
        <v>27.992999999999999</v>
      </c>
      <c r="H3313" s="9">
        <v>39.990000000000002</v>
      </c>
      <c r="I3313" s="9">
        <f>H3313-G3313</f>
        <v>11.997000000000003</v>
      </c>
    </row>
    <row r="3314" ht="14.25">
      <c r="A3314" s="5">
        <v>42951</v>
      </c>
      <c r="B3314" s="7" t="s">
        <v>3392</v>
      </c>
      <c r="C3314" s="7" t="s">
        <v>3290</v>
      </c>
      <c r="D3314" s="7" t="s">
        <v>183</v>
      </c>
      <c r="E3314" s="5" t="s">
        <v>15</v>
      </c>
      <c r="F3314" s="8"/>
      <c r="G3314" s="9">
        <f>H3314*(1-30%)*(1-F3314)</f>
        <v>34.229999999999997</v>
      </c>
      <c r="H3314" s="9">
        <v>48.899999999999999</v>
      </c>
      <c r="I3314" s="9">
        <f>H3314-G3314</f>
        <v>14.670000000000002</v>
      </c>
    </row>
    <row r="3315" ht="14.25">
      <c r="A3315" s="5">
        <v>42957</v>
      </c>
      <c r="B3315" s="7" t="s">
        <v>3393</v>
      </c>
      <c r="C3315" s="7" t="s">
        <v>3290</v>
      </c>
      <c r="D3315" s="7" t="s">
        <v>183</v>
      </c>
      <c r="E3315" s="5" t="s">
        <v>15</v>
      </c>
      <c r="F3315" s="8"/>
      <c r="G3315" s="9">
        <f>H3315*(1-30%)*(1-F3315)</f>
        <v>24.492999999999999</v>
      </c>
      <c r="H3315" s="9">
        <v>34.990000000000002</v>
      </c>
      <c r="I3315" s="9">
        <f>H3315-G3315</f>
        <v>10.497000000000003</v>
      </c>
    </row>
    <row r="3316" ht="14.25">
      <c r="A3316" s="5">
        <v>42960</v>
      </c>
      <c r="B3316" s="7" t="s">
        <v>3394</v>
      </c>
      <c r="C3316" s="7" t="s">
        <v>3290</v>
      </c>
      <c r="D3316" s="7" t="s">
        <v>183</v>
      </c>
      <c r="E3316" s="5" t="s">
        <v>15</v>
      </c>
      <c r="F3316" s="8"/>
      <c r="G3316" s="9">
        <f>H3316*(1-30%)*(1-F3316)</f>
        <v>57.392999999999994</v>
      </c>
      <c r="H3316" s="9">
        <v>81.989999999999995</v>
      </c>
      <c r="I3316" s="9">
        <f>H3316-G3316</f>
        <v>24.597000000000001</v>
      </c>
    </row>
    <row r="3317" ht="14.25">
      <c r="A3317" s="5">
        <v>42963</v>
      </c>
      <c r="B3317" s="7" t="s">
        <v>3395</v>
      </c>
      <c r="C3317" s="7" t="s">
        <v>3290</v>
      </c>
      <c r="D3317" s="7" t="s">
        <v>183</v>
      </c>
      <c r="E3317" s="5" t="s">
        <v>15</v>
      </c>
      <c r="F3317" s="8"/>
      <c r="G3317" s="9">
        <f>H3317*(1-30%)*(1-F3317)</f>
        <v>31.492999999999999</v>
      </c>
      <c r="H3317" s="9">
        <v>44.990000000000002</v>
      </c>
      <c r="I3317" s="9">
        <f>H3317-G3317</f>
        <v>13.497000000000003</v>
      </c>
    </row>
    <row r="3318" ht="14.25">
      <c r="A3318" s="5">
        <v>42964</v>
      </c>
      <c r="B3318" s="7" t="s">
        <v>3396</v>
      </c>
      <c r="C3318" s="7" t="s">
        <v>3290</v>
      </c>
      <c r="D3318" s="7" t="s">
        <v>183</v>
      </c>
      <c r="E3318" s="5" t="s">
        <v>15</v>
      </c>
      <c r="F3318" s="8"/>
      <c r="G3318" s="9">
        <f>H3318*(1-30%)*(1-F3318)</f>
        <v>55.992999999999995</v>
      </c>
      <c r="H3318" s="9">
        <v>79.989999999999995</v>
      </c>
      <c r="I3318" s="9">
        <f>H3318-G3318</f>
        <v>23.997</v>
      </c>
    </row>
    <row r="3319" ht="14.25">
      <c r="A3319" s="5">
        <v>42969</v>
      </c>
      <c r="B3319" s="7" t="s">
        <v>3397</v>
      </c>
      <c r="C3319" s="7" t="s">
        <v>3290</v>
      </c>
      <c r="D3319" s="7" t="s">
        <v>183</v>
      </c>
      <c r="E3319" s="5" t="s">
        <v>15</v>
      </c>
      <c r="F3319" s="8"/>
      <c r="G3319" s="9">
        <f>H3319*(1-30%)*(1-F3319)</f>
        <v>60.892999999999994</v>
      </c>
      <c r="H3319" s="9">
        <v>86.989999999999995</v>
      </c>
      <c r="I3319" s="9">
        <f>H3319-G3319</f>
        <v>26.097000000000001</v>
      </c>
    </row>
    <row r="3320" ht="14.25">
      <c r="A3320" s="5">
        <v>43071</v>
      </c>
      <c r="B3320" s="7" t="s">
        <v>3398</v>
      </c>
      <c r="C3320" s="7" t="s">
        <v>3290</v>
      </c>
      <c r="D3320" s="7" t="s">
        <v>183</v>
      </c>
      <c r="E3320" s="5" t="s">
        <v>15</v>
      </c>
      <c r="F3320" s="8"/>
      <c r="G3320" s="9">
        <f>H3320*(1-30%)*(1-F3320)</f>
        <v>62.992999999999995</v>
      </c>
      <c r="H3320" s="9">
        <v>89.989999999999995</v>
      </c>
      <c r="I3320" s="9">
        <f>H3320-G3320</f>
        <v>26.997</v>
      </c>
    </row>
    <row r="3321" ht="14.25">
      <c r="A3321" s="5">
        <v>43111</v>
      </c>
      <c r="B3321" s="7" t="s">
        <v>3399</v>
      </c>
      <c r="C3321" s="7" t="s">
        <v>3341</v>
      </c>
      <c r="D3321" s="7" t="s">
        <v>183</v>
      </c>
      <c r="E3321" s="5" t="s">
        <v>15</v>
      </c>
      <c r="F3321" s="8"/>
      <c r="G3321" s="9">
        <f>H3321*(1-30%)*(1-F3321)</f>
        <v>17.492999999999999</v>
      </c>
      <c r="H3321" s="9">
        <v>24.989999999999998</v>
      </c>
      <c r="I3321" s="9">
        <f>H3321-G3321</f>
        <v>7.4969999999999999</v>
      </c>
    </row>
    <row r="3322" ht="14.25">
      <c r="A3322" s="5">
        <v>43141</v>
      </c>
      <c r="B3322" s="7" t="s">
        <v>3400</v>
      </c>
      <c r="C3322" s="7" t="s">
        <v>3290</v>
      </c>
      <c r="D3322" s="7" t="s">
        <v>183</v>
      </c>
      <c r="E3322" s="5" t="s">
        <v>15</v>
      </c>
      <c r="F3322" s="8"/>
      <c r="G3322" s="9">
        <f>H3322*(1-30%)*(1-F3322)</f>
        <v>83.230000000000004</v>
      </c>
      <c r="H3322" s="9">
        <v>118.90000000000001</v>
      </c>
      <c r="I3322" s="9">
        <f>H3322-G3322</f>
        <v>35.670000000000002</v>
      </c>
    </row>
    <row r="3323" ht="14.25">
      <c r="A3323" s="5">
        <v>47167</v>
      </c>
      <c r="B3323" s="7" t="s">
        <v>3401</v>
      </c>
      <c r="C3323" s="7" t="s">
        <v>3280</v>
      </c>
      <c r="D3323" s="7" t="s">
        <v>95</v>
      </c>
      <c r="E3323" s="5" t="s">
        <v>43</v>
      </c>
      <c r="F3323" s="8"/>
      <c r="G3323" s="9">
        <f>H3323*(1-30%)*(1-F3323)</f>
        <v>31.492999999999999</v>
      </c>
      <c r="H3323" s="9">
        <v>44.990000000000002</v>
      </c>
      <c r="I3323" s="9">
        <f>H3323-G3323</f>
        <v>13.497000000000003</v>
      </c>
    </row>
    <row r="3324" ht="14.25">
      <c r="A3324" s="5">
        <v>47168</v>
      </c>
      <c r="B3324" s="7" t="s">
        <v>3402</v>
      </c>
      <c r="C3324" s="7" t="s">
        <v>3280</v>
      </c>
      <c r="D3324" s="7" t="s">
        <v>95</v>
      </c>
      <c r="E3324" s="5" t="s">
        <v>43</v>
      </c>
      <c r="F3324" s="8"/>
      <c r="G3324" s="9">
        <f>H3324*(1-30%)*(1-F3324)</f>
        <v>33.592999999999996</v>
      </c>
      <c r="H3324" s="9">
        <v>47.990000000000002</v>
      </c>
      <c r="I3324" s="9">
        <f>H3324-G3324</f>
        <v>14.397000000000006</v>
      </c>
    </row>
    <row r="3325" ht="14.25">
      <c r="A3325" s="5">
        <v>47169</v>
      </c>
      <c r="B3325" s="7" t="s">
        <v>3403</v>
      </c>
      <c r="C3325" s="7" t="s">
        <v>3280</v>
      </c>
      <c r="D3325" s="7" t="s">
        <v>95</v>
      </c>
      <c r="E3325" s="5" t="s">
        <v>43</v>
      </c>
      <c r="F3325" s="8"/>
      <c r="G3325" s="9">
        <f>H3325*(1-30%)*(1-F3325)</f>
        <v>47.592999999999996</v>
      </c>
      <c r="H3325" s="9">
        <v>67.989999999999995</v>
      </c>
      <c r="I3325" s="9">
        <f>H3325-G3325</f>
        <v>20.396999999999998</v>
      </c>
    </row>
    <row r="3326" ht="14.25">
      <c r="A3326" s="5">
        <v>47170</v>
      </c>
      <c r="B3326" s="7" t="s">
        <v>3404</v>
      </c>
      <c r="C3326" s="7" t="s">
        <v>3280</v>
      </c>
      <c r="D3326" s="7" t="s">
        <v>95</v>
      </c>
      <c r="E3326" s="5" t="s">
        <v>43</v>
      </c>
      <c r="F3326" s="8"/>
      <c r="G3326" s="9">
        <f>H3326*(1-30%)*(1-F3326)</f>
        <v>34.993000000000002</v>
      </c>
      <c r="H3326" s="9">
        <v>49.990000000000002</v>
      </c>
      <c r="I3326" s="9">
        <f>H3326-G3326</f>
        <v>14.997</v>
      </c>
    </row>
    <row r="3327" ht="14.25">
      <c r="A3327" s="5">
        <v>47171</v>
      </c>
      <c r="B3327" s="7" t="s">
        <v>3405</v>
      </c>
      <c r="C3327" s="7" t="s">
        <v>3280</v>
      </c>
      <c r="D3327" s="7" t="s">
        <v>95</v>
      </c>
      <c r="E3327" s="5" t="s">
        <v>43</v>
      </c>
      <c r="F3327" s="8"/>
      <c r="G3327" s="9">
        <f>H3327*(1-30%)*(1-F3327)</f>
        <v>31.492999999999999</v>
      </c>
      <c r="H3327" s="9">
        <v>44.990000000000002</v>
      </c>
      <c r="I3327" s="9">
        <f>H3327-G3327</f>
        <v>13.497000000000003</v>
      </c>
    </row>
    <row r="3328" ht="14.25">
      <c r="A3328" s="5">
        <v>47175</v>
      </c>
      <c r="B3328" s="7" t="s">
        <v>3406</v>
      </c>
      <c r="C3328" s="7" t="s">
        <v>3280</v>
      </c>
      <c r="D3328" s="7" t="s">
        <v>95</v>
      </c>
      <c r="E3328" s="5" t="s">
        <v>43</v>
      </c>
      <c r="F3328" s="8"/>
      <c r="G3328" s="9">
        <f>H3328*(1-30%)*(1-F3328)</f>
        <v>33.592999999999996</v>
      </c>
      <c r="H3328" s="9">
        <v>47.990000000000002</v>
      </c>
      <c r="I3328" s="9">
        <f>H3328-G3328</f>
        <v>14.397000000000006</v>
      </c>
    </row>
    <row r="3329" ht="14.25">
      <c r="A3329" s="5">
        <v>47176</v>
      </c>
      <c r="B3329" s="7" t="s">
        <v>3407</v>
      </c>
      <c r="C3329" s="7" t="s">
        <v>3280</v>
      </c>
      <c r="D3329" s="7" t="s">
        <v>95</v>
      </c>
      <c r="E3329" s="5" t="s">
        <v>43</v>
      </c>
      <c r="F3329" s="8"/>
      <c r="G3329" s="9">
        <f>H3329*(1-30%)*(1-F3329)</f>
        <v>34.993000000000002</v>
      </c>
      <c r="H3329" s="9">
        <v>49.990000000000002</v>
      </c>
      <c r="I3329" s="9">
        <f>H3329-G3329</f>
        <v>14.997</v>
      </c>
    </row>
    <row r="3330" ht="14.25">
      <c r="A3330" s="5">
        <v>47177</v>
      </c>
      <c r="B3330" s="7" t="s">
        <v>3408</v>
      </c>
      <c r="C3330" s="7" t="s">
        <v>3280</v>
      </c>
      <c r="D3330" s="7" t="s">
        <v>95</v>
      </c>
      <c r="E3330" s="5" t="s">
        <v>43</v>
      </c>
      <c r="F3330" s="8"/>
      <c r="G3330" s="9">
        <f>H3330*(1-30%)*(1-F3330)</f>
        <v>48.992999999999995</v>
      </c>
      <c r="H3330" s="9">
        <v>69.989999999999995</v>
      </c>
      <c r="I3330" s="9">
        <f>H3330-G3330</f>
        <v>20.997</v>
      </c>
    </row>
    <row r="3331" ht="14.25">
      <c r="A3331" s="5">
        <v>47178</v>
      </c>
      <c r="B3331" s="7" t="s">
        <v>3409</v>
      </c>
      <c r="C3331" s="7" t="s">
        <v>3280</v>
      </c>
      <c r="D3331" s="7" t="s">
        <v>95</v>
      </c>
      <c r="E3331" s="5" t="s">
        <v>43</v>
      </c>
      <c r="F3331" s="8"/>
      <c r="G3331" s="9">
        <f>H3331*(1-30%)*(1-F3331)</f>
        <v>37.092999999999996</v>
      </c>
      <c r="H3331" s="9">
        <v>52.990000000000002</v>
      </c>
      <c r="I3331" s="9">
        <f>H3331-G3331</f>
        <v>15.897000000000006</v>
      </c>
    </row>
    <row r="3332" ht="14.25">
      <c r="A3332" s="5">
        <v>47192</v>
      </c>
      <c r="B3332" s="7" t="s">
        <v>3410</v>
      </c>
      <c r="C3332" s="7" t="s">
        <v>3276</v>
      </c>
      <c r="D3332" s="7" t="s">
        <v>95</v>
      </c>
      <c r="E3332" s="5" t="s">
        <v>3268</v>
      </c>
      <c r="F3332" s="8"/>
      <c r="G3332" s="9">
        <f>H3332*(1-30%)*(1-F3332)</f>
        <v>19.592999999999996</v>
      </c>
      <c r="H3332" s="9">
        <v>27.989999999999998</v>
      </c>
      <c r="I3332" s="9">
        <f>H3332-G3332</f>
        <v>8.397000000000002</v>
      </c>
    </row>
    <row r="3333" ht="14.25">
      <c r="A3333" s="5">
        <v>47193</v>
      </c>
      <c r="B3333" s="7" t="s">
        <v>3411</v>
      </c>
      <c r="C3333" s="7" t="s">
        <v>3276</v>
      </c>
      <c r="D3333" s="7" t="s">
        <v>95</v>
      </c>
      <c r="E3333" s="5" t="s">
        <v>43</v>
      </c>
      <c r="F3333" s="8"/>
      <c r="G3333" s="9">
        <f>H3333*(1-30%)*(1-F3333)</f>
        <v>20.992999999999999</v>
      </c>
      <c r="H3333" s="9">
        <v>29.989999999999998</v>
      </c>
      <c r="I3333" s="9">
        <f>H3333-G3333</f>
        <v>8.9969999999999999</v>
      </c>
    </row>
    <row r="3334" ht="14.25">
      <c r="A3334" s="5">
        <v>47194</v>
      </c>
      <c r="B3334" s="7" t="s">
        <v>3412</v>
      </c>
      <c r="C3334" s="7" t="s">
        <v>3276</v>
      </c>
      <c r="D3334" s="7" t="s">
        <v>95</v>
      </c>
      <c r="E3334" s="5" t="s">
        <v>26</v>
      </c>
      <c r="F3334" s="8"/>
      <c r="G3334" s="9">
        <f>H3334*(1-30%)*(1-F3334)</f>
        <v>37.092999999999996</v>
      </c>
      <c r="H3334" s="9">
        <v>52.990000000000002</v>
      </c>
      <c r="I3334" s="9">
        <f>H3334-G3334</f>
        <v>15.897000000000006</v>
      </c>
    </row>
    <row r="3335" ht="14.25">
      <c r="A3335" s="5">
        <v>47298</v>
      </c>
      <c r="B3335" s="7" t="s">
        <v>3413</v>
      </c>
      <c r="C3335" s="7" t="s">
        <v>3324</v>
      </c>
      <c r="D3335" s="7" t="s">
        <v>183</v>
      </c>
      <c r="E3335" s="5" t="s">
        <v>15</v>
      </c>
      <c r="F3335" s="8"/>
      <c r="G3335" s="9">
        <f>H3335*(1-30%)*(1-F3335)</f>
        <v>31.492999999999999</v>
      </c>
      <c r="H3335" s="9">
        <v>44.990000000000002</v>
      </c>
      <c r="I3335" s="9">
        <f>H3335-G3335</f>
        <v>13.497000000000003</v>
      </c>
    </row>
    <row r="3336" ht="14.25">
      <c r="A3336" s="5">
        <v>47335</v>
      </c>
      <c r="B3336" s="7" t="s">
        <v>3414</v>
      </c>
      <c r="C3336" s="7" t="s">
        <v>3276</v>
      </c>
      <c r="D3336" s="7" t="s">
        <v>183</v>
      </c>
      <c r="E3336" s="5" t="s">
        <v>15</v>
      </c>
      <c r="F3336" s="8"/>
      <c r="G3336" s="9">
        <f>H3336*(1-30%)*(1-F3336)</f>
        <v>1.4139999999999999</v>
      </c>
      <c r="H3336" s="9">
        <v>2.02</v>
      </c>
      <c r="I3336" s="9">
        <f>H3336-G3336</f>
        <v>0.60600000000000009</v>
      </c>
    </row>
    <row r="3337" ht="14.25">
      <c r="A3337" s="5">
        <v>47364</v>
      </c>
      <c r="B3337" s="7" t="s">
        <v>3415</v>
      </c>
      <c r="C3337" s="7" t="s">
        <v>3280</v>
      </c>
      <c r="D3337" s="7" t="s">
        <v>95</v>
      </c>
      <c r="E3337" s="5" t="s">
        <v>43</v>
      </c>
      <c r="F3337" s="8"/>
      <c r="G3337" s="9">
        <f>H3337*(1-30%)*(1-F3337)</f>
        <v>48.992999999999995</v>
      </c>
      <c r="H3337" s="9">
        <v>69.989999999999995</v>
      </c>
      <c r="I3337" s="9">
        <f>H3337-G3337</f>
        <v>20.997</v>
      </c>
    </row>
    <row r="3338" ht="14.25">
      <c r="A3338" s="5">
        <v>47381</v>
      </c>
      <c r="B3338" s="7" t="s">
        <v>3416</v>
      </c>
      <c r="C3338" s="7" t="s">
        <v>3417</v>
      </c>
      <c r="D3338" s="7" t="s">
        <v>219</v>
      </c>
      <c r="E3338" s="5" t="s">
        <v>43</v>
      </c>
      <c r="F3338" s="8"/>
      <c r="G3338" s="9">
        <f>H3338*(1-30%)*(1-F3338)</f>
        <v>104.99299999999999</v>
      </c>
      <c r="H3338" s="9">
        <v>149.99000000000001</v>
      </c>
      <c r="I3338" s="9">
        <f>H3338-G3338</f>
        <v>44.997000000000014</v>
      </c>
    </row>
    <row r="3339" ht="14.25">
      <c r="A3339" s="5">
        <v>47383</v>
      </c>
      <c r="B3339" s="7" t="s">
        <v>3418</v>
      </c>
      <c r="C3339" s="7" t="s">
        <v>3417</v>
      </c>
      <c r="D3339" s="7" t="s">
        <v>219</v>
      </c>
      <c r="E3339" s="5" t="s">
        <v>43</v>
      </c>
      <c r="F3339" s="8"/>
      <c r="G3339" s="9">
        <f>H3339*(1-30%)*(1-F3339)</f>
        <v>132.99299999999999</v>
      </c>
      <c r="H3339" s="9">
        <v>189.99000000000001</v>
      </c>
      <c r="I3339" s="9">
        <f>H3339-G3339</f>
        <v>56.997000000000014</v>
      </c>
    </row>
    <row r="3340" ht="14.25">
      <c r="A3340" s="5">
        <v>47400</v>
      </c>
      <c r="B3340" s="7" t="s">
        <v>3419</v>
      </c>
      <c r="C3340" s="7" t="s">
        <v>3280</v>
      </c>
      <c r="D3340" s="7" t="s">
        <v>95</v>
      </c>
      <c r="E3340" s="5" t="s">
        <v>43</v>
      </c>
      <c r="F3340" s="8"/>
      <c r="G3340" s="9">
        <f>H3340*(1-30%)*(1-F3340)</f>
        <v>45.492999999999995</v>
      </c>
      <c r="H3340" s="9">
        <v>64.989999999999995</v>
      </c>
      <c r="I3340" s="9">
        <f>H3340-G3340</f>
        <v>19.497</v>
      </c>
    </row>
    <row r="3341" ht="14.25">
      <c r="A3341" s="5">
        <v>47401</v>
      </c>
      <c r="B3341" s="7" t="s">
        <v>3420</v>
      </c>
      <c r="C3341" s="7" t="s">
        <v>3280</v>
      </c>
      <c r="D3341" s="7" t="s">
        <v>95</v>
      </c>
      <c r="E3341" s="5" t="s">
        <v>43</v>
      </c>
      <c r="F3341" s="8"/>
      <c r="G3341" s="9">
        <f>H3341*(1-30%)*(1-F3341)</f>
        <v>48.992999999999995</v>
      </c>
      <c r="H3341" s="9">
        <v>69.989999999999995</v>
      </c>
      <c r="I3341" s="9">
        <f>H3341-G3341</f>
        <v>20.997</v>
      </c>
    </row>
    <row r="3342" ht="14.25">
      <c r="A3342" s="5">
        <v>47402</v>
      </c>
      <c r="B3342" s="7" t="s">
        <v>3421</v>
      </c>
      <c r="C3342" s="7" t="s">
        <v>3280</v>
      </c>
      <c r="D3342" s="7" t="s">
        <v>95</v>
      </c>
      <c r="E3342" s="5" t="s">
        <v>15</v>
      </c>
      <c r="F3342" s="8"/>
      <c r="G3342" s="9">
        <f>H3342*(1-30%)*(1-F3342)</f>
        <v>41.993000000000002</v>
      </c>
      <c r="H3342" s="9">
        <v>59.990000000000002</v>
      </c>
      <c r="I3342" s="9">
        <f>H3342-G3342</f>
        <v>17.997</v>
      </c>
    </row>
    <row r="3343" ht="14.25">
      <c r="A3343" s="5">
        <v>47403</v>
      </c>
      <c r="B3343" s="7" t="s">
        <v>3422</v>
      </c>
      <c r="C3343" s="7" t="s">
        <v>3280</v>
      </c>
      <c r="D3343" s="7" t="s">
        <v>95</v>
      </c>
      <c r="E3343" s="5" t="s">
        <v>43</v>
      </c>
      <c r="F3343" s="8"/>
      <c r="G3343" s="9">
        <f>H3343*(1-30%)*(1-F3343)</f>
        <v>45.492999999999995</v>
      </c>
      <c r="H3343" s="9">
        <v>64.989999999999995</v>
      </c>
      <c r="I3343" s="9">
        <f>H3343-G3343</f>
        <v>19.497</v>
      </c>
    </row>
    <row r="3344" ht="14.25">
      <c r="A3344" s="5">
        <v>47404</v>
      </c>
      <c r="B3344" s="7" t="s">
        <v>3423</v>
      </c>
      <c r="C3344" s="7" t="s">
        <v>3280</v>
      </c>
      <c r="D3344" s="7" t="s">
        <v>95</v>
      </c>
      <c r="E3344" s="5" t="s">
        <v>43</v>
      </c>
      <c r="F3344" s="8"/>
      <c r="G3344" s="9">
        <f>H3344*(1-30%)*(1-F3344)</f>
        <v>48.992999999999995</v>
      </c>
      <c r="H3344" s="9">
        <v>69.989999999999995</v>
      </c>
      <c r="I3344" s="9">
        <f>H3344-G3344</f>
        <v>20.997</v>
      </c>
    </row>
    <row r="3345" ht="14.25">
      <c r="A3345" s="5">
        <v>47459</v>
      </c>
      <c r="B3345" s="7" t="s">
        <v>3424</v>
      </c>
      <c r="C3345" s="7" t="s">
        <v>3324</v>
      </c>
      <c r="D3345" s="7" t="s">
        <v>110</v>
      </c>
      <c r="E3345" s="5" t="s">
        <v>43</v>
      </c>
      <c r="F3345" s="8"/>
      <c r="G3345" s="9">
        <f>H3345*(1-30%)*(1-F3345)</f>
        <v>30.093</v>
      </c>
      <c r="H3345" s="9">
        <v>42.990000000000002</v>
      </c>
      <c r="I3345" s="9">
        <f>H3345-G3345</f>
        <v>12.897000000000002</v>
      </c>
    </row>
    <row r="3346" ht="14.25">
      <c r="A3346" s="5">
        <v>47460</v>
      </c>
      <c r="B3346" s="7" t="s">
        <v>3425</v>
      </c>
      <c r="C3346" s="7" t="s">
        <v>3324</v>
      </c>
      <c r="D3346" s="7" t="s">
        <v>110</v>
      </c>
      <c r="E3346" s="5" t="s">
        <v>43</v>
      </c>
      <c r="F3346" s="8"/>
      <c r="G3346" s="9">
        <f>H3346*(1-30%)*(1-F3346)</f>
        <v>30.093</v>
      </c>
      <c r="H3346" s="9">
        <v>42.990000000000002</v>
      </c>
      <c r="I3346" s="9">
        <f>H3346-G3346</f>
        <v>12.897000000000002</v>
      </c>
    </row>
    <row r="3347" ht="14.25">
      <c r="A3347" s="5">
        <v>47462</v>
      </c>
      <c r="B3347" s="7" t="s">
        <v>3426</v>
      </c>
      <c r="C3347" s="7" t="s">
        <v>3324</v>
      </c>
      <c r="D3347" s="7" t="s">
        <v>110</v>
      </c>
      <c r="E3347" s="5" t="s">
        <v>43</v>
      </c>
      <c r="F3347" s="8"/>
      <c r="G3347" s="9">
        <f>H3347*(1-30%)*(1-F3347)</f>
        <v>30.093</v>
      </c>
      <c r="H3347" s="9">
        <v>42.990000000000002</v>
      </c>
      <c r="I3347" s="9">
        <f>H3347-G3347</f>
        <v>12.897000000000002</v>
      </c>
    </row>
    <row r="3348" ht="14.25">
      <c r="A3348" s="5">
        <v>47463</v>
      </c>
      <c r="B3348" s="7" t="s">
        <v>3427</v>
      </c>
      <c r="C3348" s="7" t="s">
        <v>3324</v>
      </c>
      <c r="D3348" s="7" t="s">
        <v>110</v>
      </c>
      <c r="E3348" s="5" t="s">
        <v>43</v>
      </c>
      <c r="F3348" s="8"/>
      <c r="G3348" s="9">
        <f>H3348*(1-30%)*(1-F3348)</f>
        <v>30.093</v>
      </c>
      <c r="H3348" s="9">
        <v>42.990000000000002</v>
      </c>
      <c r="I3348" s="9">
        <f>H3348-G3348</f>
        <v>12.897000000000002</v>
      </c>
    </row>
    <row r="3349" ht="14.25">
      <c r="A3349" s="5">
        <v>47465</v>
      </c>
      <c r="B3349" s="7" t="s">
        <v>3428</v>
      </c>
      <c r="C3349" s="7" t="s">
        <v>3324</v>
      </c>
      <c r="D3349" s="7" t="s">
        <v>110</v>
      </c>
      <c r="E3349" s="5" t="s">
        <v>43</v>
      </c>
      <c r="F3349" s="8"/>
      <c r="G3349" s="9">
        <f>H3349*(1-30%)*(1-F3349)</f>
        <v>30.093</v>
      </c>
      <c r="H3349" s="9">
        <v>42.990000000000002</v>
      </c>
      <c r="I3349" s="9">
        <f>H3349-G3349</f>
        <v>12.897000000000002</v>
      </c>
    </row>
    <row r="3350" ht="14.25">
      <c r="A3350" s="5">
        <v>47466</v>
      </c>
      <c r="B3350" s="7" t="s">
        <v>3429</v>
      </c>
      <c r="C3350" s="7" t="s">
        <v>3324</v>
      </c>
      <c r="D3350" s="7" t="s">
        <v>110</v>
      </c>
      <c r="E3350" s="5" t="s">
        <v>43</v>
      </c>
      <c r="F3350" s="8"/>
      <c r="G3350" s="9">
        <f>H3350*(1-30%)*(1-F3350)</f>
        <v>30.093</v>
      </c>
      <c r="H3350" s="9">
        <v>42.990000000000002</v>
      </c>
      <c r="I3350" s="9">
        <f>H3350-G3350</f>
        <v>12.897000000000002</v>
      </c>
    </row>
    <row r="3351" ht="14.25">
      <c r="A3351" s="5">
        <v>47467</v>
      </c>
      <c r="B3351" s="7" t="s">
        <v>3430</v>
      </c>
      <c r="C3351" s="7" t="s">
        <v>3324</v>
      </c>
      <c r="D3351" s="7" t="s">
        <v>110</v>
      </c>
      <c r="E3351" s="5" t="s">
        <v>43</v>
      </c>
      <c r="F3351" s="8"/>
      <c r="G3351" s="9">
        <f>H3351*(1-30%)*(1-F3351)</f>
        <v>30.093</v>
      </c>
      <c r="H3351" s="9">
        <v>42.990000000000002</v>
      </c>
      <c r="I3351" s="9">
        <f>H3351-G3351</f>
        <v>12.897000000000002</v>
      </c>
    </row>
    <row r="3352" ht="14.25">
      <c r="A3352" s="5">
        <v>47468</v>
      </c>
      <c r="B3352" s="7" t="s">
        <v>3431</v>
      </c>
      <c r="C3352" s="7" t="s">
        <v>3324</v>
      </c>
      <c r="D3352" s="7" t="s">
        <v>110</v>
      </c>
      <c r="E3352" s="5" t="s">
        <v>15</v>
      </c>
      <c r="F3352" s="8"/>
      <c r="G3352" s="9">
        <f>H3352*(1-30%)*(1-F3352)</f>
        <v>30.093</v>
      </c>
      <c r="H3352" s="9">
        <v>42.990000000000002</v>
      </c>
      <c r="I3352" s="9">
        <f>H3352-G3352</f>
        <v>12.897000000000002</v>
      </c>
    </row>
    <row r="3353" ht="14.25">
      <c r="A3353" s="5">
        <v>47597</v>
      </c>
      <c r="B3353" s="7" t="s">
        <v>3432</v>
      </c>
      <c r="C3353" s="7" t="s">
        <v>3276</v>
      </c>
      <c r="D3353" s="7" t="s">
        <v>71</v>
      </c>
      <c r="E3353" s="5" t="s">
        <v>43</v>
      </c>
      <c r="F3353" s="8"/>
      <c r="G3353" s="9">
        <f>H3353*(1-30%)*(1-F3353)</f>
        <v>24.492999999999999</v>
      </c>
      <c r="H3353" s="9">
        <v>34.990000000000002</v>
      </c>
      <c r="I3353" s="9">
        <f>H3353-G3353</f>
        <v>10.497000000000003</v>
      </c>
    </row>
    <row r="3354" ht="14.25">
      <c r="A3354" s="5">
        <v>47601</v>
      </c>
      <c r="B3354" s="7" t="s">
        <v>3433</v>
      </c>
      <c r="C3354" s="7" t="s">
        <v>3276</v>
      </c>
      <c r="D3354" s="7" t="s">
        <v>71</v>
      </c>
      <c r="E3354" s="5" t="s">
        <v>43</v>
      </c>
      <c r="F3354" s="8"/>
      <c r="G3354" s="9">
        <f>H3354*(1-30%)*(1-F3354)</f>
        <v>16.792999999999999</v>
      </c>
      <c r="H3354" s="9">
        <v>23.989999999999998</v>
      </c>
      <c r="I3354" s="9">
        <f>H3354-G3354</f>
        <v>7.1969999999999992</v>
      </c>
    </row>
    <row r="3355" ht="14.25">
      <c r="A3355" s="5">
        <v>47608</v>
      </c>
      <c r="B3355" s="7" t="s">
        <v>3434</v>
      </c>
      <c r="C3355" s="7" t="s">
        <v>3435</v>
      </c>
      <c r="D3355" s="7" t="s">
        <v>45</v>
      </c>
      <c r="E3355" s="5" t="s">
        <v>43</v>
      </c>
      <c r="F3355" s="8"/>
      <c r="G3355" s="9">
        <f>H3355*(1-30%)*(1-F3355)</f>
        <v>33.592999999999996</v>
      </c>
      <c r="H3355" s="9">
        <v>47.990000000000002</v>
      </c>
      <c r="I3355" s="9">
        <f>H3355-G3355</f>
        <v>14.397000000000006</v>
      </c>
    </row>
    <row r="3356" ht="14.25">
      <c r="A3356" s="5">
        <v>47609</v>
      </c>
      <c r="B3356" s="7" t="s">
        <v>3436</v>
      </c>
      <c r="C3356" s="7" t="s">
        <v>3435</v>
      </c>
      <c r="D3356" s="7" t="s">
        <v>583</v>
      </c>
      <c r="E3356" s="5" t="s">
        <v>43</v>
      </c>
      <c r="F3356" s="8"/>
      <c r="G3356" s="9">
        <f>H3356*(1-30%)*(1-F3356)</f>
        <v>54.592999999999996</v>
      </c>
      <c r="H3356" s="9">
        <v>77.989999999999995</v>
      </c>
      <c r="I3356" s="9">
        <f>H3356-G3356</f>
        <v>23.396999999999998</v>
      </c>
    </row>
    <row r="3357" ht="14.25">
      <c r="A3357" s="5">
        <v>47647</v>
      </c>
      <c r="B3357" s="7" t="s">
        <v>3437</v>
      </c>
      <c r="C3357" s="7" t="s">
        <v>3331</v>
      </c>
      <c r="D3357" s="7" t="s">
        <v>71</v>
      </c>
      <c r="E3357" s="5" t="s">
        <v>43</v>
      </c>
      <c r="F3357" s="8"/>
      <c r="G3357" s="9">
        <f>H3357*(1-30%)*(1-F3357)</f>
        <v>27.292999999999999</v>
      </c>
      <c r="H3357" s="9">
        <v>38.990000000000002</v>
      </c>
      <c r="I3357" s="9">
        <f>H3357-G3357</f>
        <v>11.697000000000003</v>
      </c>
    </row>
    <row r="3358" ht="14.25">
      <c r="A3358" s="5">
        <v>47648</v>
      </c>
      <c r="B3358" s="7" t="s">
        <v>3438</v>
      </c>
      <c r="C3358" s="7" t="s">
        <v>3276</v>
      </c>
      <c r="D3358" s="7" t="s">
        <v>45</v>
      </c>
      <c r="E3358" s="5" t="s">
        <v>15</v>
      </c>
      <c r="F3358" s="8"/>
      <c r="G3358" s="9">
        <f>H3358*(1-30%)*(1-F3358)</f>
        <v>41.292999999999999</v>
      </c>
      <c r="H3358" s="9">
        <v>58.990000000000002</v>
      </c>
      <c r="I3358" s="9">
        <f>H3358-G3358</f>
        <v>17.697000000000003</v>
      </c>
    </row>
    <row r="3359" ht="14.25">
      <c r="A3359" s="5">
        <v>47649</v>
      </c>
      <c r="B3359" s="7" t="s">
        <v>3439</v>
      </c>
      <c r="C3359" s="7" t="s">
        <v>3276</v>
      </c>
      <c r="D3359" s="7" t="s">
        <v>45</v>
      </c>
      <c r="E3359" s="5" t="s">
        <v>15</v>
      </c>
      <c r="F3359" s="8"/>
      <c r="G3359" s="9">
        <f>H3359*(1-30%)*(1-F3359)</f>
        <v>27.992999999999999</v>
      </c>
      <c r="H3359" s="9">
        <v>39.990000000000002</v>
      </c>
      <c r="I3359" s="9">
        <f>H3359-G3359</f>
        <v>11.997000000000003</v>
      </c>
    </row>
    <row r="3360" ht="14.25">
      <c r="A3360" s="5">
        <v>47650</v>
      </c>
      <c r="B3360" s="7" t="s">
        <v>3440</v>
      </c>
      <c r="C3360" s="7" t="s">
        <v>3276</v>
      </c>
      <c r="D3360" s="7" t="s">
        <v>45</v>
      </c>
      <c r="E3360" s="5" t="s">
        <v>15</v>
      </c>
      <c r="F3360" s="8"/>
      <c r="G3360" s="9">
        <f>H3360*(1-30%)*(1-F3360)</f>
        <v>13.992999999999999</v>
      </c>
      <c r="H3360" s="9">
        <v>19.989999999999998</v>
      </c>
      <c r="I3360" s="9">
        <f>H3360-G3360</f>
        <v>5.9969999999999999</v>
      </c>
    </row>
    <row r="3361" ht="14.25">
      <c r="A3361" s="5">
        <v>47653</v>
      </c>
      <c r="B3361" s="7" t="s">
        <v>3441</v>
      </c>
      <c r="C3361" s="7" t="s">
        <v>3276</v>
      </c>
      <c r="D3361" s="7" t="s">
        <v>583</v>
      </c>
      <c r="E3361" s="5" t="s">
        <v>15</v>
      </c>
      <c r="F3361" s="8"/>
      <c r="G3361" s="9">
        <f>H3361*(1-30%)*(1-F3361)</f>
        <v>37.092999999999996</v>
      </c>
      <c r="H3361" s="9">
        <v>52.990000000000002</v>
      </c>
      <c r="I3361" s="9">
        <f>H3361-G3361</f>
        <v>15.897000000000006</v>
      </c>
    </row>
    <row r="3362" ht="14.25">
      <c r="A3362" s="5">
        <v>47814</v>
      </c>
      <c r="B3362" s="7" t="s">
        <v>3442</v>
      </c>
      <c r="C3362" s="7" t="s">
        <v>3276</v>
      </c>
      <c r="D3362" s="7" t="s">
        <v>71</v>
      </c>
      <c r="E3362" s="5" t="s">
        <v>43</v>
      </c>
      <c r="F3362" s="8"/>
      <c r="G3362" s="9">
        <f>H3362*(1-30%)*(1-F3362)</f>
        <v>16.792999999999999</v>
      </c>
      <c r="H3362" s="9">
        <v>23.989999999999998</v>
      </c>
      <c r="I3362" s="9">
        <f>H3362-G3362</f>
        <v>7.1969999999999992</v>
      </c>
    </row>
    <row r="3363" ht="14.25">
      <c r="A3363" s="5">
        <v>47815</v>
      </c>
      <c r="B3363" s="7" t="s">
        <v>3443</v>
      </c>
      <c r="C3363" s="7" t="s">
        <v>3276</v>
      </c>
      <c r="D3363" s="7" t="s">
        <v>71</v>
      </c>
      <c r="E3363" s="5" t="s">
        <v>43</v>
      </c>
      <c r="F3363" s="8"/>
      <c r="G3363" s="9">
        <f>H3363*(1-30%)*(1-F3363)</f>
        <v>24.492999999999999</v>
      </c>
      <c r="H3363" s="9">
        <v>34.990000000000002</v>
      </c>
      <c r="I3363" s="9">
        <f>H3363-G3363</f>
        <v>10.497000000000003</v>
      </c>
    </row>
    <row r="3364" ht="14.25">
      <c r="A3364" s="5">
        <v>47816</v>
      </c>
      <c r="B3364" s="7" t="s">
        <v>3444</v>
      </c>
      <c r="C3364" s="7" t="s">
        <v>3276</v>
      </c>
      <c r="D3364" s="7" t="s">
        <v>71</v>
      </c>
      <c r="E3364" s="5" t="s">
        <v>43</v>
      </c>
      <c r="F3364" s="8"/>
      <c r="G3364" s="9">
        <f>H3364*(1-30%)*(1-F3364)</f>
        <v>18.892999999999997</v>
      </c>
      <c r="H3364" s="9">
        <v>26.989999999999998</v>
      </c>
      <c r="I3364" s="9">
        <f>H3364-G3364</f>
        <v>8.0970000000000013</v>
      </c>
    </row>
    <row r="3365" ht="14.25">
      <c r="A3365" s="5">
        <v>47817</v>
      </c>
      <c r="B3365" s="7" t="s">
        <v>3445</v>
      </c>
      <c r="C3365" s="7" t="s">
        <v>3276</v>
      </c>
      <c r="D3365" s="7" t="s">
        <v>71</v>
      </c>
      <c r="E3365" s="5" t="s">
        <v>43</v>
      </c>
      <c r="F3365" s="8"/>
      <c r="G3365" s="9">
        <f>H3365*(1-30%)*(1-F3365)</f>
        <v>18.892999999999997</v>
      </c>
      <c r="H3365" s="9">
        <v>26.989999999999998</v>
      </c>
      <c r="I3365" s="9">
        <f>H3365-G3365</f>
        <v>8.0970000000000013</v>
      </c>
    </row>
    <row r="3366" ht="14.25">
      <c r="A3366" s="5">
        <v>47818</v>
      </c>
      <c r="B3366" s="7" t="s">
        <v>3446</v>
      </c>
      <c r="C3366" s="7" t="s">
        <v>3276</v>
      </c>
      <c r="D3366" s="7" t="s">
        <v>71</v>
      </c>
      <c r="E3366" s="5" t="s">
        <v>43</v>
      </c>
      <c r="F3366" s="8"/>
      <c r="G3366" s="9">
        <f>H3366*(1-30%)*(1-F3366)</f>
        <v>24.492999999999999</v>
      </c>
      <c r="H3366" s="9">
        <v>34.990000000000002</v>
      </c>
      <c r="I3366" s="9">
        <f>H3366-G3366</f>
        <v>10.497000000000003</v>
      </c>
    </row>
    <row r="3367" ht="14.25">
      <c r="A3367" s="5">
        <v>47819</v>
      </c>
      <c r="B3367" s="7" t="s">
        <v>3447</v>
      </c>
      <c r="C3367" s="7" t="s">
        <v>3448</v>
      </c>
      <c r="D3367" s="7" t="s">
        <v>71</v>
      </c>
      <c r="E3367" s="5" t="s">
        <v>43</v>
      </c>
      <c r="F3367" s="8"/>
      <c r="G3367" s="9">
        <f>H3367*(1-30%)*(1-F3367)</f>
        <v>27.292999999999999</v>
      </c>
      <c r="H3367" s="9">
        <v>38.990000000000002</v>
      </c>
      <c r="I3367" s="9">
        <f>H3367-G3367</f>
        <v>11.697000000000003</v>
      </c>
    </row>
    <row r="3368" ht="14.25">
      <c r="A3368" s="5">
        <v>47820</v>
      </c>
      <c r="B3368" s="7" t="s">
        <v>3449</v>
      </c>
      <c r="C3368" s="7" t="s">
        <v>3331</v>
      </c>
      <c r="D3368" s="7" t="s">
        <v>71</v>
      </c>
      <c r="E3368" s="5" t="s">
        <v>43</v>
      </c>
      <c r="F3368" s="8"/>
      <c r="G3368" s="9">
        <f>H3368*(1-30%)*(1-F3368)</f>
        <v>27.292999999999999</v>
      </c>
      <c r="H3368" s="9">
        <v>38.990000000000002</v>
      </c>
      <c r="I3368" s="9">
        <f>H3368-G3368</f>
        <v>11.697000000000003</v>
      </c>
    </row>
    <row r="3369" ht="14.25">
      <c r="A3369" s="5">
        <v>47842</v>
      </c>
      <c r="B3369" s="7" t="s">
        <v>3450</v>
      </c>
      <c r="C3369" s="7" t="s">
        <v>3290</v>
      </c>
      <c r="D3369" s="7" t="s">
        <v>71</v>
      </c>
      <c r="E3369" s="5" t="s">
        <v>26</v>
      </c>
      <c r="F3369" s="8"/>
      <c r="G3369" s="9">
        <f>H3369*(1-30%)*(1-F3369)</f>
        <v>27.292999999999999</v>
      </c>
      <c r="H3369" s="9">
        <v>38.990000000000002</v>
      </c>
      <c r="I3369" s="9">
        <f>H3369-G3369</f>
        <v>11.697000000000003</v>
      </c>
    </row>
    <row r="3370" ht="14.25">
      <c r="A3370" s="5">
        <v>47843</v>
      </c>
      <c r="B3370" s="7" t="s">
        <v>3451</v>
      </c>
      <c r="C3370" s="7" t="s">
        <v>3452</v>
      </c>
      <c r="D3370" s="7" t="s">
        <v>71</v>
      </c>
      <c r="E3370" s="5" t="s">
        <v>43</v>
      </c>
      <c r="F3370" s="8"/>
      <c r="G3370" s="9">
        <f>H3370*(1-30%)*(1-F3370)</f>
        <v>27.292999999999999</v>
      </c>
      <c r="H3370" s="9">
        <v>38.990000000000002</v>
      </c>
      <c r="I3370" s="9">
        <f>H3370-G3370</f>
        <v>11.697000000000003</v>
      </c>
    </row>
    <row r="3371" ht="14.25">
      <c r="A3371" s="5">
        <v>47872</v>
      </c>
      <c r="B3371" s="7" t="s">
        <v>3453</v>
      </c>
      <c r="C3371" s="7" t="s">
        <v>3294</v>
      </c>
      <c r="D3371" s="7" t="s">
        <v>103</v>
      </c>
      <c r="E3371" s="5" t="s">
        <v>15</v>
      </c>
      <c r="F3371" s="8"/>
      <c r="G3371" s="9">
        <f>H3371*(1-30%)*(1-F3371)</f>
        <v>30.093</v>
      </c>
      <c r="H3371" s="9">
        <v>42.990000000000002</v>
      </c>
      <c r="I3371" s="9">
        <f>H3371-G3371</f>
        <v>12.897000000000002</v>
      </c>
    </row>
    <row r="3372" ht="14.25">
      <c r="A3372" s="5">
        <v>47879</v>
      </c>
      <c r="B3372" s="7" t="s">
        <v>3454</v>
      </c>
      <c r="C3372" s="7" t="s">
        <v>3417</v>
      </c>
      <c r="D3372" s="7" t="s">
        <v>219</v>
      </c>
      <c r="E3372" s="5" t="s">
        <v>15</v>
      </c>
      <c r="F3372" s="8"/>
      <c r="G3372" s="9">
        <f>H3372*(1-30%)*(1-F3372)</f>
        <v>33.592999999999996</v>
      </c>
      <c r="H3372" s="9">
        <v>47.990000000000002</v>
      </c>
      <c r="I3372" s="9">
        <f>H3372-G3372</f>
        <v>14.397000000000006</v>
      </c>
    </row>
    <row r="3373" ht="14.25">
      <c r="A3373" s="5">
        <v>47885</v>
      </c>
      <c r="B3373" s="7" t="s">
        <v>3455</v>
      </c>
      <c r="C3373" s="7" t="s">
        <v>3290</v>
      </c>
      <c r="D3373" s="7" t="s">
        <v>1447</v>
      </c>
      <c r="E3373" s="5" t="s">
        <v>15</v>
      </c>
      <c r="F3373" s="8"/>
      <c r="G3373" s="9">
        <f>H3373*(1-30%)*(1-F3373)</f>
        <v>4.1999999999999993</v>
      </c>
      <c r="H3373" s="9">
        <v>6</v>
      </c>
      <c r="I3373" s="9">
        <f>H3373-G3373</f>
        <v>1.8000000000000007</v>
      </c>
    </row>
    <row r="3374" ht="14.25">
      <c r="A3374" s="5">
        <v>47886</v>
      </c>
      <c r="B3374" s="7" t="s">
        <v>3456</v>
      </c>
      <c r="C3374" s="7" t="s">
        <v>3435</v>
      </c>
      <c r="D3374" s="7" t="s">
        <v>45</v>
      </c>
      <c r="E3374" s="5" t="s">
        <v>15</v>
      </c>
      <c r="F3374" s="8"/>
      <c r="G3374" s="9">
        <f>H3374*(1-30%)*(1-F3374)</f>
        <v>40.592999999999996</v>
      </c>
      <c r="H3374" s="9">
        <v>57.990000000000002</v>
      </c>
      <c r="I3374" s="9">
        <f>H3374-G3374</f>
        <v>17.397000000000006</v>
      </c>
    </row>
    <row r="3375" ht="14.25">
      <c r="A3375" s="5">
        <v>47887</v>
      </c>
      <c r="B3375" s="7" t="s">
        <v>3457</v>
      </c>
      <c r="C3375" s="7" t="s">
        <v>3435</v>
      </c>
      <c r="D3375" s="7" t="s">
        <v>45</v>
      </c>
      <c r="E3375" s="5" t="s">
        <v>43</v>
      </c>
      <c r="F3375" s="8"/>
      <c r="G3375" s="9">
        <f>H3375*(1-30%)*(1-F3375)</f>
        <v>40.592999999999996</v>
      </c>
      <c r="H3375" s="9">
        <v>57.990000000000002</v>
      </c>
      <c r="I3375" s="9">
        <f>H3375-G3375</f>
        <v>17.397000000000006</v>
      </c>
    </row>
    <row r="3376" ht="14.25">
      <c r="A3376" s="5">
        <v>47888</v>
      </c>
      <c r="B3376" s="7" t="s">
        <v>3458</v>
      </c>
      <c r="C3376" s="7" t="s">
        <v>3435</v>
      </c>
      <c r="D3376" s="7" t="s">
        <v>45</v>
      </c>
      <c r="E3376" s="5" t="s">
        <v>43</v>
      </c>
      <c r="F3376" s="8"/>
      <c r="G3376" s="9">
        <f>H3376*(1-30%)*(1-F3376)</f>
        <v>40.592999999999996</v>
      </c>
      <c r="H3376" s="9">
        <v>57.990000000000002</v>
      </c>
      <c r="I3376" s="9">
        <f>H3376-G3376</f>
        <v>17.397000000000006</v>
      </c>
    </row>
    <row r="3377" ht="14.25">
      <c r="A3377" s="5">
        <v>48034</v>
      </c>
      <c r="B3377" s="7" t="s">
        <v>3459</v>
      </c>
      <c r="C3377" s="7" t="s">
        <v>3324</v>
      </c>
      <c r="D3377" s="7" t="s">
        <v>110</v>
      </c>
      <c r="E3377" s="5" t="s">
        <v>26</v>
      </c>
      <c r="F3377" s="8"/>
      <c r="G3377" s="9">
        <f>H3377*(1-30%)*(1-F3377)</f>
        <v>26.593</v>
      </c>
      <c r="H3377" s="9">
        <v>37.990000000000002</v>
      </c>
      <c r="I3377" s="9">
        <f>H3377-G3377</f>
        <v>11.397000000000002</v>
      </c>
    </row>
    <row r="3378" ht="14.25">
      <c r="A3378" s="5">
        <v>48040</v>
      </c>
      <c r="B3378" s="7" t="s">
        <v>3460</v>
      </c>
      <c r="C3378" s="7" t="s">
        <v>3452</v>
      </c>
      <c r="D3378" s="7" t="s">
        <v>11</v>
      </c>
      <c r="E3378" s="5" t="s">
        <v>43</v>
      </c>
      <c r="F3378" s="8"/>
      <c r="G3378" s="9">
        <f>H3378*(1-30%)*(1-F3378)</f>
        <v>174.93000000000001</v>
      </c>
      <c r="H3378" s="9">
        <v>249.90000000000001</v>
      </c>
      <c r="I3378" s="9">
        <f>H3378-G3378</f>
        <v>74.969999999999999</v>
      </c>
    </row>
    <row r="3379" ht="14.25">
      <c r="A3379" s="5">
        <v>48077</v>
      </c>
      <c r="B3379" s="7" t="s">
        <v>3461</v>
      </c>
      <c r="C3379" s="7" t="s">
        <v>3324</v>
      </c>
      <c r="D3379" s="7" t="s">
        <v>110</v>
      </c>
      <c r="E3379" s="5" t="s">
        <v>15</v>
      </c>
      <c r="F3379" s="8"/>
      <c r="G3379" s="9">
        <f>H3379*(1-30%)*(1-F3379)</f>
        <v>26.593</v>
      </c>
      <c r="H3379" s="9">
        <v>37.990000000000002</v>
      </c>
      <c r="I3379" s="9">
        <f>H3379-G3379</f>
        <v>11.397000000000002</v>
      </c>
    </row>
    <row r="3380" ht="14.25">
      <c r="A3380" s="5">
        <v>48079</v>
      </c>
      <c r="B3380" s="7" t="s">
        <v>3462</v>
      </c>
      <c r="C3380" s="7" t="s">
        <v>3324</v>
      </c>
      <c r="D3380" s="7" t="s">
        <v>110</v>
      </c>
      <c r="E3380" s="5" t="s">
        <v>15</v>
      </c>
      <c r="F3380" s="8"/>
      <c r="G3380" s="9">
        <f>H3380*(1-30%)*(1-F3380)</f>
        <v>26.593</v>
      </c>
      <c r="H3380" s="9">
        <v>37.990000000000002</v>
      </c>
      <c r="I3380" s="9">
        <f>H3380-G3380</f>
        <v>11.397000000000002</v>
      </c>
    </row>
    <row r="3381" ht="14.25">
      <c r="A3381" s="5">
        <v>48080</v>
      </c>
      <c r="B3381" s="7" t="s">
        <v>3463</v>
      </c>
      <c r="C3381" s="7" t="s">
        <v>3324</v>
      </c>
      <c r="D3381" s="7" t="s">
        <v>110</v>
      </c>
      <c r="E3381" s="5" t="s">
        <v>26</v>
      </c>
      <c r="F3381" s="8"/>
      <c r="G3381" s="9">
        <f>H3381*(1-30%)*(1-F3381)</f>
        <v>26.593</v>
      </c>
      <c r="H3381" s="9">
        <v>37.990000000000002</v>
      </c>
      <c r="I3381" s="9">
        <f>H3381-G3381</f>
        <v>11.397000000000002</v>
      </c>
    </row>
    <row r="3382" ht="14.25">
      <c r="A3382" s="5">
        <v>48101</v>
      </c>
      <c r="B3382" s="7" t="s">
        <v>3464</v>
      </c>
      <c r="C3382" s="7" t="s">
        <v>3262</v>
      </c>
      <c r="D3382" s="7" t="s">
        <v>110</v>
      </c>
      <c r="E3382" s="5" t="s">
        <v>43</v>
      </c>
      <c r="F3382" s="8"/>
      <c r="G3382" s="9">
        <f>H3382*(1-30%)*(1-F3382)</f>
        <v>53.892999999999994</v>
      </c>
      <c r="H3382" s="9">
        <v>76.989999999999995</v>
      </c>
      <c r="I3382" s="9">
        <f>H3382-G3382</f>
        <v>23.097000000000001</v>
      </c>
    </row>
    <row r="3383" ht="14.25">
      <c r="A3383" s="5">
        <v>48102</v>
      </c>
      <c r="B3383" s="7" t="s">
        <v>3465</v>
      </c>
      <c r="C3383" s="7" t="s">
        <v>3262</v>
      </c>
      <c r="D3383" s="7" t="s">
        <v>110</v>
      </c>
      <c r="E3383" s="5" t="s">
        <v>43</v>
      </c>
      <c r="F3383" s="8"/>
      <c r="G3383" s="9">
        <f>H3383*(1-30%)*(1-F3383)</f>
        <v>53.892999999999994</v>
      </c>
      <c r="H3383" s="9">
        <v>76.989999999999995</v>
      </c>
      <c r="I3383" s="9">
        <f>H3383-G3383</f>
        <v>23.097000000000001</v>
      </c>
    </row>
    <row r="3384" ht="14.25">
      <c r="A3384" s="5">
        <v>48103</v>
      </c>
      <c r="B3384" s="7" t="s">
        <v>3466</v>
      </c>
      <c r="C3384" s="7" t="s">
        <v>3262</v>
      </c>
      <c r="D3384" s="7" t="s">
        <v>110</v>
      </c>
      <c r="E3384" s="5" t="s">
        <v>43</v>
      </c>
      <c r="F3384" s="8"/>
      <c r="G3384" s="9">
        <f>H3384*(1-30%)*(1-F3384)</f>
        <v>53.892999999999994</v>
      </c>
      <c r="H3384" s="9">
        <v>76.989999999999995</v>
      </c>
      <c r="I3384" s="9">
        <f>H3384-G3384</f>
        <v>23.097000000000001</v>
      </c>
    </row>
    <row r="3385" ht="14.25">
      <c r="A3385" s="5">
        <v>48104</v>
      </c>
      <c r="B3385" s="7" t="s">
        <v>3467</v>
      </c>
      <c r="C3385" s="7" t="s">
        <v>3262</v>
      </c>
      <c r="D3385" s="7" t="s">
        <v>110</v>
      </c>
      <c r="E3385" s="5" t="s">
        <v>43</v>
      </c>
      <c r="F3385" s="8"/>
      <c r="G3385" s="9">
        <f>H3385*(1-30%)*(1-F3385)</f>
        <v>53.892999999999994</v>
      </c>
      <c r="H3385" s="9">
        <v>76.989999999999995</v>
      </c>
      <c r="I3385" s="9">
        <f>H3385-G3385</f>
        <v>23.097000000000001</v>
      </c>
    </row>
    <row r="3386" ht="14.25">
      <c r="A3386" s="5">
        <v>48105</v>
      </c>
      <c r="B3386" s="7" t="s">
        <v>3468</v>
      </c>
      <c r="C3386" s="7" t="s">
        <v>3262</v>
      </c>
      <c r="D3386" s="7" t="s">
        <v>110</v>
      </c>
      <c r="E3386" s="5" t="s">
        <v>43</v>
      </c>
      <c r="F3386" s="8"/>
      <c r="G3386" s="9">
        <f>H3386*(1-30%)*(1-F3386)</f>
        <v>53.892999999999994</v>
      </c>
      <c r="H3386" s="9">
        <v>76.989999999999995</v>
      </c>
      <c r="I3386" s="9">
        <f>H3386-G3386</f>
        <v>23.097000000000001</v>
      </c>
    </row>
    <row r="3387" ht="14.25">
      <c r="A3387" s="5">
        <v>48106</v>
      </c>
      <c r="B3387" s="7" t="s">
        <v>3469</v>
      </c>
      <c r="C3387" s="7" t="s">
        <v>3262</v>
      </c>
      <c r="D3387" s="7" t="s">
        <v>110</v>
      </c>
      <c r="E3387" s="5" t="s">
        <v>43</v>
      </c>
      <c r="F3387" s="8"/>
      <c r="G3387" s="9">
        <f>H3387*(1-30%)*(1-F3387)</f>
        <v>53.892999999999994</v>
      </c>
      <c r="H3387" s="9">
        <v>76.989999999999995</v>
      </c>
      <c r="I3387" s="9">
        <f>H3387-G3387</f>
        <v>23.097000000000001</v>
      </c>
    </row>
    <row r="3388" ht="14.25">
      <c r="A3388" s="5">
        <v>48107</v>
      </c>
      <c r="B3388" s="7" t="s">
        <v>3470</v>
      </c>
      <c r="C3388" s="7" t="s">
        <v>3262</v>
      </c>
      <c r="D3388" s="7" t="s">
        <v>110</v>
      </c>
      <c r="E3388" s="5" t="s">
        <v>43</v>
      </c>
      <c r="F3388" s="8"/>
      <c r="G3388" s="9">
        <f>H3388*(1-30%)*(1-F3388)</f>
        <v>53.892999999999994</v>
      </c>
      <c r="H3388" s="9">
        <v>76.989999999999995</v>
      </c>
      <c r="I3388" s="9">
        <f>H3388-G3388</f>
        <v>23.097000000000001</v>
      </c>
    </row>
    <row r="3389" ht="14.25">
      <c r="A3389" s="5">
        <v>48108</v>
      </c>
      <c r="B3389" s="7" t="s">
        <v>3471</v>
      </c>
      <c r="C3389" s="7" t="s">
        <v>3262</v>
      </c>
      <c r="D3389" s="7" t="s">
        <v>110</v>
      </c>
      <c r="E3389" s="5" t="s">
        <v>43</v>
      </c>
      <c r="F3389" s="8"/>
      <c r="G3389" s="9">
        <f>H3389*(1-30%)*(1-F3389)</f>
        <v>53.892999999999994</v>
      </c>
      <c r="H3389" s="9">
        <v>76.989999999999995</v>
      </c>
      <c r="I3389" s="9">
        <f>H3389-G3389</f>
        <v>23.097000000000001</v>
      </c>
    </row>
    <row r="3390" ht="14.25">
      <c r="A3390" s="5">
        <v>48116</v>
      </c>
      <c r="B3390" s="7" t="s">
        <v>3472</v>
      </c>
      <c r="C3390" s="7" t="s">
        <v>3276</v>
      </c>
      <c r="D3390" s="7" t="s">
        <v>45</v>
      </c>
      <c r="E3390" s="5" t="s">
        <v>15</v>
      </c>
      <c r="F3390" s="8"/>
      <c r="G3390" s="9">
        <f>H3390*(1-30%)*(1-F3390)</f>
        <v>34.993000000000002</v>
      </c>
      <c r="H3390" s="9">
        <v>49.990000000000002</v>
      </c>
      <c r="I3390" s="9">
        <f>H3390-G3390</f>
        <v>14.997</v>
      </c>
    </row>
    <row r="3391" ht="14.25">
      <c r="A3391" s="5">
        <v>48117</v>
      </c>
      <c r="B3391" s="7" t="s">
        <v>3473</v>
      </c>
      <c r="C3391" s="7" t="s">
        <v>3290</v>
      </c>
      <c r="D3391" s="7" t="s">
        <v>11</v>
      </c>
      <c r="E3391" s="5" t="s">
        <v>43</v>
      </c>
      <c r="F3391" s="8"/>
      <c r="G3391" s="9">
        <f>H3391*(1-30%)*(1-F3391)</f>
        <v>167.93000000000001</v>
      </c>
      <c r="H3391" s="9">
        <v>239.90000000000001</v>
      </c>
      <c r="I3391" s="9">
        <f>H3391-G3391</f>
        <v>71.969999999999999</v>
      </c>
    </row>
    <row r="3392" ht="14.25">
      <c r="A3392" s="5">
        <v>48118</v>
      </c>
      <c r="B3392" s="7" t="s">
        <v>3474</v>
      </c>
      <c r="C3392" s="7" t="s">
        <v>3290</v>
      </c>
      <c r="D3392" s="7" t="s">
        <v>45</v>
      </c>
      <c r="E3392" s="5" t="s">
        <v>15</v>
      </c>
      <c r="F3392" s="8"/>
      <c r="G3392" s="9">
        <f>H3392*(1-30%)*(1-F3392)</f>
        <v>76.992999999999995</v>
      </c>
      <c r="H3392" s="9">
        <v>109.98999999999999</v>
      </c>
      <c r="I3392" s="9">
        <f>H3392-G3392</f>
        <v>32.997</v>
      </c>
    </row>
    <row r="3393" ht="14.25">
      <c r="A3393" s="5">
        <v>48132</v>
      </c>
      <c r="B3393" s="7" t="s">
        <v>3475</v>
      </c>
      <c r="C3393" s="7" t="s">
        <v>3262</v>
      </c>
      <c r="D3393" s="7" t="s">
        <v>183</v>
      </c>
      <c r="E3393" s="5" t="s">
        <v>26</v>
      </c>
      <c r="F3393" s="8"/>
      <c r="G3393" s="9">
        <f>H3393*(1-30%)*(1-F3393)</f>
        <v>38.493000000000002</v>
      </c>
      <c r="H3393" s="9">
        <v>54.990000000000002</v>
      </c>
      <c r="I3393" s="9">
        <f>H3393-G3393</f>
        <v>16.497</v>
      </c>
    </row>
    <row r="3394" ht="14.25">
      <c r="A3394" s="5">
        <v>48149</v>
      </c>
      <c r="B3394" s="7" t="s">
        <v>3476</v>
      </c>
      <c r="C3394" s="7" t="s">
        <v>3477</v>
      </c>
      <c r="D3394" s="7" t="s">
        <v>61</v>
      </c>
      <c r="E3394" s="5" t="s">
        <v>3268</v>
      </c>
      <c r="F3394" s="8"/>
      <c r="G3394" s="9">
        <f>H3394*(1-30%)*(1-F3394)</f>
        <v>62.93</v>
      </c>
      <c r="H3394" s="9">
        <v>89.900000000000006</v>
      </c>
      <c r="I3394" s="9">
        <f>H3394-G3394</f>
        <v>26.970000000000006</v>
      </c>
    </row>
    <row r="3395" ht="14.25">
      <c r="A3395" s="5">
        <v>48150</v>
      </c>
      <c r="B3395" s="7" t="s">
        <v>3478</v>
      </c>
      <c r="C3395" s="7" t="s">
        <v>3477</v>
      </c>
      <c r="D3395" s="7" t="s">
        <v>52</v>
      </c>
      <c r="E3395" s="5" t="s">
        <v>43</v>
      </c>
      <c r="F3395" s="8"/>
      <c r="G3395" s="9">
        <f>H3395*(1-30%)*(1-F3395)</f>
        <v>17.492999999999999</v>
      </c>
      <c r="H3395" s="9">
        <v>24.989999999999998</v>
      </c>
      <c r="I3395" s="9">
        <f>H3395-G3395</f>
        <v>7.4969999999999999</v>
      </c>
    </row>
    <row r="3396" ht="14.25">
      <c r="A3396" s="5">
        <v>48318</v>
      </c>
      <c r="B3396" s="7" t="s">
        <v>3479</v>
      </c>
      <c r="C3396" s="7" t="s">
        <v>3280</v>
      </c>
      <c r="D3396" s="7" t="s">
        <v>95</v>
      </c>
      <c r="E3396" s="5" t="s">
        <v>43</v>
      </c>
      <c r="F3396" s="8"/>
      <c r="G3396" s="9">
        <f>H3396*(1-30%)*(1-F3396)</f>
        <v>37.092999999999996</v>
      </c>
      <c r="H3396" s="9">
        <v>52.990000000000002</v>
      </c>
      <c r="I3396" s="9">
        <f>H3396-G3396</f>
        <v>15.897000000000006</v>
      </c>
    </row>
    <row r="3397" ht="14.25">
      <c r="A3397" s="5">
        <v>48319</v>
      </c>
      <c r="B3397" s="7" t="s">
        <v>3480</v>
      </c>
      <c r="C3397" s="7" t="s">
        <v>3280</v>
      </c>
      <c r="D3397" s="7" t="s">
        <v>95</v>
      </c>
      <c r="E3397" s="5" t="s">
        <v>43</v>
      </c>
      <c r="F3397" s="8"/>
      <c r="G3397" s="9">
        <f>H3397*(1-30%)*(1-F3397)</f>
        <v>38.493000000000002</v>
      </c>
      <c r="H3397" s="9">
        <v>54.990000000000002</v>
      </c>
      <c r="I3397" s="9">
        <f>H3397-G3397</f>
        <v>16.497</v>
      </c>
    </row>
    <row r="3398" ht="14.25">
      <c r="A3398" s="5">
        <v>48320</v>
      </c>
      <c r="B3398" s="7" t="s">
        <v>3481</v>
      </c>
      <c r="C3398" s="7" t="s">
        <v>3280</v>
      </c>
      <c r="D3398" s="7" t="s">
        <v>95</v>
      </c>
      <c r="E3398" s="5" t="s">
        <v>43</v>
      </c>
      <c r="F3398" s="8"/>
      <c r="G3398" s="9">
        <f>H3398*(1-30%)*(1-F3398)</f>
        <v>37.092999999999996</v>
      </c>
      <c r="H3398" s="9">
        <v>52.990000000000002</v>
      </c>
      <c r="I3398" s="9">
        <f>H3398-G3398</f>
        <v>15.897000000000006</v>
      </c>
    </row>
    <row r="3399" ht="14.25">
      <c r="A3399" s="5">
        <v>48321</v>
      </c>
      <c r="B3399" s="7" t="s">
        <v>3482</v>
      </c>
      <c r="C3399" s="7" t="s">
        <v>3280</v>
      </c>
      <c r="D3399" s="7" t="s">
        <v>95</v>
      </c>
      <c r="E3399" s="5" t="s">
        <v>43</v>
      </c>
      <c r="F3399" s="8"/>
      <c r="G3399" s="9">
        <f>H3399*(1-30%)*(1-F3399)</f>
        <v>38.493000000000002</v>
      </c>
      <c r="H3399" s="9">
        <v>54.990000000000002</v>
      </c>
      <c r="I3399" s="9">
        <f>H3399-G3399</f>
        <v>16.497</v>
      </c>
    </row>
    <row r="3400" ht="14.25">
      <c r="A3400" s="5">
        <v>48475</v>
      </c>
      <c r="B3400" s="7" t="s">
        <v>3483</v>
      </c>
      <c r="C3400" s="7" t="s">
        <v>3276</v>
      </c>
      <c r="D3400" s="7" t="s">
        <v>45</v>
      </c>
      <c r="E3400" s="5" t="s">
        <v>15</v>
      </c>
      <c r="F3400" s="8"/>
      <c r="G3400" s="9">
        <f>H3400*(1-30%)*(1-F3400)</f>
        <v>27.992999999999999</v>
      </c>
      <c r="H3400" s="9">
        <v>39.990000000000002</v>
      </c>
      <c r="I3400" s="9">
        <f>H3400-G3400</f>
        <v>11.997000000000003</v>
      </c>
    </row>
    <row r="3401" ht="14.25">
      <c r="A3401" s="5">
        <v>48476</v>
      </c>
      <c r="B3401" s="7" t="s">
        <v>3484</v>
      </c>
      <c r="C3401" s="7" t="s">
        <v>3276</v>
      </c>
      <c r="D3401" s="7" t="s">
        <v>45</v>
      </c>
      <c r="E3401" s="5" t="s">
        <v>15</v>
      </c>
      <c r="F3401" s="8"/>
      <c r="G3401" s="9">
        <f>H3401*(1-30%)*(1-F3401)</f>
        <v>27.992999999999999</v>
      </c>
      <c r="H3401" s="9">
        <v>39.990000000000002</v>
      </c>
      <c r="I3401" s="9">
        <f>H3401-G3401</f>
        <v>11.997000000000003</v>
      </c>
    </row>
    <row r="3402" ht="14.25">
      <c r="A3402" s="5">
        <v>48477</v>
      </c>
      <c r="B3402" s="7" t="s">
        <v>3485</v>
      </c>
      <c r="C3402" s="7" t="s">
        <v>3276</v>
      </c>
      <c r="D3402" s="7" t="s">
        <v>45</v>
      </c>
      <c r="E3402" s="5" t="s">
        <v>15</v>
      </c>
      <c r="F3402" s="8"/>
      <c r="G3402" s="9">
        <f>H3402*(1-30%)*(1-F3402)</f>
        <v>27.992999999999999</v>
      </c>
      <c r="H3402" s="9">
        <v>39.990000000000002</v>
      </c>
      <c r="I3402" s="9">
        <f>H3402-G3402</f>
        <v>11.997000000000003</v>
      </c>
    </row>
    <row r="3403" ht="14.25">
      <c r="A3403" s="5">
        <v>48479</v>
      </c>
      <c r="B3403" s="7" t="s">
        <v>3486</v>
      </c>
      <c r="C3403" s="7" t="s">
        <v>3276</v>
      </c>
      <c r="D3403" s="7" t="s">
        <v>45</v>
      </c>
      <c r="E3403" s="5" t="s">
        <v>15</v>
      </c>
      <c r="F3403" s="8"/>
      <c r="G3403" s="9">
        <f>H3403*(1-30%)*(1-F3403)</f>
        <v>34.993000000000002</v>
      </c>
      <c r="H3403" s="9">
        <v>49.990000000000002</v>
      </c>
      <c r="I3403" s="9">
        <f>H3403-G3403</f>
        <v>14.997</v>
      </c>
    </row>
    <row r="3404" ht="14.25">
      <c r="A3404" s="5">
        <v>48488</v>
      </c>
      <c r="B3404" s="7" t="s">
        <v>3487</v>
      </c>
      <c r="C3404" s="7" t="s">
        <v>3276</v>
      </c>
      <c r="D3404" s="7" t="s">
        <v>45</v>
      </c>
      <c r="E3404" s="5" t="s">
        <v>15</v>
      </c>
      <c r="F3404" s="8"/>
      <c r="G3404" s="9">
        <f>H3404*(1-30%)*(1-F3404)</f>
        <v>34.993000000000002</v>
      </c>
      <c r="H3404" s="9">
        <v>49.990000000000002</v>
      </c>
      <c r="I3404" s="9">
        <f>H3404-G3404</f>
        <v>14.997</v>
      </c>
    </row>
    <row r="3405" ht="14.25">
      <c r="A3405" s="5">
        <v>48489</v>
      </c>
      <c r="B3405" s="7" t="s">
        <v>3488</v>
      </c>
      <c r="C3405" s="7" t="s">
        <v>3276</v>
      </c>
      <c r="D3405" s="7" t="s">
        <v>45</v>
      </c>
      <c r="E3405" s="5" t="s">
        <v>15</v>
      </c>
      <c r="F3405" s="8"/>
      <c r="G3405" s="9">
        <f>H3405*(1-30%)*(1-F3405)</f>
        <v>34.993000000000002</v>
      </c>
      <c r="H3405" s="9">
        <v>49.990000000000002</v>
      </c>
      <c r="I3405" s="9">
        <f>H3405-G3405</f>
        <v>14.997</v>
      </c>
    </row>
    <row r="3406" ht="14.25">
      <c r="A3406" s="5">
        <v>48490</v>
      </c>
      <c r="B3406" s="7" t="s">
        <v>3489</v>
      </c>
      <c r="C3406" s="7" t="s">
        <v>3276</v>
      </c>
      <c r="D3406" s="7" t="s">
        <v>45</v>
      </c>
      <c r="E3406" s="5" t="s">
        <v>15</v>
      </c>
      <c r="F3406" s="8"/>
      <c r="G3406" s="9">
        <f>H3406*(1-30%)*(1-F3406)</f>
        <v>34.993000000000002</v>
      </c>
      <c r="H3406" s="9">
        <v>49.990000000000002</v>
      </c>
      <c r="I3406" s="9">
        <f>H3406-G3406</f>
        <v>14.997</v>
      </c>
    </row>
    <row r="3407" ht="14.25">
      <c r="A3407" s="5">
        <v>48720</v>
      </c>
      <c r="B3407" s="7" t="s">
        <v>3490</v>
      </c>
      <c r="C3407" s="7" t="s">
        <v>3477</v>
      </c>
      <c r="D3407" s="7" t="s">
        <v>52</v>
      </c>
      <c r="E3407" s="5" t="s">
        <v>43</v>
      </c>
      <c r="F3407" s="8"/>
      <c r="G3407" s="9">
        <f>H3407*(1-30%)*(1-F3407)</f>
        <v>27.992999999999999</v>
      </c>
      <c r="H3407" s="9">
        <v>39.990000000000002</v>
      </c>
      <c r="I3407" s="9">
        <f>H3407-G3407</f>
        <v>11.997000000000003</v>
      </c>
    </row>
    <row r="3408" ht="14.25">
      <c r="A3408" s="5">
        <v>49063</v>
      </c>
      <c r="B3408" s="7" t="s">
        <v>3491</v>
      </c>
      <c r="C3408" s="7" t="s">
        <v>3492</v>
      </c>
      <c r="D3408" s="7" t="s">
        <v>11</v>
      </c>
      <c r="E3408" s="5" t="s">
        <v>43</v>
      </c>
      <c r="F3408" s="8"/>
      <c r="G3408" s="9">
        <f>H3408*(1-30%)*(1-F3408)</f>
        <v>108.42999999999999</v>
      </c>
      <c r="H3408" s="9">
        <v>154.90000000000001</v>
      </c>
      <c r="I3408" s="9">
        <f>H3408-G3408</f>
        <v>46.470000000000013</v>
      </c>
    </row>
    <row r="3409" ht="14.25">
      <c r="A3409" s="5">
        <v>49064</v>
      </c>
      <c r="B3409" s="7" t="s">
        <v>3493</v>
      </c>
      <c r="C3409" s="7" t="s">
        <v>3492</v>
      </c>
      <c r="D3409" s="7" t="s">
        <v>71</v>
      </c>
      <c r="E3409" s="5" t="s">
        <v>15</v>
      </c>
      <c r="F3409" s="8"/>
      <c r="G3409" s="9">
        <f>H3409*(1-30%)*(1-F3409)</f>
        <v>27.292999999999999</v>
      </c>
      <c r="H3409" s="9">
        <v>38.990000000000002</v>
      </c>
      <c r="I3409" s="9">
        <f>H3409-G3409</f>
        <v>11.697000000000003</v>
      </c>
    </row>
    <row r="3410" ht="14.25">
      <c r="A3410" s="5">
        <v>49166</v>
      </c>
      <c r="B3410" s="7" t="s">
        <v>3494</v>
      </c>
      <c r="C3410" s="7" t="s">
        <v>3294</v>
      </c>
      <c r="D3410" s="7" t="s">
        <v>11</v>
      </c>
      <c r="E3410" s="5" t="s">
        <v>3268</v>
      </c>
      <c r="F3410" s="8"/>
      <c r="G3410" s="9">
        <f>H3410*(1-30%)*(1-F3410)</f>
        <v>118.92999999999999</v>
      </c>
      <c r="H3410" s="9">
        <v>169.90000000000001</v>
      </c>
      <c r="I3410" s="9">
        <f>H3410-G3410</f>
        <v>50.970000000000013</v>
      </c>
    </row>
    <row r="3411" ht="14.25">
      <c r="A3411" s="5">
        <v>49214</v>
      </c>
      <c r="B3411" s="7" t="s">
        <v>3495</v>
      </c>
      <c r="C3411" s="7" t="s">
        <v>3276</v>
      </c>
      <c r="D3411" s="7" t="s">
        <v>95</v>
      </c>
      <c r="E3411" s="5" t="s">
        <v>26</v>
      </c>
      <c r="F3411" s="8"/>
      <c r="G3411" s="9">
        <f>H3411*(1-30%)*(1-F3411)</f>
        <v>27.992999999999999</v>
      </c>
      <c r="H3411" s="9">
        <v>39.990000000000002</v>
      </c>
      <c r="I3411" s="9">
        <f>H3411-G3411</f>
        <v>11.997000000000003</v>
      </c>
    </row>
    <row r="3412" ht="14.25">
      <c r="A3412" s="5">
        <v>49455</v>
      </c>
      <c r="B3412" s="7" t="s">
        <v>3496</v>
      </c>
      <c r="C3412" s="7" t="s">
        <v>3276</v>
      </c>
      <c r="D3412" s="7" t="s">
        <v>45</v>
      </c>
      <c r="E3412" s="5" t="s">
        <v>15</v>
      </c>
      <c r="F3412" s="8"/>
      <c r="G3412" s="9">
        <f>H3412*(1-30%)*(1-F3412)</f>
        <v>34.993000000000002</v>
      </c>
      <c r="H3412" s="9">
        <v>49.990000000000002</v>
      </c>
      <c r="I3412" s="9">
        <f>H3412-G3412</f>
        <v>14.997</v>
      </c>
    </row>
    <row r="3413" ht="14.25">
      <c r="A3413" s="5">
        <v>49456</v>
      </c>
      <c r="B3413" s="7" t="s">
        <v>3497</v>
      </c>
      <c r="C3413" s="7" t="s">
        <v>3276</v>
      </c>
      <c r="D3413" s="7" t="s">
        <v>45</v>
      </c>
      <c r="E3413" s="5" t="s">
        <v>15</v>
      </c>
      <c r="F3413" s="8"/>
      <c r="G3413" s="9">
        <f>H3413*(1-30%)*(1-F3413)</f>
        <v>27.992999999999999</v>
      </c>
      <c r="H3413" s="9">
        <v>39.990000000000002</v>
      </c>
      <c r="I3413" s="9">
        <f>H3413-G3413</f>
        <v>11.997000000000003</v>
      </c>
    </row>
    <row r="3414" ht="14.25">
      <c r="A3414" s="5">
        <v>49459</v>
      </c>
      <c r="B3414" s="7" t="s">
        <v>3498</v>
      </c>
      <c r="C3414" s="7" t="s">
        <v>3262</v>
      </c>
      <c r="D3414" s="7" t="s">
        <v>110</v>
      </c>
      <c r="E3414" s="5" t="s">
        <v>43</v>
      </c>
      <c r="F3414" s="8"/>
      <c r="G3414" s="9">
        <f>H3414*(1-30%)*(1-F3414)</f>
        <v>53.892999999999994</v>
      </c>
      <c r="H3414" s="9">
        <v>76.989999999999995</v>
      </c>
      <c r="I3414" s="9">
        <f>H3414-G3414</f>
        <v>23.097000000000001</v>
      </c>
    </row>
    <row r="3415" ht="14.25">
      <c r="A3415" s="5">
        <v>49460</v>
      </c>
      <c r="B3415" s="7" t="s">
        <v>3499</v>
      </c>
      <c r="C3415" s="7" t="s">
        <v>3262</v>
      </c>
      <c r="D3415" s="7" t="s">
        <v>110</v>
      </c>
      <c r="E3415" s="5" t="s">
        <v>43</v>
      </c>
      <c r="F3415" s="8"/>
      <c r="G3415" s="9">
        <f>H3415*(1-30%)*(1-F3415)</f>
        <v>53.892999999999994</v>
      </c>
      <c r="H3415" s="9">
        <v>76.989999999999995</v>
      </c>
      <c r="I3415" s="9">
        <f>H3415-G3415</f>
        <v>23.097000000000001</v>
      </c>
    </row>
    <row r="3416" ht="14.25">
      <c r="A3416" s="5">
        <v>49485</v>
      </c>
      <c r="B3416" s="7" t="s">
        <v>3500</v>
      </c>
      <c r="C3416" s="7" t="s">
        <v>3341</v>
      </c>
      <c r="D3416" s="7" t="s">
        <v>45</v>
      </c>
      <c r="E3416" s="5" t="s">
        <v>15</v>
      </c>
      <c r="F3416" s="8"/>
      <c r="G3416" s="9">
        <f>H3416*(1-30%)*(1-F3416)</f>
        <v>38.493000000000002</v>
      </c>
      <c r="H3416" s="9">
        <v>54.990000000000002</v>
      </c>
      <c r="I3416" s="9">
        <f>H3416-G3416</f>
        <v>16.497</v>
      </c>
    </row>
    <row r="3417" ht="14.25">
      <c r="A3417" s="5">
        <v>49487</v>
      </c>
      <c r="B3417" s="7" t="s">
        <v>3501</v>
      </c>
      <c r="C3417" s="7" t="s">
        <v>3341</v>
      </c>
      <c r="D3417" s="7" t="s">
        <v>45</v>
      </c>
      <c r="E3417" s="5" t="s">
        <v>43</v>
      </c>
      <c r="F3417" s="8"/>
      <c r="G3417" s="9">
        <f>H3417*(1-30%)*(1-F3417)</f>
        <v>38.493000000000002</v>
      </c>
      <c r="H3417" s="9">
        <v>54.990000000000002</v>
      </c>
      <c r="I3417" s="9">
        <f>H3417-G3417</f>
        <v>16.497</v>
      </c>
    </row>
    <row r="3418" ht="14.25">
      <c r="A3418" s="5">
        <v>49496</v>
      </c>
      <c r="B3418" s="7" t="s">
        <v>3502</v>
      </c>
      <c r="C3418" s="7" t="s">
        <v>3341</v>
      </c>
      <c r="D3418" s="7" t="s">
        <v>11</v>
      </c>
      <c r="E3418" s="5" t="s">
        <v>15</v>
      </c>
      <c r="F3418" s="8"/>
      <c r="G3418" s="9">
        <f>H3418*(1-30%)*(1-F3418)</f>
        <v>129.43000000000001</v>
      </c>
      <c r="H3418" s="9">
        <v>184.90000000000001</v>
      </c>
      <c r="I3418" s="9">
        <f>H3418-G3418</f>
        <v>55.469999999999999</v>
      </c>
    </row>
    <row r="3419" ht="14.25">
      <c r="A3419" s="5">
        <v>49499</v>
      </c>
      <c r="B3419" s="7" t="s">
        <v>3503</v>
      </c>
      <c r="C3419" s="7" t="s">
        <v>3341</v>
      </c>
      <c r="D3419" s="7" t="s">
        <v>103</v>
      </c>
      <c r="E3419" s="5" t="s">
        <v>15</v>
      </c>
      <c r="F3419" s="8"/>
      <c r="G3419" s="9">
        <f>H3419*(1-30%)*(1-F3419)</f>
        <v>30.093</v>
      </c>
      <c r="H3419" s="9">
        <v>42.990000000000002</v>
      </c>
      <c r="I3419" s="9">
        <f>H3419-G3419</f>
        <v>12.897000000000002</v>
      </c>
    </row>
    <row r="3420" ht="14.25">
      <c r="A3420" s="5">
        <v>49500</v>
      </c>
      <c r="B3420" s="7" t="s">
        <v>3504</v>
      </c>
      <c r="C3420" s="7" t="s">
        <v>3341</v>
      </c>
      <c r="D3420" s="7" t="s">
        <v>11</v>
      </c>
      <c r="E3420" s="5" t="s">
        <v>15</v>
      </c>
      <c r="F3420" s="8"/>
      <c r="G3420" s="9">
        <f>H3420*(1-30%)*(1-F3420)</f>
        <v>129.43000000000001</v>
      </c>
      <c r="H3420" s="9">
        <v>184.90000000000001</v>
      </c>
      <c r="I3420" s="9">
        <f>H3420-G3420</f>
        <v>55.469999999999999</v>
      </c>
    </row>
    <row r="3421" ht="14.25">
      <c r="A3421" s="5">
        <v>49501</v>
      </c>
      <c r="B3421" s="7" t="s">
        <v>3505</v>
      </c>
      <c r="C3421" s="7" t="s">
        <v>3506</v>
      </c>
      <c r="D3421" s="7" t="s">
        <v>45</v>
      </c>
      <c r="E3421" s="5" t="s">
        <v>15</v>
      </c>
      <c r="F3421" s="8"/>
      <c r="G3421" s="9">
        <f>H3421*(1-30%)*(1-F3421)</f>
        <v>26.593</v>
      </c>
      <c r="H3421" s="9">
        <v>37.990000000000002</v>
      </c>
      <c r="I3421" s="9">
        <f>H3421-G3421</f>
        <v>11.397000000000002</v>
      </c>
    </row>
    <row r="3422" ht="14.25">
      <c r="A3422" s="5">
        <v>49509</v>
      </c>
      <c r="B3422" s="7" t="s">
        <v>3507</v>
      </c>
      <c r="C3422" s="7" t="s">
        <v>3508</v>
      </c>
      <c r="D3422" s="7" t="s">
        <v>11</v>
      </c>
      <c r="E3422" s="5" t="s">
        <v>43</v>
      </c>
      <c r="F3422" s="8"/>
      <c r="G3422" s="9">
        <f>H3422*(1-30%)*(1-F3422)</f>
        <v>108.42999999999999</v>
      </c>
      <c r="H3422" s="9">
        <v>154.90000000000001</v>
      </c>
      <c r="I3422" s="9">
        <f>H3422-G3422</f>
        <v>46.470000000000013</v>
      </c>
    </row>
    <row r="3423" ht="14.25">
      <c r="A3423" s="5">
        <v>49511</v>
      </c>
      <c r="B3423" s="7" t="s">
        <v>3509</v>
      </c>
      <c r="C3423" s="7" t="s">
        <v>3290</v>
      </c>
      <c r="D3423" s="7" t="s">
        <v>11</v>
      </c>
      <c r="E3423" s="5" t="s">
        <v>43</v>
      </c>
      <c r="F3423" s="8"/>
      <c r="G3423" s="9">
        <f>H3423*(1-30%)*(1-F3423)</f>
        <v>167.93000000000001</v>
      </c>
      <c r="H3423" s="9">
        <v>239.90000000000001</v>
      </c>
      <c r="I3423" s="9">
        <f>H3423-G3423</f>
        <v>71.969999999999999</v>
      </c>
    </row>
    <row r="3424" ht="14.25">
      <c r="A3424" s="5">
        <v>49519</v>
      </c>
      <c r="B3424" s="7" t="s">
        <v>3510</v>
      </c>
      <c r="C3424" s="7" t="s">
        <v>3508</v>
      </c>
      <c r="D3424" s="7" t="s">
        <v>45</v>
      </c>
      <c r="E3424" s="5" t="s">
        <v>43</v>
      </c>
      <c r="F3424" s="8"/>
      <c r="G3424" s="9">
        <f>H3424*(1-30%)*(1-F3424)</f>
        <v>38.493000000000002</v>
      </c>
      <c r="H3424" s="9">
        <v>54.990000000000002</v>
      </c>
      <c r="I3424" s="9">
        <f>H3424-G3424</f>
        <v>16.497</v>
      </c>
    </row>
    <row r="3425" ht="14.25">
      <c r="A3425" s="5">
        <v>49538</v>
      </c>
      <c r="B3425" s="7" t="s">
        <v>3511</v>
      </c>
      <c r="C3425" s="7" t="s">
        <v>3290</v>
      </c>
      <c r="D3425" s="7" t="s">
        <v>11</v>
      </c>
      <c r="E3425" s="5" t="s">
        <v>15</v>
      </c>
      <c r="F3425" s="8"/>
      <c r="G3425" s="9">
        <f>H3425*(1-30%)*(1-F3425)</f>
        <v>167.93000000000001</v>
      </c>
      <c r="H3425" s="9">
        <v>239.90000000000001</v>
      </c>
      <c r="I3425" s="9">
        <f>H3425-G3425</f>
        <v>71.969999999999999</v>
      </c>
    </row>
    <row r="3426" ht="14.25">
      <c r="A3426" s="5">
        <v>49540</v>
      </c>
      <c r="B3426" s="7" t="s">
        <v>3512</v>
      </c>
      <c r="C3426" s="7" t="s">
        <v>3290</v>
      </c>
      <c r="D3426" s="7" t="s">
        <v>11</v>
      </c>
      <c r="E3426" s="5" t="s">
        <v>3513</v>
      </c>
      <c r="F3426" s="8"/>
      <c r="G3426" s="9">
        <f>H3426*(1-30%)*(1-F3426)</f>
        <v>167.93000000000001</v>
      </c>
      <c r="H3426" s="9">
        <v>239.90000000000001</v>
      </c>
      <c r="I3426" s="9">
        <f>H3426-G3426</f>
        <v>71.969999999999999</v>
      </c>
    </row>
    <row r="3427" ht="14.25">
      <c r="A3427" s="5">
        <v>49543</v>
      </c>
      <c r="B3427" s="7" t="s">
        <v>3514</v>
      </c>
      <c r="C3427" s="7" t="s">
        <v>3329</v>
      </c>
      <c r="D3427" s="7" t="s">
        <v>11</v>
      </c>
      <c r="E3427" s="5" t="s">
        <v>3513</v>
      </c>
      <c r="F3427" s="8"/>
      <c r="G3427" s="9">
        <f>H3427*(1-30%)*(1-F3427)</f>
        <v>174.93000000000001</v>
      </c>
      <c r="H3427" s="9">
        <v>249.90000000000001</v>
      </c>
      <c r="I3427" s="9">
        <f>H3427-G3427</f>
        <v>74.969999999999999</v>
      </c>
    </row>
    <row r="3428" ht="14.25">
      <c r="A3428" s="5">
        <v>49562</v>
      </c>
      <c r="B3428" s="7" t="s">
        <v>3515</v>
      </c>
      <c r="C3428" s="7" t="s">
        <v>3331</v>
      </c>
      <c r="D3428" s="7" t="s">
        <v>174</v>
      </c>
      <c r="E3428" s="5" t="s">
        <v>43</v>
      </c>
      <c r="F3428" s="8"/>
      <c r="G3428" s="9">
        <f>H3428*(1-30%)*(1-F3428)</f>
        <v>41.993000000000002</v>
      </c>
      <c r="H3428" s="9">
        <v>59.990000000000002</v>
      </c>
      <c r="I3428" s="9">
        <f>H3428-G3428</f>
        <v>17.997</v>
      </c>
    </row>
    <row r="3429" ht="14.25">
      <c r="A3429" s="5">
        <v>49563</v>
      </c>
      <c r="B3429" s="7" t="s">
        <v>3516</v>
      </c>
      <c r="C3429" s="7" t="s">
        <v>3331</v>
      </c>
      <c r="D3429" s="7" t="s">
        <v>11</v>
      </c>
      <c r="E3429" s="5" t="s">
        <v>43</v>
      </c>
      <c r="F3429" s="8"/>
      <c r="G3429" s="9">
        <f>H3429*(1-30%)*(1-F3429)</f>
        <v>101.42999999999999</v>
      </c>
      <c r="H3429" s="9">
        <v>144.90000000000001</v>
      </c>
      <c r="I3429" s="9">
        <f>H3429-G3429</f>
        <v>43.470000000000013</v>
      </c>
    </row>
    <row r="3430" ht="14.25">
      <c r="A3430" s="5">
        <v>49565</v>
      </c>
      <c r="B3430" s="7" t="s">
        <v>3517</v>
      </c>
      <c r="C3430" s="7" t="s">
        <v>3331</v>
      </c>
      <c r="D3430" s="7" t="s">
        <v>45</v>
      </c>
      <c r="E3430" s="5" t="s">
        <v>15</v>
      </c>
      <c r="F3430" s="8"/>
      <c r="G3430" s="9">
        <f>H3430*(1-30%)*(1-F3430)</f>
        <v>34.993000000000002</v>
      </c>
      <c r="H3430" s="9">
        <v>49.990000000000002</v>
      </c>
      <c r="I3430" s="9">
        <f>H3430-G3430</f>
        <v>14.997</v>
      </c>
    </row>
    <row r="3431" ht="14.25">
      <c r="A3431" s="5">
        <v>49566</v>
      </c>
      <c r="B3431" s="7" t="s">
        <v>3518</v>
      </c>
      <c r="C3431" s="7" t="s">
        <v>3331</v>
      </c>
      <c r="D3431" s="7" t="s">
        <v>11</v>
      </c>
      <c r="E3431" s="5" t="s">
        <v>43</v>
      </c>
      <c r="F3431" s="8"/>
      <c r="G3431" s="9">
        <f>H3431*(1-30%)*(1-F3431)</f>
        <v>101.42999999999999</v>
      </c>
      <c r="H3431" s="9">
        <v>144.90000000000001</v>
      </c>
      <c r="I3431" s="9">
        <f>H3431-G3431</f>
        <v>43.470000000000013</v>
      </c>
    </row>
    <row r="3432" ht="14.25">
      <c r="A3432" s="5">
        <v>49568</v>
      </c>
      <c r="B3432" s="7" t="s">
        <v>3519</v>
      </c>
      <c r="C3432" s="7" t="s">
        <v>3331</v>
      </c>
      <c r="D3432" s="7" t="s">
        <v>174</v>
      </c>
      <c r="E3432" s="5" t="s">
        <v>43</v>
      </c>
      <c r="F3432" s="8"/>
      <c r="G3432" s="9">
        <f>H3432*(1-30%)*(1-F3432)</f>
        <v>45.492999999999995</v>
      </c>
      <c r="H3432" s="9">
        <v>64.989999999999995</v>
      </c>
      <c r="I3432" s="9">
        <f>H3432-G3432</f>
        <v>19.497</v>
      </c>
    </row>
    <row r="3433" ht="14.25">
      <c r="A3433" s="5">
        <v>49570</v>
      </c>
      <c r="B3433" s="7" t="s">
        <v>3520</v>
      </c>
      <c r="C3433" s="7" t="s">
        <v>3452</v>
      </c>
      <c r="D3433" s="7" t="s">
        <v>174</v>
      </c>
      <c r="E3433" s="5" t="s">
        <v>43</v>
      </c>
      <c r="F3433" s="8"/>
      <c r="G3433" s="9">
        <f>H3433*(1-30%)*(1-F3433)</f>
        <v>51.092999999999996</v>
      </c>
      <c r="H3433" s="9">
        <v>72.989999999999995</v>
      </c>
      <c r="I3433" s="9">
        <f>H3433-G3433</f>
        <v>21.896999999999998</v>
      </c>
    </row>
    <row r="3434" ht="14.25">
      <c r="A3434" s="5">
        <v>49571</v>
      </c>
      <c r="B3434" s="7" t="s">
        <v>3521</v>
      </c>
      <c r="C3434" s="7" t="s">
        <v>3522</v>
      </c>
      <c r="D3434" s="7" t="s">
        <v>103</v>
      </c>
      <c r="E3434" s="5" t="s">
        <v>15</v>
      </c>
      <c r="F3434" s="8"/>
      <c r="G3434" s="9">
        <f>H3434*(1-30%)*(1-F3434)</f>
        <v>30.093</v>
      </c>
      <c r="H3434" s="9">
        <v>42.990000000000002</v>
      </c>
      <c r="I3434" s="9">
        <f>H3434-G3434</f>
        <v>12.897000000000002</v>
      </c>
    </row>
    <row r="3435" ht="14.25">
      <c r="A3435" s="5">
        <v>49572</v>
      </c>
      <c r="B3435" s="7" t="s">
        <v>3523</v>
      </c>
      <c r="C3435" s="7" t="s">
        <v>3524</v>
      </c>
      <c r="D3435" s="7" t="s">
        <v>103</v>
      </c>
      <c r="E3435" s="5" t="s">
        <v>15</v>
      </c>
      <c r="F3435" s="8"/>
      <c r="G3435" s="9">
        <f>H3435*(1-30%)*(1-F3435)</f>
        <v>30.093</v>
      </c>
      <c r="H3435" s="9">
        <v>42.990000000000002</v>
      </c>
      <c r="I3435" s="9">
        <f>H3435-G3435</f>
        <v>12.897000000000002</v>
      </c>
    </row>
    <row r="3436" ht="14.25">
      <c r="A3436" s="5">
        <v>49575</v>
      </c>
      <c r="B3436" s="7" t="s">
        <v>3525</v>
      </c>
      <c r="C3436" s="7" t="s">
        <v>3526</v>
      </c>
      <c r="D3436" s="7" t="s">
        <v>11</v>
      </c>
      <c r="E3436" s="5" t="s">
        <v>15</v>
      </c>
      <c r="F3436" s="8"/>
      <c r="G3436" s="9">
        <f>H3436*(1-30%)*(1-F3436)</f>
        <v>101.42999999999999</v>
      </c>
      <c r="H3436" s="9">
        <v>144.90000000000001</v>
      </c>
      <c r="I3436" s="9">
        <f>H3436-G3436</f>
        <v>43.470000000000013</v>
      </c>
    </row>
    <row r="3437" ht="14.25">
      <c r="A3437" s="5">
        <v>49576</v>
      </c>
      <c r="B3437" s="7" t="s">
        <v>3527</v>
      </c>
      <c r="C3437" s="7" t="s">
        <v>3526</v>
      </c>
      <c r="D3437" s="7" t="s">
        <v>103</v>
      </c>
      <c r="E3437" s="5" t="s">
        <v>15</v>
      </c>
      <c r="F3437" s="8"/>
      <c r="G3437" s="9">
        <f>H3437*(1-30%)*(1-F3437)</f>
        <v>34.993000000000002</v>
      </c>
      <c r="H3437" s="9">
        <v>49.990000000000002</v>
      </c>
      <c r="I3437" s="9">
        <f>H3437-G3437</f>
        <v>14.997</v>
      </c>
    </row>
    <row r="3438" ht="14.25">
      <c r="A3438" s="5">
        <v>49577</v>
      </c>
      <c r="B3438" s="7" t="s">
        <v>3528</v>
      </c>
      <c r="C3438" s="7" t="s">
        <v>3452</v>
      </c>
      <c r="D3438" s="7" t="s">
        <v>11</v>
      </c>
      <c r="E3438" s="5" t="s">
        <v>43</v>
      </c>
      <c r="F3438" s="8"/>
      <c r="G3438" s="9">
        <f>H3438*(1-30%)*(1-F3438)</f>
        <v>174.93000000000001</v>
      </c>
      <c r="H3438" s="9">
        <v>249.90000000000001</v>
      </c>
      <c r="I3438" s="9">
        <f>H3438-G3438</f>
        <v>74.969999999999999</v>
      </c>
    </row>
    <row r="3439" ht="14.25">
      <c r="A3439" s="5">
        <v>49579</v>
      </c>
      <c r="B3439" s="7" t="s">
        <v>3529</v>
      </c>
      <c r="C3439" s="7" t="s">
        <v>3452</v>
      </c>
      <c r="D3439" s="7" t="s">
        <v>11</v>
      </c>
      <c r="E3439" s="5" t="s">
        <v>43</v>
      </c>
      <c r="F3439" s="8"/>
      <c r="G3439" s="9">
        <f>H3439*(1-30%)*(1-F3439)</f>
        <v>174.93000000000001</v>
      </c>
      <c r="H3439" s="9">
        <v>249.90000000000001</v>
      </c>
      <c r="I3439" s="9">
        <f>H3439-G3439</f>
        <v>74.969999999999999</v>
      </c>
    </row>
    <row r="3440" ht="14.25">
      <c r="A3440" s="5">
        <v>49583</v>
      </c>
      <c r="B3440" s="7" t="s">
        <v>3530</v>
      </c>
      <c r="C3440" s="7" t="s">
        <v>3452</v>
      </c>
      <c r="D3440" s="7" t="s">
        <v>174</v>
      </c>
      <c r="E3440" s="5" t="s">
        <v>43</v>
      </c>
      <c r="F3440" s="8"/>
      <c r="G3440" s="9">
        <f>H3440*(1-30%)*(1-F3440)</f>
        <v>54.592999999999996</v>
      </c>
      <c r="H3440" s="9">
        <v>77.989999999999995</v>
      </c>
      <c r="I3440" s="9">
        <f>H3440-G3440</f>
        <v>23.396999999999998</v>
      </c>
    </row>
    <row r="3441" ht="14.25">
      <c r="A3441" s="5">
        <v>49584</v>
      </c>
      <c r="B3441" s="7" t="s">
        <v>3531</v>
      </c>
      <c r="C3441" s="7" t="s">
        <v>3452</v>
      </c>
      <c r="D3441" s="7" t="s">
        <v>45</v>
      </c>
      <c r="E3441" s="5" t="s">
        <v>43</v>
      </c>
      <c r="F3441" s="8"/>
      <c r="G3441" s="9">
        <f>H3441*(1-30%)*(1-F3441)</f>
        <v>48.292999999999992</v>
      </c>
      <c r="H3441" s="9">
        <v>68.989999999999995</v>
      </c>
      <c r="I3441" s="9">
        <f>H3441-G3441</f>
        <v>20.697000000000003</v>
      </c>
    </row>
    <row r="3442" ht="14.25">
      <c r="A3442" s="5">
        <v>49683</v>
      </c>
      <c r="B3442" s="7" t="s">
        <v>3532</v>
      </c>
      <c r="C3442" s="7" t="s">
        <v>3280</v>
      </c>
      <c r="D3442" s="7" t="s">
        <v>95</v>
      </c>
      <c r="E3442" s="5" t="s">
        <v>15</v>
      </c>
      <c r="F3442" s="8"/>
      <c r="G3442" s="9">
        <f>H3442*(1-30%)*(1-F3442)</f>
        <v>30.093</v>
      </c>
      <c r="H3442" s="9">
        <v>42.990000000000002</v>
      </c>
      <c r="I3442" s="9">
        <f>H3442-G3442</f>
        <v>12.897000000000002</v>
      </c>
    </row>
    <row r="3443" ht="14.25">
      <c r="A3443" s="5">
        <v>49687</v>
      </c>
      <c r="B3443" s="7" t="s">
        <v>3533</v>
      </c>
      <c r="C3443" s="7" t="s">
        <v>3280</v>
      </c>
      <c r="D3443" s="7" t="s">
        <v>95</v>
      </c>
      <c r="E3443" s="5" t="s">
        <v>43</v>
      </c>
      <c r="F3443" s="8"/>
      <c r="G3443" s="9">
        <f>H3443*(1-30%)*(1-F3443)</f>
        <v>31.492999999999999</v>
      </c>
      <c r="H3443" s="9">
        <v>44.990000000000002</v>
      </c>
      <c r="I3443" s="9">
        <f>H3443-G3443</f>
        <v>13.497000000000003</v>
      </c>
    </row>
    <row r="3444" ht="14.25">
      <c r="A3444" s="5">
        <v>49691</v>
      </c>
      <c r="B3444" s="7" t="s">
        <v>3534</v>
      </c>
      <c r="C3444" s="7" t="s">
        <v>3280</v>
      </c>
      <c r="D3444" s="7" t="s">
        <v>95</v>
      </c>
      <c r="E3444" s="5" t="s">
        <v>15</v>
      </c>
      <c r="F3444" s="8"/>
      <c r="G3444" s="9">
        <f>H3444*(1-30%)*(1-F3444)</f>
        <v>12.592999999999998</v>
      </c>
      <c r="H3444" s="9">
        <v>17.989999999999998</v>
      </c>
      <c r="I3444" s="9">
        <f>H3444-G3444</f>
        <v>5.3970000000000002</v>
      </c>
    </row>
    <row r="3445" ht="14.25">
      <c r="A3445" s="5">
        <v>49692</v>
      </c>
      <c r="B3445" s="7" t="s">
        <v>3535</v>
      </c>
      <c r="C3445" s="7" t="s">
        <v>3280</v>
      </c>
      <c r="D3445" s="7" t="s">
        <v>95</v>
      </c>
      <c r="E3445" s="5" t="s">
        <v>43</v>
      </c>
      <c r="F3445" s="8"/>
      <c r="G3445" s="9">
        <f>H3445*(1-30%)*(1-F3445)</f>
        <v>37.092999999999996</v>
      </c>
      <c r="H3445" s="9">
        <v>52.990000000000002</v>
      </c>
      <c r="I3445" s="9">
        <f>H3445-G3445</f>
        <v>15.897000000000006</v>
      </c>
    </row>
    <row r="3446" ht="14.25">
      <c r="A3446" s="5">
        <v>49696</v>
      </c>
      <c r="B3446" s="7" t="s">
        <v>3536</v>
      </c>
      <c r="C3446" s="7" t="s">
        <v>3280</v>
      </c>
      <c r="D3446" s="7" t="s">
        <v>95</v>
      </c>
      <c r="E3446" s="5" t="s">
        <v>3513</v>
      </c>
      <c r="F3446" s="8"/>
      <c r="G3446" s="9">
        <f>H3446*(1-30%)*(1-F3446)</f>
        <v>34.993000000000002</v>
      </c>
      <c r="H3446" s="9">
        <v>49.990000000000002</v>
      </c>
      <c r="I3446" s="9">
        <f>H3446-G3446</f>
        <v>14.997</v>
      </c>
    </row>
    <row r="3447" ht="14.25">
      <c r="A3447" s="5">
        <v>49697</v>
      </c>
      <c r="B3447" s="7" t="s">
        <v>3537</v>
      </c>
      <c r="C3447" s="7" t="s">
        <v>3280</v>
      </c>
      <c r="D3447" s="7" t="s">
        <v>95</v>
      </c>
      <c r="E3447" s="5" t="s">
        <v>43</v>
      </c>
      <c r="F3447" s="8"/>
      <c r="G3447" s="9">
        <f>H3447*(1-30%)*(1-F3447)</f>
        <v>34.993000000000002</v>
      </c>
      <c r="H3447" s="9">
        <v>49.990000000000002</v>
      </c>
      <c r="I3447" s="9">
        <f>H3447-G3447</f>
        <v>14.997</v>
      </c>
    </row>
    <row r="3448" ht="14.25">
      <c r="A3448" s="5">
        <v>49698</v>
      </c>
      <c r="B3448" s="7" t="s">
        <v>3538</v>
      </c>
      <c r="C3448" s="7" t="s">
        <v>3280</v>
      </c>
      <c r="D3448" s="7" t="s">
        <v>95</v>
      </c>
      <c r="E3448" s="5" t="s">
        <v>43</v>
      </c>
      <c r="F3448" s="8"/>
      <c r="G3448" s="9">
        <f>H3448*(1-30%)*(1-F3448)</f>
        <v>34.993000000000002</v>
      </c>
      <c r="H3448" s="9">
        <v>49.990000000000002</v>
      </c>
      <c r="I3448" s="9">
        <f>H3448-G3448</f>
        <v>14.997</v>
      </c>
    </row>
    <row r="3449" ht="14.25">
      <c r="A3449" s="5">
        <v>49699</v>
      </c>
      <c r="B3449" s="7" t="s">
        <v>3539</v>
      </c>
      <c r="C3449" s="7" t="s">
        <v>3280</v>
      </c>
      <c r="D3449" s="7" t="s">
        <v>95</v>
      </c>
      <c r="E3449" s="5" t="s">
        <v>43</v>
      </c>
      <c r="F3449" s="8"/>
      <c r="G3449" s="9">
        <f>H3449*(1-30%)*(1-F3449)</f>
        <v>33.592999999999996</v>
      </c>
      <c r="H3449" s="9">
        <v>47.990000000000002</v>
      </c>
      <c r="I3449" s="9">
        <f>H3449-G3449</f>
        <v>14.397000000000006</v>
      </c>
    </row>
    <row r="3450" ht="14.25">
      <c r="A3450" s="5">
        <v>49700</v>
      </c>
      <c r="B3450" s="7" t="s">
        <v>3540</v>
      </c>
      <c r="C3450" s="7" t="s">
        <v>3280</v>
      </c>
      <c r="D3450" s="7" t="s">
        <v>95</v>
      </c>
      <c r="E3450" s="5" t="s">
        <v>43</v>
      </c>
      <c r="F3450" s="8"/>
      <c r="G3450" s="9">
        <f>H3450*(1-30%)*(1-F3450)</f>
        <v>33.592999999999996</v>
      </c>
      <c r="H3450" s="9">
        <v>47.990000000000002</v>
      </c>
      <c r="I3450" s="9">
        <f>H3450-G3450</f>
        <v>14.397000000000006</v>
      </c>
    </row>
    <row r="3451" ht="14.25">
      <c r="A3451" s="5">
        <v>49701</v>
      </c>
      <c r="B3451" s="7" t="s">
        <v>3541</v>
      </c>
      <c r="C3451" s="7" t="s">
        <v>3280</v>
      </c>
      <c r="D3451" s="7" t="s">
        <v>95</v>
      </c>
      <c r="E3451" s="5" t="s">
        <v>15</v>
      </c>
      <c r="F3451" s="8"/>
      <c r="G3451" s="9">
        <f>H3451*(1-30%)*(1-F3451)</f>
        <v>34.993000000000002</v>
      </c>
      <c r="H3451" s="9">
        <v>49.990000000000002</v>
      </c>
      <c r="I3451" s="9">
        <f>H3451-G3451</f>
        <v>14.997</v>
      </c>
    </row>
    <row r="3452" ht="14.25">
      <c r="A3452" s="5">
        <v>49703</v>
      </c>
      <c r="B3452" s="7" t="s">
        <v>3542</v>
      </c>
      <c r="C3452" s="7" t="s">
        <v>3280</v>
      </c>
      <c r="D3452" s="7" t="s">
        <v>95</v>
      </c>
      <c r="E3452" s="5" t="s">
        <v>43</v>
      </c>
      <c r="F3452" s="8"/>
      <c r="G3452" s="9">
        <f>H3452*(1-30%)*(1-F3452)</f>
        <v>34.993000000000002</v>
      </c>
      <c r="H3452" s="9">
        <v>49.990000000000002</v>
      </c>
      <c r="I3452" s="9">
        <f>H3452-G3452</f>
        <v>14.997</v>
      </c>
    </row>
    <row r="3453" ht="14.25">
      <c r="A3453" s="5">
        <v>49704</v>
      </c>
      <c r="B3453" s="7" t="s">
        <v>3543</v>
      </c>
      <c r="C3453" s="7" t="s">
        <v>3280</v>
      </c>
      <c r="D3453" s="7" t="s">
        <v>95</v>
      </c>
      <c r="E3453" s="5" t="s">
        <v>3268</v>
      </c>
      <c r="F3453" s="8"/>
      <c r="G3453" s="9">
        <f>H3453*(1-30%)*(1-F3453)</f>
        <v>33.592999999999996</v>
      </c>
      <c r="H3453" s="9">
        <v>47.990000000000002</v>
      </c>
      <c r="I3453" s="9">
        <f>H3453-G3453</f>
        <v>14.397000000000006</v>
      </c>
    </row>
    <row r="3454" ht="14.25">
      <c r="A3454" s="5">
        <v>49705</v>
      </c>
      <c r="B3454" s="7" t="s">
        <v>3544</v>
      </c>
      <c r="C3454" s="7" t="s">
        <v>3280</v>
      </c>
      <c r="D3454" s="7" t="s">
        <v>95</v>
      </c>
      <c r="E3454" s="5" t="s">
        <v>43</v>
      </c>
      <c r="F3454" s="8"/>
      <c r="G3454" s="9">
        <f>H3454*(1-30%)*(1-F3454)</f>
        <v>34.993000000000002</v>
      </c>
      <c r="H3454" s="9">
        <v>49.990000000000002</v>
      </c>
      <c r="I3454" s="9">
        <f>H3454-G3454</f>
        <v>14.997</v>
      </c>
    </row>
    <row r="3455" ht="14.25">
      <c r="A3455" s="5">
        <v>49706</v>
      </c>
      <c r="B3455" s="7" t="s">
        <v>3545</v>
      </c>
      <c r="C3455" s="7" t="s">
        <v>3280</v>
      </c>
      <c r="D3455" s="7" t="s">
        <v>95</v>
      </c>
      <c r="E3455" s="5" t="s">
        <v>43</v>
      </c>
      <c r="F3455" s="8"/>
      <c r="G3455" s="9">
        <f>H3455*(1-30%)*(1-F3455)</f>
        <v>33.592999999999996</v>
      </c>
      <c r="H3455" s="9">
        <v>47.990000000000002</v>
      </c>
      <c r="I3455" s="9">
        <f>H3455-G3455</f>
        <v>14.397000000000006</v>
      </c>
    </row>
    <row r="3456" ht="14.25">
      <c r="A3456" s="5">
        <v>49707</v>
      </c>
      <c r="B3456" s="7" t="s">
        <v>3546</v>
      </c>
      <c r="C3456" s="7" t="s">
        <v>3280</v>
      </c>
      <c r="D3456" s="7" t="s">
        <v>95</v>
      </c>
      <c r="E3456" s="5" t="s">
        <v>43</v>
      </c>
      <c r="F3456" s="8"/>
      <c r="G3456" s="9">
        <f>H3456*(1-30%)*(1-F3456)</f>
        <v>37.092999999999996</v>
      </c>
      <c r="H3456" s="9">
        <v>52.990000000000002</v>
      </c>
      <c r="I3456" s="9">
        <f>H3456-G3456</f>
        <v>15.897000000000006</v>
      </c>
    </row>
    <row r="3457" ht="14.25">
      <c r="A3457" s="5">
        <v>49708</v>
      </c>
      <c r="B3457" s="7" t="s">
        <v>3547</v>
      </c>
      <c r="C3457" s="7" t="s">
        <v>3280</v>
      </c>
      <c r="D3457" s="7" t="s">
        <v>95</v>
      </c>
      <c r="E3457" s="5" t="s">
        <v>43</v>
      </c>
      <c r="F3457" s="8"/>
      <c r="G3457" s="9">
        <f>H3457*(1-30%)*(1-F3457)</f>
        <v>45.492999999999995</v>
      </c>
      <c r="H3457" s="9">
        <v>64.989999999999995</v>
      </c>
      <c r="I3457" s="9">
        <f>H3457-G3457</f>
        <v>19.497</v>
      </c>
    </row>
    <row r="3458" ht="14.25">
      <c r="A3458" s="5">
        <v>49710</v>
      </c>
      <c r="B3458" s="7" t="s">
        <v>3548</v>
      </c>
      <c r="C3458" s="7" t="s">
        <v>3280</v>
      </c>
      <c r="D3458" s="7" t="s">
        <v>95</v>
      </c>
      <c r="E3458" s="5" t="s">
        <v>43</v>
      </c>
      <c r="F3458" s="8"/>
      <c r="G3458" s="9">
        <f>H3458*(1-30%)*(1-F3458)</f>
        <v>37.092999999999996</v>
      </c>
      <c r="H3458" s="9">
        <v>52.990000000000002</v>
      </c>
      <c r="I3458" s="9">
        <f>H3458-G3458</f>
        <v>15.897000000000006</v>
      </c>
    </row>
    <row r="3459" ht="14.25">
      <c r="A3459" s="5">
        <v>49711</v>
      </c>
      <c r="B3459" s="7" t="s">
        <v>3549</v>
      </c>
      <c r="C3459" s="7" t="s">
        <v>3280</v>
      </c>
      <c r="D3459" s="7" t="s">
        <v>95</v>
      </c>
      <c r="E3459" s="5" t="s">
        <v>43</v>
      </c>
      <c r="F3459" s="8"/>
      <c r="G3459" s="9">
        <f>H3459*(1-30%)*(1-F3459)</f>
        <v>34.993000000000002</v>
      </c>
      <c r="H3459" s="9">
        <v>49.990000000000002</v>
      </c>
      <c r="I3459" s="9">
        <f>H3459-G3459</f>
        <v>14.997</v>
      </c>
    </row>
    <row r="3460" ht="14.25">
      <c r="A3460" s="5">
        <v>49712</v>
      </c>
      <c r="B3460" s="7" t="s">
        <v>3550</v>
      </c>
      <c r="C3460" s="7" t="s">
        <v>3280</v>
      </c>
      <c r="D3460" s="7" t="s">
        <v>95</v>
      </c>
      <c r="E3460" s="5" t="s">
        <v>3513</v>
      </c>
      <c r="F3460" s="8"/>
      <c r="G3460" s="9">
        <f>H3460*(1-30%)*(1-F3460)</f>
        <v>48.992999999999995</v>
      </c>
      <c r="H3460" s="9">
        <v>69.989999999999995</v>
      </c>
      <c r="I3460" s="9">
        <f>H3460-G3460</f>
        <v>20.997</v>
      </c>
    </row>
    <row r="3461" ht="14.25">
      <c r="A3461" s="5">
        <v>49713</v>
      </c>
      <c r="B3461" s="7" t="s">
        <v>3551</v>
      </c>
      <c r="C3461" s="7" t="s">
        <v>3280</v>
      </c>
      <c r="D3461" s="7" t="s">
        <v>95</v>
      </c>
      <c r="E3461" s="5" t="s">
        <v>43</v>
      </c>
      <c r="F3461" s="8"/>
      <c r="G3461" s="9">
        <f>H3461*(1-30%)*(1-F3461)</f>
        <v>48.992999999999995</v>
      </c>
      <c r="H3461" s="9">
        <v>69.989999999999995</v>
      </c>
      <c r="I3461" s="9">
        <f>H3461-G3461</f>
        <v>20.997</v>
      </c>
    </row>
    <row r="3462" ht="14.25">
      <c r="A3462" s="5">
        <v>49714</v>
      </c>
      <c r="B3462" s="7" t="s">
        <v>3552</v>
      </c>
      <c r="C3462" s="7" t="s">
        <v>3280</v>
      </c>
      <c r="D3462" s="7" t="s">
        <v>95</v>
      </c>
      <c r="E3462" s="5" t="s">
        <v>43</v>
      </c>
      <c r="F3462" s="8"/>
      <c r="G3462" s="9">
        <f>H3462*(1-30%)*(1-F3462)</f>
        <v>48.992999999999995</v>
      </c>
      <c r="H3462" s="9">
        <v>69.989999999999995</v>
      </c>
      <c r="I3462" s="9">
        <f>H3462-G3462</f>
        <v>20.997</v>
      </c>
    </row>
    <row r="3463" ht="14.25">
      <c r="A3463" s="5">
        <v>49715</v>
      </c>
      <c r="B3463" s="7" t="s">
        <v>3553</v>
      </c>
      <c r="C3463" s="7" t="s">
        <v>3280</v>
      </c>
      <c r="D3463" s="7" t="s">
        <v>95</v>
      </c>
      <c r="E3463" s="5" t="s">
        <v>43</v>
      </c>
      <c r="F3463" s="8"/>
      <c r="G3463" s="9">
        <f>H3463*(1-30%)*(1-F3463)</f>
        <v>47.592999999999996</v>
      </c>
      <c r="H3463" s="9">
        <v>67.989999999999995</v>
      </c>
      <c r="I3463" s="9">
        <f>H3463-G3463</f>
        <v>20.396999999999998</v>
      </c>
    </row>
    <row r="3464" ht="14.25">
      <c r="A3464" s="5">
        <v>49716</v>
      </c>
      <c r="B3464" s="7" t="s">
        <v>3554</v>
      </c>
      <c r="C3464" s="7" t="s">
        <v>3280</v>
      </c>
      <c r="D3464" s="7" t="s">
        <v>95</v>
      </c>
      <c r="E3464" s="5" t="s">
        <v>43</v>
      </c>
      <c r="F3464" s="8"/>
      <c r="G3464" s="9">
        <f>H3464*(1-30%)*(1-F3464)</f>
        <v>47.592999999999996</v>
      </c>
      <c r="H3464" s="9">
        <v>67.989999999999995</v>
      </c>
      <c r="I3464" s="9">
        <f>H3464-G3464</f>
        <v>20.396999999999998</v>
      </c>
    </row>
    <row r="3465" ht="14.25">
      <c r="A3465" s="5">
        <v>49717</v>
      </c>
      <c r="B3465" s="7" t="s">
        <v>3555</v>
      </c>
      <c r="C3465" s="7" t="s">
        <v>3280</v>
      </c>
      <c r="D3465" s="7" t="s">
        <v>95</v>
      </c>
      <c r="E3465" s="5" t="s">
        <v>43</v>
      </c>
      <c r="F3465" s="8"/>
      <c r="G3465" s="9">
        <f>H3465*(1-30%)*(1-F3465)</f>
        <v>48.992999999999995</v>
      </c>
      <c r="H3465" s="9">
        <v>69.989999999999995</v>
      </c>
      <c r="I3465" s="9">
        <f>H3465-G3465</f>
        <v>20.997</v>
      </c>
    </row>
    <row r="3466" ht="14.25">
      <c r="A3466" s="5">
        <v>49718</v>
      </c>
      <c r="B3466" s="7" t="s">
        <v>3556</v>
      </c>
      <c r="C3466" s="7" t="s">
        <v>3280</v>
      </c>
      <c r="D3466" s="7" t="s">
        <v>95</v>
      </c>
      <c r="E3466" s="5" t="s">
        <v>3268</v>
      </c>
      <c r="F3466" s="8"/>
      <c r="G3466" s="9">
        <f>H3466*(1-30%)*(1-F3466)</f>
        <v>34.993000000000002</v>
      </c>
      <c r="H3466" s="9">
        <v>49.990000000000002</v>
      </c>
      <c r="I3466" s="9">
        <f>H3466-G3466</f>
        <v>14.997</v>
      </c>
    </row>
    <row r="3467" ht="14.25">
      <c r="A3467" s="5">
        <v>49719</v>
      </c>
      <c r="B3467" s="7" t="s">
        <v>3557</v>
      </c>
      <c r="C3467" s="7" t="s">
        <v>3280</v>
      </c>
      <c r="D3467" s="7" t="s">
        <v>95</v>
      </c>
      <c r="E3467" s="5" t="s">
        <v>43</v>
      </c>
      <c r="F3467" s="8"/>
      <c r="G3467" s="9">
        <f>H3467*(1-30%)*(1-F3467)</f>
        <v>48.992999999999995</v>
      </c>
      <c r="H3467" s="9">
        <v>69.989999999999995</v>
      </c>
      <c r="I3467" s="9">
        <f>H3467-G3467</f>
        <v>20.997</v>
      </c>
    </row>
    <row r="3468" ht="14.25">
      <c r="A3468" s="5">
        <v>49720</v>
      </c>
      <c r="B3468" s="7" t="s">
        <v>3558</v>
      </c>
      <c r="C3468" s="7" t="s">
        <v>3280</v>
      </c>
      <c r="D3468" s="7" t="s">
        <v>95</v>
      </c>
      <c r="E3468" s="5" t="s">
        <v>43</v>
      </c>
      <c r="F3468" s="8"/>
      <c r="G3468" s="9">
        <f>H3468*(1-30%)*(1-F3468)</f>
        <v>48.992999999999995</v>
      </c>
      <c r="H3468" s="9">
        <v>69.989999999999995</v>
      </c>
      <c r="I3468" s="9">
        <f>H3468-G3468</f>
        <v>20.997</v>
      </c>
    </row>
    <row r="3469" ht="14.25">
      <c r="A3469" s="5">
        <v>49721</v>
      </c>
      <c r="B3469" s="7" t="s">
        <v>3559</v>
      </c>
      <c r="C3469" s="7" t="s">
        <v>3280</v>
      </c>
      <c r="D3469" s="7" t="s">
        <v>95</v>
      </c>
      <c r="E3469" s="5" t="s">
        <v>43</v>
      </c>
      <c r="F3469" s="8"/>
      <c r="G3469" s="9">
        <f>H3469*(1-30%)*(1-F3469)</f>
        <v>47.592999999999996</v>
      </c>
      <c r="H3469" s="9">
        <v>67.989999999999995</v>
      </c>
      <c r="I3469" s="9">
        <f>H3469-G3469</f>
        <v>20.396999999999998</v>
      </c>
    </row>
    <row r="3470" ht="14.25">
      <c r="A3470" s="5">
        <v>49724</v>
      </c>
      <c r="B3470" s="7" t="s">
        <v>3560</v>
      </c>
      <c r="C3470" s="7" t="s">
        <v>3280</v>
      </c>
      <c r="D3470" s="7" t="s">
        <v>95</v>
      </c>
      <c r="E3470" s="5" t="s">
        <v>43</v>
      </c>
      <c r="F3470" s="8"/>
      <c r="G3470" s="9">
        <f>H3470*(1-30%)*(1-F3470)</f>
        <v>55.992999999999995</v>
      </c>
      <c r="H3470" s="9">
        <v>79.989999999999995</v>
      </c>
      <c r="I3470" s="9">
        <f>H3470-G3470</f>
        <v>23.997</v>
      </c>
    </row>
    <row r="3471" ht="14.25">
      <c r="A3471" s="5">
        <v>49726</v>
      </c>
      <c r="B3471" s="7" t="s">
        <v>3561</v>
      </c>
      <c r="C3471" s="7" t="s">
        <v>3280</v>
      </c>
      <c r="D3471" s="7" t="s">
        <v>95</v>
      </c>
      <c r="E3471" s="5" t="s">
        <v>3513</v>
      </c>
      <c r="F3471" s="8"/>
      <c r="G3471" s="9">
        <f>H3471*(1-30%)*(1-F3471)</f>
        <v>33.592999999999996</v>
      </c>
      <c r="H3471" s="9">
        <v>47.990000000000002</v>
      </c>
      <c r="I3471" s="9">
        <f>H3471-G3471</f>
        <v>14.397000000000006</v>
      </c>
    </row>
    <row r="3472" ht="14.25">
      <c r="A3472" s="5">
        <v>49727</v>
      </c>
      <c r="B3472" s="7" t="s">
        <v>3562</v>
      </c>
      <c r="C3472" s="7" t="s">
        <v>3280</v>
      </c>
      <c r="D3472" s="7" t="s">
        <v>95</v>
      </c>
      <c r="E3472" s="5" t="s">
        <v>43</v>
      </c>
      <c r="F3472" s="8"/>
      <c r="G3472" s="9">
        <f>H3472*(1-30%)*(1-F3472)</f>
        <v>47.592999999999996</v>
      </c>
      <c r="H3472" s="9">
        <v>67.989999999999995</v>
      </c>
      <c r="I3472" s="9">
        <f>H3472-G3472</f>
        <v>20.396999999999998</v>
      </c>
    </row>
    <row r="3473" ht="14.25">
      <c r="A3473" s="5">
        <v>49728</v>
      </c>
      <c r="B3473" s="7" t="s">
        <v>3563</v>
      </c>
      <c r="C3473" s="7" t="s">
        <v>3280</v>
      </c>
      <c r="D3473" s="7" t="s">
        <v>95</v>
      </c>
      <c r="E3473" s="5" t="s">
        <v>43</v>
      </c>
      <c r="F3473" s="8"/>
      <c r="G3473" s="9">
        <f>H3473*(1-30%)*(1-F3473)</f>
        <v>33.592999999999996</v>
      </c>
      <c r="H3473" s="9">
        <v>47.990000000000002</v>
      </c>
      <c r="I3473" s="9">
        <f>H3473-G3473</f>
        <v>14.397000000000006</v>
      </c>
    </row>
    <row r="3474" ht="14.25">
      <c r="A3474" s="5">
        <v>49729</v>
      </c>
      <c r="B3474" s="7" t="s">
        <v>3564</v>
      </c>
      <c r="C3474" s="7" t="s">
        <v>3280</v>
      </c>
      <c r="D3474" s="7" t="s">
        <v>95</v>
      </c>
      <c r="E3474" s="5" t="s">
        <v>43</v>
      </c>
      <c r="F3474" s="8"/>
      <c r="G3474" s="9">
        <f>H3474*(1-30%)*(1-F3474)</f>
        <v>33.592999999999996</v>
      </c>
      <c r="H3474" s="9">
        <v>47.990000000000002</v>
      </c>
      <c r="I3474" s="9">
        <f>H3474-G3474</f>
        <v>14.397000000000006</v>
      </c>
    </row>
    <row r="3475" ht="14.25">
      <c r="A3475" s="5">
        <v>49730</v>
      </c>
      <c r="B3475" s="7" t="s">
        <v>3565</v>
      </c>
      <c r="C3475" s="7" t="s">
        <v>3280</v>
      </c>
      <c r="D3475" s="7" t="s">
        <v>95</v>
      </c>
      <c r="E3475" s="5" t="s">
        <v>43</v>
      </c>
      <c r="F3475" s="8"/>
      <c r="G3475" s="9">
        <f>H3475*(1-30%)*(1-F3475)</f>
        <v>31.492999999999999</v>
      </c>
      <c r="H3475" s="9">
        <v>44.990000000000002</v>
      </c>
      <c r="I3475" s="9">
        <f>H3475-G3475</f>
        <v>13.497000000000003</v>
      </c>
    </row>
    <row r="3476" ht="14.25">
      <c r="A3476" s="5">
        <v>49731</v>
      </c>
      <c r="B3476" s="7" t="s">
        <v>3566</v>
      </c>
      <c r="C3476" s="7" t="s">
        <v>3280</v>
      </c>
      <c r="D3476" s="7" t="s">
        <v>95</v>
      </c>
      <c r="E3476" s="5" t="s">
        <v>43</v>
      </c>
      <c r="F3476" s="8"/>
      <c r="G3476" s="9">
        <f>H3476*(1-30%)*(1-F3476)</f>
        <v>31.492999999999999</v>
      </c>
      <c r="H3476" s="9">
        <v>44.990000000000002</v>
      </c>
      <c r="I3476" s="9">
        <f>H3476-G3476</f>
        <v>13.497000000000003</v>
      </c>
    </row>
    <row r="3477" ht="14.25">
      <c r="A3477" s="5">
        <v>49734</v>
      </c>
      <c r="B3477" s="7" t="s">
        <v>3567</v>
      </c>
      <c r="C3477" s="7" t="s">
        <v>3280</v>
      </c>
      <c r="D3477" s="7" t="s">
        <v>95</v>
      </c>
      <c r="E3477" s="5" t="s">
        <v>43</v>
      </c>
      <c r="F3477" s="8"/>
      <c r="G3477" s="9">
        <f>H3477*(1-30%)*(1-F3477)</f>
        <v>33.592999999999996</v>
      </c>
      <c r="H3477" s="9">
        <v>47.990000000000002</v>
      </c>
      <c r="I3477" s="9">
        <f>H3477-G3477</f>
        <v>14.397000000000006</v>
      </c>
    </row>
    <row r="3478" ht="14.25">
      <c r="A3478" s="5">
        <v>49735</v>
      </c>
      <c r="B3478" s="7" t="s">
        <v>3568</v>
      </c>
      <c r="C3478" s="7" t="s">
        <v>3280</v>
      </c>
      <c r="D3478" s="7" t="s">
        <v>95</v>
      </c>
      <c r="E3478" s="5" t="s">
        <v>3268</v>
      </c>
      <c r="F3478" s="8"/>
      <c r="G3478" s="9">
        <f>H3478*(1-30%)*(1-F3478)</f>
        <v>31.492999999999999</v>
      </c>
      <c r="H3478" s="9">
        <v>44.990000000000002</v>
      </c>
      <c r="I3478" s="9">
        <f>H3478-G3478</f>
        <v>13.497000000000003</v>
      </c>
    </row>
    <row r="3479" ht="14.25">
      <c r="A3479" s="5">
        <v>49736</v>
      </c>
      <c r="B3479" s="7" t="s">
        <v>3569</v>
      </c>
      <c r="C3479" s="7" t="s">
        <v>3280</v>
      </c>
      <c r="D3479" s="7" t="s">
        <v>95</v>
      </c>
      <c r="E3479" s="5" t="s">
        <v>43</v>
      </c>
      <c r="F3479" s="8"/>
      <c r="G3479" s="9">
        <f>H3479*(1-30%)*(1-F3479)</f>
        <v>33.592999999999996</v>
      </c>
      <c r="H3479" s="9">
        <v>47.990000000000002</v>
      </c>
      <c r="I3479" s="9">
        <f>H3479-G3479</f>
        <v>14.397000000000006</v>
      </c>
    </row>
    <row r="3480" ht="14.25">
      <c r="A3480" s="5">
        <v>49737</v>
      </c>
      <c r="B3480" s="7" t="s">
        <v>3570</v>
      </c>
      <c r="C3480" s="7" t="s">
        <v>3280</v>
      </c>
      <c r="D3480" s="7" t="s">
        <v>95</v>
      </c>
      <c r="E3480" s="5" t="s">
        <v>43</v>
      </c>
      <c r="F3480" s="8"/>
      <c r="G3480" s="9">
        <f>H3480*(1-30%)*(1-F3480)</f>
        <v>31.492999999999999</v>
      </c>
      <c r="H3480" s="9">
        <v>44.990000000000002</v>
      </c>
      <c r="I3480" s="9">
        <f>H3480-G3480</f>
        <v>13.497000000000003</v>
      </c>
    </row>
    <row r="3481" ht="14.25">
      <c r="A3481" s="5">
        <v>49738</v>
      </c>
      <c r="B3481" s="7" t="s">
        <v>3571</v>
      </c>
      <c r="C3481" s="7" t="s">
        <v>3280</v>
      </c>
      <c r="D3481" s="7" t="s">
        <v>95</v>
      </c>
      <c r="E3481" s="5" t="s">
        <v>43</v>
      </c>
      <c r="F3481" s="8"/>
      <c r="G3481" s="9">
        <f>H3481*(1-30%)*(1-F3481)</f>
        <v>31.492999999999999</v>
      </c>
      <c r="H3481" s="9">
        <v>44.990000000000002</v>
      </c>
      <c r="I3481" s="9">
        <f>H3481-G3481</f>
        <v>13.497000000000003</v>
      </c>
    </row>
    <row r="3482" ht="14.25">
      <c r="A3482" s="5">
        <v>49739</v>
      </c>
      <c r="B3482" s="7" t="s">
        <v>3572</v>
      </c>
      <c r="C3482" s="7" t="s">
        <v>3280</v>
      </c>
      <c r="D3482" s="7" t="s">
        <v>95</v>
      </c>
      <c r="E3482" s="5" t="s">
        <v>43</v>
      </c>
      <c r="F3482" s="8"/>
      <c r="G3482" s="9">
        <f>H3482*(1-30%)*(1-F3482)</f>
        <v>51.092999999999996</v>
      </c>
      <c r="H3482" s="9">
        <v>72.989999999999995</v>
      </c>
      <c r="I3482" s="9">
        <f>H3482-G3482</f>
        <v>21.896999999999998</v>
      </c>
    </row>
    <row r="3483" ht="14.25">
      <c r="A3483" s="5">
        <v>49800</v>
      </c>
      <c r="B3483" s="7" t="s">
        <v>3573</v>
      </c>
      <c r="C3483" s="7" t="s">
        <v>3506</v>
      </c>
      <c r="D3483" s="7" t="s">
        <v>11</v>
      </c>
      <c r="E3483" s="5" t="s">
        <v>43</v>
      </c>
      <c r="F3483" s="8"/>
      <c r="G3483" s="9">
        <f>H3483*(1-30%)*(1-F3483)</f>
        <v>83.929999999999993</v>
      </c>
      <c r="H3483" s="9">
        <v>119.90000000000001</v>
      </c>
      <c r="I3483" s="9">
        <f>H3483-G3483</f>
        <v>35.970000000000013</v>
      </c>
    </row>
    <row r="3484" ht="14.25">
      <c r="A3484" s="5">
        <v>49803</v>
      </c>
      <c r="B3484" s="7" t="s">
        <v>3574</v>
      </c>
      <c r="C3484" s="7" t="s">
        <v>3506</v>
      </c>
      <c r="D3484" s="7" t="s">
        <v>11</v>
      </c>
      <c r="E3484" s="5" t="s">
        <v>43</v>
      </c>
      <c r="F3484" s="8"/>
      <c r="G3484" s="9">
        <f>H3484*(1-30%)*(1-F3484)</f>
        <v>83.929999999999993</v>
      </c>
      <c r="H3484" s="9">
        <v>119.90000000000001</v>
      </c>
      <c r="I3484" s="9">
        <f>H3484-G3484</f>
        <v>35.970000000000013</v>
      </c>
    </row>
    <row r="3485" ht="14.25">
      <c r="A3485" s="5">
        <v>49840</v>
      </c>
      <c r="B3485" s="7" t="s">
        <v>3575</v>
      </c>
      <c r="C3485" s="7" t="s">
        <v>3290</v>
      </c>
      <c r="D3485" s="7" t="s">
        <v>183</v>
      </c>
      <c r="E3485" s="5" t="s">
        <v>43</v>
      </c>
      <c r="F3485" s="8"/>
      <c r="G3485" s="9">
        <f>H3485*(1-30%)*(1-F3485)</f>
        <v>4.5499999999999998</v>
      </c>
      <c r="H3485" s="9">
        <v>6.5</v>
      </c>
      <c r="I3485" s="9">
        <f>H3485-G3485</f>
        <v>1.9500000000000002</v>
      </c>
    </row>
    <row r="3486" ht="14.25">
      <c r="A3486" s="5">
        <v>49928</v>
      </c>
      <c r="B3486" s="7" t="s">
        <v>3576</v>
      </c>
      <c r="C3486" s="7" t="s">
        <v>3477</v>
      </c>
      <c r="D3486" s="7" t="s">
        <v>183</v>
      </c>
      <c r="E3486" s="5" t="s">
        <v>43</v>
      </c>
      <c r="F3486" s="8"/>
      <c r="G3486" s="9">
        <f>H3486*(1-30%)*(1-F3486)</f>
        <v>104.99299999999999</v>
      </c>
      <c r="H3486" s="9">
        <v>149.99000000000001</v>
      </c>
      <c r="I3486" s="9">
        <f>H3486-G3486</f>
        <v>44.997000000000014</v>
      </c>
    </row>
    <row r="3487" ht="14.25">
      <c r="A3487" s="5">
        <v>49929</v>
      </c>
      <c r="B3487" s="7" t="s">
        <v>3577</v>
      </c>
      <c r="C3487" s="7" t="s">
        <v>3265</v>
      </c>
      <c r="D3487" s="7" t="s">
        <v>183</v>
      </c>
      <c r="E3487" s="5" t="s">
        <v>43</v>
      </c>
      <c r="F3487" s="8"/>
      <c r="G3487" s="9">
        <f>H3487*(1-30%)*(1-F3487)</f>
        <v>51.092999999999996</v>
      </c>
      <c r="H3487" s="9">
        <v>72.989999999999995</v>
      </c>
      <c r="I3487" s="9">
        <f>H3487-G3487</f>
        <v>21.896999999999998</v>
      </c>
    </row>
    <row r="3488" ht="14.25">
      <c r="A3488" s="5">
        <v>49931</v>
      </c>
      <c r="B3488" s="7" t="s">
        <v>3578</v>
      </c>
      <c r="C3488" s="7" t="s">
        <v>3477</v>
      </c>
      <c r="D3488" s="7" t="s">
        <v>183</v>
      </c>
      <c r="E3488" s="5" t="s">
        <v>15</v>
      </c>
      <c r="F3488" s="8"/>
      <c r="G3488" s="9">
        <f>H3488*(1-30%)*(1-F3488)</f>
        <v>51.092999999999996</v>
      </c>
      <c r="H3488" s="9">
        <v>72.989999999999995</v>
      </c>
      <c r="I3488" s="9">
        <f>H3488-G3488</f>
        <v>21.896999999999998</v>
      </c>
    </row>
    <row r="3489" ht="14.25">
      <c r="A3489" s="5">
        <v>49998</v>
      </c>
      <c r="B3489" s="7" t="s">
        <v>3579</v>
      </c>
      <c r="C3489" s="7" t="s">
        <v>3329</v>
      </c>
      <c r="D3489" s="7" t="s">
        <v>71</v>
      </c>
      <c r="E3489" s="5" t="s">
        <v>43</v>
      </c>
      <c r="F3489" s="8"/>
      <c r="G3489" s="9">
        <f>H3489*(1-30%)*(1-F3489)</f>
        <v>31.492999999999999</v>
      </c>
      <c r="H3489" s="9">
        <v>44.990000000000002</v>
      </c>
      <c r="I3489" s="9">
        <f>H3489-G3489</f>
        <v>13.497000000000003</v>
      </c>
    </row>
    <row r="3490" ht="14.25">
      <c r="A3490" s="5">
        <v>50000</v>
      </c>
      <c r="B3490" s="7" t="s">
        <v>3580</v>
      </c>
      <c r="C3490" s="7" t="s">
        <v>3581</v>
      </c>
      <c r="D3490" s="7" t="s">
        <v>71</v>
      </c>
      <c r="E3490" s="5" t="s">
        <v>43</v>
      </c>
      <c r="F3490" s="8"/>
      <c r="G3490" s="9">
        <f>H3490*(1-30%)*(1-F3490)</f>
        <v>31.492999999999999</v>
      </c>
      <c r="H3490" s="9">
        <v>44.990000000000002</v>
      </c>
      <c r="I3490" s="9">
        <f>H3490-G3490</f>
        <v>13.497000000000003</v>
      </c>
    </row>
    <row r="3491" ht="14.25">
      <c r="A3491" s="5">
        <v>50002</v>
      </c>
      <c r="B3491" s="7" t="s">
        <v>3582</v>
      </c>
      <c r="C3491" s="7" t="s">
        <v>3508</v>
      </c>
      <c r="D3491" s="7" t="s">
        <v>71</v>
      </c>
      <c r="E3491" s="5" t="s">
        <v>43</v>
      </c>
      <c r="F3491" s="8"/>
      <c r="G3491" s="9">
        <f>H3491*(1-30%)*(1-F3491)</f>
        <v>31.492999999999999</v>
      </c>
      <c r="H3491" s="9">
        <v>44.990000000000002</v>
      </c>
      <c r="I3491" s="9">
        <f>H3491-G3491</f>
        <v>13.497000000000003</v>
      </c>
    </row>
    <row r="3492" ht="14.25">
      <c r="A3492" s="5">
        <v>50004</v>
      </c>
      <c r="B3492" s="7" t="s">
        <v>3583</v>
      </c>
      <c r="C3492" s="7" t="s">
        <v>3290</v>
      </c>
      <c r="D3492" s="7" t="s">
        <v>71</v>
      </c>
      <c r="E3492" s="5" t="s">
        <v>43</v>
      </c>
      <c r="F3492" s="8"/>
      <c r="G3492" s="9">
        <f>H3492*(1-30%)*(1-F3492)</f>
        <v>31.492999999999999</v>
      </c>
      <c r="H3492" s="9">
        <v>44.990000000000002</v>
      </c>
      <c r="I3492" s="9">
        <f>H3492-G3492</f>
        <v>13.497000000000003</v>
      </c>
    </row>
    <row r="3493" ht="14.25">
      <c r="A3493" s="5">
        <v>50006</v>
      </c>
      <c r="B3493" s="7" t="s">
        <v>3584</v>
      </c>
      <c r="C3493" s="7" t="s">
        <v>3585</v>
      </c>
      <c r="D3493" s="7" t="s">
        <v>71</v>
      </c>
      <c r="E3493" s="5" t="s">
        <v>43</v>
      </c>
      <c r="F3493" s="8"/>
      <c r="G3493" s="9">
        <f>H3493*(1-30%)*(1-F3493)</f>
        <v>31.492999999999999</v>
      </c>
      <c r="H3493" s="9">
        <v>44.990000000000002</v>
      </c>
      <c r="I3493" s="9">
        <f>H3493-G3493</f>
        <v>13.497000000000003</v>
      </c>
    </row>
    <row r="3494" ht="14.25">
      <c r="A3494" s="5">
        <v>50010</v>
      </c>
      <c r="B3494" s="7" t="s">
        <v>3586</v>
      </c>
      <c r="C3494" s="7" t="s">
        <v>3492</v>
      </c>
      <c r="D3494" s="7" t="s">
        <v>71</v>
      </c>
      <c r="E3494" s="5" t="s">
        <v>43</v>
      </c>
      <c r="F3494" s="8"/>
      <c r="G3494" s="9">
        <f>H3494*(1-30%)*(1-F3494)</f>
        <v>31.492999999999999</v>
      </c>
      <c r="H3494" s="9">
        <v>44.990000000000002</v>
      </c>
      <c r="I3494" s="9">
        <f>H3494-G3494</f>
        <v>13.497000000000003</v>
      </c>
    </row>
    <row r="3495" ht="14.25">
      <c r="A3495" s="5">
        <v>50012</v>
      </c>
      <c r="B3495" s="7" t="s">
        <v>3587</v>
      </c>
      <c r="C3495" s="7" t="s">
        <v>3294</v>
      </c>
      <c r="D3495" s="7" t="s">
        <v>71</v>
      </c>
      <c r="E3495" s="5" t="s">
        <v>43</v>
      </c>
      <c r="F3495" s="8"/>
      <c r="G3495" s="9">
        <f>H3495*(1-30%)*(1-F3495)</f>
        <v>31.492999999999999</v>
      </c>
      <c r="H3495" s="9">
        <v>44.990000000000002</v>
      </c>
      <c r="I3495" s="9">
        <f>H3495-G3495</f>
        <v>13.497000000000003</v>
      </c>
    </row>
    <row r="3496" ht="14.25">
      <c r="A3496" s="5">
        <v>50014</v>
      </c>
      <c r="B3496" s="7" t="s">
        <v>3588</v>
      </c>
      <c r="C3496" s="7" t="s">
        <v>3331</v>
      </c>
      <c r="D3496" s="7" t="s">
        <v>71</v>
      </c>
      <c r="E3496" s="5" t="s">
        <v>43</v>
      </c>
      <c r="F3496" s="8"/>
      <c r="G3496" s="9">
        <f>H3496*(1-30%)*(1-F3496)</f>
        <v>31.492999999999999</v>
      </c>
      <c r="H3496" s="9">
        <v>44.990000000000002</v>
      </c>
      <c r="I3496" s="9">
        <f>H3496-G3496</f>
        <v>13.497000000000003</v>
      </c>
    </row>
    <row r="3497" ht="14.25">
      <c r="A3497" s="5">
        <v>50087</v>
      </c>
      <c r="B3497" s="7" t="s">
        <v>3589</v>
      </c>
      <c r="C3497" s="7" t="s">
        <v>3331</v>
      </c>
      <c r="D3497" s="7" t="s">
        <v>183</v>
      </c>
      <c r="E3497" s="5" t="s">
        <v>15</v>
      </c>
      <c r="F3497" s="8"/>
      <c r="G3497" s="9">
        <f>H3497*(1-30%)*(1-F3497)</f>
        <v>34.993000000000002</v>
      </c>
      <c r="H3497" s="9">
        <v>49.990000000000002</v>
      </c>
      <c r="I3497" s="9">
        <f>H3497-G3497</f>
        <v>14.997</v>
      </c>
    </row>
    <row r="3498" ht="14.25">
      <c r="A3498" s="5">
        <v>50094</v>
      </c>
      <c r="B3498" s="7" t="s">
        <v>3590</v>
      </c>
      <c r="C3498" s="7" t="s">
        <v>3276</v>
      </c>
      <c r="D3498" s="7" t="s">
        <v>95</v>
      </c>
      <c r="E3498" s="5" t="s">
        <v>26</v>
      </c>
      <c r="F3498" s="8"/>
      <c r="G3498" s="9">
        <f>H3498*(1-30%)*(1-F3498)</f>
        <v>20.992999999999999</v>
      </c>
      <c r="H3498" s="9">
        <v>29.989999999999998</v>
      </c>
      <c r="I3498" s="9">
        <f>H3498-G3498</f>
        <v>8.9969999999999999</v>
      </c>
    </row>
    <row r="3499" ht="14.25">
      <c r="A3499" s="5">
        <v>50095</v>
      </c>
      <c r="B3499" s="7" t="s">
        <v>3591</v>
      </c>
      <c r="C3499" s="7" t="s">
        <v>3276</v>
      </c>
      <c r="D3499" s="7" t="s">
        <v>95</v>
      </c>
      <c r="E3499" s="5" t="s">
        <v>26</v>
      </c>
      <c r="F3499" s="8"/>
      <c r="G3499" s="9">
        <f>H3499*(1-30%)*(1-F3499)</f>
        <v>37.092999999999996</v>
      </c>
      <c r="H3499" s="9">
        <v>52.990000000000002</v>
      </c>
      <c r="I3499" s="9">
        <f>H3499-G3499</f>
        <v>15.897000000000006</v>
      </c>
    </row>
    <row r="3500" ht="14.25">
      <c r="A3500" s="5">
        <v>50096</v>
      </c>
      <c r="B3500" s="7" t="s">
        <v>3592</v>
      </c>
      <c r="C3500" s="7" t="s">
        <v>3276</v>
      </c>
      <c r="D3500" s="7" t="s">
        <v>95</v>
      </c>
      <c r="E3500" s="5" t="s">
        <v>3268</v>
      </c>
      <c r="F3500" s="8"/>
      <c r="G3500" s="9">
        <f>H3500*(1-30%)*(1-F3500)</f>
        <v>27.992999999999999</v>
      </c>
      <c r="H3500" s="9">
        <v>39.990000000000002</v>
      </c>
      <c r="I3500" s="9">
        <f>H3500-G3500</f>
        <v>11.997000000000003</v>
      </c>
    </row>
    <row r="3501" ht="14.25">
      <c r="A3501" s="5">
        <v>50097</v>
      </c>
      <c r="B3501" s="7" t="s">
        <v>3593</v>
      </c>
      <c r="C3501" s="7" t="s">
        <v>3276</v>
      </c>
      <c r="D3501" s="7" t="s">
        <v>95</v>
      </c>
      <c r="E3501" s="5" t="s">
        <v>3268</v>
      </c>
      <c r="F3501" s="8"/>
      <c r="G3501" s="9">
        <f>H3501*(1-30%)*(1-F3501)</f>
        <v>15.392999999999997</v>
      </c>
      <c r="H3501" s="9">
        <v>21.989999999999998</v>
      </c>
      <c r="I3501" s="9">
        <f>H3501-G3501</f>
        <v>6.5970000000000013</v>
      </c>
    </row>
    <row r="3502" ht="14.25">
      <c r="A3502" s="5">
        <v>50098</v>
      </c>
      <c r="B3502" s="7" t="s">
        <v>3594</v>
      </c>
      <c r="C3502" s="7" t="s">
        <v>3276</v>
      </c>
      <c r="D3502" s="7" t="s">
        <v>95</v>
      </c>
      <c r="E3502" s="5" t="s">
        <v>26</v>
      </c>
      <c r="F3502" s="8"/>
      <c r="G3502" s="9">
        <f>H3502*(1-30%)*(1-F3502)</f>
        <v>15.392999999999997</v>
      </c>
      <c r="H3502" s="9">
        <v>21.989999999999998</v>
      </c>
      <c r="I3502" s="9">
        <f>H3502-G3502</f>
        <v>6.5970000000000013</v>
      </c>
    </row>
    <row r="3503" ht="14.25">
      <c r="A3503" s="5">
        <v>50099</v>
      </c>
      <c r="B3503" s="7" t="s">
        <v>3595</v>
      </c>
      <c r="C3503" s="7" t="s">
        <v>3276</v>
      </c>
      <c r="D3503" s="7" t="s">
        <v>95</v>
      </c>
      <c r="E3503" s="5" t="s">
        <v>3268</v>
      </c>
      <c r="F3503" s="8"/>
      <c r="G3503" s="9">
        <f>H3503*(1-30%)*(1-F3503)</f>
        <v>15.392999999999997</v>
      </c>
      <c r="H3503" s="9">
        <v>21.989999999999998</v>
      </c>
      <c r="I3503" s="9">
        <f>H3503-G3503</f>
        <v>6.5970000000000013</v>
      </c>
    </row>
    <row r="3504" ht="14.25">
      <c r="A3504" s="5">
        <v>50112</v>
      </c>
      <c r="B3504" s="7" t="s">
        <v>3596</v>
      </c>
      <c r="C3504" s="7" t="s">
        <v>3522</v>
      </c>
      <c r="D3504" s="7" t="s">
        <v>11</v>
      </c>
      <c r="E3504" s="5" t="s">
        <v>43</v>
      </c>
      <c r="F3504" s="8"/>
      <c r="G3504" s="9">
        <f>H3504*(1-30%)*(1-F3504)</f>
        <v>80.429999999999993</v>
      </c>
      <c r="H3504" s="9">
        <v>114.90000000000001</v>
      </c>
      <c r="I3504" s="9">
        <f>H3504-G3504</f>
        <v>34.470000000000013</v>
      </c>
    </row>
    <row r="3505" ht="14.25">
      <c r="A3505" s="5">
        <v>50152</v>
      </c>
      <c r="B3505" s="7" t="s">
        <v>3597</v>
      </c>
      <c r="C3505" s="7" t="s">
        <v>3290</v>
      </c>
      <c r="D3505" s="7" t="s">
        <v>183</v>
      </c>
      <c r="E3505" s="5" t="s">
        <v>43</v>
      </c>
      <c r="F3505" s="8"/>
      <c r="G3505" s="9">
        <f>H3505*(1-30%)*(1-F3505)</f>
        <v>4.5499999999999998</v>
      </c>
      <c r="H3505" s="9">
        <v>6.5</v>
      </c>
      <c r="I3505" s="9">
        <f>H3505-G3505</f>
        <v>1.9500000000000002</v>
      </c>
    </row>
    <row r="3506" ht="14.25">
      <c r="A3506" s="5">
        <v>50156</v>
      </c>
      <c r="B3506" s="7" t="s">
        <v>3598</v>
      </c>
      <c r="C3506" s="7" t="s">
        <v>3290</v>
      </c>
      <c r="D3506" s="7" t="s">
        <v>183</v>
      </c>
      <c r="E3506" s="5" t="s">
        <v>43</v>
      </c>
      <c r="F3506" s="8"/>
      <c r="G3506" s="9">
        <f>H3506*(1-30%)*(1-F3506)</f>
        <v>38.493000000000002</v>
      </c>
      <c r="H3506" s="9">
        <v>54.990000000000002</v>
      </c>
      <c r="I3506" s="9">
        <f>H3506-G3506</f>
        <v>16.497</v>
      </c>
    </row>
    <row r="3507" ht="14.25">
      <c r="A3507" s="5">
        <v>50199</v>
      </c>
      <c r="B3507" s="7" t="s">
        <v>3599</v>
      </c>
      <c r="C3507" s="7" t="s">
        <v>3276</v>
      </c>
      <c r="D3507" s="7" t="s">
        <v>45</v>
      </c>
      <c r="E3507" s="5" t="s">
        <v>15</v>
      </c>
      <c r="F3507" s="8"/>
      <c r="G3507" s="9">
        <f>H3507*(1-30%)*(1-F3507)</f>
        <v>41.292999999999999</v>
      </c>
      <c r="H3507" s="9">
        <v>58.990000000000002</v>
      </c>
      <c r="I3507" s="9">
        <f>H3507-G3507</f>
        <v>17.697000000000003</v>
      </c>
    </row>
    <row r="3508" ht="14.25">
      <c r="A3508" s="5">
        <v>50200</v>
      </c>
      <c r="B3508" s="7" t="s">
        <v>3600</v>
      </c>
      <c r="C3508" s="7" t="s">
        <v>3276</v>
      </c>
      <c r="D3508" s="7" t="s">
        <v>11</v>
      </c>
      <c r="E3508" s="5" t="s">
        <v>15</v>
      </c>
      <c r="F3508" s="8"/>
      <c r="G3508" s="9">
        <f>H3508*(1-30%)*(1-F3508)</f>
        <v>27.992999999999999</v>
      </c>
      <c r="H3508" s="9">
        <v>39.990000000000002</v>
      </c>
      <c r="I3508" s="9">
        <f>H3508-G3508</f>
        <v>11.997000000000003</v>
      </c>
    </row>
    <row r="3509" ht="14.25">
      <c r="A3509" s="5">
        <v>50202</v>
      </c>
      <c r="B3509" s="7" t="s">
        <v>3601</v>
      </c>
      <c r="C3509" s="7" t="s">
        <v>3276</v>
      </c>
      <c r="D3509" s="7" t="s">
        <v>45</v>
      </c>
      <c r="E3509" s="5" t="s">
        <v>15</v>
      </c>
      <c r="F3509" s="8"/>
      <c r="G3509" s="9">
        <f>H3509*(1-30%)*(1-F3509)</f>
        <v>30.093</v>
      </c>
      <c r="H3509" s="9">
        <v>42.990000000000002</v>
      </c>
      <c r="I3509" s="9">
        <f>H3509-G3509</f>
        <v>12.897000000000002</v>
      </c>
    </row>
    <row r="3510" ht="14.25">
      <c r="A3510" s="5">
        <v>50267</v>
      </c>
      <c r="B3510" s="7" t="s">
        <v>3602</v>
      </c>
      <c r="C3510" s="7" t="s">
        <v>3290</v>
      </c>
      <c r="D3510" s="7" t="s">
        <v>11</v>
      </c>
      <c r="E3510" s="5" t="s">
        <v>43</v>
      </c>
      <c r="F3510" s="8"/>
      <c r="G3510" s="9">
        <f>H3510*(1-30%)*(1-F3510)</f>
        <v>76.992999999999995</v>
      </c>
      <c r="H3510" s="9">
        <v>109.98999999999999</v>
      </c>
      <c r="I3510" s="9">
        <f>H3510-G3510</f>
        <v>32.997</v>
      </c>
    </row>
    <row r="3511" ht="14.25">
      <c r="A3511" s="5">
        <v>50268</v>
      </c>
      <c r="B3511" s="7" t="s">
        <v>3603</v>
      </c>
      <c r="C3511" s="7" t="s">
        <v>3290</v>
      </c>
      <c r="D3511" s="7" t="s">
        <v>11</v>
      </c>
      <c r="E3511" s="5" t="s">
        <v>43</v>
      </c>
      <c r="F3511" s="8"/>
      <c r="G3511" s="9">
        <f>H3511*(1-30%)*(1-F3511)</f>
        <v>76.992999999999995</v>
      </c>
      <c r="H3511" s="9">
        <v>109.98999999999999</v>
      </c>
      <c r="I3511" s="9">
        <f>H3511-G3511</f>
        <v>32.997</v>
      </c>
    </row>
    <row r="3512" ht="14.25">
      <c r="A3512" s="5">
        <v>50269</v>
      </c>
      <c r="B3512" s="7" t="s">
        <v>3604</v>
      </c>
      <c r="C3512" s="7" t="s">
        <v>3290</v>
      </c>
      <c r="D3512" s="7" t="s">
        <v>11</v>
      </c>
      <c r="E3512" s="5" t="s">
        <v>43</v>
      </c>
      <c r="F3512" s="8"/>
      <c r="G3512" s="9">
        <f>H3512*(1-30%)*(1-F3512)</f>
        <v>76.992999999999995</v>
      </c>
      <c r="H3512" s="9">
        <v>109.98999999999999</v>
      </c>
      <c r="I3512" s="9">
        <f>H3512-G3512</f>
        <v>32.997</v>
      </c>
    </row>
    <row r="3513" ht="14.25">
      <c r="A3513" s="5">
        <v>50271</v>
      </c>
      <c r="B3513" s="7" t="s">
        <v>3605</v>
      </c>
      <c r="C3513" s="7" t="s">
        <v>3290</v>
      </c>
      <c r="D3513" s="7" t="s">
        <v>11</v>
      </c>
      <c r="E3513" s="5" t="s">
        <v>43</v>
      </c>
      <c r="F3513" s="8"/>
      <c r="G3513" s="9">
        <f>H3513*(1-30%)*(1-F3513)</f>
        <v>76.992999999999995</v>
      </c>
      <c r="H3513" s="9">
        <v>109.98999999999999</v>
      </c>
      <c r="I3513" s="9">
        <f>H3513-G3513</f>
        <v>32.997</v>
      </c>
    </row>
    <row r="3514" ht="14.25">
      <c r="A3514" s="5">
        <v>50272</v>
      </c>
      <c r="B3514" s="7" t="s">
        <v>3606</v>
      </c>
      <c r="C3514" s="7" t="s">
        <v>3290</v>
      </c>
      <c r="D3514" s="7" t="s">
        <v>45</v>
      </c>
      <c r="E3514" s="5" t="s">
        <v>43</v>
      </c>
      <c r="F3514" s="8"/>
      <c r="G3514" s="9">
        <f>H3514*(1-30%)*(1-F3514)</f>
        <v>24.492999999999999</v>
      </c>
      <c r="H3514" s="9">
        <v>34.990000000000002</v>
      </c>
      <c r="I3514" s="9">
        <f>H3514-G3514</f>
        <v>10.497000000000003</v>
      </c>
    </row>
    <row r="3515" ht="14.25">
      <c r="A3515" s="5">
        <v>50273</v>
      </c>
      <c r="B3515" s="7" t="s">
        <v>3607</v>
      </c>
      <c r="C3515" s="7" t="s">
        <v>3290</v>
      </c>
      <c r="D3515" s="7" t="s">
        <v>45</v>
      </c>
      <c r="E3515" s="5" t="s">
        <v>43</v>
      </c>
      <c r="F3515" s="8"/>
      <c r="G3515" s="9">
        <f>H3515*(1-30%)*(1-F3515)</f>
        <v>24.492999999999999</v>
      </c>
      <c r="H3515" s="9">
        <v>34.990000000000002</v>
      </c>
      <c r="I3515" s="9">
        <f>H3515-G3515</f>
        <v>10.497000000000003</v>
      </c>
    </row>
    <row r="3516" ht="14.25">
      <c r="A3516" s="5">
        <v>50274</v>
      </c>
      <c r="B3516" s="7" t="s">
        <v>3608</v>
      </c>
      <c r="C3516" s="7" t="s">
        <v>3290</v>
      </c>
      <c r="D3516" s="7" t="s">
        <v>45</v>
      </c>
      <c r="E3516" s="5" t="s">
        <v>15</v>
      </c>
      <c r="F3516" s="8"/>
      <c r="G3516" s="9">
        <f>H3516*(1-30%)*(1-F3516)</f>
        <v>24.492999999999999</v>
      </c>
      <c r="H3516" s="9">
        <v>34.990000000000002</v>
      </c>
      <c r="I3516" s="9">
        <f>H3516-G3516</f>
        <v>10.497000000000003</v>
      </c>
    </row>
    <row r="3517" ht="14.25">
      <c r="A3517" s="5">
        <v>50275</v>
      </c>
      <c r="B3517" s="7" t="s">
        <v>3609</v>
      </c>
      <c r="C3517" s="7" t="s">
        <v>3290</v>
      </c>
      <c r="D3517" s="7" t="s">
        <v>45</v>
      </c>
      <c r="E3517" s="5" t="s">
        <v>15</v>
      </c>
      <c r="F3517" s="8"/>
      <c r="G3517" s="9">
        <f>H3517*(1-30%)*(1-F3517)</f>
        <v>24.492999999999999</v>
      </c>
      <c r="H3517" s="9">
        <v>34.990000000000002</v>
      </c>
      <c r="I3517" s="9">
        <f>H3517-G3517</f>
        <v>10.497000000000003</v>
      </c>
    </row>
    <row r="3518" ht="14.25">
      <c r="A3518" s="5">
        <v>50276</v>
      </c>
      <c r="B3518" s="7" t="s">
        <v>3610</v>
      </c>
      <c r="C3518" s="7" t="s">
        <v>3290</v>
      </c>
      <c r="D3518" s="7" t="s">
        <v>11</v>
      </c>
      <c r="E3518" s="5" t="s">
        <v>15</v>
      </c>
      <c r="F3518" s="8"/>
      <c r="G3518" s="9">
        <f>H3518*(1-30%)*(1-F3518)</f>
        <v>76.992999999999995</v>
      </c>
      <c r="H3518" s="9">
        <v>109.98999999999999</v>
      </c>
      <c r="I3518" s="9">
        <f>H3518-G3518</f>
        <v>32.997</v>
      </c>
    </row>
    <row r="3519" ht="14.25">
      <c r="A3519" s="5">
        <v>50278</v>
      </c>
      <c r="B3519" s="7" t="s">
        <v>3611</v>
      </c>
      <c r="C3519" s="7" t="s">
        <v>3290</v>
      </c>
      <c r="D3519" s="7" t="s">
        <v>45</v>
      </c>
      <c r="E3519" s="5" t="s">
        <v>15</v>
      </c>
      <c r="F3519" s="8"/>
      <c r="G3519" s="9">
        <f>H3519*(1-30%)*(1-F3519)</f>
        <v>24.492999999999999</v>
      </c>
      <c r="H3519" s="9">
        <v>34.990000000000002</v>
      </c>
      <c r="I3519" s="9">
        <f>H3519-G3519</f>
        <v>10.497000000000003</v>
      </c>
    </row>
    <row r="3520" ht="14.25">
      <c r="A3520" s="5">
        <v>50383</v>
      </c>
      <c r="B3520" s="7" t="s">
        <v>3612</v>
      </c>
      <c r="C3520" s="7" t="s">
        <v>3276</v>
      </c>
      <c r="D3520" s="7" t="s">
        <v>183</v>
      </c>
      <c r="E3520" s="5" t="s">
        <v>43</v>
      </c>
      <c r="F3520" s="8"/>
      <c r="G3520" s="9">
        <f>H3520*(1-30%)*(1-F3520)</f>
        <v>3.4929999999999999</v>
      </c>
      <c r="H3520" s="9">
        <v>4.9900000000000002</v>
      </c>
      <c r="I3520" s="9">
        <f>H3520-G3520</f>
        <v>1.4970000000000003</v>
      </c>
    </row>
    <row r="3521" ht="14.25">
      <c r="A3521" s="5">
        <v>50406</v>
      </c>
      <c r="B3521" s="7" t="s">
        <v>3613</v>
      </c>
      <c r="C3521" s="7" t="s">
        <v>3435</v>
      </c>
      <c r="D3521" s="7" t="s">
        <v>45</v>
      </c>
      <c r="E3521" s="5" t="s">
        <v>43</v>
      </c>
      <c r="F3521" s="8"/>
      <c r="G3521" s="9">
        <f>H3521*(1-30%)*(1-F3521)</f>
        <v>40.592999999999996</v>
      </c>
      <c r="H3521" s="9">
        <v>57.990000000000002</v>
      </c>
      <c r="I3521" s="9">
        <f>H3521-G3521</f>
        <v>17.397000000000006</v>
      </c>
    </row>
    <row r="3522" ht="14.25">
      <c r="A3522" s="5">
        <v>50457</v>
      </c>
      <c r="B3522" s="7" t="s">
        <v>3614</v>
      </c>
      <c r="C3522" s="7" t="s">
        <v>3262</v>
      </c>
      <c r="D3522" s="7" t="s">
        <v>110</v>
      </c>
      <c r="E3522" s="5" t="s">
        <v>3268</v>
      </c>
      <c r="F3522" s="8"/>
      <c r="G3522" s="9">
        <f>H3522*(1-30%)*(1-F3522)</f>
        <v>52.492999999999995</v>
      </c>
      <c r="H3522" s="9">
        <v>74.989999999999995</v>
      </c>
      <c r="I3522" s="9">
        <f>H3522-G3522</f>
        <v>22.497</v>
      </c>
    </row>
    <row r="3523" ht="14.25">
      <c r="A3523" s="5">
        <v>50471</v>
      </c>
      <c r="B3523" s="7" t="s">
        <v>3615</v>
      </c>
      <c r="C3523" s="7" t="s">
        <v>3262</v>
      </c>
      <c r="D3523" s="7" t="s">
        <v>110</v>
      </c>
      <c r="E3523" s="5" t="s">
        <v>26</v>
      </c>
      <c r="F3523" s="8"/>
      <c r="G3523" s="9">
        <f>H3523*(1-30%)*(1-F3523)</f>
        <v>52.492999999999995</v>
      </c>
      <c r="H3523" s="9">
        <v>74.989999999999995</v>
      </c>
      <c r="I3523" s="9">
        <f>H3523-G3523</f>
        <v>22.497</v>
      </c>
    </row>
    <row r="3524" ht="14.25">
      <c r="A3524" s="5">
        <v>50472</v>
      </c>
      <c r="B3524" s="7" t="s">
        <v>3616</v>
      </c>
      <c r="C3524" s="7" t="s">
        <v>3262</v>
      </c>
      <c r="D3524" s="7" t="s">
        <v>110</v>
      </c>
      <c r="E3524" s="5" t="s">
        <v>3268</v>
      </c>
      <c r="F3524" s="8"/>
      <c r="G3524" s="9">
        <f>H3524*(1-30%)*(1-F3524)</f>
        <v>52.492999999999995</v>
      </c>
      <c r="H3524" s="9">
        <v>74.989999999999995</v>
      </c>
      <c r="I3524" s="9">
        <f>H3524-G3524</f>
        <v>22.497</v>
      </c>
    </row>
    <row r="3525" ht="14.25">
      <c r="A3525" s="5">
        <v>50479</v>
      </c>
      <c r="B3525" s="7" t="s">
        <v>3617</v>
      </c>
      <c r="C3525" s="7" t="s">
        <v>3262</v>
      </c>
      <c r="D3525" s="7" t="s">
        <v>110</v>
      </c>
      <c r="E3525" s="5" t="s">
        <v>26</v>
      </c>
      <c r="F3525" s="8"/>
      <c r="G3525" s="9">
        <f>H3525*(1-30%)*(1-F3525)</f>
        <v>52.492999999999995</v>
      </c>
      <c r="H3525" s="9">
        <v>74.989999999999995</v>
      </c>
      <c r="I3525" s="9">
        <f>H3525-G3525</f>
        <v>22.497</v>
      </c>
    </row>
    <row r="3526" ht="14.25">
      <c r="A3526" s="5">
        <v>50480</v>
      </c>
      <c r="B3526" s="7" t="s">
        <v>3618</v>
      </c>
      <c r="C3526" s="7" t="s">
        <v>3265</v>
      </c>
      <c r="D3526" s="7" t="s">
        <v>110</v>
      </c>
      <c r="E3526" s="5" t="s">
        <v>43</v>
      </c>
      <c r="F3526" s="8"/>
      <c r="G3526" s="9">
        <f>H3526*(1-30%)*(1-F3526)</f>
        <v>44.092999999999996</v>
      </c>
      <c r="H3526" s="9">
        <v>62.990000000000002</v>
      </c>
      <c r="I3526" s="9">
        <f>H3526-G3526</f>
        <v>18.897000000000006</v>
      </c>
    </row>
    <row r="3527" ht="14.25">
      <c r="A3527" s="5">
        <v>50481</v>
      </c>
      <c r="B3527" s="7" t="s">
        <v>3619</v>
      </c>
      <c r="C3527" s="7" t="s">
        <v>3265</v>
      </c>
      <c r="D3527" s="7" t="s">
        <v>110</v>
      </c>
      <c r="E3527" s="5" t="s">
        <v>43</v>
      </c>
      <c r="F3527" s="8"/>
      <c r="G3527" s="9">
        <f>H3527*(1-30%)*(1-F3527)</f>
        <v>44.092999999999996</v>
      </c>
      <c r="H3527" s="9">
        <v>62.990000000000002</v>
      </c>
      <c r="I3527" s="9">
        <f>H3527-G3527</f>
        <v>18.897000000000006</v>
      </c>
    </row>
    <row r="3528" ht="14.25">
      <c r="A3528" s="5">
        <v>50482</v>
      </c>
      <c r="B3528" s="7" t="s">
        <v>3620</v>
      </c>
      <c r="C3528" s="7" t="s">
        <v>3265</v>
      </c>
      <c r="D3528" s="7" t="s">
        <v>110</v>
      </c>
      <c r="E3528" s="5" t="s">
        <v>43</v>
      </c>
      <c r="F3528" s="8"/>
      <c r="G3528" s="9">
        <f>H3528*(1-30%)*(1-F3528)</f>
        <v>44.092999999999996</v>
      </c>
      <c r="H3528" s="9">
        <v>62.990000000000002</v>
      </c>
      <c r="I3528" s="9">
        <f>H3528-G3528</f>
        <v>18.897000000000006</v>
      </c>
    </row>
    <row r="3529" ht="14.25">
      <c r="A3529" s="5">
        <v>50483</v>
      </c>
      <c r="B3529" s="7" t="s">
        <v>3621</v>
      </c>
      <c r="C3529" s="7" t="s">
        <v>3265</v>
      </c>
      <c r="D3529" s="7" t="s">
        <v>110</v>
      </c>
      <c r="E3529" s="5" t="s">
        <v>43</v>
      </c>
      <c r="F3529" s="8"/>
      <c r="G3529" s="9">
        <f>H3529*(1-30%)*(1-F3529)</f>
        <v>44.092999999999996</v>
      </c>
      <c r="H3529" s="9">
        <v>62.990000000000002</v>
      </c>
      <c r="I3529" s="9">
        <f>H3529-G3529</f>
        <v>18.897000000000006</v>
      </c>
    </row>
    <row r="3530" ht="14.25">
      <c r="A3530" s="5">
        <v>50484</v>
      </c>
      <c r="B3530" s="7" t="s">
        <v>3622</v>
      </c>
      <c r="C3530" s="7" t="s">
        <v>3265</v>
      </c>
      <c r="D3530" s="7" t="s">
        <v>110</v>
      </c>
      <c r="E3530" s="5" t="s">
        <v>43</v>
      </c>
      <c r="F3530" s="8"/>
      <c r="G3530" s="9">
        <f>H3530*(1-30%)*(1-F3530)</f>
        <v>44.092999999999996</v>
      </c>
      <c r="H3530" s="9">
        <v>62.990000000000002</v>
      </c>
      <c r="I3530" s="9">
        <f>H3530-G3530</f>
        <v>18.897000000000006</v>
      </c>
    </row>
    <row r="3531" ht="14.25">
      <c r="A3531" s="5">
        <v>50486</v>
      </c>
      <c r="B3531" s="7" t="s">
        <v>3623</v>
      </c>
      <c r="C3531" s="7" t="s">
        <v>3265</v>
      </c>
      <c r="D3531" s="7" t="s">
        <v>110</v>
      </c>
      <c r="E3531" s="5" t="s">
        <v>43</v>
      </c>
      <c r="F3531" s="8"/>
      <c r="G3531" s="9">
        <f>H3531*(1-30%)*(1-F3531)</f>
        <v>41.993000000000002</v>
      </c>
      <c r="H3531" s="9">
        <v>59.990000000000002</v>
      </c>
      <c r="I3531" s="9">
        <f>H3531-G3531</f>
        <v>17.997</v>
      </c>
    </row>
    <row r="3532" ht="14.25">
      <c r="A3532" s="5">
        <v>50487</v>
      </c>
      <c r="B3532" s="7" t="s">
        <v>3624</v>
      </c>
      <c r="C3532" s="7" t="s">
        <v>3265</v>
      </c>
      <c r="D3532" s="7" t="s">
        <v>110</v>
      </c>
      <c r="E3532" s="5" t="s">
        <v>26</v>
      </c>
      <c r="F3532" s="8"/>
      <c r="G3532" s="9">
        <f>H3532*(1-30%)*(1-F3532)</f>
        <v>44.092999999999996</v>
      </c>
      <c r="H3532" s="9">
        <v>62.990000000000002</v>
      </c>
      <c r="I3532" s="9">
        <f>H3532-G3532</f>
        <v>18.897000000000006</v>
      </c>
    </row>
    <row r="3533" ht="14.25">
      <c r="A3533" s="5">
        <v>50502</v>
      </c>
      <c r="B3533" s="7" t="s">
        <v>3625</v>
      </c>
      <c r="C3533" s="7" t="s">
        <v>3324</v>
      </c>
      <c r="D3533" s="7" t="s">
        <v>110</v>
      </c>
      <c r="E3533" s="5" t="s">
        <v>43</v>
      </c>
      <c r="F3533" s="8"/>
      <c r="G3533" s="9">
        <f>H3533*(1-30%)*(1-F3533)</f>
        <v>34.993000000000002</v>
      </c>
      <c r="H3533" s="9">
        <v>49.990000000000002</v>
      </c>
      <c r="I3533" s="9">
        <f>H3533-G3533</f>
        <v>14.997</v>
      </c>
    </row>
    <row r="3534" ht="14.25">
      <c r="A3534" s="5">
        <v>50504</v>
      </c>
      <c r="B3534" s="7" t="s">
        <v>3626</v>
      </c>
      <c r="C3534" s="7" t="s">
        <v>3324</v>
      </c>
      <c r="D3534" s="7" t="s">
        <v>110</v>
      </c>
      <c r="E3534" s="5" t="s">
        <v>26</v>
      </c>
      <c r="F3534" s="8"/>
      <c r="G3534" s="9">
        <f>H3534*(1-30%)*(1-F3534)</f>
        <v>27.992999999999999</v>
      </c>
      <c r="H3534" s="9">
        <v>39.990000000000002</v>
      </c>
      <c r="I3534" s="9">
        <f>H3534-G3534</f>
        <v>11.997000000000003</v>
      </c>
    </row>
    <row r="3535" ht="14.25">
      <c r="A3535" s="5">
        <v>50505</v>
      </c>
      <c r="B3535" s="7" t="s">
        <v>3627</v>
      </c>
      <c r="C3535" s="7" t="s">
        <v>3324</v>
      </c>
      <c r="D3535" s="7" t="s">
        <v>110</v>
      </c>
      <c r="E3535" s="5" t="s">
        <v>26</v>
      </c>
      <c r="F3535" s="8"/>
      <c r="G3535" s="9">
        <f>H3535*(1-30%)*(1-F3535)</f>
        <v>27.992999999999999</v>
      </c>
      <c r="H3535" s="9">
        <v>39.990000000000002</v>
      </c>
      <c r="I3535" s="9">
        <f>H3535-G3535</f>
        <v>11.997000000000003</v>
      </c>
    </row>
    <row r="3536" ht="14.25">
      <c r="A3536" s="5">
        <v>50506</v>
      </c>
      <c r="B3536" s="7" t="s">
        <v>3628</v>
      </c>
      <c r="C3536" s="7" t="s">
        <v>3324</v>
      </c>
      <c r="D3536" s="7" t="s">
        <v>110</v>
      </c>
      <c r="E3536" s="5" t="s">
        <v>26</v>
      </c>
      <c r="F3536" s="8"/>
      <c r="G3536" s="9">
        <f>H3536*(1-30%)*(1-F3536)</f>
        <v>26.593</v>
      </c>
      <c r="H3536" s="9">
        <v>37.990000000000002</v>
      </c>
      <c r="I3536" s="9">
        <f>H3536-G3536</f>
        <v>11.397000000000002</v>
      </c>
    </row>
    <row r="3537" ht="14.25">
      <c r="A3537" s="5">
        <v>50507</v>
      </c>
      <c r="B3537" s="7" t="s">
        <v>3629</v>
      </c>
      <c r="C3537" s="7" t="s">
        <v>3324</v>
      </c>
      <c r="D3537" s="7" t="s">
        <v>110</v>
      </c>
      <c r="E3537" s="5" t="s">
        <v>26</v>
      </c>
      <c r="F3537" s="8"/>
      <c r="G3537" s="9">
        <f>H3537*(1-30%)*(1-F3537)</f>
        <v>25.193000000000001</v>
      </c>
      <c r="H3537" s="9">
        <v>35.990000000000002</v>
      </c>
      <c r="I3537" s="9">
        <f>H3537-G3537</f>
        <v>10.797000000000001</v>
      </c>
    </row>
    <row r="3538" ht="14.25">
      <c r="A3538" s="5">
        <v>50509</v>
      </c>
      <c r="B3538" s="7" t="s">
        <v>3630</v>
      </c>
      <c r="C3538" s="7" t="s">
        <v>3324</v>
      </c>
      <c r="D3538" s="7" t="s">
        <v>110</v>
      </c>
      <c r="E3538" s="5" t="s">
        <v>26</v>
      </c>
      <c r="F3538" s="8"/>
      <c r="G3538" s="9">
        <f>H3538*(1-30%)*(1-F3538)</f>
        <v>23.093</v>
      </c>
      <c r="H3538" s="9">
        <v>32.990000000000002</v>
      </c>
      <c r="I3538" s="9">
        <f>H3538-G3538</f>
        <v>9.897000000000002</v>
      </c>
    </row>
    <row r="3539" ht="14.25">
      <c r="A3539" s="5">
        <v>50510</v>
      </c>
      <c r="B3539" s="7" t="s">
        <v>3631</v>
      </c>
      <c r="C3539" s="7" t="s">
        <v>3324</v>
      </c>
      <c r="D3539" s="7" t="s">
        <v>110</v>
      </c>
      <c r="E3539" s="5" t="s">
        <v>26</v>
      </c>
      <c r="F3539" s="8"/>
      <c r="G3539" s="9">
        <f>H3539*(1-30%)*(1-F3539)</f>
        <v>23.093</v>
      </c>
      <c r="H3539" s="9">
        <v>32.990000000000002</v>
      </c>
      <c r="I3539" s="9">
        <f>H3539-G3539</f>
        <v>9.897000000000002</v>
      </c>
    </row>
    <row r="3540" ht="14.25">
      <c r="A3540" s="5">
        <v>50603</v>
      </c>
      <c r="B3540" s="7" t="s">
        <v>3632</v>
      </c>
      <c r="C3540" s="7" t="s">
        <v>3262</v>
      </c>
      <c r="D3540" s="7" t="s">
        <v>110</v>
      </c>
      <c r="E3540" s="5" t="s">
        <v>26</v>
      </c>
      <c r="F3540" s="8"/>
      <c r="G3540" s="9">
        <f>H3540*(1-30%)*(1-F3540)</f>
        <v>97.992999999999995</v>
      </c>
      <c r="H3540" s="9">
        <v>139.99000000000001</v>
      </c>
      <c r="I3540" s="9">
        <f>H3540-G3540</f>
        <v>41.997000000000014</v>
      </c>
    </row>
    <row r="3541" ht="14.25">
      <c r="A3541" s="5">
        <v>50604</v>
      </c>
      <c r="B3541" s="7" t="s">
        <v>3633</v>
      </c>
      <c r="C3541" s="7" t="s">
        <v>3262</v>
      </c>
      <c r="D3541" s="7" t="s">
        <v>110</v>
      </c>
      <c r="E3541" s="5" t="s">
        <v>26</v>
      </c>
      <c r="F3541" s="8"/>
      <c r="G3541" s="9">
        <f>H3541*(1-30%)*(1-F3541)</f>
        <v>40.592999999999996</v>
      </c>
      <c r="H3541" s="9">
        <v>57.990000000000002</v>
      </c>
      <c r="I3541" s="9">
        <f>H3541-G3541</f>
        <v>17.397000000000006</v>
      </c>
    </row>
    <row r="3542" ht="14.25">
      <c r="A3542" s="5">
        <v>50623</v>
      </c>
      <c r="B3542" s="7" t="s">
        <v>3634</v>
      </c>
      <c r="C3542" s="7" t="s">
        <v>3265</v>
      </c>
      <c r="D3542" s="7" t="s">
        <v>110</v>
      </c>
      <c r="E3542" s="5" t="s">
        <v>43</v>
      </c>
      <c r="F3542" s="8"/>
      <c r="G3542" s="9">
        <f>H3542*(1-30%)*(1-F3542)</f>
        <v>51.092999999999996</v>
      </c>
      <c r="H3542" s="9">
        <v>72.989999999999995</v>
      </c>
      <c r="I3542" s="9">
        <f>H3542-G3542</f>
        <v>21.896999999999998</v>
      </c>
    </row>
    <row r="3543" ht="14.25">
      <c r="A3543" s="5">
        <v>50624</v>
      </c>
      <c r="B3543" s="7" t="s">
        <v>3635</v>
      </c>
      <c r="C3543" s="7" t="s">
        <v>3265</v>
      </c>
      <c r="D3543" s="7" t="s">
        <v>110</v>
      </c>
      <c r="E3543" s="5" t="s">
        <v>43</v>
      </c>
      <c r="F3543" s="8"/>
      <c r="G3543" s="9">
        <f>H3543*(1-30%)*(1-F3543)</f>
        <v>51.092999999999996</v>
      </c>
      <c r="H3543" s="9">
        <v>72.989999999999995</v>
      </c>
      <c r="I3543" s="9">
        <f>H3543-G3543</f>
        <v>21.896999999999998</v>
      </c>
    </row>
    <row r="3544" ht="14.25">
      <c r="A3544" s="5">
        <v>50625</v>
      </c>
      <c r="B3544" s="7" t="s">
        <v>3636</v>
      </c>
      <c r="C3544" s="7" t="s">
        <v>3265</v>
      </c>
      <c r="D3544" s="7" t="s">
        <v>110</v>
      </c>
      <c r="E3544" s="5" t="s">
        <v>43</v>
      </c>
      <c r="F3544" s="8"/>
      <c r="G3544" s="9">
        <f>H3544*(1-30%)*(1-F3544)</f>
        <v>51.092999999999996</v>
      </c>
      <c r="H3544" s="9">
        <v>72.989999999999995</v>
      </c>
      <c r="I3544" s="9">
        <f>H3544-G3544</f>
        <v>21.896999999999998</v>
      </c>
    </row>
    <row r="3545" ht="14.25">
      <c r="A3545" s="5">
        <v>50626</v>
      </c>
      <c r="B3545" s="7" t="s">
        <v>3637</v>
      </c>
      <c r="C3545" s="7" t="s">
        <v>3265</v>
      </c>
      <c r="D3545" s="7" t="s">
        <v>110</v>
      </c>
      <c r="E3545" s="5" t="s">
        <v>43</v>
      </c>
      <c r="F3545" s="8"/>
      <c r="G3545" s="9">
        <f>H3545*(1-30%)*(1-F3545)</f>
        <v>51.092999999999996</v>
      </c>
      <c r="H3545" s="9">
        <v>72.989999999999995</v>
      </c>
      <c r="I3545" s="9">
        <f>H3545-G3545</f>
        <v>21.896999999999998</v>
      </c>
    </row>
    <row r="3546" ht="14.25">
      <c r="A3546" s="5">
        <v>50627</v>
      </c>
      <c r="B3546" s="7" t="s">
        <v>3638</v>
      </c>
      <c r="C3546" s="7" t="s">
        <v>3265</v>
      </c>
      <c r="D3546" s="7" t="s">
        <v>110</v>
      </c>
      <c r="E3546" s="5" t="s">
        <v>43</v>
      </c>
      <c r="F3546" s="8"/>
      <c r="G3546" s="9">
        <f>H3546*(1-30%)*(1-F3546)</f>
        <v>51.092999999999996</v>
      </c>
      <c r="H3546" s="9">
        <v>72.989999999999995</v>
      </c>
      <c r="I3546" s="9">
        <f>H3546-G3546</f>
        <v>21.896999999999998</v>
      </c>
    </row>
    <row r="3547" ht="14.25">
      <c r="A3547" s="5">
        <v>50628</v>
      </c>
      <c r="B3547" s="7" t="s">
        <v>3639</v>
      </c>
      <c r="C3547" s="7" t="s">
        <v>3265</v>
      </c>
      <c r="D3547" s="7" t="s">
        <v>110</v>
      </c>
      <c r="E3547" s="5" t="s">
        <v>26</v>
      </c>
      <c r="F3547" s="8"/>
      <c r="G3547" s="9">
        <f>H3547*(1-30%)*(1-F3547)</f>
        <v>51.092999999999996</v>
      </c>
      <c r="H3547" s="9">
        <v>72.989999999999995</v>
      </c>
      <c r="I3547" s="9">
        <f>H3547-G3547</f>
        <v>21.896999999999998</v>
      </c>
    </row>
    <row r="3548" ht="14.25">
      <c r="A3548" s="5">
        <v>50629</v>
      </c>
      <c r="B3548" s="7" t="s">
        <v>3640</v>
      </c>
      <c r="C3548" s="7" t="s">
        <v>3265</v>
      </c>
      <c r="D3548" s="7" t="s">
        <v>110</v>
      </c>
      <c r="E3548" s="5" t="s">
        <v>43</v>
      </c>
      <c r="F3548" s="8"/>
      <c r="G3548" s="9">
        <f>H3548*(1-30%)*(1-F3548)</f>
        <v>51.092999999999996</v>
      </c>
      <c r="H3548" s="9">
        <v>72.989999999999995</v>
      </c>
      <c r="I3548" s="9">
        <f>H3548-G3548</f>
        <v>21.896999999999998</v>
      </c>
    </row>
    <row r="3549" ht="14.25">
      <c r="A3549" s="5">
        <v>50630</v>
      </c>
      <c r="B3549" s="7" t="s">
        <v>3641</v>
      </c>
      <c r="C3549" s="7" t="s">
        <v>3265</v>
      </c>
      <c r="D3549" s="7" t="s">
        <v>110</v>
      </c>
      <c r="E3549" s="5" t="s">
        <v>43</v>
      </c>
      <c r="F3549" s="8"/>
      <c r="G3549" s="9">
        <f>H3549*(1-30%)*(1-F3549)</f>
        <v>51.092999999999996</v>
      </c>
      <c r="H3549" s="9">
        <v>72.989999999999995</v>
      </c>
      <c r="I3549" s="9">
        <f>H3549-G3549</f>
        <v>21.896999999999998</v>
      </c>
    </row>
    <row r="3550" ht="14.25">
      <c r="A3550" s="5">
        <v>50631</v>
      </c>
      <c r="B3550" s="7" t="s">
        <v>3642</v>
      </c>
      <c r="C3550" s="7" t="s">
        <v>3265</v>
      </c>
      <c r="D3550" s="7" t="s">
        <v>110</v>
      </c>
      <c r="E3550" s="5" t="s">
        <v>43</v>
      </c>
      <c r="F3550" s="8"/>
      <c r="G3550" s="9">
        <f>H3550*(1-30%)*(1-F3550)</f>
        <v>51.092999999999996</v>
      </c>
      <c r="H3550" s="9">
        <v>72.989999999999995</v>
      </c>
      <c r="I3550" s="9">
        <f>H3550-G3550</f>
        <v>21.896999999999998</v>
      </c>
    </row>
    <row r="3551" ht="14.25">
      <c r="A3551" s="5">
        <v>50632</v>
      </c>
      <c r="B3551" s="7" t="s">
        <v>3643</v>
      </c>
      <c r="C3551" s="7" t="s">
        <v>3265</v>
      </c>
      <c r="D3551" s="7" t="s">
        <v>110</v>
      </c>
      <c r="E3551" s="5" t="s">
        <v>43</v>
      </c>
      <c r="F3551" s="8"/>
      <c r="G3551" s="9">
        <f>H3551*(1-30%)*(1-F3551)</f>
        <v>51.092999999999996</v>
      </c>
      <c r="H3551" s="9">
        <v>72.989999999999995</v>
      </c>
      <c r="I3551" s="9">
        <f>H3551-G3551</f>
        <v>21.896999999999998</v>
      </c>
    </row>
    <row r="3552" ht="14.25">
      <c r="A3552" s="5">
        <v>50633</v>
      </c>
      <c r="B3552" s="7" t="s">
        <v>3644</v>
      </c>
      <c r="C3552" s="7" t="s">
        <v>3265</v>
      </c>
      <c r="D3552" s="7" t="s">
        <v>110</v>
      </c>
      <c r="E3552" s="5" t="s">
        <v>26</v>
      </c>
      <c r="F3552" s="8"/>
      <c r="G3552" s="9">
        <f>H3552*(1-30%)*(1-F3552)</f>
        <v>51.092999999999996</v>
      </c>
      <c r="H3552" s="9">
        <v>72.989999999999995</v>
      </c>
      <c r="I3552" s="9">
        <f>H3552-G3552</f>
        <v>21.896999999999998</v>
      </c>
    </row>
    <row r="3553" ht="14.25">
      <c r="A3553" s="5">
        <v>50634</v>
      </c>
      <c r="B3553" s="7" t="s">
        <v>3645</v>
      </c>
      <c r="C3553" s="7" t="s">
        <v>3265</v>
      </c>
      <c r="D3553" s="7" t="s">
        <v>110</v>
      </c>
      <c r="E3553" s="5" t="s">
        <v>43</v>
      </c>
      <c r="F3553" s="8"/>
      <c r="G3553" s="9">
        <f>H3553*(1-30%)*(1-F3553)</f>
        <v>51.092999999999996</v>
      </c>
      <c r="H3553" s="9">
        <v>72.989999999999995</v>
      </c>
      <c r="I3553" s="9">
        <f>H3553-G3553</f>
        <v>21.896999999999998</v>
      </c>
    </row>
    <row r="3554" ht="14.25">
      <c r="A3554" s="5">
        <v>50735</v>
      </c>
      <c r="B3554" s="7" t="s">
        <v>3646</v>
      </c>
      <c r="C3554" s="7" t="s">
        <v>3262</v>
      </c>
      <c r="D3554" s="7" t="s">
        <v>110</v>
      </c>
      <c r="E3554" s="5" t="s">
        <v>26</v>
      </c>
      <c r="F3554" s="8"/>
      <c r="G3554" s="9">
        <f>H3554*(1-30%)*(1-F3554)</f>
        <v>52.492999999999995</v>
      </c>
      <c r="H3554" s="9">
        <v>74.989999999999995</v>
      </c>
      <c r="I3554" s="9">
        <f>H3554-G3554</f>
        <v>22.497</v>
      </c>
    </row>
    <row r="3555" ht="14.25">
      <c r="A3555" s="5">
        <v>50752</v>
      </c>
      <c r="B3555" s="7" t="s">
        <v>3647</v>
      </c>
      <c r="C3555" s="7" t="s">
        <v>3331</v>
      </c>
      <c r="D3555" s="7" t="s">
        <v>11</v>
      </c>
      <c r="E3555" s="5" t="s">
        <v>43</v>
      </c>
      <c r="F3555" s="8"/>
      <c r="G3555" s="9">
        <f>H3555*(1-30%)*(1-F3555)</f>
        <v>101.42999999999999</v>
      </c>
      <c r="H3555" s="9">
        <v>144.90000000000001</v>
      </c>
      <c r="I3555" s="9">
        <f>H3555-G3555</f>
        <v>43.470000000000013</v>
      </c>
    </row>
    <row r="3556" ht="14.25">
      <c r="A3556" s="5">
        <v>50755</v>
      </c>
      <c r="B3556" s="7" t="s">
        <v>3648</v>
      </c>
      <c r="C3556" s="7" t="s">
        <v>3324</v>
      </c>
      <c r="D3556" s="7" t="s">
        <v>110</v>
      </c>
      <c r="E3556" s="5" t="s">
        <v>15</v>
      </c>
      <c r="F3556" s="8"/>
      <c r="G3556" s="9">
        <f>H3556*(1-30%)*(1-F3556)</f>
        <v>23.093</v>
      </c>
      <c r="H3556" s="9">
        <v>32.990000000000002</v>
      </c>
      <c r="I3556" s="9">
        <f>H3556-G3556</f>
        <v>9.897000000000002</v>
      </c>
    </row>
    <row r="3557" ht="14.25">
      <c r="A3557" s="5">
        <v>50758</v>
      </c>
      <c r="B3557" s="7" t="s">
        <v>3649</v>
      </c>
      <c r="C3557" s="7" t="s">
        <v>3331</v>
      </c>
      <c r="D3557" s="7" t="s">
        <v>11</v>
      </c>
      <c r="E3557" s="5" t="s">
        <v>43</v>
      </c>
      <c r="F3557" s="8"/>
      <c r="G3557" s="9">
        <f>H3557*(1-30%)*(1-F3557)</f>
        <v>108.42999999999999</v>
      </c>
      <c r="H3557" s="9">
        <v>154.90000000000001</v>
      </c>
      <c r="I3557" s="9">
        <f>H3557-G3557</f>
        <v>46.470000000000013</v>
      </c>
    </row>
    <row r="3558" ht="14.25">
      <c r="A3558" s="5">
        <v>50762</v>
      </c>
      <c r="B3558" s="7" t="s">
        <v>3650</v>
      </c>
      <c r="C3558" s="7" t="s">
        <v>3290</v>
      </c>
      <c r="D3558" s="7" t="s">
        <v>11</v>
      </c>
      <c r="E3558" s="5" t="s">
        <v>43</v>
      </c>
      <c r="F3558" s="8"/>
      <c r="G3558" s="9">
        <f>H3558*(1-30%)*(1-F3558)</f>
        <v>87.429999999999993</v>
      </c>
      <c r="H3558" s="9">
        <v>124.90000000000001</v>
      </c>
      <c r="I3558" s="9">
        <f>H3558-G3558</f>
        <v>37.470000000000013</v>
      </c>
    </row>
    <row r="3559" ht="14.25">
      <c r="A3559" s="5">
        <v>50804</v>
      </c>
      <c r="B3559" s="7" t="s">
        <v>3651</v>
      </c>
      <c r="C3559" s="7" t="s">
        <v>3290</v>
      </c>
      <c r="D3559" s="7" t="s">
        <v>45</v>
      </c>
      <c r="E3559" s="5" t="s">
        <v>43</v>
      </c>
      <c r="F3559" s="8"/>
      <c r="G3559" s="9">
        <f>H3559*(1-30%)*(1-F3559)</f>
        <v>33.592999999999996</v>
      </c>
      <c r="H3559" s="9">
        <v>47.990000000000002</v>
      </c>
      <c r="I3559" s="9">
        <f>H3559-G3559</f>
        <v>14.397000000000006</v>
      </c>
    </row>
    <row r="3560" ht="14.25">
      <c r="A3560" s="5">
        <v>50940</v>
      </c>
      <c r="B3560" s="7" t="s">
        <v>3652</v>
      </c>
      <c r="C3560" s="7" t="s">
        <v>3290</v>
      </c>
      <c r="D3560" s="7" t="s">
        <v>183</v>
      </c>
      <c r="E3560" s="5" t="s">
        <v>15</v>
      </c>
      <c r="F3560" s="8"/>
      <c r="G3560" s="9">
        <f>H3560*(1-30%)*(1-F3560)</f>
        <v>2.9050000000000002</v>
      </c>
      <c r="H3560" s="9">
        <v>4.1500000000000004</v>
      </c>
      <c r="I3560" s="9">
        <f>H3560-G3560</f>
        <v>1.2450000000000001</v>
      </c>
    </row>
    <row r="3561" ht="14.25">
      <c r="A3561" s="5">
        <v>51065</v>
      </c>
      <c r="B3561" s="7" t="s">
        <v>3653</v>
      </c>
      <c r="C3561" s="7" t="s">
        <v>3276</v>
      </c>
      <c r="D3561" s="7" t="s">
        <v>45</v>
      </c>
      <c r="E3561" s="5" t="s">
        <v>43</v>
      </c>
      <c r="F3561" s="8"/>
      <c r="G3561" s="9">
        <f>H3561*(1-30%)*(1-F3561)</f>
        <v>41.292999999999999</v>
      </c>
      <c r="H3561" s="9">
        <v>58.990000000000002</v>
      </c>
      <c r="I3561" s="9">
        <f>H3561-G3561</f>
        <v>17.697000000000003</v>
      </c>
    </row>
    <row r="3562" ht="14.25">
      <c r="A3562" s="5">
        <v>51074</v>
      </c>
      <c r="B3562" s="7" t="s">
        <v>3654</v>
      </c>
      <c r="C3562" s="7" t="s">
        <v>3276</v>
      </c>
      <c r="D3562" s="7" t="s">
        <v>45</v>
      </c>
      <c r="E3562" s="5" t="s">
        <v>43</v>
      </c>
      <c r="F3562" s="8"/>
      <c r="G3562" s="9">
        <f>H3562*(1-30%)*(1-F3562)</f>
        <v>41.292999999999999</v>
      </c>
      <c r="H3562" s="9">
        <v>58.990000000000002</v>
      </c>
      <c r="I3562" s="9">
        <f>H3562-G3562</f>
        <v>17.697000000000003</v>
      </c>
    </row>
    <row r="3563" ht="14.25">
      <c r="A3563" s="5">
        <v>51075</v>
      </c>
      <c r="B3563" s="7" t="s">
        <v>3655</v>
      </c>
      <c r="C3563" s="7" t="s">
        <v>3276</v>
      </c>
      <c r="D3563" s="7" t="s">
        <v>45</v>
      </c>
      <c r="E3563" s="5" t="s">
        <v>43</v>
      </c>
      <c r="F3563" s="8"/>
      <c r="G3563" s="9">
        <f>H3563*(1-30%)*(1-F3563)</f>
        <v>41.292999999999999</v>
      </c>
      <c r="H3563" s="9">
        <v>58.990000000000002</v>
      </c>
      <c r="I3563" s="9">
        <f>H3563-G3563</f>
        <v>17.697000000000003</v>
      </c>
    </row>
    <row r="3564" ht="14.25">
      <c r="A3564" s="5">
        <v>51082</v>
      </c>
      <c r="B3564" s="7" t="s">
        <v>3656</v>
      </c>
      <c r="C3564" s="7" t="s">
        <v>3276</v>
      </c>
      <c r="D3564" s="7" t="s">
        <v>11</v>
      </c>
      <c r="E3564" s="5" t="s">
        <v>43</v>
      </c>
      <c r="F3564" s="8"/>
      <c r="G3564" s="9">
        <f>H3564*(1-30%)*(1-F3564)</f>
        <v>51.092999999999996</v>
      </c>
      <c r="H3564" s="9">
        <v>72.989999999999995</v>
      </c>
      <c r="I3564" s="9">
        <f>H3564-G3564</f>
        <v>21.896999999999998</v>
      </c>
    </row>
    <row r="3565" ht="14.25">
      <c r="A3565" s="5">
        <v>51084</v>
      </c>
      <c r="B3565" s="7" t="s">
        <v>3657</v>
      </c>
      <c r="C3565" s="7" t="s">
        <v>3276</v>
      </c>
      <c r="D3565" s="7" t="s">
        <v>11</v>
      </c>
      <c r="E3565" s="5" t="s">
        <v>43</v>
      </c>
      <c r="F3565" s="8"/>
      <c r="G3565" s="9">
        <f>H3565*(1-30%)*(1-F3565)</f>
        <v>51.092999999999996</v>
      </c>
      <c r="H3565" s="9">
        <v>72.989999999999995</v>
      </c>
      <c r="I3565" s="9">
        <f>H3565-G3565</f>
        <v>21.896999999999998</v>
      </c>
    </row>
    <row r="3566" ht="14.25">
      <c r="A3566" s="5">
        <v>51086</v>
      </c>
      <c r="B3566" s="7" t="s">
        <v>3658</v>
      </c>
      <c r="C3566" s="7" t="s">
        <v>3276</v>
      </c>
      <c r="D3566" s="7" t="s">
        <v>11</v>
      </c>
      <c r="E3566" s="5" t="s">
        <v>43</v>
      </c>
      <c r="F3566" s="8"/>
      <c r="G3566" s="9">
        <f>H3566*(1-30%)*(1-F3566)</f>
        <v>51.092999999999996</v>
      </c>
      <c r="H3566" s="9">
        <v>72.989999999999995</v>
      </c>
      <c r="I3566" s="9">
        <f>H3566-G3566</f>
        <v>21.896999999999998</v>
      </c>
    </row>
    <row r="3567" ht="14.25">
      <c r="A3567" s="5">
        <v>51087</v>
      </c>
      <c r="B3567" s="7" t="s">
        <v>3659</v>
      </c>
      <c r="C3567" s="7" t="s">
        <v>3276</v>
      </c>
      <c r="D3567" s="7" t="s">
        <v>45</v>
      </c>
      <c r="E3567" s="5" t="s">
        <v>43</v>
      </c>
      <c r="F3567" s="8"/>
      <c r="G3567" s="9">
        <f>H3567*(1-30%)*(1-F3567)</f>
        <v>34.993000000000002</v>
      </c>
      <c r="H3567" s="9">
        <v>49.990000000000002</v>
      </c>
      <c r="I3567" s="9">
        <f>H3567-G3567</f>
        <v>14.997</v>
      </c>
    </row>
    <row r="3568" ht="14.25">
      <c r="A3568" s="5">
        <v>51088</v>
      </c>
      <c r="B3568" s="7" t="s">
        <v>3660</v>
      </c>
      <c r="C3568" s="7" t="s">
        <v>3276</v>
      </c>
      <c r="D3568" s="7" t="s">
        <v>45</v>
      </c>
      <c r="E3568" s="5" t="s">
        <v>43</v>
      </c>
      <c r="F3568" s="8"/>
      <c r="G3568" s="9">
        <f>H3568*(1-30%)*(1-F3568)</f>
        <v>34.993000000000002</v>
      </c>
      <c r="H3568" s="9">
        <v>49.990000000000002</v>
      </c>
      <c r="I3568" s="9">
        <f>H3568-G3568</f>
        <v>14.997</v>
      </c>
    </row>
    <row r="3569" ht="14.25">
      <c r="A3569" s="5">
        <v>51089</v>
      </c>
      <c r="B3569" s="7" t="s">
        <v>3661</v>
      </c>
      <c r="C3569" s="7" t="s">
        <v>3276</v>
      </c>
      <c r="D3569" s="7" t="s">
        <v>45</v>
      </c>
      <c r="E3569" s="5" t="s">
        <v>15</v>
      </c>
      <c r="F3569" s="8"/>
      <c r="G3569" s="9">
        <f>H3569*(1-30%)*(1-F3569)</f>
        <v>34.993000000000002</v>
      </c>
      <c r="H3569" s="9">
        <v>49.990000000000002</v>
      </c>
      <c r="I3569" s="9">
        <f>H3569-G3569</f>
        <v>14.997</v>
      </c>
    </row>
    <row r="3570" ht="14.25">
      <c r="A3570" s="5">
        <v>51092</v>
      </c>
      <c r="B3570" s="7" t="s">
        <v>3662</v>
      </c>
      <c r="C3570" s="7" t="s">
        <v>3276</v>
      </c>
      <c r="D3570" s="7" t="s">
        <v>45</v>
      </c>
      <c r="E3570" s="5" t="s">
        <v>43</v>
      </c>
      <c r="F3570" s="8"/>
      <c r="G3570" s="9">
        <f>H3570*(1-30%)*(1-F3570)</f>
        <v>34.993000000000002</v>
      </c>
      <c r="H3570" s="9">
        <v>49.990000000000002</v>
      </c>
      <c r="I3570" s="9">
        <f>H3570-G3570</f>
        <v>14.997</v>
      </c>
    </row>
    <row r="3571" ht="14.25">
      <c r="A3571" s="5">
        <v>51094</v>
      </c>
      <c r="B3571" s="7" t="s">
        <v>3663</v>
      </c>
      <c r="C3571" s="7" t="s">
        <v>3276</v>
      </c>
      <c r="D3571" s="7" t="s">
        <v>45</v>
      </c>
      <c r="E3571" s="5" t="s">
        <v>43</v>
      </c>
      <c r="F3571" s="8"/>
      <c r="G3571" s="9">
        <f>H3571*(1-30%)*(1-F3571)</f>
        <v>26.593</v>
      </c>
      <c r="H3571" s="9">
        <v>37.990000000000002</v>
      </c>
      <c r="I3571" s="9">
        <f>H3571-G3571</f>
        <v>11.397000000000002</v>
      </c>
    </row>
    <row r="3572" ht="14.25">
      <c r="A3572" s="5">
        <v>51096</v>
      </c>
      <c r="B3572" s="7" t="s">
        <v>3664</v>
      </c>
      <c r="C3572" s="7" t="s">
        <v>3276</v>
      </c>
      <c r="D3572" s="7" t="s">
        <v>45</v>
      </c>
      <c r="E3572" s="5" t="s">
        <v>43</v>
      </c>
      <c r="F3572" s="8"/>
      <c r="G3572" s="9">
        <f>H3572*(1-30%)*(1-F3572)</f>
        <v>30.093</v>
      </c>
      <c r="H3572" s="9">
        <v>42.990000000000002</v>
      </c>
      <c r="I3572" s="9">
        <f>H3572-G3572</f>
        <v>12.897000000000002</v>
      </c>
    </row>
    <row r="3573" ht="14.25">
      <c r="A3573" s="5">
        <v>51099</v>
      </c>
      <c r="B3573" s="7" t="s">
        <v>3665</v>
      </c>
      <c r="C3573" s="7" t="s">
        <v>3276</v>
      </c>
      <c r="D3573" s="7" t="s">
        <v>45</v>
      </c>
      <c r="E3573" s="5" t="s">
        <v>43</v>
      </c>
      <c r="F3573" s="8"/>
      <c r="G3573" s="9">
        <f>H3573*(1-30%)*(1-F3573)</f>
        <v>13.992999999999999</v>
      </c>
      <c r="H3573" s="9">
        <v>19.989999999999998</v>
      </c>
      <c r="I3573" s="9">
        <f>H3573-G3573</f>
        <v>5.9969999999999999</v>
      </c>
    </row>
    <row r="3574" ht="14.25">
      <c r="A3574" s="5">
        <v>51107</v>
      </c>
      <c r="B3574" s="7" t="s">
        <v>3666</v>
      </c>
      <c r="C3574" s="7" t="s">
        <v>3276</v>
      </c>
      <c r="D3574" s="7" t="s">
        <v>45</v>
      </c>
      <c r="E3574" s="5" t="s">
        <v>43</v>
      </c>
      <c r="F3574" s="8"/>
      <c r="G3574" s="9">
        <f>H3574*(1-30%)*(1-F3574)</f>
        <v>41.292999999999999</v>
      </c>
      <c r="H3574" s="9">
        <v>58.990000000000002</v>
      </c>
      <c r="I3574" s="9">
        <f>H3574-G3574</f>
        <v>17.697000000000003</v>
      </c>
    </row>
    <row r="3575" ht="14.25">
      <c r="A3575" s="5">
        <v>51304</v>
      </c>
      <c r="B3575" s="7" t="s">
        <v>3667</v>
      </c>
      <c r="C3575" s="7" t="s">
        <v>3331</v>
      </c>
      <c r="D3575" s="7" t="s">
        <v>71</v>
      </c>
      <c r="E3575" s="5" t="s">
        <v>43</v>
      </c>
      <c r="F3575" s="8"/>
      <c r="G3575" s="9">
        <f>H3575*(1-30%)*(1-F3575)</f>
        <v>27.292999999999999</v>
      </c>
      <c r="H3575" s="9">
        <v>38.990000000000002</v>
      </c>
      <c r="I3575" s="9">
        <f>H3575-G3575</f>
        <v>11.697000000000003</v>
      </c>
    </row>
    <row r="3576" ht="14.25">
      <c r="A3576" s="5">
        <v>51348</v>
      </c>
      <c r="B3576" s="7" t="s">
        <v>3668</v>
      </c>
      <c r="C3576" s="7" t="s">
        <v>3302</v>
      </c>
      <c r="D3576" s="7" t="s">
        <v>219</v>
      </c>
      <c r="E3576" s="5" t="s">
        <v>43</v>
      </c>
      <c r="F3576" s="8"/>
      <c r="G3576" s="9">
        <f>H3576*(1-30%)*(1-F3576)</f>
        <v>38.493000000000002</v>
      </c>
      <c r="H3576" s="9">
        <v>54.990000000000002</v>
      </c>
      <c r="I3576" s="9">
        <f>H3576-G3576</f>
        <v>16.497</v>
      </c>
    </row>
    <row r="3577" ht="14.25">
      <c r="A3577" s="5">
        <v>51349</v>
      </c>
      <c r="B3577" s="7" t="s">
        <v>3669</v>
      </c>
      <c r="C3577" s="7" t="s">
        <v>3302</v>
      </c>
      <c r="D3577" s="7" t="s">
        <v>219</v>
      </c>
      <c r="E3577" s="5" t="s">
        <v>43</v>
      </c>
      <c r="F3577" s="8"/>
      <c r="G3577" s="9">
        <f>H3577*(1-30%)*(1-F3577)</f>
        <v>37.092999999999996</v>
      </c>
      <c r="H3577" s="9">
        <v>52.990000000000002</v>
      </c>
      <c r="I3577" s="9">
        <f>H3577-G3577</f>
        <v>15.897000000000006</v>
      </c>
    </row>
    <row r="3578" ht="14.25">
      <c r="A3578" s="5">
        <v>51428</v>
      </c>
      <c r="B3578" s="7" t="s">
        <v>3670</v>
      </c>
      <c r="C3578" s="7" t="s">
        <v>3265</v>
      </c>
      <c r="D3578" s="7" t="s">
        <v>110</v>
      </c>
      <c r="E3578" s="5" t="s">
        <v>43</v>
      </c>
      <c r="F3578" s="8"/>
      <c r="G3578" s="9">
        <f>H3578*(1-30%)*(1-F3578)</f>
        <v>40.592999999999996</v>
      </c>
      <c r="H3578" s="9">
        <v>57.990000000000002</v>
      </c>
      <c r="I3578" s="9">
        <f>H3578-G3578</f>
        <v>17.397000000000006</v>
      </c>
    </row>
    <row r="3579" ht="14.25">
      <c r="A3579" s="5">
        <v>51429</v>
      </c>
      <c r="B3579" s="7" t="s">
        <v>3671</v>
      </c>
      <c r="C3579" s="7" t="s">
        <v>3265</v>
      </c>
      <c r="D3579" s="7" t="s">
        <v>110</v>
      </c>
      <c r="E3579" s="5" t="s">
        <v>26</v>
      </c>
      <c r="F3579" s="8"/>
      <c r="G3579" s="9">
        <f>H3579*(1-30%)*(1-F3579)</f>
        <v>40.592999999999996</v>
      </c>
      <c r="H3579" s="9">
        <v>57.990000000000002</v>
      </c>
      <c r="I3579" s="9">
        <f>H3579-G3579</f>
        <v>17.397000000000006</v>
      </c>
    </row>
    <row r="3580" ht="14.25">
      <c r="A3580" s="5">
        <v>51430</v>
      </c>
      <c r="B3580" s="7" t="s">
        <v>3672</v>
      </c>
      <c r="C3580" s="7" t="s">
        <v>3265</v>
      </c>
      <c r="D3580" s="7" t="s">
        <v>110</v>
      </c>
      <c r="E3580" s="5" t="s">
        <v>43</v>
      </c>
      <c r="F3580" s="8"/>
      <c r="G3580" s="9">
        <f>H3580*(1-30%)*(1-F3580)</f>
        <v>40.592999999999996</v>
      </c>
      <c r="H3580" s="9">
        <v>57.990000000000002</v>
      </c>
      <c r="I3580" s="9">
        <f>H3580-G3580</f>
        <v>17.397000000000006</v>
      </c>
    </row>
    <row r="3581" ht="14.25">
      <c r="A3581" s="5">
        <v>51431</v>
      </c>
      <c r="B3581" s="7" t="s">
        <v>3673</v>
      </c>
      <c r="C3581" s="7" t="s">
        <v>3265</v>
      </c>
      <c r="D3581" s="7" t="s">
        <v>110</v>
      </c>
      <c r="E3581" s="5" t="s">
        <v>43</v>
      </c>
      <c r="F3581" s="8"/>
      <c r="G3581" s="9">
        <f>H3581*(1-30%)*(1-F3581)</f>
        <v>40.592999999999996</v>
      </c>
      <c r="H3581" s="9">
        <v>57.990000000000002</v>
      </c>
      <c r="I3581" s="9">
        <f>H3581-G3581</f>
        <v>17.397000000000006</v>
      </c>
    </row>
    <row r="3582" ht="14.25">
      <c r="A3582" s="5">
        <v>51432</v>
      </c>
      <c r="B3582" s="7" t="s">
        <v>3674</v>
      </c>
      <c r="C3582" s="7" t="s">
        <v>3492</v>
      </c>
      <c r="D3582" s="7" t="s">
        <v>11</v>
      </c>
      <c r="E3582" s="5" t="s">
        <v>43</v>
      </c>
      <c r="F3582" s="8"/>
      <c r="G3582" s="9">
        <f>H3582*(1-30%)*(1-F3582)</f>
        <v>108.42999999999999</v>
      </c>
      <c r="H3582" s="9">
        <v>154.90000000000001</v>
      </c>
      <c r="I3582" s="9">
        <f>H3582-G3582</f>
        <v>46.470000000000013</v>
      </c>
    </row>
    <row r="3583" ht="14.25">
      <c r="A3583" s="5">
        <v>51447</v>
      </c>
      <c r="B3583" s="7" t="s">
        <v>3675</v>
      </c>
      <c r="C3583" s="7" t="s">
        <v>3265</v>
      </c>
      <c r="D3583" s="7" t="s">
        <v>110</v>
      </c>
      <c r="E3583" s="5" t="s">
        <v>43</v>
      </c>
      <c r="F3583" s="8"/>
      <c r="G3583" s="9">
        <f>H3583*(1-30%)*(1-F3583)</f>
        <v>40.592999999999996</v>
      </c>
      <c r="H3583" s="9">
        <v>57.990000000000002</v>
      </c>
      <c r="I3583" s="9">
        <f>H3583-G3583</f>
        <v>17.397000000000006</v>
      </c>
    </row>
    <row r="3584" ht="14.25">
      <c r="A3584" s="5">
        <v>51452</v>
      </c>
      <c r="B3584" s="7" t="s">
        <v>3676</v>
      </c>
      <c r="C3584" s="7" t="s">
        <v>3290</v>
      </c>
      <c r="D3584" s="7" t="s">
        <v>183</v>
      </c>
      <c r="E3584" s="5" t="s">
        <v>43</v>
      </c>
      <c r="F3584" s="8"/>
      <c r="G3584" s="9">
        <f>H3584*(1-30%)*(1-F3584)</f>
        <v>27.992999999999999</v>
      </c>
      <c r="H3584" s="9">
        <v>39.990000000000002</v>
      </c>
      <c r="I3584" s="9">
        <f>H3584-G3584</f>
        <v>11.997000000000003</v>
      </c>
    </row>
    <row r="3585" ht="14.25">
      <c r="A3585" s="5">
        <v>51503</v>
      </c>
      <c r="B3585" s="7" t="s">
        <v>3677</v>
      </c>
      <c r="C3585" s="7" t="s">
        <v>3280</v>
      </c>
      <c r="D3585" s="7" t="s">
        <v>95</v>
      </c>
      <c r="E3585" s="5" t="s">
        <v>15</v>
      </c>
      <c r="F3585" s="8"/>
      <c r="G3585" s="9">
        <f>H3585*(1-30%)*(1-F3585)</f>
        <v>81.129999999999995</v>
      </c>
      <c r="H3585" s="9">
        <v>115.90000000000001</v>
      </c>
      <c r="I3585" s="9">
        <f>H3585-G3585</f>
        <v>34.77000000000001</v>
      </c>
    </row>
    <row r="3586" ht="14.25">
      <c r="A3586" s="5">
        <v>51504</v>
      </c>
      <c r="B3586" s="7" t="s">
        <v>3678</v>
      </c>
      <c r="C3586" s="7" t="s">
        <v>3280</v>
      </c>
      <c r="D3586" s="7" t="s">
        <v>95</v>
      </c>
      <c r="E3586" s="5" t="s">
        <v>3268</v>
      </c>
      <c r="F3586" s="8"/>
      <c r="G3586" s="9">
        <f>H3586*(1-30%)*(1-F3586)</f>
        <v>85.329999999999998</v>
      </c>
      <c r="H3586" s="9">
        <v>121.90000000000001</v>
      </c>
      <c r="I3586" s="9">
        <f>H3586-G3586</f>
        <v>36.570000000000007</v>
      </c>
    </row>
    <row r="3587" ht="14.25">
      <c r="A3587" s="5">
        <v>51505</v>
      </c>
      <c r="B3587" s="7" t="s">
        <v>3679</v>
      </c>
      <c r="C3587" s="7" t="s">
        <v>3280</v>
      </c>
      <c r="D3587" s="7" t="s">
        <v>95</v>
      </c>
      <c r="E3587" s="5" t="s">
        <v>43</v>
      </c>
      <c r="F3587" s="8"/>
      <c r="G3587" s="9">
        <f>H3587*(1-30%)*(1-F3587)</f>
        <v>81.129999999999995</v>
      </c>
      <c r="H3587" s="9">
        <v>115.90000000000001</v>
      </c>
      <c r="I3587" s="9">
        <f>H3587-G3587</f>
        <v>34.77000000000001</v>
      </c>
    </row>
    <row r="3588" ht="14.25">
      <c r="A3588" s="5">
        <v>51508</v>
      </c>
      <c r="B3588" s="7" t="s">
        <v>3680</v>
      </c>
      <c r="C3588" s="7" t="s">
        <v>3280</v>
      </c>
      <c r="D3588" s="7" t="s">
        <v>95</v>
      </c>
      <c r="E3588" s="5" t="s">
        <v>43</v>
      </c>
      <c r="F3588" s="8"/>
      <c r="G3588" s="9">
        <f>H3588*(1-30%)*(1-F3588)</f>
        <v>85.329999999999998</v>
      </c>
      <c r="H3588" s="9">
        <v>121.90000000000001</v>
      </c>
      <c r="I3588" s="9">
        <f>H3588-G3588</f>
        <v>36.570000000000007</v>
      </c>
    </row>
    <row r="3589" ht="14.25">
      <c r="A3589" s="5">
        <v>51513</v>
      </c>
      <c r="B3589" s="7" t="s">
        <v>3681</v>
      </c>
      <c r="C3589" s="7" t="s">
        <v>3290</v>
      </c>
      <c r="D3589" s="7" t="s">
        <v>103</v>
      </c>
      <c r="E3589" s="5" t="s">
        <v>43</v>
      </c>
      <c r="F3589" s="8"/>
      <c r="G3589" s="9">
        <f>H3589*(1-30%)*(1-F3589)</f>
        <v>44.092999999999996</v>
      </c>
      <c r="H3589" s="9">
        <v>62.990000000000002</v>
      </c>
      <c r="I3589" s="9">
        <f>H3589-G3589</f>
        <v>18.897000000000006</v>
      </c>
    </row>
    <row r="3590" ht="14.25">
      <c r="A3590" s="5">
        <v>51514</v>
      </c>
      <c r="B3590" s="7" t="s">
        <v>3682</v>
      </c>
      <c r="C3590" s="7" t="s">
        <v>3276</v>
      </c>
      <c r="D3590" s="7" t="s">
        <v>45</v>
      </c>
      <c r="E3590" s="5" t="s">
        <v>43</v>
      </c>
      <c r="F3590" s="8"/>
      <c r="G3590" s="9">
        <f>H3590*(1-30%)*(1-F3590)</f>
        <v>13.992999999999999</v>
      </c>
      <c r="H3590" s="9">
        <v>19.989999999999998</v>
      </c>
      <c r="I3590" s="9">
        <f>H3590-G3590</f>
        <v>5.9969999999999999</v>
      </c>
    </row>
    <row r="3591" ht="14.25">
      <c r="A3591" s="5">
        <v>51515</v>
      </c>
      <c r="B3591" s="7" t="s">
        <v>3683</v>
      </c>
      <c r="C3591" s="7" t="s">
        <v>3280</v>
      </c>
      <c r="D3591" s="7" t="s">
        <v>95</v>
      </c>
      <c r="E3591" s="5" t="s">
        <v>43</v>
      </c>
      <c r="F3591" s="8"/>
      <c r="G3591" s="9">
        <f>H3591*(1-30%)*(1-F3591)</f>
        <v>86.730000000000004</v>
      </c>
      <c r="H3591" s="9">
        <v>123.90000000000001</v>
      </c>
      <c r="I3591" s="9">
        <f>H3591-G3591</f>
        <v>37.170000000000002</v>
      </c>
    </row>
    <row r="3592" ht="14.25">
      <c r="A3592" s="5">
        <v>51516</v>
      </c>
      <c r="B3592" s="7" t="s">
        <v>3684</v>
      </c>
      <c r="C3592" s="7" t="s">
        <v>3276</v>
      </c>
      <c r="D3592" s="7" t="s">
        <v>11</v>
      </c>
      <c r="E3592" s="5" t="s">
        <v>43</v>
      </c>
      <c r="F3592" s="8"/>
      <c r="G3592" s="9">
        <f>H3592*(1-30%)*(1-F3592)</f>
        <v>51.092999999999996</v>
      </c>
      <c r="H3592" s="9">
        <v>72.989999999999995</v>
      </c>
      <c r="I3592" s="9">
        <f>H3592-G3592</f>
        <v>21.896999999999998</v>
      </c>
    </row>
    <row r="3593" ht="14.25">
      <c r="A3593" s="5">
        <v>51517</v>
      </c>
      <c r="B3593" s="7" t="s">
        <v>3685</v>
      </c>
      <c r="C3593" s="7" t="s">
        <v>3280</v>
      </c>
      <c r="D3593" s="7" t="s">
        <v>95</v>
      </c>
      <c r="E3593" s="5" t="s">
        <v>43</v>
      </c>
      <c r="F3593" s="8"/>
      <c r="G3593" s="9">
        <f>H3593*(1-30%)*(1-F3593)</f>
        <v>86.730000000000004</v>
      </c>
      <c r="H3593" s="9">
        <v>123.90000000000001</v>
      </c>
      <c r="I3593" s="9">
        <f>H3593-G3593</f>
        <v>37.170000000000002</v>
      </c>
    </row>
    <row r="3594" ht="14.25">
      <c r="A3594" s="5">
        <v>51527</v>
      </c>
      <c r="B3594" s="7" t="s">
        <v>3686</v>
      </c>
      <c r="C3594" s="7" t="s">
        <v>3337</v>
      </c>
      <c r="D3594" s="7" t="s">
        <v>174</v>
      </c>
      <c r="E3594" s="5" t="s">
        <v>26</v>
      </c>
      <c r="F3594" s="8"/>
      <c r="G3594" s="9">
        <f>H3594*(1-30%)*(1-F3594)</f>
        <v>45.492999999999995</v>
      </c>
      <c r="H3594" s="9">
        <v>64.989999999999995</v>
      </c>
      <c r="I3594" s="9">
        <f>H3594-G3594</f>
        <v>19.497</v>
      </c>
    </row>
    <row r="3595" ht="14.25">
      <c r="A3595" s="5">
        <v>51532</v>
      </c>
      <c r="B3595" s="7" t="s">
        <v>3687</v>
      </c>
      <c r="C3595" s="7" t="s">
        <v>3492</v>
      </c>
      <c r="D3595" s="7" t="s">
        <v>103</v>
      </c>
      <c r="E3595" s="5" t="s">
        <v>15</v>
      </c>
      <c r="F3595" s="8"/>
      <c r="G3595" s="9">
        <f>H3595*(1-30%)*(1-F3595)</f>
        <v>30.093</v>
      </c>
      <c r="H3595" s="9">
        <v>42.990000000000002</v>
      </c>
      <c r="I3595" s="9">
        <f>H3595-G3595</f>
        <v>12.897000000000002</v>
      </c>
    </row>
    <row r="3596" ht="14.25">
      <c r="A3596" s="5">
        <v>51533</v>
      </c>
      <c r="B3596" s="7" t="s">
        <v>3688</v>
      </c>
      <c r="C3596" s="7" t="s">
        <v>3276</v>
      </c>
      <c r="D3596" s="7" t="s">
        <v>45</v>
      </c>
      <c r="E3596" s="5" t="s">
        <v>43</v>
      </c>
      <c r="F3596" s="8"/>
      <c r="G3596" s="9">
        <f>H3596*(1-30%)*(1-F3596)</f>
        <v>13.992999999999999</v>
      </c>
      <c r="H3596" s="9">
        <v>19.989999999999998</v>
      </c>
      <c r="I3596" s="9">
        <f>H3596-G3596</f>
        <v>5.9969999999999999</v>
      </c>
    </row>
    <row r="3597" ht="14.25">
      <c r="A3597" s="5">
        <v>51535</v>
      </c>
      <c r="B3597" s="7" t="s">
        <v>3689</v>
      </c>
      <c r="C3597" s="7" t="s">
        <v>3276</v>
      </c>
      <c r="D3597" s="7" t="s">
        <v>45</v>
      </c>
      <c r="E3597" s="5" t="s">
        <v>15</v>
      </c>
      <c r="F3597" s="8"/>
      <c r="G3597" s="9">
        <f>H3597*(1-30%)*(1-F3597)</f>
        <v>26.593</v>
      </c>
      <c r="H3597" s="9">
        <v>37.990000000000002</v>
      </c>
      <c r="I3597" s="9">
        <f>H3597-G3597</f>
        <v>11.397000000000002</v>
      </c>
    </row>
    <row r="3598" ht="14.25">
      <c r="A3598" s="5">
        <v>51552</v>
      </c>
      <c r="B3598" s="7" t="s">
        <v>3690</v>
      </c>
      <c r="C3598" s="7" t="s">
        <v>3280</v>
      </c>
      <c r="D3598" s="7" t="s">
        <v>183</v>
      </c>
      <c r="E3598" s="5" t="s">
        <v>15</v>
      </c>
      <c r="F3598" s="8"/>
      <c r="G3598" s="9">
        <f>H3598*(1-30%)*(1-F3598)</f>
        <v>5.593</v>
      </c>
      <c r="H3598" s="9">
        <v>7.9900000000000002</v>
      </c>
      <c r="I3598" s="9">
        <f>H3598-G3598</f>
        <v>2.3970000000000002</v>
      </c>
    </row>
    <row r="3599" ht="14.25">
      <c r="A3599" s="5">
        <v>51606</v>
      </c>
      <c r="B3599" s="7" t="s">
        <v>3691</v>
      </c>
      <c r="C3599" s="7" t="s">
        <v>3280</v>
      </c>
      <c r="D3599" s="7" t="s">
        <v>95</v>
      </c>
      <c r="E3599" s="5" t="s">
        <v>43</v>
      </c>
      <c r="F3599" s="8"/>
      <c r="G3599" s="9">
        <f>H3599*(1-30%)*(1-F3599)</f>
        <v>29.393000000000001</v>
      </c>
      <c r="H3599" s="9">
        <v>41.990000000000002</v>
      </c>
      <c r="I3599" s="9">
        <f>H3599-G3599</f>
        <v>12.597000000000001</v>
      </c>
    </row>
    <row r="3600" ht="14.25">
      <c r="A3600" s="5">
        <v>51730</v>
      </c>
      <c r="B3600" s="7" t="s">
        <v>3692</v>
      </c>
      <c r="C3600" s="7" t="s">
        <v>3581</v>
      </c>
      <c r="D3600" s="7" t="s">
        <v>11</v>
      </c>
      <c r="E3600" s="5" t="s">
        <v>43</v>
      </c>
      <c r="F3600" s="8"/>
      <c r="G3600" s="9">
        <f>H3600*(1-30%)*(1-F3600)</f>
        <v>118.92999999999999</v>
      </c>
      <c r="H3600" s="9">
        <v>169.90000000000001</v>
      </c>
      <c r="I3600" s="9">
        <f>H3600-G3600</f>
        <v>50.970000000000013</v>
      </c>
    </row>
    <row r="3601" ht="14.25">
      <c r="A3601" s="5">
        <v>51745</v>
      </c>
      <c r="B3601" s="7" t="s">
        <v>3693</v>
      </c>
      <c r="C3601" s="7" t="s">
        <v>3280</v>
      </c>
      <c r="D3601" s="7" t="s">
        <v>95</v>
      </c>
      <c r="E3601" s="5" t="s">
        <v>43</v>
      </c>
      <c r="F3601" s="8"/>
      <c r="G3601" s="9">
        <f>H3601*(1-30%)*(1-F3601)</f>
        <v>34.993000000000002</v>
      </c>
      <c r="H3601" s="9">
        <v>49.990000000000002</v>
      </c>
      <c r="I3601" s="9">
        <f>H3601-G3601</f>
        <v>14.997</v>
      </c>
    </row>
    <row r="3602" ht="14.25">
      <c r="A3602" s="5">
        <v>51746</v>
      </c>
      <c r="B3602" s="7" t="s">
        <v>3694</v>
      </c>
      <c r="C3602" s="7" t="s">
        <v>3280</v>
      </c>
      <c r="D3602" s="7" t="s">
        <v>95</v>
      </c>
      <c r="E3602" s="5" t="s">
        <v>43</v>
      </c>
      <c r="F3602" s="8"/>
      <c r="G3602" s="9">
        <f>H3602*(1-30%)*(1-F3602)</f>
        <v>33.592999999999996</v>
      </c>
      <c r="H3602" s="9">
        <v>47.990000000000002</v>
      </c>
      <c r="I3602" s="9">
        <f>H3602-G3602</f>
        <v>14.397000000000006</v>
      </c>
    </row>
    <row r="3603" ht="14.25">
      <c r="A3603" s="5">
        <v>51749</v>
      </c>
      <c r="B3603" s="7" t="s">
        <v>3695</v>
      </c>
      <c r="C3603" s="7" t="s">
        <v>3280</v>
      </c>
      <c r="D3603" s="7" t="s">
        <v>95</v>
      </c>
      <c r="E3603" s="5" t="s">
        <v>43</v>
      </c>
      <c r="F3603" s="8"/>
      <c r="G3603" s="9">
        <f>H3603*(1-30%)*(1-F3603)</f>
        <v>48.992999999999995</v>
      </c>
      <c r="H3603" s="9">
        <v>69.989999999999995</v>
      </c>
      <c r="I3603" s="9">
        <f>H3603-G3603</f>
        <v>20.997</v>
      </c>
    </row>
    <row r="3604" ht="14.25">
      <c r="A3604" s="5">
        <v>51750</v>
      </c>
      <c r="B3604" s="7" t="s">
        <v>3696</v>
      </c>
      <c r="C3604" s="7" t="s">
        <v>3280</v>
      </c>
      <c r="D3604" s="7" t="s">
        <v>95</v>
      </c>
      <c r="E3604" s="5" t="s">
        <v>43</v>
      </c>
      <c r="F3604" s="8"/>
      <c r="G3604" s="9">
        <f>H3604*(1-30%)*(1-F3604)</f>
        <v>37.092999999999996</v>
      </c>
      <c r="H3604" s="9">
        <v>52.990000000000002</v>
      </c>
      <c r="I3604" s="9">
        <f>H3604-G3604</f>
        <v>15.897000000000006</v>
      </c>
    </row>
    <row r="3605" ht="14.25">
      <c r="A3605" s="5">
        <v>51775</v>
      </c>
      <c r="B3605" s="7" t="s">
        <v>3697</v>
      </c>
      <c r="C3605" s="7" t="s">
        <v>3477</v>
      </c>
      <c r="D3605" s="7" t="s">
        <v>52</v>
      </c>
      <c r="E3605" s="5" t="s">
        <v>43</v>
      </c>
      <c r="F3605" s="8"/>
      <c r="G3605" s="9">
        <f>H3605*(1-30%)*(1-F3605)</f>
        <v>25.893000000000001</v>
      </c>
      <c r="H3605" s="9">
        <v>36.990000000000002</v>
      </c>
      <c r="I3605" s="9">
        <f>H3605-G3605</f>
        <v>11.097000000000001</v>
      </c>
    </row>
    <row r="3606" ht="14.25">
      <c r="A3606" s="5">
        <v>51780</v>
      </c>
      <c r="B3606" s="7" t="s">
        <v>3698</v>
      </c>
      <c r="C3606" s="7" t="s">
        <v>3581</v>
      </c>
      <c r="D3606" s="7" t="s">
        <v>45</v>
      </c>
      <c r="E3606" s="5" t="s">
        <v>43</v>
      </c>
      <c r="F3606" s="8"/>
      <c r="G3606" s="9">
        <f>H3606*(1-30%)*(1-F3606)</f>
        <v>37.092999999999996</v>
      </c>
      <c r="H3606" s="9">
        <v>52.990000000000002</v>
      </c>
      <c r="I3606" s="9">
        <f>H3606-G3606</f>
        <v>15.897000000000006</v>
      </c>
    </row>
    <row r="3607" ht="14.25">
      <c r="A3607" s="5">
        <v>51781</v>
      </c>
      <c r="B3607" s="7" t="s">
        <v>3699</v>
      </c>
      <c r="C3607" s="7" t="s">
        <v>3302</v>
      </c>
      <c r="D3607" s="7" t="s">
        <v>219</v>
      </c>
      <c r="E3607" s="5" t="s">
        <v>15</v>
      </c>
      <c r="F3607" s="8"/>
      <c r="G3607" s="9">
        <f>H3607*(1-30%)*(1-F3607)</f>
        <v>52.492999999999995</v>
      </c>
      <c r="H3607" s="9">
        <v>74.989999999999995</v>
      </c>
      <c r="I3607" s="9">
        <f>H3607-G3607</f>
        <v>22.497</v>
      </c>
    </row>
    <row r="3608" ht="14.25">
      <c r="A3608" s="5">
        <v>51784</v>
      </c>
      <c r="B3608" s="7" t="s">
        <v>3700</v>
      </c>
      <c r="C3608" s="7" t="s">
        <v>3477</v>
      </c>
      <c r="D3608" s="7" t="s">
        <v>52</v>
      </c>
      <c r="E3608" s="5" t="s">
        <v>15</v>
      </c>
      <c r="F3608" s="8"/>
      <c r="G3608" s="9">
        <f>H3608*(1-30%)*(1-F3608)</f>
        <v>58.792999999999992</v>
      </c>
      <c r="H3608" s="9">
        <v>83.989999999999995</v>
      </c>
      <c r="I3608" s="9">
        <f>H3608-G3608</f>
        <v>25.197000000000003</v>
      </c>
    </row>
    <row r="3609" ht="14.25">
      <c r="A3609" s="5">
        <v>51785</v>
      </c>
      <c r="B3609" s="7" t="s">
        <v>3701</v>
      </c>
      <c r="C3609" s="7" t="s">
        <v>3477</v>
      </c>
      <c r="D3609" s="7" t="s">
        <v>52</v>
      </c>
      <c r="E3609" s="5" t="s">
        <v>15</v>
      </c>
      <c r="F3609" s="8"/>
      <c r="G3609" s="9">
        <f>H3609*(1-30%)*(1-F3609)</f>
        <v>34.993000000000002</v>
      </c>
      <c r="H3609" s="9">
        <v>49.990000000000002</v>
      </c>
      <c r="I3609" s="9">
        <f>H3609-G3609</f>
        <v>14.997</v>
      </c>
    </row>
    <row r="3610" ht="14.25">
      <c r="A3610" s="5">
        <v>51786</v>
      </c>
      <c r="B3610" s="7" t="s">
        <v>3702</v>
      </c>
      <c r="C3610" s="7" t="s">
        <v>3477</v>
      </c>
      <c r="D3610" s="7" t="s">
        <v>52</v>
      </c>
      <c r="E3610" s="5" t="s">
        <v>43</v>
      </c>
      <c r="F3610" s="8"/>
      <c r="G3610" s="9">
        <f>H3610*(1-30%)*(1-F3610)</f>
        <v>31.492999999999999</v>
      </c>
      <c r="H3610" s="9">
        <v>44.990000000000002</v>
      </c>
      <c r="I3610" s="9">
        <f>H3610-G3610</f>
        <v>13.497000000000003</v>
      </c>
    </row>
    <row r="3611" ht="14.25">
      <c r="A3611" s="5">
        <v>51795</v>
      </c>
      <c r="B3611" s="7" t="s">
        <v>3703</v>
      </c>
      <c r="C3611" s="7" t="s">
        <v>3435</v>
      </c>
      <c r="D3611" s="7" t="s">
        <v>45</v>
      </c>
      <c r="E3611" s="5" t="s">
        <v>43</v>
      </c>
      <c r="F3611" s="8"/>
      <c r="G3611" s="9">
        <f>H3611*(1-30%)*(1-F3611)</f>
        <v>40.592999999999996</v>
      </c>
      <c r="H3611" s="9">
        <v>57.990000000000002</v>
      </c>
      <c r="I3611" s="9">
        <f>H3611-G3611</f>
        <v>17.397000000000006</v>
      </c>
    </row>
    <row r="3612" ht="14.25">
      <c r="A3612" s="5">
        <v>51834</v>
      </c>
      <c r="B3612" s="7" t="s">
        <v>3704</v>
      </c>
      <c r="C3612" s="7" t="s">
        <v>3705</v>
      </c>
      <c r="D3612" s="7" t="s">
        <v>11</v>
      </c>
      <c r="E3612" s="5" t="s">
        <v>43</v>
      </c>
      <c r="F3612" s="8"/>
      <c r="G3612" s="9">
        <f>H3612*(1-30%)*(1-F3612)</f>
        <v>62.992999999999995</v>
      </c>
      <c r="H3612" s="9">
        <v>89.989999999999995</v>
      </c>
      <c r="I3612" s="9">
        <f>H3612-G3612</f>
        <v>26.997</v>
      </c>
    </row>
    <row r="3613" ht="14.25">
      <c r="A3613" s="5">
        <v>51871</v>
      </c>
      <c r="B3613" s="7" t="s">
        <v>3706</v>
      </c>
      <c r="C3613" s="7" t="s">
        <v>3341</v>
      </c>
      <c r="D3613" s="7" t="s">
        <v>11</v>
      </c>
      <c r="E3613" s="5" t="s">
        <v>15</v>
      </c>
      <c r="F3613" s="8"/>
      <c r="G3613" s="9">
        <f>H3613*(1-30%)*(1-F3613)</f>
        <v>129.43000000000001</v>
      </c>
      <c r="H3613" s="9">
        <v>184.90000000000001</v>
      </c>
      <c r="I3613" s="9">
        <f>H3613-G3613</f>
        <v>55.469999999999999</v>
      </c>
    </row>
    <row r="3614" ht="14.25">
      <c r="A3614" s="5">
        <v>51916</v>
      </c>
      <c r="B3614" s="7" t="s">
        <v>3707</v>
      </c>
      <c r="C3614" s="7" t="s">
        <v>3522</v>
      </c>
      <c r="D3614" s="7" t="s">
        <v>11</v>
      </c>
      <c r="E3614" s="5" t="s">
        <v>43</v>
      </c>
      <c r="F3614" s="8"/>
      <c r="G3614" s="9">
        <f>H3614*(1-30%)*(1-F3614)</f>
        <v>80.429999999999993</v>
      </c>
      <c r="H3614" s="9">
        <v>114.90000000000001</v>
      </c>
      <c r="I3614" s="9">
        <f>H3614-G3614</f>
        <v>34.470000000000013</v>
      </c>
    </row>
    <row r="3615" ht="14.25">
      <c r="A3615" s="5">
        <v>52033</v>
      </c>
      <c r="B3615" s="7" t="s">
        <v>3708</v>
      </c>
      <c r="C3615" s="7" t="s">
        <v>3709</v>
      </c>
      <c r="D3615" s="7" t="s">
        <v>219</v>
      </c>
      <c r="E3615" s="5" t="s">
        <v>43</v>
      </c>
      <c r="F3615" s="8"/>
      <c r="G3615" s="9">
        <f>H3615*(1-30%)*(1-F3615)</f>
        <v>73.492999999999995</v>
      </c>
      <c r="H3615" s="9">
        <v>104.98999999999999</v>
      </c>
      <c r="I3615" s="9">
        <f>H3615-G3615</f>
        <v>31.497</v>
      </c>
    </row>
    <row r="3616" ht="14.25">
      <c r="A3616" s="5">
        <v>52036</v>
      </c>
      <c r="B3616" s="7" t="s">
        <v>3710</v>
      </c>
      <c r="C3616" s="7" t="s">
        <v>3709</v>
      </c>
      <c r="D3616" s="7" t="s">
        <v>219</v>
      </c>
      <c r="E3616" s="5" t="s">
        <v>43</v>
      </c>
      <c r="F3616" s="8"/>
      <c r="G3616" s="9">
        <f>H3616*(1-30%)*(1-F3616)</f>
        <v>108.49299999999999</v>
      </c>
      <c r="H3616" s="9">
        <v>154.99000000000001</v>
      </c>
      <c r="I3616" s="9">
        <f>H3616-G3616</f>
        <v>46.497000000000014</v>
      </c>
    </row>
    <row r="3617" ht="14.25">
      <c r="A3617" s="5">
        <v>52037</v>
      </c>
      <c r="B3617" s="7" t="s">
        <v>3711</v>
      </c>
      <c r="C3617" s="7" t="s">
        <v>3709</v>
      </c>
      <c r="D3617" s="7" t="s">
        <v>219</v>
      </c>
      <c r="E3617" s="5" t="s">
        <v>43</v>
      </c>
      <c r="F3617" s="8"/>
      <c r="G3617" s="9">
        <f>H3617*(1-30%)*(1-F3617)</f>
        <v>73.492999999999995</v>
      </c>
      <c r="H3617" s="9">
        <v>104.98999999999999</v>
      </c>
      <c r="I3617" s="9">
        <f>H3617-G3617</f>
        <v>31.497</v>
      </c>
    </row>
    <row r="3618" ht="14.25">
      <c r="A3618" s="5">
        <v>52038</v>
      </c>
      <c r="B3618" s="7" t="s">
        <v>3712</v>
      </c>
      <c r="C3618" s="7" t="s">
        <v>3709</v>
      </c>
      <c r="D3618" s="7" t="s">
        <v>219</v>
      </c>
      <c r="E3618" s="5" t="s">
        <v>43</v>
      </c>
      <c r="F3618" s="8"/>
      <c r="G3618" s="9">
        <f>H3618*(1-30%)*(1-F3618)</f>
        <v>73.492999999999995</v>
      </c>
      <c r="H3618" s="9">
        <v>104.98999999999999</v>
      </c>
      <c r="I3618" s="9">
        <f>H3618-G3618</f>
        <v>31.497</v>
      </c>
    </row>
    <row r="3619" ht="14.25">
      <c r="A3619" s="5">
        <v>52105</v>
      </c>
      <c r="B3619" s="7" t="s">
        <v>3713</v>
      </c>
      <c r="C3619" s="7" t="s">
        <v>3709</v>
      </c>
      <c r="D3619" s="7" t="s">
        <v>219</v>
      </c>
      <c r="E3619" s="5" t="s">
        <v>43</v>
      </c>
      <c r="F3619" s="8"/>
      <c r="G3619" s="9">
        <f>H3619*(1-30%)*(1-F3619)</f>
        <v>54.592999999999996</v>
      </c>
      <c r="H3619" s="9">
        <v>77.989999999999995</v>
      </c>
      <c r="I3619" s="9">
        <f>H3619-G3619</f>
        <v>23.396999999999998</v>
      </c>
    </row>
    <row r="3620" ht="14.25">
      <c r="A3620" s="5">
        <v>52106</v>
      </c>
      <c r="B3620" s="7" t="s">
        <v>3714</v>
      </c>
      <c r="C3620" s="7" t="s">
        <v>3448</v>
      </c>
      <c r="D3620" s="7" t="s">
        <v>45</v>
      </c>
      <c r="E3620" s="5" t="s">
        <v>15</v>
      </c>
      <c r="F3620" s="8"/>
      <c r="G3620" s="9">
        <f>H3620*(1-30%)*(1-F3620)</f>
        <v>38.493000000000002</v>
      </c>
      <c r="H3620" s="9">
        <v>54.990000000000002</v>
      </c>
      <c r="I3620" s="9">
        <f>H3620-G3620</f>
        <v>16.497</v>
      </c>
    </row>
    <row r="3621" ht="14.25">
      <c r="A3621" s="5">
        <v>52107</v>
      </c>
      <c r="B3621" s="7" t="s">
        <v>3715</v>
      </c>
      <c r="C3621" s="7" t="s">
        <v>3448</v>
      </c>
      <c r="D3621" s="7" t="s">
        <v>11</v>
      </c>
      <c r="E3621" s="5" t="s">
        <v>3513</v>
      </c>
      <c r="F3621" s="8"/>
      <c r="G3621" s="9">
        <f>H3621*(1-30%)*(1-F3621)</f>
        <v>101.42999999999999</v>
      </c>
      <c r="H3621" s="9">
        <v>144.90000000000001</v>
      </c>
      <c r="I3621" s="9">
        <f>H3621-G3621</f>
        <v>43.470000000000013</v>
      </c>
    </row>
    <row r="3622" ht="14.25">
      <c r="A3622" s="5">
        <v>52166</v>
      </c>
      <c r="B3622" s="7" t="s">
        <v>3716</v>
      </c>
      <c r="C3622" s="7" t="s">
        <v>3709</v>
      </c>
      <c r="D3622" s="7" t="s">
        <v>219</v>
      </c>
      <c r="E3622" s="5" t="s">
        <v>43</v>
      </c>
      <c r="F3622" s="8"/>
      <c r="G3622" s="9">
        <f>H3622*(1-30%)*(1-F3622)</f>
        <v>94.492999999999995</v>
      </c>
      <c r="H3622" s="9">
        <v>134.99000000000001</v>
      </c>
      <c r="I3622" s="9">
        <f>H3622-G3622</f>
        <v>40.497000000000014</v>
      </c>
    </row>
    <row r="3623" ht="14.25">
      <c r="A3623" s="5">
        <v>52167</v>
      </c>
      <c r="B3623" s="7" t="s">
        <v>3717</v>
      </c>
      <c r="C3623" s="7" t="s">
        <v>3709</v>
      </c>
      <c r="D3623" s="7" t="s">
        <v>219</v>
      </c>
      <c r="E3623" s="5" t="s">
        <v>43</v>
      </c>
      <c r="F3623" s="8"/>
      <c r="G3623" s="9">
        <f>H3623*(1-30%)*(1-F3623)</f>
        <v>69.992999999999995</v>
      </c>
      <c r="H3623" s="9">
        <v>99.989999999999995</v>
      </c>
      <c r="I3623" s="9">
        <f>H3623-G3623</f>
        <v>29.997</v>
      </c>
    </row>
    <row r="3624" ht="14.25">
      <c r="A3624" s="5">
        <v>52168</v>
      </c>
      <c r="B3624" s="7" t="s">
        <v>3718</v>
      </c>
      <c r="C3624" s="7" t="s">
        <v>3709</v>
      </c>
      <c r="D3624" s="7" t="s">
        <v>219</v>
      </c>
      <c r="E3624" s="5" t="s">
        <v>43</v>
      </c>
      <c r="F3624" s="8"/>
      <c r="G3624" s="9">
        <f>H3624*(1-30%)*(1-F3624)</f>
        <v>33.592999999999996</v>
      </c>
      <c r="H3624" s="9">
        <v>47.990000000000002</v>
      </c>
      <c r="I3624" s="9">
        <f>H3624-G3624</f>
        <v>14.397000000000006</v>
      </c>
    </row>
    <row r="3625" ht="14.25">
      <c r="A3625" s="5">
        <v>52169</v>
      </c>
      <c r="B3625" s="7" t="s">
        <v>3719</v>
      </c>
      <c r="C3625" s="7" t="s">
        <v>3709</v>
      </c>
      <c r="D3625" s="7" t="s">
        <v>219</v>
      </c>
      <c r="E3625" s="5" t="s">
        <v>43</v>
      </c>
      <c r="F3625" s="8"/>
      <c r="G3625" s="9">
        <f>H3625*(1-30%)*(1-F3625)</f>
        <v>41.993000000000002</v>
      </c>
      <c r="H3625" s="9">
        <v>59.990000000000002</v>
      </c>
      <c r="I3625" s="9">
        <f>H3625-G3625</f>
        <v>17.997</v>
      </c>
    </row>
    <row r="3626" ht="14.25">
      <c r="A3626" s="5">
        <v>52170</v>
      </c>
      <c r="B3626" s="7" t="s">
        <v>3720</v>
      </c>
      <c r="C3626" s="7" t="s">
        <v>3709</v>
      </c>
      <c r="D3626" s="7" t="s">
        <v>219</v>
      </c>
      <c r="E3626" s="5" t="s">
        <v>43</v>
      </c>
      <c r="F3626" s="8"/>
      <c r="G3626" s="9">
        <f>H3626*(1-30%)*(1-F3626)</f>
        <v>97.992999999999995</v>
      </c>
      <c r="H3626" s="9">
        <v>139.99000000000001</v>
      </c>
      <c r="I3626" s="9">
        <f>H3626-G3626</f>
        <v>41.997000000000014</v>
      </c>
    </row>
    <row r="3627" ht="14.25">
      <c r="A3627" s="5">
        <v>52171</v>
      </c>
      <c r="B3627" s="7" t="s">
        <v>3721</v>
      </c>
      <c r="C3627" s="7" t="s">
        <v>3709</v>
      </c>
      <c r="D3627" s="7" t="s">
        <v>219</v>
      </c>
      <c r="E3627" s="5" t="s">
        <v>43</v>
      </c>
      <c r="F3627" s="8"/>
      <c r="G3627" s="9">
        <f>H3627*(1-30%)*(1-F3627)</f>
        <v>30.093</v>
      </c>
      <c r="H3627" s="9">
        <v>42.990000000000002</v>
      </c>
      <c r="I3627" s="9">
        <f>H3627-G3627</f>
        <v>12.897000000000002</v>
      </c>
    </row>
    <row r="3628" ht="14.25">
      <c r="A3628" s="5">
        <v>52190</v>
      </c>
      <c r="B3628" s="7" t="s">
        <v>3722</v>
      </c>
      <c r="C3628" s="7" t="s">
        <v>3280</v>
      </c>
      <c r="D3628" s="7" t="s">
        <v>95</v>
      </c>
      <c r="E3628" s="5" t="s">
        <v>43</v>
      </c>
      <c r="F3628" s="8"/>
      <c r="G3628" s="9">
        <f>H3628*(1-30%)*(1-F3628)</f>
        <v>30.792999999999999</v>
      </c>
      <c r="H3628" s="9">
        <v>43.990000000000002</v>
      </c>
      <c r="I3628" s="9">
        <f>H3628-G3628</f>
        <v>13.197000000000003</v>
      </c>
    </row>
    <row r="3629" ht="14.25">
      <c r="A3629" s="5">
        <v>52204</v>
      </c>
      <c r="B3629" s="7" t="s">
        <v>3723</v>
      </c>
      <c r="C3629" s="7" t="s">
        <v>3280</v>
      </c>
      <c r="D3629" s="7" t="s">
        <v>95</v>
      </c>
      <c r="E3629" s="5" t="s">
        <v>43</v>
      </c>
      <c r="F3629" s="8"/>
      <c r="G3629" s="9">
        <f>H3629*(1-30%)*(1-F3629)</f>
        <v>29.393000000000001</v>
      </c>
      <c r="H3629" s="9">
        <v>41.990000000000002</v>
      </c>
      <c r="I3629" s="9">
        <f>H3629-G3629</f>
        <v>12.597000000000001</v>
      </c>
    </row>
    <row r="3630" ht="14.25">
      <c r="A3630" s="5">
        <v>52208</v>
      </c>
      <c r="B3630" s="7" t="s">
        <v>3724</v>
      </c>
      <c r="C3630" s="7" t="s">
        <v>3280</v>
      </c>
      <c r="D3630" s="7" t="s">
        <v>95</v>
      </c>
      <c r="E3630" s="5" t="s">
        <v>43</v>
      </c>
      <c r="F3630" s="8"/>
      <c r="G3630" s="9">
        <f>H3630*(1-30%)*(1-F3630)</f>
        <v>48.992999999999995</v>
      </c>
      <c r="H3630" s="9">
        <v>69.989999999999995</v>
      </c>
      <c r="I3630" s="9">
        <f>H3630-G3630</f>
        <v>20.997</v>
      </c>
    </row>
    <row r="3631" ht="14.25">
      <c r="A3631" s="5">
        <v>52212</v>
      </c>
      <c r="B3631" s="7" t="s">
        <v>3725</v>
      </c>
      <c r="C3631" s="7" t="s">
        <v>3280</v>
      </c>
      <c r="D3631" s="7" t="s">
        <v>95</v>
      </c>
      <c r="E3631" s="5" t="s">
        <v>43</v>
      </c>
      <c r="F3631" s="8"/>
      <c r="G3631" s="9">
        <f>H3631*(1-30%)*(1-F3631)</f>
        <v>29.393000000000001</v>
      </c>
      <c r="H3631" s="9">
        <v>41.990000000000002</v>
      </c>
      <c r="I3631" s="9">
        <f>H3631-G3631</f>
        <v>12.597000000000001</v>
      </c>
    </row>
    <row r="3632" ht="14.25">
      <c r="A3632" s="5">
        <v>52213</v>
      </c>
      <c r="B3632" s="7" t="s">
        <v>3726</v>
      </c>
      <c r="C3632" s="7" t="s">
        <v>3280</v>
      </c>
      <c r="D3632" s="7" t="s">
        <v>95</v>
      </c>
      <c r="E3632" s="5" t="s">
        <v>43</v>
      </c>
      <c r="F3632" s="8"/>
      <c r="G3632" s="9">
        <f>H3632*(1-30%)*(1-F3632)</f>
        <v>29.393000000000001</v>
      </c>
      <c r="H3632" s="9">
        <v>41.990000000000002</v>
      </c>
      <c r="I3632" s="9">
        <f>H3632-G3632</f>
        <v>12.597000000000001</v>
      </c>
    </row>
    <row r="3633" ht="14.25">
      <c r="A3633" s="5">
        <v>52214</v>
      </c>
      <c r="B3633" s="7" t="s">
        <v>3727</v>
      </c>
      <c r="C3633" s="7" t="s">
        <v>3280</v>
      </c>
      <c r="D3633" s="7" t="s">
        <v>95</v>
      </c>
      <c r="E3633" s="5" t="s">
        <v>43</v>
      </c>
      <c r="F3633" s="8"/>
      <c r="G3633" s="9">
        <f>H3633*(1-30%)*(1-F3633)</f>
        <v>37.092999999999996</v>
      </c>
      <c r="H3633" s="9">
        <v>52.990000000000002</v>
      </c>
      <c r="I3633" s="9">
        <f>H3633-G3633</f>
        <v>15.897000000000006</v>
      </c>
    </row>
    <row r="3634" ht="14.25">
      <c r="A3634" s="5">
        <v>52216</v>
      </c>
      <c r="B3634" s="7" t="s">
        <v>3728</v>
      </c>
      <c r="C3634" s="7" t="s">
        <v>3280</v>
      </c>
      <c r="D3634" s="7" t="s">
        <v>61</v>
      </c>
      <c r="E3634" s="5" t="s">
        <v>39</v>
      </c>
      <c r="F3634" s="8"/>
      <c r="G3634" s="9">
        <f>H3634*(1-30%)*(1-F3634)</f>
        <v>46.192999999999991</v>
      </c>
      <c r="H3634" s="9">
        <v>65.989999999999995</v>
      </c>
      <c r="I3634" s="9">
        <f>H3634-G3634</f>
        <v>19.797000000000004</v>
      </c>
    </row>
    <row r="3635" ht="14.25">
      <c r="A3635" s="5">
        <v>52243</v>
      </c>
      <c r="B3635" s="7" t="s">
        <v>3729</v>
      </c>
      <c r="C3635" s="7" t="s">
        <v>3709</v>
      </c>
      <c r="D3635" s="7" t="s">
        <v>219</v>
      </c>
      <c r="E3635" s="5" t="s">
        <v>43</v>
      </c>
      <c r="F3635" s="8"/>
      <c r="G3635" s="9">
        <f>H3635*(1-30%)*(1-F3635)</f>
        <v>73.492999999999995</v>
      </c>
      <c r="H3635" s="9">
        <v>104.98999999999999</v>
      </c>
      <c r="I3635" s="9">
        <f>H3635-G3635</f>
        <v>31.497</v>
      </c>
    </row>
    <row r="3636" ht="14.25">
      <c r="A3636" s="5">
        <v>52246</v>
      </c>
      <c r="B3636" s="7" t="s">
        <v>3730</v>
      </c>
      <c r="C3636" s="7" t="s">
        <v>3709</v>
      </c>
      <c r="D3636" s="7" t="s">
        <v>219</v>
      </c>
      <c r="E3636" s="5" t="s">
        <v>15</v>
      </c>
      <c r="F3636" s="8"/>
      <c r="G3636" s="9">
        <f>H3636*(1-30%)*(1-F3636)</f>
        <v>41.993000000000002</v>
      </c>
      <c r="H3636" s="9">
        <v>59.990000000000002</v>
      </c>
      <c r="I3636" s="9">
        <f>H3636-G3636</f>
        <v>17.997</v>
      </c>
    </row>
    <row r="3637" ht="14.25">
      <c r="A3637" s="5">
        <v>52247</v>
      </c>
      <c r="B3637" s="7" t="s">
        <v>3731</v>
      </c>
      <c r="C3637" s="7" t="s">
        <v>3709</v>
      </c>
      <c r="D3637" s="7" t="s">
        <v>219</v>
      </c>
      <c r="E3637" s="5" t="s">
        <v>43</v>
      </c>
      <c r="F3637" s="8"/>
      <c r="G3637" s="9">
        <f>H3637*(1-30%)*(1-F3637)</f>
        <v>51.092999999999996</v>
      </c>
      <c r="H3637" s="9">
        <v>72.989999999999995</v>
      </c>
      <c r="I3637" s="9">
        <f>H3637-G3637</f>
        <v>21.896999999999998</v>
      </c>
    </row>
    <row r="3638" ht="14.25">
      <c r="A3638" s="5">
        <v>52250</v>
      </c>
      <c r="B3638" s="7" t="s">
        <v>3732</v>
      </c>
      <c r="C3638" s="7" t="s">
        <v>3709</v>
      </c>
      <c r="D3638" s="7" t="s">
        <v>219</v>
      </c>
      <c r="E3638" s="5" t="s">
        <v>43</v>
      </c>
      <c r="F3638" s="8"/>
      <c r="G3638" s="9">
        <f>H3638*(1-30%)*(1-F3638)</f>
        <v>94.492999999999995</v>
      </c>
      <c r="H3638" s="9">
        <v>134.99000000000001</v>
      </c>
      <c r="I3638" s="9">
        <f>H3638-G3638</f>
        <v>40.497000000000014</v>
      </c>
    </row>
    <row r="3639" ht="14.25">
      <c r="A3639" s="5">
        <v>52252</v>
      </c>
      <c r="B3639" s="7" t="s">
        <v>3733</v>
      </c>
      <c r="C3639" s="7" t="s">
        <v>3276</v>
      </c>
      <c r="D3639" s="7" t="s">
        <v>45</v>
      </c>
      <c r="E3639" s="5" t="s">
        <v>15</v>
      </c>
      <c r="F3639" s="8"/>
      <c r="G3639" s="9">
        <f>H3639*(1-30%)*(1-F3639)</f>
        <v>41.292999999999999</v>
      </c>
      <c r="H3639" s="9">
        <v>58.990000000000002</v>
      </c>
      <c r="I3639" s="9">
        <f>H3639-G3639</f>
        <v>17.697000000000003</v>
      </c>
    </row>
    <row r="3640" ht="14.25">
      <c r="A3640" s="5">
        <v>52253</v>
      </c>
      <c r="B3640" s="7" t="s">
        <v>3734</v>
      </c>
      <c r="C3640" s="7" t="s">
        <v>3276</v>
      </c>
      <c r="D3640" s="7" t="s">
        <v>11</v>
      </c>
      <c r="E3640" s="5" t="s">
        <v>43</v>
      </c>
      <c r="F3640" s="8"/>
      <c r="G3640" s="9">
        <f>H3640*(1-30%)*(1-F3640)</f>
        <v>51.092999999999996</v>
      </c>
      <c r="H3640" s="9">
        <v>72.989999999999995</v>
      </c>
      <c r="I3640" s="9">
        <f>H3640-G3640</f>
        <v>21.896999999999998</v>
      </c>
    </row>
    <row r="3641" ht="14.25">
      <c r="A3641" s="5">
        <v>52257</v>
      </c>
      <c r="B3641" s="7" t="s">
        <v>3735</v>
      </c>
      <c r="C3641" s="7" t="s">
        <v>3276</v>
      </c>
      <c r="D3641" s="7" t="s">
        <v>45</v>
      </c>
      <c r="E3641" s="5" t="s">
        <v>15</v>
      </c>
      <c r="F3641" s="8"/>
      <c r="G3641" s="9">
        <f>H3641*(1-30%)*(1-F3641)</f>
        <v>13.992999999999999</v>
      </c>
      <c r="H3641" s="9">
        <v>19.989999999999998</v>
      </c>
      <c r="I3641" s="9">
        <f>H3641-G3641</f>
        <v>5.9969999999999999</v>
      </c>
    </row>
    <row r="3642" ht="14.25">
      <c r="A3642" s="5">
        <v>52276</v>
      </c>
      <c r="B3642" s="7" t="s">
        <v>3736</v>
      </c>
      <c r="C3642" s="7" t="s">
        <v>3290</v>
      </c>
      <c r="D3642" s="7" t="s">
        <v>1447</v>
      </c>
      <c r="E3642" s="5" t="s">
        <v>15</v>
      </c>
      <c r="F3642" s="8"/>
      <c r="G3642" s="9">
        <f>H3642*(1-30%)*(1-F3642)</f>
        <v>6.3699999999999992</v>
      </c>
      <c r="H3642" s="9">
        <v>9.0999999999999996</v>
      </c>
      <c r="I3642" s="9">
        <f>H3642-G3642</f>
        <v>2.7300000000000004</v>
      </c>
    </row>
    <row r="3643" ht="14.25">
      <c r="A3643" s="5">
        <v>52288</v>
      </c>
      <c r="B3643" s="7" t="s">
        <v>3737</v>
      </c>
      <c r="C3643" s="7" t="s">
        <v>3290</v>
      </c>
      <c r="D3643" s="7" t="s">
        <v>1447</v>
      </c>
      <c r="E3643" s="5" t="s">
        <v>15</v>
      </c>
      <c r="F3643" s="8"/>
      <c r="G3643" s="9">
        <f>H3643*(1-30%)*(1-F3643)</f>
        <v>8.3999999999999986</v>
      </c>
      <c r="H3643" s="9">
        <v>12</v>
      </c>
      <c r="I3643" s="9">
        <f>H3643-G3643</f>
        <v>3.6000000000000014</v>
      </c>
    </row>
    <row r="3644" ht="14.25">
      <c r="A3644" s="5">
        <v>52297</v>
      </c>
      <c r="B3644" s="7" t="s">
        <v>3738</v>
      </c>
      <c r="C3644" s="7" t="s">
        <v>3265</v>
      </c>
      <c r="D3644" s="7" t="s">
        <v>110</v>
      </c>
      <c r="E3644" s="5" t="s">
        <v>3268</v>
      </c>
      <c r="F3644" s="8"/>
      <c r="G3644" s="9">
        <f>H3644*(1-30%)*(1-F3644)</f>
        <v>34.993000000000002</v>
      </c>
      <c r="H3644" s="9">
        <v>49.990000000000002</v>
      </c>
      <c r="I3644" s="9">
        <f>H3644-G3644</f>
        <v>14.997</v>
      </c>
    </row>
    <row r="3645" ht="14.25">
      <c r="A3645" s="5">
        <v>52298</v>
      </c>
      <c r="B3645" s="7" t="s">
        <v>3739</v>
      </c>
      <c r="C3645" s="7" t="s">
        <v>3294</v>
      </c>
      <c r="D3645" s="7" t="s">
        <v>71</v>
      </c>
      <c r="E3645" s="5" t="s">
        <v>43</v>
      </c>
      <c r="F3645" s="8"/>
      <c r="G3645" s="9">
        <f>H3645*(1-30%)*(1-F3645)</f>
        <v>27.292999999999999</v>
      </c>
      <c r="H3645" s="9">
        <v>38.990000000000002</v>
      </c>
      <c r="I3645" s="9">
        <f>H3645-G3645</f>
        <v>11.697000000000003</v>
      </c>
    </row>
    <row r="3646" ht="14.25">
      <c r="A3646" s="5">
        <v>52299</v>
      </c>
      <c r="B3646" s="7" t="s">
        <v>3740</v>
      </c>
      <c r="C3646" s="7" t="s">
        <v>3294</v>
      </c>
      <c r="D3646" s="7" t="s">
        <v>11</v>
      </c>
      <c r="E3646" s="5" t="s">
        <v>43</v>
      </c>
      <c r="F3646" s="8"/>
      <c r="G3646" s="9">
        <f>H3646*(1-30%)*(1-F3646)</f>
        <v>118.92999999999999</v>
      </c>
      <c r="H3646" s="9">
        <v>169.90000000000001</v>
      </c>
      <c r="I3646" s="9">
        <f>H3646-G3646</f>
        <v>50.970000000000013</v>
      </c>
    </row>
    <row r="3647" ht="14.25">
      <c r="A3647" s="5">
        <v>52305</v>
      </c>
      <c r="B3647" s="7" t="s">
        <v>3741</v>
      </c>
      <c r="C3647" s="7" t="s">
        <v>3290</v>
      </c>
      <c r="D3647" s="7" t="s">
        <v>11</v>
      </c>
      <c r="E3647" s="5" t="s">
        <v>15</v>
      </c>
      <c r="F3647" s="8"/>
      <c r="G3647" s="9">
        <f>H3647*(1-30%)*(1-F3647)</f>
        <v>76.992999999999995</v>
      </c>
      <c r="H3647" s="9">
        <v>109.98999999999999</v>
      </c>
      <c r="I3647" s="9">
        <f>H3647-G3647</f>
        <v>32.997</v>
      </c>
    </row>
    <row r="3648" ht="14.25">
      <c r="A3648" s="5">
        <v>52306</v>
      </c>
      <c r="B3648" s="7" t="s">
        <v>3742</v>
      </c>
      <c r="C3648" s="7" t="s">
        <v>3290</v>
      </c>
      <c r="D3648" s="7" t="s">
        <v>45</v>
      </c>
      <c r="E3648" s="5" t="s">
        <v>15</v>
      </c>
      <c r="F3648" s="8"/>
      <c r="G3648" s="9">
        <f>H3648*(1-30%)*(1-F3648)</f>
        <v>24.492999999999999</v>
      </c>
      <c r="H3648" s="9">
        <v>34.990000000000002</v>
      </c>
      <c r="I3648" s="9">
        <f>H3648-G3648</f>
        <v>10.497000000000003</v>
      </c>
    </row>
    <row r="3649" ht="14.25">
      <c r="A3649" s="5">
        <v>52310</v>
      </c>
      <c r="B3649" s="7" t="s">
        <v>3743</v>
      </c>
      <c r="C3649" s="7" t="s">
        <v>3324</v>
      </c>
      <c r="D3649" s="7" t="s">
        <v>110</v>
      </c>
      <c r="E3649" s="5" t="s">
        <v>43</v>
      </c>
      <c r="F3649" s="8"/>
      <c r="G3649" s="9">
        <f>H3649*(1-30%)*(1-F3649)</f>
        <v>26.593</v>
      </c>
      <c r="H3649" s="9">
        <v>37.990000000000002</v>
      </c>
      <c r="I3649" s="9">
        <f>H3649-G3649</f>
        <v>11.397000000000002</v>
      </c>
    </row>
    <row r="3650" ht="14.25">
      <c r="A3650" s="5">
        <v>52318</v>
      </c>
      <c r="B3650" s="7" t="s">
        <v>3744</v>
      </c>
      <c r="C3650" s="7" t="s">
        <v>3262</v>
      </c>
      <c r="D3650" s="7" t="s">
        <v>11</v>
      </c>
      <c r="E3650" s="5" t="s">
        <v>43</v>
      </c>
      <c r="F3650" s="8"/>
      <c r="G3650" s="9">
        <f>H3650*(1-30%)*(1-F3650)</f>
        <v>125.92999999999999</v>
      </c>
      <c r="H3650" s="9">
        <v>179.90000000000001</v>
      </c>
      <c r="I3650" s="9">
        <f>H3650-G3650</f>
        <v>53.970000000000013</v>
      </c>
    </row>
    <row r="3651" ht="14.25">
      <c r="A3651" s="5">
        <v>52321</v>
      </c>
      <c r="B3651" s="7" t="s">
        <v>3745</v>
      </c>
      <c r="C3651" s="7" t="s">
        <v>3324</v>
      </c>
      <c r="D3651" s="7" t="s">
        <v>110</v>
      </c>
      <c r="E3651" s="5" t="s">
        <v>15</v>
      </c>
      <c r="F3651" s="8"/>
      <c r="G3651" s="9">
        <f>H3651*(1-30%)*(1-F3651)</f>
        <v>26.593</v>
      </c>
      <c r="H3651" s="9">
        <v>37.990000000000002</v>
      </c>
      <c r="I3651" s="9">
        <f>H3651-G3651</f>
        <v>11.397000000000002</v>
      </c>
    </row>
    <row r="3652" ht="14.25">
      <c r="A3652" s="5">
        <v>52324</v>
      </c>
      <c r="B3652" s="7" t="s">
        <v>3746</v>
      </c>
      <c r="C3652" s="7" t="s">
        <v>3324</v>
      </c>
      <c r="D3652" s="7" t="s">
        <v>110</v>
      </c>
      <c r="E3652" s="5" t="s">
        <v>26</v>
      </c>
      <c r="F3652" s="8"/>
      <c r="G3652" s="9">
        <f>H3652*(1-30%)*(1-F3652)</f>
        <v>26.593</v>
      </c>
      <c r="H3652" s="9">
        <v>37.990000000000002</v>
      </c>
      <c r="I3652" s="9">
        <f>H3652-G3652</f>
        <v>11.397000000000002</v>
      </c>
    </row>
    <row r="3653" ht="14.25">
      <c r="A3653" s="5">
        <v>52325</v>
      </c>
      <c r="B3653" s="7" t="s">
        <v>3747</v>
      </c>
      <c r="C3653" s="7" t="s">
        <v>3324</v>
      </c>
      <c r="D3653" s="7" t="s">
        <v>110</v>
      </c>
      <c r="E3653" s="5" t="s">
        <v>43</v>
      </c>
      <c r="F3653" s="8"/>
      <c r="G3653" s="9">
        <f>H3653*(1-30%)*(1-F3653)</f>
        <v>26.593</v>
      </c>
      <c r="H3653" s="9">
        <v>37.990000000000002</v>
      </c>
      <c r="I3653" s="9">
        <f>H3653-G3653</f>
        <v>11.397000000000002</v>
      </c>
    </row>
    <row r="3654" ht="14.25">
      <c r="A3654" s="5">
        <v>52326</v>
      </c>
      <c r="B3654" s="7" t="s">
        <v>3748</v>
      </c>
      <c r="C3654" s="7" t="s">
        <v>3324</v>
      </c>
      <c r="D3654" s="7" t="s">
        <v>110</v>
      </c>
      <c r="E3654" s="5" t="s">
        <v>43</v>
      </c>
      <c r="F3654" s="8"/>
      <c r="G3654" s="9">
        <f>H3654*(1-30%)*(1-F3654)</f>
        <v>26.593</v>
      </c>
      <c r="H3654" s="9">
        <v>37.990000000000002</v>
      </c>
      <c r="I3654" s="9">
        <f>H3654-G3654</f>
        <v>11.397000000000002</v>
      </c>
    </row>
    <row r="3655" ht="14.25">
      <c r="A3655" s="5">
        <v>52327</v>
      </c>
      <c r="B3655" s="7" t="s">
        <v>3749</v>
      </c>
      <c r="C3655" s="7" t="s">
        <v>3324</v>
      </c>
      <c r="D3655" s="7" t="s">
        <v>110</v>
      </c>
      <c r="E3655" s="5" t="s">
        <v>43</v>
      </c>
      <c r="F3655" s="8"/>
      <c r="G3655" s="9">
        <f>H3655*(1-30%)*(1-F3655)</f>
        <v>26.593</v>
      </c>
      <c r="H3655" s="9">
        <v>37.990000000000002</v>
      </c>
      <c r="I3655" s="9">
        <f>H3655-G3655</f>
        <v>11.397000000000002</v>
      </c>
    </row>
    <row r="3656" ht="14.25">
      <c r="A3656" s="5">
        <v>52328</v>
      </c>
      <c r="B3656" s="7" t="s">
        <v>3750</v>
      </c>
      <c r="C3656" s="7" t="s">
        <v>3324</v>
      </c>
      <c r="D3656" s="7" t="s">
        <v>110</v>
      </c>
      <c r="E3656" s="5" t="s">
        <v>43</v>
      </c>
      <c r="F3656" s="8"/>
      <c r="G3656" s="9">
        <f>H3656*(1-30%)*(1-F3656)</f>
        <v>26.593</v>
      </c>
      <c r="H3656" s="9">
        <v>37.990000000000002</v>
      </c>
      <c r="I3656" s="9">
        <f>H3656-G3656</f>
        <v>11.397000000000002</v>
      </c>
    </row>
    <row r="3657" ht="14.25">
      <c r="A3657" s="5">
        <v>52329</v>
      </c>
      <c r="B3657" s="7" t="s">
        <v>3751</v>
      </c>
      <c r="C3657" s="7" t="s">
        <v>3324</v>
      </c>
      <c r="D3657" s="7" t="s">
        <v>110</v>
      </c>
      <c r="E3657" s="5" t="s">
        <v>26</v>
      </c>
      <c r="F3657" s="8"/>
      <c r="G3657" s="9">
        <f>H3657*(1-30%)*(1-F3657)</f>
        <v>26.593</v>
      </c>
      <c r="H3657" s="9">
        <v>37.990000000000002</v>
      </c>
      <c r="I3657" s="9">
        <f>H3657-G3657</f>
        <v>11.397000000000002</v>
      </c>
    </row>
    <row r="3658" ht="14.25">
      <c r="A3658" s="5">
        <v>52331</v>
      </c>
      <c r="B3658" s="7" t="s">
        <v>3752</v>
      </c>
      <c r="C3658" s="7" t="s">
        <v>3324</v>
      </c>
      <c r="D3658" s="7" t="s">
        <v>110</v>
      </c>
      <c r="E3658" s="5" t="s">
        <v>26</v>
      </c>
      <c r="F3658" s="8"/>
      <c r="G3658" s="9">
        <f>H3658*(1-30%)*(1-F3658)</f>
        <v>26.593</v>
      </c>
      <c r="H3658" s="9">
        <v>37.990000000000002</v>
      </c>
      <c r="I3658" s="9">
        <f>H3658-G3658</f>
        <v>11.397000000000002</v>
      </c>
    </row>
    <row r="3659" ht="14.25">
      <c r="A3659" s="5">
        <v>52332</v>
      </c>
      <c r="B3659" s="7" t="s">
        <v>3753</v>
      </c>
      <c r="C3659" s="7" t="s">
        <v>3324</v>
      </c>
      <c r="D3659" s="7" t="s">
        <v>110</v>
      </c>
      <c r="E3659" s="5" t="s">
        <v>43</v>
      </c>
      <c r="F3659" s="8"/>
      <c r="G3659" s="9">
        <f>H3659*(1-30%)*(1-F3659)</f>
        <v>26.593</v>
      </c>
      <c r="H3659" s="9">
        <v>37.990000000000002</v>
      </c>
      <c r="I3659" s="9">
        <f>H3659-G3659</f>
        <v>11.397000000000002</v>
      </c>
    </row>
    <row r="3660" ht="14.25">
      <c r="A3660" s="5">
        <v>52334</v>
      </c>
      <c r="B3660" s="7" t="s">
        <v>3754</v>
      </c>
      <c r="C3660" s="7" t="s">
        <v>3324</v>
      </c>
      <c r="D3660" s="7" t="s">
        <v>110</v>
      </c>
      <c r="E3660" s="5" t="s">
        <v>43</v>
      </c>
      <c r="F3660" s="8"/>
      <c r="G3660" s="9">
        <f>H3660*(1-30%)*(1-F3660)</f>
        <v>26.593</v>
      </c>
      <c r="H3660" s="9">
        <v>37.990000000000002</v>
      </c>
      <c r="I3660" s="9">
        <f>H3660-G3660</f>
        <v>11.397000000000002</v>
      </c>
    </row>
    <row r="3661" ht="14.25">
      <c r="A3661" s="5">
        <v>52335</v>
      </c>
      <c r="B3661" s="7" t="s">
        <v>3755</v>
      </c>
      <c r="C3661" s="7" t="s">
        <v>3324</v>
      </c>
      <c r="D3661" s="7" t="s">
        <v>110</v>
      </c>
      <c r="E3661" s="5" t="s">
        <v>43</v>
      </c>
      <c r="F3661" s="8"/>
      <c r="G3661" s="9">
        <f>H3661*(1-30%)*(1-F3661)</f>
        <v>26.593</v>
      </c>
      <c r="H3661" s="9">
        <v>37.990000000000002</v>
      </c>
      <c r="I3661" s="9">
        <f>H3661-G3661</f>
        <v>11.397000000000002</v>
      </c>
    </row>
    <row r="3662" ht="14.25">
      <c r="A3662" s="5">
        <v>52344</v>
      </c>
      <c r="B3662" s="7" t="s">
        <v>3756</v>
      </c>
      <c r="C3662" s="7" t="s">
        <v>3262</v>
      </c>
      <c r="D3662" s="7" t="s">
        <v>45</v>
      </c>
      <c r="E3662" s="5" t="s">
        <v>43</v>
      </c>
      <c r="F3662" s="8"/>
      <c r="G3662" s="9">
        <f>H3662*(1-30%)*(1-F3662)</f>
        <v>38.493000000000002</v>
      </c>
      <c r="H3662" s="9">
        <v>54.990000000000002</v>
      </c>
      <c r="I3662" s="9">
        <f>H3662-G3662</f>
        <v>16.497</v>
      </c>
    </row>
    <row r="3663" ht="14.25">
      <c r="A3663" s="5">
        <v>52350</v>
      </c>
      <c r="B3663" s="7" t="s">
        <v>3757</v>
      </c>
      <c r="C3663" s="7" t="s">
        <v>3324</v>
      </c>
      <c r="D3663" s="7" t="s">
        <v>110</v>
      </c>
      <c r="E3663" s="5" t="s">
        <v>43</v>
      </c>
      <c r="F3663" s="8"/>
      <c r="G3663" s="9">
        <f>H3663*(1-30%)*(1-F3663)</f>
        <v>26.593</v>
      </c>
      <c r="H3663" s="9">
        <v>37.990000000000002</v>
      </c>
      <c r="I3663" s="9">
        <f>H3663-G3663</f>
        <v>11.397000000000002</v>
      </c>
    </row>
    <row r="3664" ht="14.25">
      <c r="A3664" s="5">
        <v>52351</v>
      </c>
      <c r="B3664" s="7" t="s">
        <v>3758</v>
      </c>
      <c r="C3664" s="7" t="s">
        <v>3324</v>
      </c>
      <c r="D3664" s="7" t="s">
        <v>110</v>
      </c>
      <c r="E3664" s="5" t="s">
        <v>43</v>
      </c>
      <c r="F3664" s="8"/>
      <c r="G3664" s="9">
        <f>H3664*(1-30%)*(1-F3664)</f>
        <v>26.593</v>
      </c>
      <c r="H3664" s="9">
        <v>37.990000000000002</v>
      </c>
      <c r="I3664" s="9">
        <f>H3664-G3664</f>
        <v>11.397000000000002</v>
      </c>
    </row>
    <row r="3665" ht="14.25">
      <c r="A3665" s="5">
        <v>52353</v>
      </c>
      <c r="B3665" s="7" t="s">
        <v>3759</v>
      </c>
      <c r="C3665" s="7" t="s">
        <v>3324</v>
      </c>
      <c r="D3665" s="7" t="s">
        <v>110</v>
      </c>
      <c r="E3665" s="5" t="s">
        <v>43</v>
      </c>
      <c r="F3665" s="8"/>
      <c r="G3665" s="9">
        <f>H3665*(1-30%)*(1-F3665)</f>
        <v>24.492999999999999</v>
      </c>
      <c r="H3665" s="9">
        <v>34.990000000000002</v>
      </c>
      <c r="I3665" s="9">
        <f>H3665-G3665</f>
        <v>10.497000000000003</v>
      </c>
    </row>
    <row r="3666" ht="14.25">
      <c r="A3666" s="5">
        <v>52354</v>
      </c>
      <c r="B3666" s="7" t="s">
        <v>3760</v>
      </c>
      <c r="C3666" s="7" t="s">
        <v>3324</v>
      </c>
      <c r="D3666" s="7" t="s">
        <v>110</v>
      </c>
      <c r="E3666" s="5" t="s">
        <v>43</v>
      </c>
      <c r="F3666" s="8"/>
      <c r="G3666" s="9">
        <f>H3666*(1-30%)*(1-F3666)</f>
        <v>24.492999999999999</v>
      </c>
      <c r="H3666" s="9">
        <v>34.990000000000002</v>
      </c>
      <c r="I3666" s="9">
        <f>H3666-G3666</f>
        <v>10.497000000000003</v>
      </c>
    </row>
    <row r="3667" ht="14.25">
      <c r="A3667" s="5">
        <v>52370</v>
      </c>
      <c r="B3667" s="7" t="s">
        <v>3761</v>
      </c>
      <c r="C3667" s="7" t="s">
        <v>3276</v>
      </c>
      <c r="D3667" s="7" t="s">
        <v>103</v>
      </c>
      <c r="E3667" s="5" t="s">
        <v>43</v>
      </c>
      <c r="F3667" s="8"/>
      <c r="G3667" s="9">
        <f>H3667*(1-30%)*(1-F3667)</f>
        <v>34.993000000000002</v>
      </c>
      <c r="H3667" s="9">
        <v>49.990000000000002</v>
      </c>
      <c r="I3667" s="9">
        <f>H3667-G3667</f>
        <v>14.997</v>
      </c>
    </row>
    <row r="3668" ht="14.25">
      <c r="A3668" s="5">
        <v>52373</v>
      </c>
      <c r="B3668" s="7" t="s">
        <v>3762</v>
      </c>
      <c r="C3668" s="7" t="s">
        <v>3276</v>
      </c>
      <c r="D3668" s="7" t="s">
        <v>103</v>
      </c>
      <c r="E3668" s="5" t="s">
        <v>43</v>
      </c>
      <c r="F3668" s="8"/>
      <c r="G3668" s="9">
        <f>H3668*(1-30%)*(1-F3668)</f>
        <v>34.993000000000002</v>
      </c>
      <c r="H3668" s="9">
        <v>49.990000000000002</v>
      </c>
      <c r="I3668" s="9">
        <f>H3668-G3668</f>
        <v>14.997</v>
      </c>
    </row>
    <row r="3669" ht="14.25">
      <c r="A3669" s="5">
        <v>52374</v>
      </c>
      <c r="B3669" s="7" t="s">
        <v>3763</v>
      </c>
      <c r="C3669" s="7" t="s">
        <v>3276</v>
      </c>
      <c r="D3669" s="7" t="s">
        <v>103</v>
      </c>
      <c r="E3669" s="5" t="s">
        <v>43</v>
      </c>
      <c r="F3669" s="8"/>
      <c r="G3669" s="9">
        <f>H3669*(1-30%)*(1-F3669)</f>
        <v>23.093</v>
      </c>
      <c r="H3669" s="9">
        <v>32.990000000000002</v>
      </c>
      <c r="I3669" s="9">
        <f>H3669-G3669</f>
        <v>9.897000000000002</v>
      </c>
    </row>
    <row r="3670" ht="14.25">
      <c r="A3670" s="5">
        <v>52376</v>
      </c>
      <c r="B3670" s="7" t="s">
        <v>3764</v>
      </c>
      <c r="C3670" s="7" t="s">
        <v>3276</v>
      </c>
      <c r="D3670" s="7" t="s">
        <v>103</v>
      </c>
      <c r="E3670" s="5" t="s">
        <v>43</v>
      </c>
      <c r="F3670" s="8"/>
      <c r="G3670" s="9">
        <f>H3670*(1-30%)*(1-F3670)</f>
        <v>34.993000000000002</v>
      </c>
      <c r="H3670" s="9">
        <v>49.990000000000002</v>
      </c>
      <c r="I3670" s="9">
        <f>H3670-G3670</f>
        <v>14.997</v>
      </c>
    </row>
    <row r="3671" ht="14.25">
      <c r="A3671" s="5">
        <v>52378</v>
      </c>
      <c r="B3671" s="7" t="s">
        <v>3765</v>
      </c>
      <c r="C3671" s="7" t="s">
        <v>3276</v>
      </c>
      <c r="D3671" s="7" t="s">
        <v>103</v>
      </c>
      <c r="E3671" s="5" t="s">
        <v>43</v>
      </c>
      <c r="F3671" s="8"/>
      <c r="G3671" s="9">
        <f>H3671*(1-30%)*(1-F3671)</f>
        <v>23.093</v>
      </c>
      <c r="H3671" s="9">
        <v>32.990000000000002</v>
      </c>
      <c r="I3671" s="9">
        <f>H3671-G3671</f>
        <v>9.897000000000002</v>
      </c>
    </row>
    <row r="3672" ht="14.25">
      <c r="A3672" s="5">
        <v>52379</v>
      </c>
      <c r="B3672" s="7" t="s">
        <v>3766</v>
      </c>
      <c r="C3672" s="7" t="s">
        <v>3276</v>
      </c>
      <c r="D3672" s="7" t="s">
        <v>103</v>
      </c>
      <c r="E3672" s="5" t="s">
        <v>43</v>
      </c>
      <c r="F3672" s="8"/>
      <c r="G3672" s="9">
        <f>H3672*(1-30%)*(1-F3672)</f>
        <v>30.093</v>
      </c>
      <c r="H3672" s="9">
        <v>42.990000000000002</v>
      </c>
      <c r="I3672" s="9">
        <f>H3672-G3672</f>
        <v>12.897000000000002</v>
      </c>
    </row>
    <row r="3673" ht="14.25">
      <c r="A3673" s="5">
        <v>52381</v>
      </c>
      <c r="B3673" s="7" t="s">
        <v>3767</v>
      </c>
      <c r="C3673" s="7" t="s">
        <v>3276</v>
      </c>
      <c r="D3673" s="7" t="s">
        <v>103</v>
      </c>
      <c r="E3673" s="5" t="s">
        <v>43</v>
      </c>
      <c r="F3673" s="8"/>
      <c r="G3673" s="9">
        <f>H3673*(1-30%)*(1-F3673)</f>
        <v>23.093</v>
      </c>
      <c r="H3673" s="9">
        <v>32.990000000000002</v>
      </c>
      <c r="I3673" s="9">
        <f>H3673-G3673</f>
        <v>9.897000000000002</v>
      </c>
    </row>
    <row r="3674" ht="14.25">
      <c r="A3674" s="5">
        <v>52382</v>
      </c>
      <c r="B3674" s="7" t="s">
        <v>3768</v>
      </c>
      <c r="C3674" s="7" t="s">
        <v>3276</v>
      </c>
      <c r="D3674" s="7" t="s">
        <v>583</v>
      </c>
      <c r="E3674" s="5" t="s">
        <v>43</v>
      </c>
      <c r="F3674" s="8"/>
      <c r="G3674" s="9">
        <f>H3674*(1-30%)*(1-F3674)</f>
        <v>44.092999999999996</v>
      </c>
      <c r="H3674" s="9">
        <v>62.990000000000002</v>
      </c>
      <c r="I3674" s="9">
        <f>H3674-G3674</f>
        <v>18.897000000000006</v>
      </c>
    </row>
    <row r="3675" ht="14.25">
      <c r="A3675" s="5">
        <v>52383</v>
      </c>
      <c r="B3675" s="7" t="s">
        <v>3769</v>
      </c>
      <c r="C3675" s="7" t="s">
        <v>3276</v>
      </c>
      <c r="D3675" s="7" t="s">
        <v>45</v>
      </c>
      <c r="E3675" s="5" t="s">
        <v>43</v>
      </c>
      <c r="F3675" s="8"/>
      <c r="G3675" s="9">
        <f>H3675*(1-30%)*(1-F3675)</f>
        <v>13.992999999999999</v>
      </c>
      <c r="H3675" s="9">
        <v>19.989999999999998</v>
      </c>
      <c r="I3675" s="9">
        <f>H3675-G3675</f>
        <v>5.9969999999999999</v>
      </c>
    </row>
    <row r="3676" ht="14.25">
      <c r="A3676" s="5">
        <v>52384</v>
      </c>
      <c r="B3676" s="7" t="s">
        <v>3770</v>
      </c>
      <c r="C3676" s="7" t="s">
        <v>3276</v>
      </c>
      <c r="D3676" s="7" t="s">
        <v>45</v>
      </c>
      <c r="E3676" s="5" t="s">
        <v>43</v>
      </c>
      <c r="F3676" s="8"/>
      <c r="G3676" s="9">
        <f>H3676*(1-30%)*(1-F3676)</f>
        <v>41.292999999999999</v>
      </c>
      <c r="H3676" s="9">
        <v>58.990000000000002</v>
      </c>
      <c r="I3676" s="9">
        <f>H3676-G3676</f>
        <v>17.697000000000003</v>
      </c>
    </row>
    <row r="3677" ht="14.25">
      <c r="A3677" s="5">
        <v>52385</v>
      </c>
      <c r="B3677" s="7" t="s">
        <v>3771</v>
      </c>
      <c r="C3677" s="7" t="s">
        <v>3276</v>
      </c>
      <c r="D3677" s="7" t="s">
        <v>45</v>
      </c>
      <c r="E3677" s="5" t="s">
        <v>43</v>
      </c>
      <c r="F3677" s="8"/>
      <c r="G3677" s="9">
        <f>H3677*(1-30%)*(1-F3677)</f>
        <v>26.593</v>
      </c>
      <c r="H3677" s="9">
        <v>37.990000000000002</v>
      </c>
      <c r="I3677" s="9">
        <f>H3677-G3677</f>
        <v>11.397000000000002</v>
      </c>
    </row>
    <row r="3678" ht="14.25">
      <c r="A3678" s="5">
        <v>52386</v>
      </c>
      <c r="B3678" s="7" t="s">
        <v>3772</v>
      </c>
      <c r="C3678" s="7" t="s">
        <v>3276</v>
      </c>
      <c r="D3678" s="7" t="s">
        <v>45</v>
      </c>
      <c r="E3678" s="5" t="s">
        <v>43</v>
      </c>
      <c r="F3678" s="8"/>
      <c r="G3678" s="9">
        <f>H3678*(1-30%)*(1-F3678)</f>
        <v>34.993000000000002</v>
      </c>
      <c r="H3678" s="9">
        <v>49.990000000000002</v>
      </c>
      <c r="I3678" s="9">
        <f>H3678-G3678</f>
        <v>14.997</v>
      </c>
    </row>
    <row r="3679" ht="14.25">
      <c r="A3679" s="5">
        <v>52387</v>
      </c>
      <c r="B3679" s="7" t="s">
        <v>3773</v>
      </c>
      <c r="C3679" s="7" t="s">
        <v>3276</v>
      </c>
      <c r="D3679" s="7" t="s">
        <v>103</v>
      </c>
      <c r="E3679" s="5" t="s">
        <v>43</v>
      </c>
      <c r="F3679" s="8"/>
      <c r="G3679" s="9">
        <f>H3679*(1-30%)*(1-F3679)</f>
        <v>23.093</v>
      </c>
      <c r="H3679" s="9">
        <v>32.990000000000002</v>
      </c>
      <c r="I3679" s="9">
        <f>H3679-G3679</f>
        <v>9.897000000000002</v>
      </c>
    </row>
    <row r="3680" ht="14.25">
      <c r="A3680" s="5">
        <v>52389</v>
      </c>
      <c r="B3680" s="7" t="s">
        <v>3774</v>
      </c>
      <c r="C3680" s="7" t="s">
        <v>3276</v>
      </c>
      <c r="D3680" s="7" t="s">
        <v>45</v>
      </c>
      <c r="E3680" s="5" t="s">
        <v>43</v>
      </c>
      <c r="F3680" s="8"/>
      <c r="G3680" s="9">
        <f>H3680*(1-30%)*(1-F3680)</f>
        <v>34.993000000000002</v>
      </c>
      <c r="H3680" s="9">
        <v>49.990000000000002</v>
      </c>
      <c r="I3680" s="9">
        <f>H3680-G3680</f>
        <v>14.997</v>
      </c>
    </row>
    <row r="3681" ht="14.25">
      <c r="A3681" s="5">
        <v>52390</v>
      </c>
      <c r="B3681" s="7" t="s">
        <v>3775</v>
      </c>
      <c r="C3681" s="7" t="s">
        <v>3276</v>
      </c>
      <c r="D3681" s="7" t="s">
        <v>45</v>
      </c>
      <c r="E3681" s="5" t="s">
        <v>43</v>
      </c>
      <c r="F3681" s="8"/>
      <c r="G3681" s="9">
        <f>H3681*(1-30%)*(1-F3681)</f>
        <v>41.292999999999999</v>
      </c>
      <c r="H3681" s="9">
        <v>58.990000000000002</v>
      </c>
      <c r="I3681" s="9">
        <f>H3681-G3681</f>
        <v>17.697000000000003</v>
      </c>
    </row>
    <row r="3682" ht="14.25">
      <c r="A3682" s="5">
        <v>52403</v>
      </c>
      <c r="B3682" s="7" t="s">
        <v>3776</v>
      </c>
      <c r="C3682" s="7" t="s">
        <v>3265</v>
      </c>
      <c r="D3682" s="7" t="s">
        <v>110</v>
      </c>
      <c r="E3682" s="5" t="s">
        <v>43</v>
      </c>
      <c r="F3682" s="8"/>
      <c r="G3682" s="9">
        <f>H3682*(1-30%)*(1-F3682)</f>
        <v>51.092999999999996</v>
      </c>
      <c r="H3682" s="9">
        <v>72.989999999999995</v>
      </c>
      <c r="I3682" s="9">
        <f>H3682-G3682</f>
        <v>21.896999999999998</v>
      </c>
    </row>
    <row r="3683" ht="14.25">
      <c r="A3683" s="5">
        <v>52404</v>
      </c>
      <c r="B3683" s="7" t="s">
        <v>3777</v>
      </c>
      <c r="C3683" s="7" t="s">
        <v>3265</v>
      </c>
      <c r="D3683" s="7" t="s">
        <v>110</v>
      </c>
      <c r="E3683" s="5" t="s">
        <v>43</v>
      </c>
      <c r="F3683" s="8"/>
      <c r="G3683" s="9">
        <f>H3683*(1-30%)*(1-F3683)</f>
        <v>51.092999999999996</v>
      </c>
      <c r="H3683" s="9">
        <v>72.989999999999995</v>
      </c>
      <c r="I3683" s="9">
        <f>H3683-G3683</f>
        <v>21.896999999999998</v>
      </c>
    </row>
    <row r="3684" ht="14.25">
      <c r="A3684" s="5">
        <v>52542</v>
      </c>
      <c r="B3684" s="7" t="s">
        <v>3778</v>
      </c>
      <c r="C3684" s="7" t="s">
        <v>3585</v>
      </c>
      <c r="D3684" s="7" t="s">
        <v>11</v>
      </c>
      <c r="E3684" s="5" t="s">
        <v>43</v>
      </c>
      <c r="F3684" s="8"/>
      <c r="G3684" s="9">
        <f>H3684*(1-30%)*(1-F3684)</f>
        <v>146.93000000000001</v>
      </c>
      <c r="H3684" s="9">
        <v>209.90000000000001</v>
      </c>
      <c r="I3684" s="9">
        <f>H3684-G3684</f>
        <v>62.969999999999999</v>
      </c>
    </row>
    <row r="3685" ht="14.25">
      <c r="A3685" s="5">
        <v>52552</v>
      </c>
      <c r="B3685" s="7" t="s">
        <v>3779</v>
      </c>
      <c r="C3685" s="7" t="s">
        <v>3585</v>
      </c>
      <c r="D3685" s="7" t="s">
        <v>45</v>
      </c>
      <c r="E3685" s="5" t="s">
        <v>15</v>
      </c>
      <c r="F3685" s="8"/>
      <c r="G3685" s="9">
        <f>H3685*(1-30%)*(1-F3685)</f>
        <v>52.492999999999995</v>
      </c>
      <c r="H3685" s="9">
        <v>74.989999999999995</v>
      </c>
      <c r="I3685" s="9">
        <f>H3685-G3685</f>
        <v>22.497</v>
      </c>
    </row>
    <row r="3686" ht="14.25">
      <c r="A3686" s="5">
        <v>52573</v>
      </c>
      <c r="B3686" s="7" t="s">
        <v>3780</v>
      </c>
      <c r="C3686" s="7" t="s">
        <v>3276</v>
      </c>
      <c r="D3686" s="7" t="s">
        <v>103</v>
      </c>
      <c r="E3686" s="5" t="s">
        <v>15</v>
      </c>
      <c r="F3686" s="8"/>
      <c r="G3686" s="9">
        <f>H3686*(1-30%)*(1-F3686)</f>
        <v>23.093</v>
      </c>
      <c r="H3686" s="9">
        <v>32.990000000000002</v>
      </c>
      <c r="I3686" s="9">
        <f>H3686-G3686</f>
        <v>9.897000000000002</v>
      </c>
    </row>
    <row r="3687" ht="14.25">
      <c r="A3687" s="5">
        <v>52577</v>
      </c>
      <c r="B3687" s="7" t="s">
        <v>3781</v>
      </c>
      <c r="C3687" s="7" t="s">
        <v>3265</v>
      </c>
      <c r="D3687" s="7" t="s">
        <v>110</v>
      </c>
      <c r="E3687" s="5" t="s">
        <v>26</v>
      </c>
      <c r="F3687" s="8"/>
      <c r="G3687" s="9">
        <f>H3687*(1-30%)*(1-F3687)</f>
        <v>62.992999999999995</v>
      </c>
      <c r="H3687" s="9">
        <v>89.989999999999995</v>
      </c>
      <c r="I3687" s="9">
        <f>H3687-G3687</f>
        <v>26.997</v>
      </c>
    </row>
    <row r="3688" ht="14.25">
      <c r="A3688" s="5">
        <v>52578</v>
      </c>
      <c r="B3688" s="7" t="s">
        <v>3782</v>
      </c>
      <c r="C3688" s="7" t="s">
        <v>3265</v>
      </c>
      <c r="D3688" s="7" t="s">
        <v>110</v>
      </c>
      <c r="E3688" s="5" t="s">
        <v>26</v>
      </c>
      <c r="F3688" s="8"/>
      <c r="G3688" s="9">
        <f>H3688*(1-30%)*(1-F3688)</f>
        <v>61.592999999999989</v>
      </c>
      <c r="H3688" s="9">
        <v>87.989999999999995</v>
      </c>
      <c r="I3688" s="9">
        <f>H3688-G3688</f>
        <v>26.397000000000006</v>
      </c>
    </row>
    <row r="3689" ht="14.25">
      <c r="A3689" s="5">
        <v>52579</v>
      </c>
      <c r="B3689" s="7" t="s">
        <v>3783</v>
      </c>
      <c r="C3689" s="7" t="s">
        <v>3265</v>
      </c>
      <c r="D3689" s="7" t="s">
        <v>110</v>
      </c>
      <c r="E3689" s="5" t="s">
        <v>43</v>
      </c>
      <c r="F3689" s="8"/>
      <c r="G3689" s="9">
        <f>H3689*(1-30%)*(1-F3689)</f>
        <v>48.992999999999995</v>
      </c>
      <c r="H3689" s="9">
        <v>69.989999999999995</v>
      </c>
      <c r="I3689" s="9">
        <f>H3689-G3689</f>
        <v>20.997</v>
      </c>
    </row>
    <row r="3690" ht="14.25">
      <c r="A3690" s="5">
        <v>52581</v>
      </c>
      <c r="B3690" s="7" t="s">
        <v>3784</v>
      </c>
      <c r="C3690" s="7" t="s">
        <v>3262</v>
      </c>
      <c r="D3690" s="7" t="s">
        <v>110</v>
      </c>
      <c r="E3690" s="5" t="s">
        <v>43</v>
      </c>
      <c r="F3690" s="8"/>
      <c r="G3690" s="9">
        <f>H3690*(1-30%)*(1-F3690)</f>
        <v>30.093</v>
      </c>
      <c r="H3690" s="9">
        <v>42.990000000000002</v>
      </c>
      <c r="I3690" s="9">
        <f>H3690-G3690</f>
        <v>12.897000000000002</v>
      </c>
    </row>
    <row r="3691" ht="14.25">
      <c r="A3691" s="5">
        <v>52582</v>
      </c>
      <c r="B3691" s="7" t="s">
        <v>3785</v>
      </c>
      <c r="C3691" s="7" t="s">
        <v>3262</v>
      </c>
      <c r="D3691" s="7" t="s">
        <v>110</v>
      </c>
      <c r="E3691" s="5" t="s">
        <v>43</v>
      </c>
      <c r="F3691" s="8"/>
      <c r="G3691" s="9">
        <f>H3691*(1-30%)*(1-F3691)</f>
        <v>41.993000000000002</v>
      </c>
      <c r="H3691" s="9">
        <v>59.990000000000002</v>
      </c>
      <c r="I3691" s="9">
        <f>H3691-G3691</f>
        <v>17.997</v>
      </c>
    </row>
    <row r="3692" ht="14.25">
      <c r="A3692" s="5">
        <v>52583</v>
      </c>
      <c r="B3692" s="7" t="s">
        <v>3786</v>
      </c>
      <c r="C3692" s="7" t="s">
        <v>3262</v>
      </c>
      <c r="D3692" s="7" t="s">
        <v>110</v>
      </c>
      <c r="E3692" s="5" t="s">
        <v>43</v>
      </c>
      <c r="F3692" s="8"/>
      <c r="G3692" s="9">
        <f>H3692*(1-30%)*(1-F3692)</f>
        <v>30.093</v>
      </c>
      <c r="H3692" s="9">
        <v>42.990000000000002</v>
      </c>
      <c r="I3692" s="9">
        <f>H3692-G3692</f>
        <v>12.897000000000002</v>
      </c>
    </row>
    <row r="3693" ht="14.25">
      <c r="A3693" s="5">
        <v>52584</v>
      </c>
      <c r="B3693" s="7" t="s">
        <v>3787</v>
      </c>
      <c r="C3693" s="7" t="s">
        <v>3262</v>
      </c>
      <c r="D3693" s="7" t="s">
        <v>110</v>
      </c>
      <c r="E3693" s="5" t="s">
        <v>43</v>
      </c>
      <c r="F3693" s="8"/>
      <c r="G3693" s="9">
        <f>H3693*(1-30%)*(1-F3693)</f>
        <v>30.093</v>
      </c>
      <c r="H3693" s="9">
        <v>42.990000000000002</v>
      </c>
      <c r="I3693" s="9">
        <f>H3693-G3693</f>
        <v>12.897000000000002</v>
      </c>
    </row>
    <row r="3694" ht="14.25">
      <c r="A3694" s="5">
        <v>52585</v>
      </c>
      <c r="B3694" s="7" t="s">
        <v>3788</v>
      </c>
      <c r="C3694" s="7" t="s">
        <v>3262</v>
      </c>
      <c r="D3694" s="7" t="s">
        <v>110</v>
      </c>
      <c r="E3694" s="5" t="s">
        <v>43</v>
      </c>
      <c r="F3694" s="8"/>
      <c r="G3694" s="9">
        <f>H3694*(1-30%)*(1-F3694)</f>
        <v>41.993000000000002</v>
      </c>
      <c r="H3694" s="9">
        <v>59.990000000000002</v>
      </c>
      <c r="I3694" s="9">
        <f>H3694-G3694</f>
        <v>17.997</v>
      </c>
    </row>
    <row r="3695" ht="14.25">
      <c r="A3695" s="5">
        <v>52625</v>
      </c>
      <c r="B3695" s="7" t="s">
        <v>3789</v>
      </c>
      <c r="C3695" s="7" t="s">
        <v>3290</v>
      </c>
      <c r="D3695" s="7" t="s">
        <v>183</v>
      </c>
      <c r="E3695" s="5" t="s">
        <v>43</v>
      </c>
      <c r="F3695" s="8"/>
      <c r="G3695" s="9">
        <f>H3695*(1-30%)*(1-F3695)</f>
        <v>4.5499999999999998</v>
      </c>
      <c r="H3695" s="9">
        <v>6.5</v>
      </c>
      <c r="I3695" s="9">
        <f>H3695-G3695</f>
        <v>1.9500000000000002</v>
      </c>
    </row>
    <row r="3696" ht="14.25">
      <c r="A3696" s="5">
        <v>52632</v>
      </c>
      <c r="B3696" s="7" t="s">
        <v>3790</v>
      </c>
      <c r="C3696" s="7" t="s">
        <v>3324</v>
      </c>
      <c r="D3696" s="7" t="s">
        <v>110</v>
      </c>
      <c r="E3696" s="5" t="s">
        <v>15</v>
      </c>
      <c r="F3696" s="8"/>
      <c r="G3696" s="9">
        <f>H3696*(1-30%)*(1-F3696)</f>
        <v>27.992999999999999</v>
      </c>
      <c r="H3696" s="9">
        <v>39.990000000000002</v>
      </c>
      <c r="I3696" s="9">
        <f>H3696-G3696</f>
        <v>11.997000000000003</v>
      </c>
    </row>
    <row r="3697" ht="14.25">
      <c r="A3697" s="5">
        <v>52637</v>
      </c>
      <c r="B3697" s="7" t="s">
        <v>3791</v>
      </c>
      <c r="C3697" s="7" t="s">
        <v>3506</v>
      </c>
      <c r="D3697" s="7" t="s">
        <v>45</v>
      </c>
      <c r="E3697" s="5" t="s">
        <v>3268</v>
      </c>
      <c r="F3697" s="8"/>
      <c r="G3697" s="9">
        <f>H3697*(1-30%)*(1-F3697)</f>
        <v>34.993000000000002</v>
      </c>
      <c r="H3697" s="9">
        <v>49.990000000000002</v>
      </c>
      <c r="I3697" s="9">
        <f>H3697-G3697</f>
        <v>14.997</v>
      </c>
    </row>
    <row r="3698" ht="14.25">
      <c r="A3698" s="5">
        <v>52675</v>
      </c>
      <c r="B3698" s="7" t="s">
        <v>3792</v>
      </c>
      <c r="C3698" s="7" t="s">
        <v>3276</v>
      </c>
      <c r="D3698" s="7" t="s">
        <v>45</v>
      </c>
      <c r="E3698" s="5" t="s">
        <v>15</v>
      </c>
      <c r="F3698" s="8"/>
      <c r="G3698" s="9">
        <f>H3698*(1-30%)*(1-F3698)</f>
        <v>30.093</v>
      </c>
      <c r="H3698" s="9">
        <v>42.990000000000002</v>
      </c>
      <c r="I3698" s="9">
        <f>H3698-G3698</f>
        <v>12.897000000000002</v>
      </c>
    </row>
    <row r="3699" ht="14.25">
      <c r="A3699" s="5">
        <v>52694</v>
      </c>
      <c r="B3699" s="7" t="s">
        <v>3793</v>
      </c>
      <c r="C3699" s="7" t="s">
        <v>3276</v>
      </c>
      <c r="D3699" s="7" t="s">
        <v>45</v>
      </c>
      <c r="E3699" s="5" t="s">
        <v>15</v>
      </c>
      <c r="F3699" s="8"/>
      <c r="G3699" s="9">
        <f>H3699*(1-30%)*(1-F3699)</f>
        <v>30.093</v>
      </c>
      <c r="H3699" s="9">
        <v>42.990000000000002</v>
      </c>
      <c r="I3699" s="9">
        <f>H3699-G3699</f>
        <v>12.897000000000002</v>
      </c>
    </row>
    <row r="3700" ht="14.25">
      <c r="A3700" s="5">
        <v>52696</v>
      </c>
      <c r="B3700" s="7" t="s">
        <v>3794</v>
      </c>
      <c r="C3700" s="7" t="s">
        <v>3506</v>
      </c>
      <c r="D3700" s="7" t="s">
        <v>45</v>
      </c>
      <c r="E3700" s="5" t="s">
        <v>3268</v>
      </c>
      <c r="F3700" s="8"/>
      <c r="G3700" s="9">
        <f>H3700*(1-30%)*(1-F3700)</f>
        <v>34.993000000000002</v>
      </c>
      <c r="H3700" s="9">
        <v>49.990000000000002</v>
      </c>
      <c r="I3700" s="9">
        <f>H3700-G3700</f>
        <v>14.997</v>
      </c>
    </row>
    <row r="3701" ht="14.25">
      <c r="A3701" s="5">
        <v>52699</v>
      </c>
      <c r="B3701" s="7" t="s">
        <v>3795</v>
      </c>
      <c r="C3701" s="7" t="s">
        <v>3265</v>
      </c>
      <c r="D3701" s="7" t="s">
        <v>110</v>
      </c>
      <c r="E3701" s="5" t="s">
        <v>43</v>
      </c>
      <c r="F3701" s="8"/>
      <c r="G3701" s="9">
        <f>H3701*(1-30%)*(1-F3701)</f>
        <v>40.592999999999996</v>
      </c>
      <c r="H3701" s="9">
        <v>57.990000000000002</v>
      </c>
      <c r="I3701" s="9">
        <f>H3701-G3701</f>
        <v>17.397000000000006</v>
      </c>
    </row>
    <row r="3702" ht="14.25">
      <c r="A3702" s="5">
        <v>52728</v>
      </c>
      <c r="B3702" s="7" t="s">
        <v>3796</v>
      </c>
      <c r="C3702" s="7" t="s">
        <v>3276</v>
      </c>
      <c r="D3702" s="7" t="s">
        <v>103</v>
      </c>
      <c r="E3702" s="5" t="s">
        <v>15</v>
      </c>
      <c r="F3702" s="8"/>
      <c r="G3702" s="9">
        <f>H3702*(1-30%)*(1-F3702)</f>
        <v>24.492999999999999</v>
      </c>
      <c r="H3702" s="9">
        <v>34.990000000000002</v>
      </c>
      <c r="I3702" s="9">
        <f>H3702-G3702</f>
        <v>10.497000000000003</v>
      </c>
    </row>
    <row r="3703" ht="14.25">
      <c r="A3703" s="5">
        <v>52739</v>
      </c>
      <c r="B3703" s="7" t="s">
        <v>3797</v>
      </c>
      <c r="C3703" s="7" t="s">
        <v>3290</v>
      </c>
      <c r="D3703" s="7" t="s">
        <v>183</v>
      </c>
      <c r="E3703" s="5" t="s">
        <v>26</v>
      </c>
      <c r="F3703" s="8"/>
      <c r="G3703" s="9">
        <f>H3703*(1-30%)*(1-F3703)</f>
        <v>6.9299999999999997</v>
      </c>
      <c r="H3703" s="9">
        <v>9.9000000000000004</v>
      </c>
      <c r="I3703" s="9">
        <f>H3703-G3703</f>
        <v>2.9700000000000006</v>
      </c>
    </row>
    <row r="3704" ht="14.25">
      <c r="A3704" s="5">
        <v>52745</v>
      </c>
      <c r="B3704" s="7" t="s">
        <v>3798</v>
      </c>
      <c r="C3704" s="7" t="s">
        <v>3290</v>
      </c>
      <c r="D3704" s="7" t="s">
        <v>45</v>
      </c>
      <c r="E3704" s="5" t="s">
        <v>43</v>
      </c>
      <c r="F3704" s="8"/>
      <c r="G3704" s="9">
        <f>H3704*(1-30%)*(1-F3704)</f>
        <v>69.992999999999995</v>
      </c>
      <c r="H3704" s="9">
        <v>99.989999999999995</v>
      </c>
      <c r="I3704" s="9">
        <f>H3704-G3704</f>
        <v>29.997</v>
      </c>
    </row>
    <row r="3705" ht="14.25">
      <c r="A3705" s="5">
        <v>52746</v>
      </c>
      <c r="B3705" s="7" t="s">
        <v>3799</v>
      </c>
      <c r="C3705" s="7" t="s">
        <v>3290</v>
      </c>
      <c r="D3705" s="7" t="s">
        <v>45</v>
      </c>
      <c r="E3705" s="5" t="s">
        <v>43</v>
      </c>
      <c r="F3705" s="8"/>
      <c r="G3705" s="9">
        <f>H3705*(1-30%)*(1-F3705)</f>
        <v>61.592999999999989</v>
      </c>
      <c r="H3705" s="9">
        <v>87.989999999999995</v>
      </c>
      <c r="I3705" s="9">
        <f>H3705-G3705</f>
        <v>26.397000000000006</v>
      </c>
    </row>
    <row r="3706" ht="14.25">
      <c r="A3706" s="5">
        <v>52747</v>
      </c>
      <c r="B3706" s="7" t="s">
        <v>3800</v>
      </c>
      <c r="C3706" s="7" t="s">
        <v>3329</v>
      </c>
      <c r="D3706" s="7" t="s">
        <v>45</v>
      </c>
      <c r="E3706" s="5" t="s">
        <v>43</v>
      </c>
      <c r="F3706" s="8"/>
      <c r="G3706" s="9">
        <f>H3706*(1-30%)*(1-F3706)</f>
        <v>61.592999999999989</v>
      </c>
      <c r="H3706" s="9">
        <v>87.989999999999995</v>
      </c>
      <c r="I3706" s="9">
        <f>H3706-G3706</f>
        <v>26.397000000000006</v>
      </c>
    </row>
    <row r="3707" ht="14.25">
      <c r="A3707" s="5">
        <v>52748</v>
      </c>
      <c r="B3707" s="7" t="s">
        <v>3801</v>
      </c>
      <c r="C3707" s="7" t="s">
        <v>3329</v>
      </c>
      <c r="D3707" s="7" t="s">
        <v>45</v>
      </c>
      <c r="E3707" s="5" t="s">
        <v>43</v>
      </c>
      <c r="F3707" s="8"/>
      <c r="G3707" s="9">
        <f>H3707*(1-30%)*(1-F3707)</f>
        <v>76.992999999999995</v>
      </c>
      <c r="H3707" s="9">
        <v>109.98999999999999</v>
      </c>
      <c r="I3707" s="9">
        <f>H3707-G3707</f>
        <v>32.997</v>
      </c>
    </row>
    <row r="3708" ht="14.25">
      <c r="A3708" s="5">
        <v>52758</v>
      </c>
      <c r="B3708" s="7" t="s">
        <v>3802</v>
      </c>
      <c r="C3708" s="7" t="s">
        <v>3276</v>
      </c>
      <c r="D3708" s="7" t="s">
        <v>103</v>
      </c>
      <c r="E3708" s="5" t="s">
        <v>43</v>
      </c>
      <c r="F3708" s="8"/>
      <c r="G3708" s="9">
        <f>H3708*(1-30%)*(1-F3708)</f>
        <v>23.093</v>
      </c>
      <c r="H3708" s="9">
        <v>32.990000000000002</v>
      </c>
      <c r="I3708" s="9">
        <f>H3708-G3708</f>
        <v>9.897000000000002</v>
      </c>
    </row>
    <row r="3709" ht="14.25">
      <c r="A3709" s="5">
        <v>52759</v>
      </c>
      <c r="B3709" s="7" t="s">
        <v>3803</v>
      </c>
      <c r="C3709" s="7" t="s">
        <v>3276</v>
      </c>
      <c r="D3709" s="7" t="s">
        <v>11</v>
      </c>
      <c r="E3709" s="5" t="s">
        <v>43</v>
      </c>
      <c r="F3709" s="8"/>
      <c r="G3709" s="9">
        <f>H3709*(1-30%)*(1-F3709)</f>
        <v>51.092999999999996</v>
      </c>
      <c r="H3709" s="9">
        <v>72.989999999999995</v>
      </c>
      <c r="I3709" s="9">
        <f>H3709-G3709</f>
        <v>21.896999999999998</v>
      </c>
    </row>
    <row r="3710" ht="14.25">
      <c r="A3710" s="5">
        <v>52863</v>
      </c>
      <c r="B3710" s="7" t="s">
        <v>3804</v>
      </c>
      <c r="C3710" s="7" t="s">
        <v>3302</v>
      </c>
      <c r="D3710" s="7" t="s">
        <v>61</v>
      </c>
      <c r="E3710" s="5" t="s">
        <v>15</v>
      </c>
      <c r="F3710" s="8"/>
      <c r="G3710" s="9">
        <f>H3710*(1-30%)*(1-F3710)</f>
        <v>55.992999999999995</v>
      </c>
      <c r="H3710" s="9">
        <v>79.989999999999995</v>
      </c>
      <c r="I3710" s="9">
        <f>H3710-G3710</f>
        <v>23.997</v>
      </c>
    </row>
    <row r="3711" ht="14.25">
      <c r="A3711" s="5">
        <v>52864</v>
      </c>
      <c r="B3711" s="7" t="s">
        <v>3805</v>
      </c>
      <c r="C3711" s="7" t="s">
        <v>3302</v>
      </c>
      <c r="D3711" s="7" t="s">
        <v>199</v>
      </c>
      <c r="E3711" s="5" t="s">
        <v>43</v>
      </c>
      <c r="F3711" s="8"/>
      <c r="G3711" s="9">
        <f>H3711*(1-30%)*(1-F3711)</f>
        <v>58.092999999999989</v>
      </c>
      <c r="H3711" s="9">
        <v>82.989999999999995</v>
      </c>
      <c r="I3711" s="9">
        <f>H3711-G3711</f>
        <v>24.897000000000006</v>
      </c>
    </row>
    <row r="3712" ht="14.25">
      <c r="A3712" s="5">
        <v>52885</v>
      </c>
      <c r="B3712" s="7" t="s">
        <v>3806</v>
      </c>
      <c r="C3712" s="7" t="s">
        <v>3506</v>
      </c>
      <c r="D3712" s="7" t="s">
        <v>71</v>
      </c>
      <c r="E3712" s="5" t="s">
        <v>3268</v>
      </c>
      <c r="F3712" s="8"/>
      <c r="G3712" s="9">
        <f>H3712*(1-30%)*(1-F3712)</f>
        <v>27.292999999999999</v>
      </c>
      <c r="H3712" s="9">
        <v>38.990000000000002</v>
      </c>
      <c r="I3712" s="9">
        <f>H3712-G3712</f>
        <v>11.697000000000003</v>
      </c>
    </row>
    <row r="3713" ht="14.25">
      <c r="A3713" s="5">
        <v>52905</v>
      </c>
      <c r="B3713" s="7" t="s">
        <v>3807</v>
      </c>
      <c r="C3713" s="7" t="s">
        <v>3331</v>
      </c>
      <c r="D3713" s="7" t="s">
        <v>103</v>
      </c>
      <c r="E3713" s="5" t="s">
        <v>15</v>
      </c>
      <c r="F3713" s="8"/>
      <c r="G3713" s="9">
        <f>H3713*(1-30%)*(1-F3713)</f>
        <v>33.592999999999996</v>
      </c>
      <c r="H3713" s="9">
        <v>47.990000000000002</v>
      </c>
      <c r="I3713" s="9">
        <f>H3713-G3713</f>
        <v>14.397000000000006</v>
      </c>
    </row>
    <row r="3714" ht="14.25">
      <c r="A3714" s="5">
        <v>52911</v>
      </c>
      <c r="B3714" s="7" t="s">
        <v>3808</v>
      </c>
      <c r="C3714" s="7" t="s">
        <v>3324</v>
      </c>
      <c r="D3714" s="7" t="s">
        <v>110</v>
      </c>
      <c r="E3714" s="5" t="s">
        <v>43</v>
      </c>
      <c r="F3714" s="8"/>
      <c r="G3714" s="9">
        <f>H3714*(1-30%)*(1-F3714)</f>
        <v>26.593</v>
      </c>
      <c r="H3714" s="9">
        <v>37.990000000000002</v>
      </c>
      <c r="I3714" s="9">
        <f>H3714-G3714</f>
        <v>11.397000000000002</v>
      </c>
    </row>
    <row r="3715" ht="14.25">
      <c r="A3715" s="5">
        <v>52913</v>
      </c>
      <c r="B3715" s="7" t="s">
        <v>3809</v>
      </c>
      <c r="C3715" s="7" t="s">
        <v>3324</v>
      </c>
      <c r="D3715" s="7" t="s">
        <v>110</v>
      </c>
      <c r="E3715" s="5" t="s">
        <v>43</v>
      </c>
      <c r="F3715" s="8"/>
      <c r="G3715" s="9">
        <f>H3715*(1-30%)*(1-F3715)</f>
        <v>26.593</v>
      </c>
      <c r="H3715" s="9">
        <v>37.990000000000002</v>
      </c>
      <c r="I3715" s="9">
        <f>H3715-G3715</f>
        <v>11.397000000000002</v>
      </c>
    </row>
    <row r="3716" ht="14.25">
      <c r="A3716" s="5">
        <v>52943</v>
      </c>
      <c r="B3716" s="7" t="s">
        <v>3810</v>
      </c>
      <c r="C3716" s="7" t="s">
        <v>3585</v>
      </c>
      <c r="D3716" s="7" t="s">
        <v>11</v>
      </c>
      <c r="E3716" s="5" t="s">
        <v>3513</v>
      </c>
      <c r="F3716" s="8"/>
      <c r="G3716" s="9">
        <f>H3716*(1-30%)*(1-F3716)</f>
        <v>97.929999999999993</v>
      </c>
      <c r="H3716" s="9">
        <v>139.90000000000001</v>
      </c>
      <c r="I3716" s="9">
        <f>H3716-G3716</f>
        <v>41.970000000000013</v>
      </c>
    </row>
    <row r="3717" ht="14.25">
      <c r="A3717" s="5">
        <v>52969</v>
      </c>
      <c r="B3717" s="7" t="s">
        <v>3811</v>
      </c>
      <c r="C3717" s="7" t="s">
        <v>3341</v>
      </c>
      <c r="D3717" s="7" t="s">
        <v>11</v>
      </c>
      <c r="E3717" s="5" t="s">
        <v>15</v>
      </c>
      <c r="F3717" s="8"/>
      <c r="G3717" s="9">
        <f>H3717*(1-30%)*(1-F3717)</f>
        <v>129.43000000000001</v>
      </c>
      <c r="H3717" s="9">
        <v>184.90000000000001</v>
      </c>
      <c r="I3717" s="9">
        <f>H3717-G3717</f>
        <v>55.469999999999999</v>
      </c>
    </row>
    <row r="3718" ht="14.25">
      <c r="A3718" s="5">
        <v>52995</v>
      </c>
      <c r="B3718" s="7" t="s">
        <v>3812</v>
      </c>
      <c r="C3718" s="7" t="s">
        <v>3276</v>
      </c>
      <c r="D3718" s="7" t="s">
        <v>103</v>
      </c>
      <c r="E3718" s="5" t="s">
        <v>43</v>
      </c>
      <c r="F3718" s="8"/>
      <c r="G3718" s="9">
        <f>H3718*(1-30%)*(1-F3718)</f>
        <v>30.093</v>
      </c>
      <c r="H3718" s="9">
        <v>42.990000000000002</v>
      </c>
      <c r="I3718" s="9">
        <f>H3718-G3718</f>
        <v>12.897000000000002</v>
      </c>
    </row>
    <row r="3719" ht="14.25">
      <c r="A3719" s="5">
        <v>53013</v>
      </c>
      <c r="B3719" s="7" t="s">
        <v>3813</v>
      </c>
      <c r="C3719" s="7" t="s">
        <v>3705</v>
      </c>
      <c r="D3719" s="7" t="s">
        <v>174</v>
      </c>
      <c r="E3719" s="5" t="s">
        <v>43</v>
      </c>
      <c r="F3719" s="8"/>
      <c r="G3719" s="9">
        <f>H3719*(1-30%)*(1-F3719)</f>
        <v>34.993000000000002</v>
      </c>
      <c r="H3719" s="9">
        <v>49.990000000000002</v>
      </c>
      <c r="I3719" s="9">
        <f>H3719-G3719</f>
        <v>14.997</v>
      </c>
    </row>
    <row r="3720" ht="14.25">
      <c r="A3720" s="5">
        <v>53017</v>
      </c>
      <c r="B3720" s="7" t="s">
        <v>3814</v>
      </c>
      <c r="C3720" s="7" t="s">
        <v>3276</v>
      </c>
      <c r="D3720" s="7" t="s">
        <v>45</v>
      </c>
      <c r="E3720" s="5" t="s">
        <v>43</v>
      </c>
      <c r="F3720" s="8"/>
      <c r="G3720" s="9">
        <f>H3720*(1-30%)*(1-F3720)</f>
        <v>30.093</v>
      </c>
      <c r="H3720" s="9">
        <v>42.990000000000002</v>
      </c>
      <c r="I3720" s="9">
        <f>H3720-G3720</f>
        <v>12.897000000000002</v>
      </c>
    </row>
    <row r="3721" ht="14.25">
      <c r="A3721" s="5">
        <v>53019</v>
      </c>
      <c r="B3721" s="7" t="s">
        <v>3815</v>
      </c>
      <c r="C3721" s="7" t="s">
        <v>3265</v>
      </c>
      <c r="D3721" s="7" t="s">
        <v>110</v>
      </c>
      <c r="E3721" s="5" t="s">
        <v>43</v>
      </c>
      <c r="F3721" s="8"/>
      <c r="G3721" s="9">
        <f>H3721*(1-30%)*(1-F3721)</f>
        <v>45.492999999999995</v>
      </c>
      <c r="H3721" s="9">
        <v>64.989999999999995</v>
      </c>
      <c r="I3721" s="9">
        <f>H3721-G3721</f>
        <v>19.497</v>
      </c>
    </row>
    <row r="3722" ht="14.25">
      <c r="A3722" s="5">
        <v>53094</v>
      </c>
      <c r="B3722" s="7" t="s">
        <v>3816</v>
      </c>
      <c r="C3722" s="7" t="s">
        <v>3280</v>
      </c>
      <c r="D3722" s="7" t="s">
        <v>95</v>
      </c>
      <c r="E3722" s="5" t="s">
        <v>43</v>
      </c>
      <c r="F3722" s="8"/>
      <c r="G3722" s="9">
        <f>H3722*(1-30%)*(1-F3722)</f>
        <v>33.592999999999996</v>
      </c>
      <c r="H3722" s="9">
        <v>47.990000000000002</v>
      </c>
      <c r="I3722" s="9">
        <f>H3722-G3722</f>
        <v>14.397000000000006</v>
      </c>
    </row>
    <row r="3723" ht="14.25">
      <c r="A3723" s="5">
        <v>53095</v>
      </c>
      <c r="B3723" s="7" t="s">
        <v>3817</v>
      </c>
      <c r="C3723" s="7" t="s">
        <v>3280</v>
      </c>
      <c r="D3723" s="7" t="s">
        <v>95</v>
      </c>
      <c r="E3723" s="5" t="s">
        <v>43</v>
      </c>
      <c r="F3723" s="8"/>
      <c r="G3723" s="9">
        <f>H3723*(1-30%)*(1-F3723)</f>
        <v>34.993000000000002</v>
      </c>
      <c r="H3723" s="9">
        <v>49.990000000000002</v>
      </c>
      <c r="I3723" s="9">
        <f>H3723-G3723</f>
        <v>14.997</v>
      </c>
    </row>
    <row r="3724" ht="14.25">
      <c r="A3724" s="5">
        <v>53096</v>
      </c>
      <c r="B3724" s="7" t="s">
        <v>3818</v>
      </c>
      <c r="C3724" s="7" t="s">
        <v>3280</v>
      </c>
      <c r="D3724" s="7" t="s">
        <v>95</v>
      </c>
      <c r="E3724" s="5" t="s">
        <v>43</v>
      </c>
      <c r="F3724" s="8"/>
      <c r="G3724" s="9">
        <f>H3724*(1-30%)*(1-F3724)</f>
        <v>45.492999999999995</v>
      </c>
      <c r="H3724" s="9">
        <v>64.989999999999995</v>
      </c>
      <c r="I3724" s="9">
        <f>H3724-G3724</f>
        <v>19.497</v>
      </c>
    </row>
    <row r="3725" ht="14.25">
      <c r="A3725" s="5">
        <v>53136</v>
      </c>
      <c r="B3725" s="7" t="s">
        <v>3819</v>
      </c>
      <c r="C3725" s="7" t="s">
        <v>3508</v>
      </c>
      <c r="D3725" s="7" t="s">
        <v>45</v>
      </c>
      <c r="E3725" s="5" t="s">
        <v>43</v>
      </c>
      <c r="F3725" s="8"/>
      <c r="G3725" s="9">
        <f>H3725*(1-30%)*(1-F3725)</f>
        <v>38.493000000000002</v>
      </c>
      <c r="H3725" s="9">
        <v>54.990000000000002</v>
      </c>
      <c r="I3725" s="9">
        <f>H3725-G3725</f>
        <v>16.497</v>
      </c>
    </row>
    <row r="3726" ht="14.25">
      <c r="A3726" s="5">
        <v>53138</v>
      </c>
      <c r="B3726" s="7" t="s">
        <v>3820</v>
      </c>
      <c r="C3726" s="7" t="s">
        <v>3508</v>
      </c>
      <c r="D3726" s="7" t="s">
        <v>11</v>
      </c>
      <c r="E3726" s="5" t="s">
        <v>43</v>
      </c>
      <c r="F3726" s="8"/>
      <c r="G3726" s="9">
        <f>H3726*(1-30%)*(1-F3726)</f>
        <v>108.42999999999999</v>
      </c>
      <c r="H3726" s="9">
        <v>154.90000000000001</v>
      </c>
      <c r="I3726" s="9">
        <f>H3726-G3726</f>
        <v>46.470000000000013</v>
      </c>
    </row>
    <row r="3727" ht="14.25">
      <c r="A3727" s="5">
        <v>53141</v>
      </c>
      <c r="B3727" s="7" t="s">
        <v>3821</v>
      </c>
      <c r="C3727" s="7" t="s">
        <v>3508</v>
      </c>
      <c r="D3727" s="7" t="s">
        <v>45</v>
      </c>
      <c r="E3727" s="5" t="s">
        <v>43</v>
      </c>
      <c r="F3727" s="8"/>
      <c r="G3727" s="9">
        <f>H3727*(1-30%)*(1-F3727)</f>
        <v>38.493000000000002</v>
      </c>
      <c r="H3727" s="9">
        <v>54.990000000000002</v>
      </c>
      <c r="I3727" s="9">
        <f>H3727-G3727</f>
        <v>16.497</v>
      </c>
    </row>
    <row r="3728" ht="14.25">
      <c r="A3728" s="5">
        <v>53142</v>
      </c>
      <c r="B3728" s="7" t="s">
        <v>3822</v>
      </c>
      <c r="C3728" s="7" t="s">
        <v>3508</v>
      </c>
      <c r="D3728" s="7" t="s">
        <v>11</v>
      </c>
      <c r="E3728" s="5" t="s">
        <v>43</v>
      </c>
      <c r="F3728" s="8"/>
      <c r="G3728" s="9">
        <f>H3728*(1-30%)*(1-F3728)</f>
        <v>108.42999999999999</v>
      </c>
      <c r="H3728" s="9">
        <v>154.90000000000001</v>
      </c>
      <c r="I3728" s="9">
        <f>H3728-G3728</f>
        <v>46.470000000000013</v>
      </c>
    </row>
    <row r="3729" ht="14.25">
      <c r="A3729" s="5">
        <v>53144</v>
      </c>
      <c r="B3729" s="7" t="s">
        <v>3823</v>
      </c>
      <c r="C3729" s="7" t="s">
        <v>3508</v>
      </c>
      <c r="D3729" s="7" t="s">
        <v>11</v>
      </c>
      <c r="E3729" s="5" t="s">
        <v>43</v>
      </c>
      <c r="F3729" s="8"/>
      <c r="G3729" s="9">
        <f>H3729*(1-30%)*(1-F3729)</f>
        <v>108.42999999999999</v>
      </c>
      <c r="H3729" s="9">
        <v>154.90000000000001</v>
      </c>
      <c r="I3729" s="9">
        <f>H3729-G3729</f>
        <v>46.470000000000013</v>
      </c>
    </row>
    <row r="3730" ht="14.25">
      <c r="A3730" s="5">
        <v>53145</v>
      </c>
      <c r="B3730" s="7" t="s">
        <v>3824</v>
      </c>
      <c r="C3730" s="7" t="s">
        <v>3508</v>
      </c>
      <c r="D3730" s="7" t="s">
        <v>45</v>
      </c>
      <c r="E3730" s="5" t="s">
        <v>43</v>
      </c>
      <c r="F3730" s="8"/>
      <c r="G3730" s="9">
        <f>H3730*(1-30%)*(1-F3730)</f>
        <v>38.493000000000002</v>
      </c>
      <c r="H3730" s="9">
        <v>54.990000000000002</v>
      </c>
      <c r="I3730" s="9">
        <f>H3730-G3730</f>
        <v>16.497</v>
      </c>
    </row>
    <row r="3731" ht="14.25">
      <c r="A3731" s="5">
        <v>53146</v>
      </c>
      <c r="B3731" s="7" t="s">
        <v>3825</v>
      </c>
      <c r="C3731" s="7" t="s">
        <v>3262</v>
      </c>
      <c r="D3731" s="7" t="s">
        <v>11</v>
      </c>
      <c r="E3731" s="5" t="s">
        <v>15</v>
      </c>
      <c r="F3731" s="8"/>
      <c r="G3731" s="9">
        <f>H3731*(1-30%)*(1-F3731)</f>
        <v>73.429999999999993</v>
      </c>
      <c r="H3731" s="9">
        <v>104.90000000000001</v>
      </c>
      <c r="I3731" s="9">
        <f>H3731-G3731</f>
        <v>31.470000000000013</v>
      </c>
    </row>
    <row r="3732" ht="14.25">
      <c r="A3732" s="5">
        <v>53149</v>
      </c>
      <c r="B3732" s="7" t="s">
        <v>3826</v>
      </c>
      <c r="C3732" s="7" t="s">
        <v>3276</v>
      </c>
      <c r="D3732" s="7" t="s">
        <v>11</v>
      </c>
      <c r="E3732" s="5" t="s">
        <v>15</v>
      </c>
      <c r="F3732" s="8"/>
      <c r="G3732" s="9">
        <f>H3732*(1-30%)*(1-F3732)</f>
        <v>51.092999999999996</v>
      </c>
      <c r="H3732" s="9">
        <v>72.989999999999995</v>
      </c>
      <c r="I3732" s="9">
        <f>H3732-G3732</f>
        <v>21.896999999999998</v>
      </c>
    </row>
    <row r="3733" ht="14.25">
      <c r="A3733" s="5">
        <v>53150</v>
      </c>
      <c r="B3733" s="7" t="s">
        <v>3827</v>
      </c>
      <c r="C3733" s="7" t="s">
        <v>3276</v>
      </c>
      <c r="D3733" s="7" t="s">
        <v>103</v>
      </c>
      <c r="E3733" s="5" t="s">
        <v>15</v>
      </c>
      <c r="F3733" s="8"/>
      <c r="G3733" s="9">
        <f>H3733*(1-30%)*(1-F3733)</f>
        <v>31.492999999999999</v>
      </c>
      <c r="H3733" s="9">
        <v>44.990000000000002</v>
      </c>
      <c r="I3733" s="9">
        <f>H3733-G3733</f>
        <v>13.497000000000003</v>
      </c>
    </row>
    <row r="3734" ht="14.25">
      <c r="A3734" s="5">
        <v>53151</v>
      </c>
      <c r="B3734" s="7" t="s">
        <v>3828</v>
      </c>
      <c r="C3734" s="7" t="s">
        <v>3331</v>
      </c>
      <c r="D3734" s="7" t="s">
        <v>61</v>
      </c>
      <c r="E3734" s="5" t="s">
        <v>43</v>
      </c>
      <c r="F3734" s="8"/>
      <c r="G3734" s="9">
        <f>H3734*(1-30%)*(1-F3734)</f>
        <v>122.42299999999999</v>
      </c>
      <c r="H3734" s="9">
        <v>174.88999999999999</v>
      </c>
      <c r="I3734" s="9">
        <f>H3734-G3734</f>
        <v>52.466999999999999</v>
      </c>
    </row>
    <row r="3735" ht="14.25">
      <c r="A3735" s="5">
        <v>53156</v>
      </c>
      <c r="B3735" s="7" t="s">
        <v>3829</v>
      </c>
      <c r="C3735" s="7" t="s">
        <v>3276</v>
      </c>
      <c r="D3735" s="7" t="s">
        <v>45</v>
      </c>
      <c r="E3735" s="5" t="s">
        <v>15</v>
      </c>
      <c r="F3735" s="8"/>
      <c r="G3735" s="9">
        <f>H3735*(1-30%)*(1-F3735)</f>
        <v>41.292999999999999</v>
      </c>
      <c r="H3735" s="9">
        <v>58.990000000000002</v>
      </c>
      <c r="I3735" s="9">
        <f>H3735-G3735</f>
        <v>17.697000000000003</v>
      </c>
    </row>
    <row r="3736" ht="14.25">
      <c r="A3736" s="5">
        <v>53157</v>
      </c>
      <c r="B3736" s="7" t="s">
        <v>3830</v>
      </c>
      <c r="C3736" s="7" t="s">
        <v>3276</v>
      </c>
      <c r="D3736" s="7" t="s">
        <v>45</v>
      </c>
      <c r="E3736" s="5" t="s">
        <v>43</v>
      </c>
      <c r="F3736" s="8"/>
      <c r="G3736" s="9">
        <f>H3736*(1-30%)*(1-F3736)</f>
        <v>40.592999999999996</v>
      </c>
      <c r="H3736" s="9">
        <v>57.990000000000002</v>
      </c>
      <c r="I3736" s="9">
        <f>H3736-G3736</f>
        <v>17.397000000000006</v>
      </c>
    </row>
    <row r="3737" ht="14.25">
      <c r="A3737" s="5">
        <v>53184</v>
      </c>
      <c r="B3737" s="7" t="s">
        <v>3831</v>
      </c>
      <c r="C3737" s="7" t="s">
        <v>3276</v>
      </c>
      <c r="D3737" s="7" t="s">
        <v>45</v>
      </c>
      <c r="E3737" s="5" t="s">
        <v>15</v>
      </c>
      <c r="F3737" s="8"/>
      <c r="G3737" s="9">
        <f>H3737*(1-30%)*(1-F3737)</f>
        <v>18.892999999999997</v>
      </c>
      <c r="H3737" s="9">
        <v>26.989999999999998</v>
      </c>
      <c r="I3737" s="9">
        <f>H3737-G3737</f>
        <v>8.0970000000000013</v>
      </c>
    </row>
    <row r="3738" ht="14.25">
      <c r="A3738" s="5">
        <v>53193</v>
      </c>
      <c r="B3738" s="7" t="s">
        <v>3832</v>
      </c>
      <c r="C3738" s="7" t="s">
        <v>3276</v>
      </c>
      <c r="D3738" s="7" t="s">
        <v>71</v>
      </c>
      <c r="E3738" s="5" t="s">
        <v>43</v>
      </c>
      <c r="F3738" s="8"/>
      <c r="G3738" s="9">
        <f>H3738*(1-30%)*(1-F3738)</f>
        <v>24.492999999999999</v>
      </c>
      <c r="H3738" s="9">
        <v>34.990000000000002</v>
      </c>
      <c r="I3738" s="9">
        <f>H3738-G3738</f>
        <v>10.497000000000003</v>
      </c>
    </row>
    <row r="3739" ht="14.25">
      <c r="A3739" s="5">
        <v>53194</v>
      </c>
      <c r="B3739" s="7" t="s">
        <v>3833</v>
      </c>
      <c r="C3739" s="7" t="s">
        <v>3276</v>
      </c>
      <c r="D3739" s="7" t="s">
        <v>71</v>
      </c>
      <c r="E3739" s="5" t="s">
        <v>43</v>
      </c>
      <c r="F3739" s="8"/>
      <c r="G3739" s="9">
        <f>H3739*(1-30%)*(1-F3739)</f>
        <v>16.792999999999999</v>
      </c>
      <c r="H3739" s="9">
        <v>23.989999999999998</v>
      </c>
      <c r="I3739" s="9">
        <f>H3739-G3739</f>
        <v>7.1969999999999992</v>
      </c>
    </row>
    <row r="3740" ht="14.25">
      <c r="A3740" s="5">
        <v>53196</v>
      </c>
      <c r="B3740" s="7" t="s">
        <v>3834</v>
      </c>
      <c r="C3740" s="7" t="s">
        <v>3276</v>
      </c>
      <c r="D3740" s="7" t="s">
        <v>71</v>
      </c>
      <c r="E3740" s="5" t="s">
        <v>43</v>
      </c>
      <c r="F3740" s="8"/>
      <c r="G3740" s="9">
        <f>H3740*(1-30%)*(1-F3740)</f>
        <v>24.492999999999999</v>
      </c>
      <c r="H3740" s="9">
        <v>34.990000000000002</v>
      </c>
      <c r="I3740" s="9">
        <f>H3740-G3740</f>
        <v>10.497000000000003</v>
      </c>
    </row>
    <row r="3741" ht="14.25">
      <c r="A3741" s="5">
        <v>53197</v>
      </c>
      <c r="B3741" s="7" t="s">
        <v>3835</v>
      </c>
      <c r="C3741" s="7" t="s">
        <v>3276</v>
      </c>
      <c r="D3741" s="7" t="s">
        <v>71</v>
      </c>
      <c r="E3741" s="5" t="s">
        <v>43</v>
      </c>
      <c r="F3741" s="8"/>
      <c r="G3741" s="9">
        <f>H3741*(1-30%)*(1-F3741)</f>
        <v>18.892999999999997</v>
      </c>
      <c r="H3741" s="9">
        <v>26.989999999999998</v>
      </c>
      <c r="I3741" s="9">
        <f>H3741-G3741</f>
        <v>8.0970000000000013</v>
      </c>
    </row>
    <row r="3742" ht="14.25">
      <c r="A3742" s="5">
        <v>53208</v>
      </c>
      <c r="B3742" s="7" t="s">
        <v>3836</v>
      </c>
      <c r="C3742" s="7" t="s">
        <v>3331</v>
      </c>
      <c r="D3742" s="7" t="s">
        <v>45</v>
      </c>
      <c r="E3742" s="5" t="s">
        <v>15</v>
      </c>
      <c r="F3742" s="8"/>
      <c r="G3742" s="9">
        <f>H3742*(1-30%)*(1-F3742)</f>
        <v>34.993000000000002</v>
      </c>
      <c r="H3742" s="9">
        <v>49.990000000000002</v>
      </c>
      <c r="I3742" s="9">
        <f>H3742-G3742</f>
        <v>14.997</v>
      </c>
    </row>
    <row r="3743" ht="14.25">
      <c r="A3743" s="5">
        <v>53209</v>
      </c>
      <c r="B3743" s="7" t="s">
        <v>3837</v>
      </c>
      <c r="C3743" s="7" t="s">
        <v>3522</v>
      </c>
      <c r="D3743" s="7" t="s">
        <v>95</v>
      </c>
      <c r="E3743" s="5" t="s">
        <v>15</v>
      </c>
      <c r="F3743" s="8"/>
      <c r="G3743" s="9">
        <f>H3743*(1-30%)*(1-F3743)</f>
        <v>30.093</v>
      </c>
      <c r="H3743" s="9">
        <v>42.990000000000002</v>
      </c>
      <c r="I3743" s="9">
        <f>H3743-G3743</f>
        <v>12.897000000000002</v>
      </c>
    </row>
    <row r="3744" ht="14.25">
      <c r="A3744" s="5">
        <v>53228</v>
      </c>
      <c r="B3744" s="7" t="s">
        <v>3838</v>
      </c>
      <c r="C3744" s="7" t="s">
        <v>3324</v>
      </c>
      <c r="D3744" s="7" t="s">
        <v>110</v>
      </c>
      <c r="E3744" s="5" t="s">
        <v>43</v>
      </c>
      <c r="F3744" s="8"/>
      <c r="G3744" s="9">
        <f>H3744*(1-30%)*(1-F3744)</f>
        <v>26.593</v>
      </c>
      <c r="H3744" s="9">
        <v>37.990000000000002</v>
      </c>
      <c r="I3744" s="9">
        <f>H3744-G3744</f>
        <v>11.397000000000002</v>
      </c>
    </row>
    <row r="3745" ht="14.25">
      <c r="A3745" s="5">
        <v>53269</v>
      </c>
      <c r="B3745" s="7" t="s">
        <v>3839</v>
      </c>
      <c r="C3745" s="7" t="s">
        <v>3276</v>
      </c>
      <c r="D3745" s="7" t="s">
        <v>45</v>
      </c>
      <c r="E3745" s="5" t="s">
        <v>15</v>
      </c>
      <c r="F3745" s="8"/>
      <c r="G3745" s="9">
        <f>H3745*(1-30%)*(1-F3745)</f>
        <v>19.592999999999996</v>
      </c>
      <c r="H3745" s="9">
        <v>27.989999999999998</v>
      </c>
      <c r="I3745" s="9">
        <f>H3745-G3745</f>
        <v>8.397000000000002</v>
      </c>
    </row>
    <row r="3746" ht="14.25">
      <c r="A3746" s="5">
        <v>53355</v>
      </c>
      <c r="B3746" s="7" t="s">
        <v>3840</v>
      </c>
      <c r="C3746" s="7" t="s">
        <v>3280</v>
      </c>
      <c r="D3746" s="7" t="s">
        <v>95</v>
      </c>
      <c r="E3746" s="5" t="s">
        <v>43</v>
      </c>
      <c r="F3746" s="8"/>
      <c r="G3746" s="9">
        <f>H3746*(1-30%)*(1-F3746)</f>
        <v>48.992999999999995</v>
      </c>
      <c r="H3746" s="9">
        <v>69.989999999999995</v>
      </c>
      <c r="I3746" s="9">
        <f>H3746-G3746</f>
        <v>20.997</v>
      </c>
    </row>
    <row r="3747" ht="14.25">
      <c r="A3747" s="5">
        <v>53357</v>
      </c>
      <c r="B3747" s="7" t="s">
        <v>3841</v>
      </c>
      <c r="C3747" s="7" t="s">
        <v>3280</v>
      </c>
      <c r="D3747" s="7" t="s">
        <v>95</v>
      </c>
      <c r="E3747" s="5" t="s">
        <v>43</v>
      </c>
      <c r="F3747" s="8"/>
      <c r="G3747" s="9">
        <f>H3747*(1-30%)*(1-F3747)</f>
        <v>26.593</v>
      </c>
      <c r="H3747" s="9">
        <v>37.990000000000002</v>
      </c>
      <c r="I3747" s="9">
        <f>H3747-G3747</f>
        <v>11.397000000000002</v>
      </c>
    </row>
    <row r="3748" ht="14.25">
      <c r="A3748" s="5">
        <v>53358</v>
      </c>
      <c r="B3748" s="7" t="s">
        <v>3842</v>
      </c>
      <c r="C3748" s="7" t="s">
        <v>3280</v>
      </c>
      <c r="D3748" s="7" t="s">
        <v>95</v>
      </c>
      <c r="E3748" s="5" t="s">
        <v>43</v>
      </c>
      <c r="F3748" s="8"/>
      <c r="G3748" s="9">
        <f>H3748*(1-30%)*(1-F3748)</f>
        <v>26.593</v>
      </c>
      <c r="H3748" s="9">
        <v>37.990000000000002</v>
      </c>
      <c r="I3748" s="9">
        <f>H3748-G3748</f>
        <v>11.397000000000002</v>
      </c>
    </row>
    <row r="3749" ht="14.25">
      <c r="A3749" s="5">
        <v>53398</v>
      </c>
      <c r="B3749" s="7" t="s">
        <v>3843</v>
      </c>
      <c r="C3749" s="7" t="s">
        <v>3324</v>
      </c>
      <c r="D3749" s="7" t="s">
        <v>110</v>
      </c>
      <c r="E3749" s="5" t="s">
        <v>43</v>
      </c>
      <c r="F3749" s="8"/>
      <c r="G3749" s="9">
        <f>H3749*(1-30%)*(1-F3749)</f>
        <v>26.593</v>
      </c>
      <c r="H3749" s="9">
        <v>37.990000000000002</v>
      </c>
      <c r="I3749" s="9">
        <f>H3749-G3749</f>
        <v>11.397000000000002</v>
      </c>
    </row>
    <row r="3750" ht="14.25">
      <c r="A3750" s="5">
        <v>53406</v>
      </c>
      <c r="B3750" s="7" t="s">
        <v>3844</v>
      </c>
      <c r="C3750" s="7" t="s">
        <v>3265</v>
      </c>
      <c r="D3750" s="7" t="s">
        <v>110</v>
      </c>
      <c r="E3750" s="5" t="s">
        <v>43</v>
      </c>
      <c r="F3750" s="8"/>
      <c r="G3750" s="9">
        <f>H3750*(1-30%)*(1-F3750)</f>
        <v>51.092999999999996</v>
      </c>
      <c r="H3750" s="9">
        <v>72.989999999999995</v>
      </c>
      <c r="I3750" s="9">
        <f>H3750-G3750</f>
        <v>21.896999999999998</v>
      </c>
    </row>
    <row r="3751" ht="14.25">
      <c r="A3751" s="5">
        <v>53407</v>
      </c>
      <c r="B3751" s="7" t="s">
        <v>3845</v>
      </c>
      <c r="C3751" s="7" t="s">
        <v>3265</v>
      </c>
      <c r="D3751" s="7" t="s">
        <v>110</v>
      </c>
      <c r="E3751" s="5" t="s">
        <v>43</v>
      </c>
      <c r="F3751" s="8"/>
      <c r="G3751" s="9">
        <f>H3751*(1-30%)*(1-F3751)</f>
        <v>51.092999999999996</v>
      </c>
      <c r="H3751" s="9">
        <v>72.989999999999995</v>
      </c>
      <c r="I3751" s="9">
        <f>H3751-G3751</f>
        <v>21.896999999999998</v>
      </c>
    </row>
    <row r="3752" ht="14.25">
      <c r="A3752" s="5">
        <v>53408</v>
      </c>
      <c r="B3752" s="7" t="s">
        <v>3846</v>
      </c>
      <c r="C3752" s="7" t="s">
        <v>3265</v>
      </c>
      <c r="D3752" s="7" t="s">
        <v>110</v>
      </c>
      <c r="E3752" s="5" t="s">
        <v>26</v>
      </c>
      <c r="F3752" s="8"/>
      <c r="G3752" s="9">
        <f>H3752*(1-30%)*(1-F3752)</f>
        <v>51.092999999999996</v>
      </c>
      <c r="H3752" s="9">
        <v>72.989999999999995</v>
      </c>
      <c r="I3752" s="9">
        <f>H3752-G3752</f>
        <v>21.896999999999998</v>
      </c>
    </row>
    <row r="3753" ht="14.25">
      <c r="A3753" s="5">
        <v>53428</v>
      </c>
      <c r="B3753" s="7" t="s">
        <v>3847</v>
      </c>
      <c r="C3753" s="7" t="s">
        <v>3280</v>
      </c>
      <c r="D3753" s="7" t="s">
        <v>95</v>
      </c>
      <c r="E3753" s="5" t="s">
        <v>43</v>
      </c>
      <c r="F3753" s="8"/>
      <c r="G3753" s="9">
        <f>H3753*(1-30%)*(1-F3753)</f>
        <v>33.592999999999996</v>
      </c>
      <c r="H3753" s="9">
        <v>47.990000000000002</v>
      </c>
      <c r="I3753" s="9">
        <f>H3753-G3753</f>
        <v>14.397000000000006</v>
      </c>
    </row>
    <row r="3754" ht="14.25">
      <c r="A3754" s="5">
        <v>53430</v>
      </c>
      <c r="B3754" s="7" t="s">
        <v>3848</v>
      </c>
      <c r="C3754" s="7" t="s">
        <v>3280</v>
      </c>
      <c r="D3754" s="7" t="s">
        <v>95</v>
      </c>
      <c r="E3754" s="5" t="s">
        <v>43</v>
      </c>
      <c r="F3754" s="8"/>
      <c r="G3754" s="9">
        <f>H3754*(1-30%)*(1-F3754)</f>
        <v>34.993000000000002</v>
      </c>
      <c r="H3754" s="9">
        <v>49.990000000000002</v>
      </c>
      <c r="I3754" s="9">
        <f>H3754-G3754</f>
        <v>14.997</v>
      </c>
    </row>
    <row r="3755" ht="14.25">
      <c r="A3755" s="5">
        <v>53431</v>
      </c>
      <c r="B3755" s="7" t="s">
        <v>3849</v>
      </c>
      <c r="C3755" s="7" t="s">
        <v>3331</v>
      </c>
      <c r="D3755" s="7" t="s">
        <v>71</v>
      </c>
      <c r="E3755" s="5" t="s">
        <v>43</v>
      </c>
      <c r="F3755" s="8"/>
      <c r="G3755" s="9">
        <f>H3755*(1-30%)*(1-F3755)</f>
        <v>27.292999999999999</v>
      </c>
      <c r="H3755" s="9">
        <v>38.990000000000002</v>
      </c>
      <c r="I3755" s="9">
        <f>H3755-G3755</f>
        <v>11.697000000000003</v>
      </c>
    </row>
    <row r="3756" ht="14.25">
      <c r="A3756" s="5">
        <v>53433</v>
      </c>
      <c r="B3756" s="7" t="s">
        <v>3850</v>
      </c>
      <c r="C3756" s="7" t="s">
        <v>3280</v>
      </c>
      <c r="D3756" s="7" t="s">
        <v>95</v>
      </c>
      <c r="E3756" s="5" t="s">
        <v>43</v>
      </c>
      <c r="F3756" s="8"/>
      <c r="G3756" s="9">
        <f>H3756*(1-30%)*(1-F3756)</f>
        <v>48.992999999999995</v>
      </c>
      <c r="H3756" s="9">
        <v>69.989999999999995</v>
      </c>
      <c r="I3756" s="9">
        <f>H3756-G3756</f>
        <v>20.997</v>
      </c>
    </row>
    <row r="3757" ht="14.25">
      <c r="A3757" s="5">
        <v>53434</v>
      </c>
      <c r="B3757" s="7" t="s">
        <v>3851</v>
      </c>
      <c r="C3757" s="7" t="s">
        <v>3280</v>
      </c>
      <c r="D3757" s="7" t="s">
        <v>95</v>
      </c>
      <c r="E3757" s="5" t="s">
        <v>43</v>
      </c>
      <c r="F3757" s="8"/>
      <c r="G3757" s="9">
        <f>H3757*(1-30%)*(1-F3757)</f>
        <v>47.592999999999996</v>
      </c>
      <c r="H3757" s="9">
        <v>67.989999999999995</v>
      </c>
      <c r="I3757" s="9">
        <f>H3757-G3757</f>
        <v>20.396999999999998</v>
      </c>
    </row>
    <row r="3758" ht="14.25">
      <c r="A3758" s="5">
        <v>53435</v>
      </c>
      <c r="B3758" s="7" t="s">
        <v>3852</v>
      </c>
      <c r="C3758" s="7" t="s">
        <v>3280</v>
      </c>
      <c r="D3758" s="7" t="s">
        <v>95</v>
      </c>
      <c r="E3758" s="5" t="s">
        <v>43</v>
      </c>
      <c r="F3758" s="8"/>
      <c r="G3758" s="9">
        <f>H3758*(1-30%)*(1-F3758)</f>
        <v>33.592999999999996</v>
      </c>
      <c r="H3758" s="9">
        <v>47.990000000000002</v>
      </c>
      <c r="I3758" s="9">
        <f>H3758-G3758</f>
        <v>14.397000000000006</v>
      </c>
    </row>
    <row r="3759" ht="14.25">
      <c r="A3759" s="5">
        <v>53436</v>
      </c>
      <c r="B3759" s="7" t="s">
        <v>3853</v>
      </c>
      <c r="C3759" s="7" t="s">
        <v>3280</v>
      </c>
      <c r="D3759" s="7" t="s">
        <v>95</v>
      </c>
      <c r="E3759" s="5" t="s">
        <v>43</v>
      </c>
      <c r="F3759" s="8"/>
      <c r="G3759" s="9">
        <f>H3759*(1-30%)*(1-F3759)</f>
        <v>34.993000000000002</v>
      </c>
      <c r="H3759" s="9">
        <v>49.990000000000002</v>
      </c>
      <c r="I3759" s="9">
        <f>H3759-G3759</f>
        <v>14.997</v>
      </c>
    </row>
    <row r="3760" ht="14.25">
      <c r="A3760" s="5">
        <v>53437</v>
      </c>
      <c r="B3760" s="7" t="s">
        <v>3854</v>
      </c>
      <c r="C3760" s="7" t="s">
        <v>3280</v>
      </c>
      <c r="D3760" s="7" t="s">
        <v>95</v>
      </c>
      <c r="E3760" s="5" t="s">
        <v>43</v>
      </c>
      <c r="F3760" s="8"/>
      <c r="G3760" s="9">
        <f>H3760*(1-30%)*(1-F3760)</f>
        <v>48.992999999999995</v>
      </c>
      <c r="H3760" s="9">
        <v>69.989999999999995</v>
      </c>
      <c r="I3760" s="9">
        <f>H3760-G3760</f>
        <v>20.997</v>
      </c>
    </row>
    <row r="3761" ht="14.25">
      <c r="A3761" s="5">
        <v>53438</v>
      </c>
      <c r="B3761" s="7" t="s">
        <v>3855</v>
      </c>
      <c r="C3761" s="7" t="s">
        <v>3280</v>
      </c>
      <c r="D3761" s="7" t="s">
        <v>95</v>
      </c>
      <c r="E3761" s="5" t="s">
        <v>43</v>
      </c>
      <c r="F3761" s="8"/>
      <c r="G3761" s="9">
        <f>H3761*(1-30%)*(1-F3761)</f>
        <v>37.092999999999996</v>
      </c>
      <c r="H3761" s="9">
        <v>52.990000000000002</v>
      </c>
      <c r="I3761" s="9">
        <f>H3761-G3761</f>
        <v>15.897000000000006</v>
      </c>
    </row>
    <row r="3762" ht="14.25">
      <c r="A3762" s="5">
        <v>53439</v>
      </c>
      <c r="B3762" s="7" t="s">
        <v>3856</v>
      </c>
      <c r="C3762" s="7" t="s">
        <v>3280</v>
      </c>
      <c r="D3762" s="7" t="s">
        <v>95</v>
      </c>
      <c r="E3762" s="5" t="s">
        <v>43</v>
      </c>
      <c r="F3762" s="8"/>
      <c r="G3762" s="9">
        <f>H3762*(1-30%)*(1-F3762)</f>
        <v>33.592999999999996</v>
      </c>
      <c r="H3762" s="9">
        <v>47.990000000000002</v>
      </c>
      <c r="I3762" s="9">
        <f>H3762-G3762</f>
        <v>14.397000000000006</v>
      </c>
    </row>
    <row r="3763" ht="14.25">
      <c r="A3763" s="5">
        <v>53440</v>
      </c>
      <c r="B3763" s="7" t="s">
        <v>3857</v>
      </c>
      <c r="C3763" s="7" t="s">
        <v>3280</v>
      </c>
      <c r="D3763" s="7" t="s">
        <v>95</v>
      </c>
      <c r="E3763" s="5" t="s">
        <v>43</v>
      </c>
      <c r="F3763" s="8"/>
      <c r="G3763" s="9">
        <f>H3763*(1-30%)*(1-F3763)</f>
        <v>48.992999999999995</v>
      </c>
      <c r="H3763" s="9">
        <v>69.989999999999995</v>
      </c>
      <c r="I3763" s="9">
        <f>H3763-G3763</f>
        <v>20.997</v>
      </c>
    </row>
    <row r="3764" ht="14.25">
      <c r="A3764" s="5">
        <v>53441</v>
      </c>
      <c r="B3764" s="7" t="s">
        <v>3858</v>
      </c>
      <c r="C3764" s="7" t="s">
        <v>3280</v>
      </c>
      <c r="D3764" s="7" t="s">
        <v>95</v>
      </c>
      <c r="E3764" s="5" t="s">
        <v>43</v>
      </c>
      <c r="F3764" s="8"/>
      <c r="G3764" s="9">
        <f>H3764*(1-30%)*(1-F3764)</f>
        <v>34.993000000000002</v>
      </c>
      <c r="H3764" s="9">
        <v>49.990000000000002</v>
      </c>
      <c r="I3764" s="9">
        <f>H3764-G3764</f>
        <v>14.997</v>
      </c>
    </row>
    <row r="3765" ht="14.25">
      <c r="A3765" s="5">
        <v>53442</v>
      </c>
      <c r="B3765" s="7" t="s">
        <v>3859</v>
      </c>
      <c r="C3765" s="7" t="s">
        <v>3280</v>
      </c>
      <c r="D3765" s="7" t="s">
        <v>95</v>
      </c>
      <c r="E3765" s="5" t="s">
        <v>43</v>
      </c>
      <c r="F3765" s="8"/>
      <c r="G3765" s="9">
        <f>H3765*(1-30%)*(1-F3765)</f>
        <v>33.592999999999996</v>
      </c>
      <c r="H3765" s="9">
        <v>47.990000000000002</v>
      </c>
      <c r="I3765" s="9">
        <f>H3765-G3765</f>
        <v>14.397000000000006</v>
      </c>
    </row>
    <row r="3766" ht="14.25">
      <c r="A3766" s="5">
        <v>53445</v>
      </c>
      <c r="B3766" s="7" t="s">
        <v>3860</v>
      </c>
      <c r="C3766" s="7" t="s">
        <v>3280</v>
      </c>
      <c r="D3766" s="7" t="s">
        <v>95</v>
      </c>
      <c r="E3766" s="5" t="s">
        <v>15</v>
      </c>
      <c r="F3766" s="8"/>
      <c r="G3766" s="9">
        <f>H3766*(1-30%)*(1-F3766)</f>
        <v>34.993000000000002</v>
      </c>
      <c r="H3766" s="9">
        <v>49.990000000000002</v>
      </c>
      <c r="I3766" s="9">
        <f>H3766-G3766</f>
        <v>14.997</v>
      </c>
    </row>
    <row r="3767" ht="14.25">
      <c r="A3767" s="5">
        <v>53447</v>
      </c>
      <c r="B3767" s="7" t="s">
        <v>3861</v>
      </c>
      <c r="C3767" s="7" t="s">
        <v>3522</v>
      </c>
      <c r="D3767" s="7" t="s">
        <v>71</v>
      </c>
      <c r="E3767" s="5" t="s">
        <v>43</v>
      </c>
      <c r="F3767" s="8"/>
      <c r="G3767" s="9">
        <f>H3767*(1-30%)*(1-F3767)</f>
        <v>27.292999999999999</v>
      </c>
      <c r="H3767" s="9">
        <v>38.990000000000002</v>
      </c>
      <c r="I3767" s="9">
        <f>H3767-G3767</f>
        <v>11.697000000000003</v>
      </c>
    </row>
    <row r="3768" ht="14.25">
      <c r="A3768" s="5">
        <v>53452</v>
      </c>
      <c r="B3768" s="7" t="s">
        <v>3862</v>
      </c>
      <c r="C3768" s="7" t="s">
        <v>3522</v>
      </c>
      <c r="D3768" s="7" t="s">
        <v>11</v>
      </c>
      <c r="E3768" s="5" t="s">
        <v>43</v>
      </c>
      <c r="F3768" s="8"/>
      <c r="G3768" s="9">
        <f>H3768*(1-30%)*(1-F3768)</f>
        <v>80.429999999999993</v>
      </c>
      <c r="H3768" s="9">
        <v>114.90000000000001</v>
      </c>
      <c r="I3768" s="9">
        <f>H3768-G3768</f>
        <v>34.470000000000013</v>
      </c>
    </row>
    <row r="3769" ht="14.25">
      <c r="A3769" s="5">
        <v>53462</v>
      </c>
      <c r="B3769" s="7" t="s">
        <v>3863</v>
      </c>
      <c r="C3769" s="7" t="s">
        <v>3280</v>
      </c>
      <c r="D3769" s="7" t="s">
        <v>95</v>
      </c>
      <c r="E3769" s="5" t="s">
        <v>43</v>
      </c>
      <c r="F3769" s="8"/>
      <c r="G3769" s="9">
        <f>H3769*(1-30%)*(1-F3769)</f>
        <v>31.492999999999999</v>
      </c>
      <c r="H3769" s="9">
        <v>44.990000000000002</v>
      </c>
      <c r="I3769" s="9">
        <f>H3769-G3769</f>
        <v>13.497000000000003</v>
      </c>
    </row>
    <row r="3770" ht="14.25">
      <c r="A3770" s="5">
        <v>53463</v>
      </c>
      <c r="B3770" s="7" t="s">
        <v>3864</v>
      </c>
      <c r="C3770" s="7" t="s">
        <v>3280</v>
      </c>
      <c r="D3770" s="7" t="s">
        <v>95</v>
      </c>
      <c r="E3770" s="5" t="s">
        <v>3268</v>
      </c>
      <c r="F3770" s="8"/>
      <c r="G3770" s="9">
        <f>H3770*(1-30%)*(1-F3770)</f>
        <v>31.492999999999999</v>
      </c>
      <c r="H3770" s="9">
        <v>44.990000000000002</v>
      </c>
      <c r="I3770" s="9">
        <f>H3770-G3770</f>
        <v>13.497000000000003</v>
      </c>
    </row>
    <row r="3771" ht="14.25">
      <c r="A3771" s="5">
        <v>53464</v>
      </c>
      <c r="B3771" s="7" t="s">
        <v>3865</v>
      </c>
      <c r="C3771" s="7" t="s">
        <v>3280</v>
      </c>
      <c r="D3771" s="7" t="s">
        <v>95</v>
      </c>
      <c r="E3771" s="5" t="s">
        <v>43</v>
      </c>
      <c r="F3771" s="8"/>
      <c r="G3771" s="9">
        <f>H3771*(1-30%)*(1-F3771)</f>
        <v>38.493000000000002</v>
      </c>
      <c r="H3771" s="9">
        <v>54.990000000000002</v>
      </c>
      <c r="I3771" s="9">
        <f>H3771-G3771</f>
        <v>16.497</v>
      </c>
    </row>
    <row r="3772" ht="14.25">
      <c r="A3772" s="5">
        <v>53465</v>
      </c>
      <c r="B3772" s="7" t="s">
        <v>3866</v>
      </c>
      <c r="C3772" s="7" t="s">
        <v>3280</v>
      </c>
      <c r="D3772" s="7" t="s">
        <v>95</v>
      </c>
      <c r="E3772" s="5" t="s">
        <v>43</v>
      </c>
      <c r="F3772" s="8"/>
      <c r="G3772" s="9">
        <f>H3772*(1-30%)*(1-F3772)</f>
        <v>47.592999999999996</v>
      </c>
      <c r="H3772" s="9">
        <v>67.989999999999995</v>
      </c>
      <c r="I3772" s="9">
        <f>H3772-G3772</f>
        <v>20.396999999999998</v>
      </c>
    </row>
    <row r="3773" ht="14.25">
      <c r="A3773" s="5">
        <v>53466</v>
      </c>
      <c r="B3773" s="7" t="s">
        <v>3867</v>
      </c>
      <c r="C3773" s="7" t="s">
        <v>3280</v>
      </c>
      <c r="D3773" s="7" t="s">
        <v>95</v>
      </c>
      <c r="E3773" s="5" t="s">
        <v>3268</v>
      </c>
      <c r="F3773" s="8"/>
      <c r="G3773" s="9">
        <f>H3773*(1-30%)*(1-F3773)</f>
        <v>34.993000000000002</v>
      </c>
      <c r="H3773" s="9">
        <v>49.990000000000002</v>
      </c>
      <c r="I3773" s="9">
        <f>H3773-G3773</f>
        <v>14.997</v>
      </c>
    </row>
    <row r="3774" ht="14.25">
      <c r="A3774" s="5">
        <v>53467</v>
      </c>
      <c r="B3774" s="7" t="s">
        <v>3868</v>
      </c>
      <c r="C3774" s="7" t="s">
        <v>3280</v>
      </c>
      <c r="D3774" s="7" t="s">
        <v>95</v>
      </c>
      <c r="E3774" s="5" t="s">
        <v>3268</v>
      </c>
      <c r="F3774" s="8"/>
      <c r="G3774" s="9">
        <f>H3774*(1-30%)*(1-F3774)</f>
        <v>33.592999999999996</v>
      </c>
      <c r="H3774" s="9">
        <v>47.990000000000002</v>
      </c>
      <c r="I3774" s="9">
        <f>H3774-G3774</f>
        <v>14.397000000000006</v>
      </c>
    </row>
    <row r="3775" ht="14.25">
      <c r="A3775" s="5">
        <v>53468</v>
      </c>
      <c r="B3775" s="7" t="s">
        <v>3869</v>
      </c>
      <c r="C3775" s="7" t="s">
        <v>3280</v>
      </c>
      <c r="D3775" s="7" t="s">
        <v>95</v>
      </c>
      <c r="E3775" s="5" t="s">
        <v>43</v>
      </c>
      <c r="F3775" s="8"/>
      <c r="G3775" s="9">
        <f>H3775*(1-30%)*(1-F3775)</f>
        <v>33.592999999999996</v>
      </c>
      <c r="H3775" s="9">
        <v>47.990000000000002</v>
      </c>
      <c r="I3775" s="9">
        <f>H3775-G3775</f>
        <v>14.397000000000006</v>
      </c>
    </row>
    <row r="3776" ht="14.25">
      <c r="A3776" s="5">
        <v>53469</v>
      </c>
      <c r="B3776" s="7" t="s">
        <v>3870</v>
      </c>
      <c r="C3776" s="7" t="s">
        <v>3280</v>
      </c>
      <c r="D3776" s="7" t="s">
        <v>95</v>
      </c>
      <c r="E3776" s="5" t="s">
        <v>43</v>
      </c>
      <c r="F3776" s="8"/>
      <c r="G3776" s="9">
        <f>H3776*(1-30%)*(1-F3776)</f>
        <v>45.492999999999995</v>
      </c>
      <c r="H3776" s="9">
        <v>64.989999999999995</v>
      </c>
      <c r="I3776" s="9">
        <f>H3776-G3776</f>
        <v>19.497</v>
      </c>
    </row>
    <row r="3777" ht="14.25">
      <c r="A3777" s="5">
        <v>53470</v>
      </c>
      <c r="B3777" s="7" t="s">
        <v>3871</v>
      </c>
      <c r="C3777" s="7" t="s">
        <v>3280</v>
      </c>
      <c r="D3777" s="7" t="s">
        <v>95</v>
      </c>
      <c r="E3777" s="5" t="s">
        <v>43</v>
      </c>
      <c r="F3777" s="8"/>
      <c r="G3777" s="9">
        <f>H3777*(1-30%)*(1-F3777)</f>
        <v>47.592999999999996</v>
      </c>
      <c r="H3777" s="9">
        <v>67.989999999999995</v>
      </c>
      <c r="I3777" s="9">
        <f>H3777-G3777</f>
        <v>20.396999999999998</v>
      </c>
    </row>
    <row r="3778" ht="14.25">
      <c r="A3778" s="5">
        <v>53471</v>
      </c>
      <c r="B3778" s="7" t="s">
        <v>3872</v>
      </c>
      <c r="C3778" s="7" t="s">
        <v>3280</v>
      </c>
      <c r="D3778" s="7" t="s">
        <v>95</v>
      </c>
      <c r="E3778" s="5" t="s">
        <v>43</v>
      </c>
      <c r="F3778" s="8"/>
      <c r="G3778" s="9">
        <f>H3778*(1-30%)*(1-F3778)</f>
        <v>31.492999999999999</v>
      </c>
      <c r="H3778" s="9">
        <v>44.990000000000002</v>
      </c>
      <c r="I3778" s="9">
        <f>H3778-G3778</f>
        <v>13.497000000000003</v>
      </c>
    </row>
    <row r="3779" ht="14.25">
      <c r="A3779" s="5">
        <v>53472</v>
      </c>
      <c r="B3779" s="7" t="s">
        <v>3873</v>
      </c>
      <c r="C3779" s="7" t="s">
        <v>3280</v>
      </c>
      <c r="D3779" s="7" t="s">
        <v>95</v>
      </c>
      <c r="E3779" s="5" t="s">
        <v>43</v>
      </c>
      <c r="F3779" s="8"/>
      <c r="G3779" s="9">
        <f>H3779*(1-30%)*(1-F3779)</f>
        <v>31.492999999999999</v>
      </c>
      <c r="H3779" s="9">
        <v>44.990000000000002</v>
      </c>
      <c r="I3779" s="9">
        <f>H3779-G3779</f>
        <v>13.497000000000003</v>
      </c>
    </row>
    <row r="3780" ht="14.25">
      <c r="A3780" s="5">
        <v>53473</v>
      </c>
      <c r="B3780" s="7" t="s">
        <v>3874</v>
      </c>
      <c r="C3780" s="7" t="s">
        <v>3280</v>
      </c>
      <c r="D3780" s="7" t="s">
        <v>95</v>
      </c>
      <c r="E3780" s="5" t="s">
        <v>43</v>
      </c>
      <c r="F3780" s="8"/>
      <c r="G3780" s="9">
        <f>H3780*(1-30%)*(1-F3780)</f>
        <v>31.492999999999999</v>
      </c>
      <c r="H3780" s="9">
        <v>44.990000000000002</v>
      </c>
      <c r="I3780" s="9">
        <f>H3780-G3780</f>
        <v>13.497000000000003</v>
      </c>
    </row>
    <row r="3781" ht="14.25">
      <c r="A3781" s="5">
        <v>53499</v>
      </c>
      <c r="B3781" s="7" t="s">
        <v>3875</v>
      </c>
      <c r="C3781" s="7" t="s">
        <v>3280</v>
      </c>
      <c r="D3781" s="7" t="s">
        <v>95</v>
      </c>
      <c r="E3781" s="5" t="s">
        <v>43</v>
      </c>
      <c r="F3781" s="8"/>
      <c r="G3781" s="9">
        <f>H3781*(1-30%)*(1-F3781)</f>
        <v>33.592999999999996</v>
      </c>
      <c r="H3781" s="9">
        <v>47.990000000000002</v>
      </c>
      <c r="I3781" s="9">
        <f>H3781-G3781</f>
        <v>14.397000000000006</v>
      </c>
    </row>
    <row r="3782" ht="14.25">
      <c r="A3782" s="5">
        <v>53500</v>
      </c>
      <c r="B3782" s="7" t="s">
        <v>3876</v>
      </c>
      <c r="C3782" s="7" t="s">
        <v>3280</v>
      </c>
      <c r="D3782" s="7" t="s">
        <v>95</v>
      </c>
      <c r="E3782" s="5" t="s">
        <v>43</v>
      </c>
      <c r="F3782" s="8"/>
      <c r="G3782" s="9">
        <f>H3782*(1-30%)*(1-F3782)</f>
        <v>47.592999999999996</v>
      </c>
      <c r="H3782" s="9">
        <v>67.989999999999995</v>
      </c>
      <c r="I3782" s="9">
        <f>H3782-G3782</f>
        <v>20.396999999999998</v>
      </c>
    </row>
    <row r="3783" ht="14.25">
      <c r="A3783" s="5">
        <v>53501</v>
      </c>
      <c r="B3783" s="7" t="s">
        <v>3877</v>
      </c>
      <c r="C3783" s="7" t="s">
        <v>3280</v>
      </c>
      <c r="D3783" s="7" t="s">
        <v>95</v>
      </c>
      <c r="E3783" s="5" t="s">
        <v>3513</v>
      </c>
      <c r="F3783" s="8"/>
      <c r="G3783" s="9">
        <f>H3783*(1-30%)*(1-F3783)</f>
        <v>34.993000000000002</v>
      </c>
      <c r="H3783" s="9">
        <v>49.990000000000002</v>
      </c>
      <c r="I3783" s="9">
        <f>H3783-G3783</f>
        <v>14.997</v>
      </c>
    </row>
    <row r="3784" ht="14.25">
      <c r="A3784" s="5">
        <v>53502</v>
      </c>
      <c r="B3784" s="7" t="s">
        <v>3878</v>
      </c>
      <c r="C3784" s="7" t="s">
        <v>3280</v>
      </c>
      <c r="D3784" s="7" t="s">
        <v>95</v>
      </c>
      <c r="E3784" s="5" t="s">
        <v>3513</v>
      </c>
      <c r="F3784" s="8"/>
      <c r="G3784" s="9">
        <f>H3784*(1-30%)*(1-F3784)</f>
        <v>33.592999999999996</v>
      </c>
      <c r="H3784" s="9">
        <v>47.990000000000002</v>
      </c>
      <c r="I3784" s="9">
        <f>H3784-G3784</f>
        <v>14.397000000000006</v>
      </c>
    </row>
    <row r="3785" ht="14.25">
      <c r="A3785" s="5">
        <v>53503</v>
      </c>
      <c r="B3785" s="7" t="s">
        <v>3879</v>
      </c>
      <c r="C3785" s="7" t="s">
        <v>3280</v>
      </c>
      <c r="D3785" s="7" t="s">
        <v>95</v>
      </c>
      <c r="E3785" s="5" t="s">
        <v>43</v>
      </c>
      <c r="F3785" s="8"/>
      <c r="G3785" s="9">
        <f>H3785*(1-30%)*(1-F3785)</f>
        <v>34.993000000000002</v>
      </c>
      <c r="H3785" s="9">
        <v>49.990000000000002</v>
      </c>
      <c r="I3785" s="9">
        <f>H3785-G3785</f>
        <v>14.997</v>
      </c>
    </row>
    <row r="3786" ht="14.25">
      <c r="A3786" s="5">
        <v>53504</v>
      </c>
      <c r="B3786" s="7" t="s">
        <v>3880</v>
      </c>
      <c r="C3786" s="7" t="s">
        <v>3280</v>
      </c>
      <c r="D3786" s="7" t="s">
        <v>95</v>
      </c>
      <c r="E3786" s="5" t="s">
        <v>43</v>
      </c>
      <c r="F3786" s="8"/>
      <c r="G3786" s="9">
        <f>H3786*(1-30%)*(1-F3786)</f>
        <v>31.492999999999999</v>
      </c>
      <c r="H3786" s="9">
        <v>44.990000000000002</v>
      </c>
      <c r="I3786" s="9">
        <f>H3786-G3786</f>
        <v>13.497000000000003</v>
      </c>
    </row>
    <row r="3787" ht="14.25">
      <c r="A3787" s="5">
        <v>53505</v>
      </c>
      <c r="B3787" s="7" t="s">
        <v>3881</v>
      </c>
      <c r="C3787" s="7" t="s">
        <v>3280</v>
      </c>
      <c r="D3787" s="7" t="s">
        <v>95</v>
      </c>
      <c r="E3787" s="5" t="s">
        <v>43</v>
      </c>
      <c r="F3787" s="8"/>
      <c r="G3787" s="9">
        <f>H3787*(1-30%)*(1-F3787)</f>
        <v>33.592999999999996</v>
      </c>
      <c r="H3787" s="9">
        <v>47.990000000000002</v>
      </c>
      <c r="I3787" s="9">
        <f>H3787-G3787</f>
        <v>14.397000000000006</v>
      </c>
    </row>
    <row r="3788" ht="14.25">
      <c r="A3788" s="5">
        <v>53506</v>
      </c>
      <c r="B3788" s="7" t="s">
        <v>3882</v>
      </c>
      <c r="C3788" s="7" t="s">
        <v>3280</v>
      </c>
      <c r="D3788" s="7" t="s">
        <v>95</v>
      </c>
      <c r="E3788" s="5" t="s">
        <v>3513</v>
      </c>
      <c r="F3788" s="8"/>
      <c r="G3788" s="9">
        <f>H3788*(1-30%)*(1-F3788)</f>
        <v>48.992999999999995</v>
      </c>
      <c r="H3788" s="9">
        <v>69.989999999999995</v>
      </c>
      <c r="I3788" s="9">
        <f>H3788-G3788</f>
        <v>20.997</v>
      </c>
    </row>
    <row r="3789" ht="14.25">
      <c r="A3789" s="5">
        <v>53507</v>
      </c>
      <c r="B3789" s="7" t="s">
        <v>3883</v>
      </c>
      <c r="C3789" s="7" t="s">
        <v>3280</v>
      </c>
      <c r="D3789" s="7" t="s">
        <v>95</v>
      </c>
      <c r="E3789" s="5" t="s">
        <v>43</v>
      </c>
      <c r="F3789" s="8"/>
      <c r="G3789" s="9">
        <f>H3789*(1-30%)*(1-F3789)</f>
        <v>37.092999999999996</v>
      </c>
      <c r="H3789" s="9">
        <v>52.990000000000002</v>
      </c>
      <c r="I3789" s="9">
        <f>H3789-G3789</f>
        <v>15.897000000000006</v>
      </c>
    </row>
    <row r="3790" ht="14.25">
      <c r="A3790" s="5">
        <v>53517</v>
      </c>
      <c r="B3790" s="7" t="s">
        <v>3884</v>
      </c>
      <c r="C3790" s="7" t="s">
        <v>3280</v>
      </c>
      <c r="D3790" s="7" t="s">
        <v>95</v>
      </c>
      <c r="E3790" s="5" t="s">
        <v>43</v>
      </c>
      <c r="F3790" s="8"/>
      <c r="G3790" s="9">
        <f>H3790*(1-30%)*(1-F3790)</f>
        <v>51.092999999999996</v>
      </c>
      <c r="H3790" s="9">
        <v>72.989999999999995</v>
      </c>
      <c r="I3790" s="9">
        <f>H3790-G3790</f>
        <v>21.896999999999998</v>
      </c>
    </row>
    <row r="3791" ht="14.25">
      <c r="A3791" s="5">
        <v>53519</v>
      </c>
      <c r="B3791" s="7" t="s">
        <v>3885</v>
      </c>
      <c r="C3791" s="7" t="s">
        <v>3280</v>
      </c>
      <c r="D3791" s="7" t="s">
        <v>95</v>
      </c>
      <c r="E3791" s="5" t="s">
        <v>43</v>
      </c>
      <c r="F3791" s="8"/>
      <c r="G3791" s="9">
        <f>H3791*(1-30%)*(1-F3791)</f>
        <v>33.592999999999996</v>
      </c>
      <c r="H3791" s="9">
        <v>47.990000000000002</v>
      </c>
      <c r="I3791" s="9">
        <f>H3791-G3791</f>
        <v>14.397000000000006</v>
      </c>
    </row>
    <row r="3792" ht="14.25">
      <c r="A3792" s="5">
        <v>53520</v>
      </c>
      <c r="B3792" s="7" t="s">
        <v>3886</v>
      </c>
      <c r="C3792" s="7" t="s">
        <v>3280</v>
      </c>
      <c r="D3792" s="7" t="s">
        <v>95</v>
      </c>
      <c r="E3792" s="5" t="s">
        <v>43</v>
      </c>
      <c r="F3792" s="8"/>
      <c r="G3792" s="9">
        <f>H3792*(1-30%)*(1-F3792)</f>
        <v>34.993000000000002</v>
      </c>
      <c r="H3792" s="9">
        <v>49.990000000000002</v>
      </c>
      <c r="I3792" s="9">
        <f>H3792-G3792</f>
        <v>14.997</v>
      </c>
    </row>
    <row r="3793" ht="14.25">
      <c r="A3793" s="5">
        <v>53521</v>
      </c>
      <c r="B3793" s="7" t="s">
        <v>3887</v>
      </c>
      <c r="C3793" s="7" t="s">
        <v>3280</v>
      </c>
      <c r="D3793" s="7" t="s">
        <v>95</v>
      </c>
      <c r="E3793" s="5" t="s">
        <v>43</v>
      </c>
      <c r="F3793" s="8"/>
      <c r="G3793" s="9">
        <f>H3793*(1-30%)*(1-F3793)</f>
        <v>48.992999999999995</v>
      </c>
      <c r="H3793" s="9">
        <v>69.989999999999995</v>
      </c>
      <c r="I3793" s="9">
        <f>H3793-G3793</f>
        <v>20.997</v>
      </c>
    </row>
    <row r="3794" ht="14.25">
      <c r="A3794" s="5">
        <v>53522</v>
      </c>
      <c r="B3794" s="7" t="s">
        <v>3888</v>
      </c>
      <c r="C3794" s="7" t="s">
        <v>3280</v>
      </c>
      <c r="D3794" s="7" t="s">
        <v>95</v>
      </c>
      <c r="E3794" s="5" t="s">
        <v>43</v>
      </c>
      <c r="F3794" s="8"/>
      <c r="G3794" s="9">
        <f>H3794*(1-30%)*(1-F3794)</f>
        <v>37.092999999999996</v>
      </c>
      <c r="H3794" s="9">
        <v>52.990000000000002</v>
      </c>
      <c r="I3794" s="9">
        <f>H3794-G3794</f>
        <v>15.897000000000006</v>
      </c>
    </row>
    <row r="3795" ht="14.25">
      <c r="A3795" s="5">
        <v>53523</v>
      </c>
      <c r="B3795" s="7" t="s">
        <v>3889</v>
      </c>
      <c r="C3795" s="7" t="s">
        <v>3280</v>
      </c>
      <c r="D3795" s="7" t="s">
        <v>95</v>
      </c>
      <c r="E3795" s="5" t="s">
        <v>15</v>
      </c>
      <c r="F3795" s="8"/>
      <c r="G3795" s="9">
        <f>H3795*(1-30%)*(1-F3795)</f>
        <v>12.592999999999998</v>
      </c>
      <c r="H3795" s="9">
        <v>17.989999999999998</v>
      </c>
      <c r="I3795" s="9">
        <f>H3795-G3795</f>
        <v>5.3970000000000002</v>
      </c>
    </row>
    <row r="3796" ht="14.25">
      <c r="A3796" s="5">
        <v>53524</v>
      </c>
      <c r="B3796" s="7" t="s">
        <v>3890</v>
      </c>
      <c r="C3796" s="7" t="s">
        <v>3280</v>
      </c>
      <c r="D3796" s="7" t="s">
        <v>95</v>
      </c>
      <c r="E3796" s="5" t="s">
        <v>43</v>
      </c>
      <c r="F3796" s="8"/>
      <c r="G3796" s="9">
        <f>H3796*(1-30%)*(1-F3796)</f>
        <v>31.492999999999999</v>
      </c>
      <c r="H3796" s="9">
        <v>44.990000000000002</v>
      </c>
      <c r="I3796" s="9">
        <f>H3796-G3796</f>
        <v>13.497000000000003</v>
      </c>
    </row>
    <row r="3797" ht="14.25">
      <c r="A3797" s="5">
        <v>53525</v>
      </c>
      <c r="B3797" s="7" t="s">
        <v>3891</v>
      </c>
      <c r="C3797" s="7" t="s">
        <v>3280</v>
      </c>
      <c r="D3797" s="7" t="s">
        <v>95</v>
      </c>
      <c r="E3797" s="5" t="s">
        <v>43</v>
      </c>
      <c r="F3797" s="8"/>
      <c r="G3797" s="9">
        <f>H3797*(1-30%)*(1-F3797)</f>
        <v>55.992999999999995</v>
      </c>
      <c r="H3797" s="9">
        <v>79.989999999999995</v>
      </c>
      <c r="I3797" s="9">
        <f>H3797-G3797</f>
        <v>23.997</v>
      </c>
    </row>
    <row r="3798" ht="14.25">
      <c r="A3798" s="5">
        <v>53610</v>
      </c>
      <c r="B3798" s="7" t="s">
        <v>3892</v>
      </c>
      <c r="C3798" s="7" t="s">
        <v>3276</v>
      </c>
      <c r="D3798" s="7" t="s">
        <v>61</v>
      </c>
      <c r="E3798" s="5" t="s">
        <v>43</v>
      </c>
      <c r="F3798" s="8"/>
      <c r="G3798" s="9">
        <f>H3798*(1-30%)*(1-F3798)</f>
        <v>24.492999999999999</v>
      </c>
      <c r="H3798" s="9">
        <v>34.990000000000002</v>
      </c>
      <c r="I3798" s="9">
        <f>H3798-G3798</f>
        <v>10.497000000000003</v>
      </c>
    </row>
    <row r="3799" ht="14.25">
      <c r="A3799" s="5">
        <v>53651</v>
      </c>
      <c r="B3799" s="7" t="s">
        <v>3893</v>
      </c>
      <c r="C3799" s="7" t="s">
        <v>3290</v>
      </c>
      <c r="D3799" s="7" t="s">
        <v>1447</v>
      </c>
      <c r="E3799" s="5" t="s">
        <v>15</v>
      </c>
      <c r="F3799" s="8"/>
      <c r="G3799" s="9">
        <f>H3799*(1-30%)*(1-F3799)</f>
        <v>2.52</v>
      </c>
      <c r="H3799" s="9">
        <v>3.6000000000000001</v>
      </c>
      <c r="I3799" s="9">
        <f>H3799-G3799</f>
        <v>1.0800000000000001</v>
      </c>
    </row>
    <row r="3800" ht="14.25">
      <c r="A3800" s="5">
        <v>53652</v>
      </c>
      <c r="B3800" s="7" t="s">
        <v>3894</v>
      </c>
      <c r="C3800" s="7" t="s">
        <v>3290</v>
      </c>
      <c r="D3800" s="7" t="s">
        <v>1447</v>
      </c>
      <c r="E3800" s="5" t="s">
        <v>15</v>
      </c>
      <c r="F3800" s="8"/>
      <c r="G3800" s="9">
        <f>H3800*(1-30%)*(1-F3800)</f>
        <v>2.73</v>
      </c>
      <c r="H3800" s="9">
        <v>3.8999999999999999</v>
      </c>
      <c r="I3800" s="9">
        <f>H3800-G3800</f>
        <v>1.1699999999999999</v>
      </c>
    </row>
    <row r="3801" ht="14.25">
      <c r="A3801" s="5">
        <v>53653</v>
      </c>
      <c r="B3801" s="7" t="s">
        <v>3895</v>
      </c>
      <c r="C3801" s="7" t="s">
        <v>3290</v>
      </c>
      <c r="D3801" s="7" t="s">
        <v>1447</v>
      </c>
      <c r="E3801" s="5" t="s">
        <v>15</v>
      </c>
      <c r="F3801" s="8"/>
      <c r="G3801" s="9">
        <f>H3801*(1-30%)*(1-F3801)</f>
        <v>4.7599999999999998</v>
      </c>
      <c r="H3801" s="9">
        <v>6.7999999999999998</v>
      </c>
      <c r="I3801" s="9">
        <f>H3801-G3801</f>
        <v>2.04</v>
      </c>
    </row>
    <row r="3802" ht="14.25">
      <c r="A3802" s="5">
        <v>53654</v>
      </c>
      <c r="B3802" s="7" t="s">
        <v>3896</v>
      </c>
      <c r="C3802" s="7" t="s">
        <v>3290</v>
      </c>
      <c r="D3802" s="7" t="s">
        <v>1447</v>
      </c>
      <c r="E3802" s="5" t="s">
        <v>15</v>
      </c>
      <c r="F3802" s="8"/>
      <c r="G3802" s="9">
        <f>H3802*(1-30%)*(1-F3802)</f>
        <v>6.089999999999999</v>
      </c>
      <c r="H3802" s="9">
        <v>8.6999999999999993</v>
      </c>
      <c r="I3802" s="9">
        <f>H3802-G3802</f>
        <v>2.6100000000000003</v>
      </c>
    </row>
    <row r="3803" ht="14.25">
      <c r="A3803" s="5">
        <v>53655</v>
      </c>
      <c r="B3803" s="7" t="s">
        <v>3897</v>
      </c>
      <c r="C3803" s="7" t="s">
        <v>3290</v>
      </c>
      <c r="D3803" s="7" t="s">
        <v>1447</v>
      </c>
      <c r="E3803" s="5" t="s">
        <v>15</v>
      </c>
      <c r="F3803" s="8"/>
      <c r="G3803" s="9">
        <f>H3803*(1-30%)*(1-F3803)</f>
        <v>6.9299999999999997</v>
      </c>
      <c r="H3803" s="9">
        <v>9.9000000000000004</v>
      </c>
      <c r="I3803" s="9">
        <f>H3803-G3803</f>
        <v>2.9700000000000006</v>
      </c>
    </row>
    <row r="3804" ht="14.25">
      <c r="A3804" s="5">
        <v>53656</v>
      </c>
      <c r="B3804" s="7" t="s">
        <v>3898</v>
      </c>
      <c r="C3804" s="7" t="s">
        <v>3290</v>
      </c>
      <c r="D3804" s="7" t="s">
        <v>1447</v>
      </c>
      <c r="E3804" s="5" t="s">
        <v>15</v>
      </c>
      <c r="F3804" s="8"/>
      <c r="G3804" s="9">
        <f>H3804*(1-30%)*(1-F3804)</f>
        <v>12.32</v>
      </c>
      <c r="H3804" s="9">
        <v>17.600000000000001</v>
      </c>
      <c r="I3804" s="9">
        <f>H3804-G3804</f>
        <v>5.2800000000000011</v>
      </c>
    </row>
    <row r="3805" ht="14.25">
      <c r="A3805" s="5">
        <v>53657</v>
      </c>
      <c r="B3805" s="7" t="s">
        <v>3899</v>
      </c>
      <c r="C3805" s="7" t="s">
        <v>3290</v>
      </c>
      <c r="D3805" s="7" t="s">
        <v>1447</v>
      </c>
      <c r="E3805" s="5" t="s">
        <v>15</v>
      </c>
      <c r="F3805" s="8"/>
      <c r="G3805" s="9">
        <f>H3805*(1-30%)*(1-F3805)</f>
        <v>3.4300000000000002</v>
      </c>
      <c r="H3805" s="9">
        <v>4.9000000000000004</v>
      </c>
      <c r="I3805" s="9">
        <f>H3805-G3805</f>
        <v>1.4700000000000002</v>
      </c>
    </row>
    <row r="3806" ht="14.25">
      <c r="A3806" s="5">
        <v>53658</v>
      </c>
      <c r="B3806" s="7" t="s">
        <v>3900</v>
      </c>
      <c r="C3806" s="7" t="s">
        <v>3290</v>
      </c>
      <c r="D3806" s="7" t="s">
        <v>1447</v>
      </c>
      <c r="E3806" s="5" t="s">
        <v>15</v>
      </c>
      <c r="F3806" s="8"/>
      <c r="G3806" s="9">
        <f>H3806*(1-30%)*(1-F3806)</f>
        <v>4.8300000000000001</v>
      </c>
      <c r="H3806" s="9">
        <v>6.9000000000000004</v>
      </c>
      <c r="I3806" s="9">
        <f>H3806-G3806</f>
        <v>2.0700000000000003</v>
      </c>
    </row>
    <row r="3807" ht="14.25">
      <c r="A3807" s="5">
        <v>53754</v>
      </c>
      <c r="B3807" s="7" t="s">
        <v>3901</v>
      </c>
      <c r="C3807" s="7" t="s">
        <v>3280</v>
      </c>
      <c r="D3807" s="7" t="s">
        <v>183</v>
      </c>
      <c r="E3807" s="5" t="s">
        <v>43</v>
      </c>
      <c r="F3807" s="8"/>
      <c r="G3807" s="9">
        <f>H3807*(1-30%)*(1-F3807)</f>
        <v>55.992999999999995</v>
      </c>
      <c r="H3807" s="9">
        <v>79.989999999999995</v>
      </c>
      <c r="I3807" s="9">
        <f>H3807-G3807</f>
        <v>23.997</v>
      </c>
    </row>
    <row r="3808" ht="14.25">
      <c r="A3808" s="5">
        <v>53755</v>
      </c>
      <c r="B3808" s="7" t="s">
        <v>3902</v>
      </c>
      <c r="C3808" s="7" t="s">
        <v>3280</v>
      </c>
      <c r="D3808" s="7" t="s">
        <v>183</v>
      </c>
      <c r="E3808" s="5" t="s">
        <v>15</v>
      </c>
      <c r="F3808" s="8"/>
      <c r="G3808" s="9">
        <f>H3808*(1-30%)*(1-F3808)</f>
        <v>40.592999999999996</v>
      </c>
      <c r="H3808" s="9">
        <v>57.990000000000002</v>
      </c>
      <c r="I3808" s="9">
        <f>H3808-G3808</f>
        <v>17.397000000000006</v>
      </c>
    </row>
    <row r="3809" ht="14.25">
      <c r="A3809" s="5">
        <v>53757</v>
      </c>
      <c r="B3809" s="7" t="s">
        <v>3903</v>
      </c>
      <c r="C3809" s="7" t="s">
        <v>3290</v>
      </c>
      <c r="D3809" s="7" t="s">
        <v>183</v>
      </c>
      <c r="E3809" s="5" t="s">
        <v>15</v>
      </c>
      <c r="F3809" s="8"/>
      <c r="G3809" s="9">
        <f>H3809*(1-30%)*(1-F3809)</f>
        <v>90.992999999999995</v>
      </c>
      <c r="H3809" s="9">
        <v>129.99000000000001</v>
      </c>
      <c r="I3809" s="9">
        <f>H3809-G3809</f>
        <v>38.997000000000014</v>
      </c>
    </row>
    <row r="3810" ht="14.25">
      <c r="A3810" s="5">
        <v>53758</v>
      </c>
      <c r="B3810" s="7" t="s">
        <v>3904</v>
      </c>
      <c r="C3810" s="7" t="s">
        <v>3290</v>
      </c>
      <c r="D3810" s="7" t="s">
        <v>183</v>
      </c>
      <c r="E3810" s="5" t="s">
        <v>43</v>
      </c>
      <c r="F3810" s="8"/>
      <c r="G3810" s="9">
        <f>H3810*(1-30%)*(1-F3810)</f>
        <v>25.893000000000001</v>
      </c>
      <c r="H3810" s="9">
        <v>36.990000000000002</v>
      </c>
      <c r="I3810" s="9">
        <f>H3810-G3810</f>
        <v>11.097000000000001</v>
      </c>
    </row>
    <row r="3811" ht="14.25">
      <c r="A3811" s="5">
        <v>53759</v>
      </c>
      <c r="B3811" s="7" t="s">
        <v>3905</v>
      </c>
      <c r="C3811" s="7" t="s">
        <v>3290</v>
      </c>
      <c r="D3811" s="7" t="s">
        <v>183</v>
      </c>
      <c r="E3811" s="5" t="s">
        <v>43</v>
      </c>
      <c r="F3811" s="8"/>
      <c r="G3811" s="9">
        <f>H3811*(1-30%)*(1-F3811)</f>
        <v>25.893000000000001</v>
      </c>
      <c r="H3811" s="9">
        <v>36.990000000000002</v>
      </c>
      <c r="I3811" s="9">
        <f>H3811-G3811</f>
        <v>11.097000000000001</v>
      </c>
    </row>
    <row r="3812" ht="14.25">
      <c r="A3812" s="5">
        <v>53760</v>
      </c>
      <c r="B3812" s="7" t="s">
        <v>3906</v>
      </c>
      <c r="C3812" s="7" t="s">
        <v>3290</v>
      </c>
      <c r="D3812" s="7" t="s">
        <v>183</v>
      </c>
      <c r="E3812" s="5" t="s">
        <v>43</v>
      </c>
      <c r="F3812" s="8"/>
      <c r="G3812" s="9">
        <f>H3812*(1-30%)*(1-F3812)</f>
        <v>48.292999999999992</v>
      </c>
      <c r="H3812" s="9">
        <v>68.989999999999995</v>
      </c>
      <c r="I3812" s="9">
        <f>H3812-G3812</f>
        <v>20.697000000000003</v>
      </c>
    </row>
    <row r="3813" ht="14.25">
      <c r="A3813" s="5">
        <v>53761</v>
      </c>
      <c r="B3813" s="7" t="s">
        <v>3907</v>
      </c>
      <c r="C3813" s="7" t="s">
        <v>3290</v>
      </c>
      <c r="D3813" s="7" t="s">
        <v>11</v>
      </c>
      <c r="E3813" s="5" t="s">
        <v>43</v>
      </c>
      <c r="F3813" s="8"/>
      <c r="G3813" s="9">
        <f>H3813*(1-30%)*(1-F3813)</f>
        <v>167.93000000000001</v>
      </c>
      <c r="H3813" s="9">
        <v>239.90000000000001</v>
      </c>
      <c r="I3813" s="9">
        <f>H3813-G3813</f>
        <v>71.969999999999999</v>
      </c>
    </row>
    <row r="3814" ht="14.25">
      <c r="A3814" s="5">
        <v>53762</v>
      </c>
      <c r="B3814" s="7" t="s">
        <v>3908</v>
      </c>
      <c r="C3814" s="7" t="s">
        <v>3290</v>
      </c>
      <c r="D3814" s="7" t="s">
        <v>183</v>
      </c>
      <c r="E3814" s="5" t="s">
        <v>43</v>
      </c>
      <c r="F3814" s="8"/>
      <c r="G3814" s="9">
        <f>H3814*(1-30%)*(1-F3814)</f>
        <v>25.893000000000001</v>
      </c>
      <c r="H3814" s="9">
        <v>36.990000000000002</v>
      </c>
      <c r="I3814" s="9">
        <f>H3814-G3814</f>
        <v>11.097000000000001</v>
      </c>
    </row>
    <row r="3815" ht="14.25">
      <c r="A3815" s="5">
        <v>53763</v>
      </c>
      <c r="B3815" s="7" t="s">
        <v>3909</v>
      </c>
      <c r="C3815" s="7" t="s">
        <v>3290</v>
      </c>
      <c r="D3815" s="7" t="s">
        <v>183</v>
      </c>
      <c r="E3815" s="5" t="s">
        <v>43</v>
      </c>
      <c r="F3815" s="8"/>
      <c r="G3815" s="9">
        <f>H3815*(1-30%)*(1-F3815)</f>
        <v>48.292999999999992</v>
      </c>
      <c r="H3815" s="9">
        <v>68.989999999999995</v>
      </c>
      <c r="I3815" s="9">
        <f>H3815-G3815</f>
        <v>20.697000000000003</v>
      </c>
    </row>
    <row r="3816" ht="14.25">
      <c r="A3816" s="5">
        <v>53764</v>
      </c>
      <c r="B3816" s="7" t="s">
        <v>3910</v>
      </c>
      <c r="C3816" s="7" t="s">
        <v>3290</v>
      </c>
      <c r="D3816" s="7" t="s">
        <v>183</v>
      </c>
      <c r="E3816" s="5" t="s">
        <v>26</v>
      </c>
      <c r="F3816" s="8"/>
      <c r="G3816" s="9">
        <f>H3816*(1-30%)*(1-F3816)</f>
        <v>48.292999999999992</v>
      </c>
      <c r="H3816" s="9">
        <v>68.989999999999995</v>
      </c>
      <c r="I3816" s="9">
        <f>H3816-G3816</f>
        <v>20.697000000000003</v>
      </c>
    </row>
    <row r="3817" ht="14.25">
      <c r="A3817" s="5">
        <v>53767</v>
      </c>
      <c r="B3817" s="7" t="s">
        <v>3911</v>
      </c>
      <c r="C3817" s="7" t="s">
        <v>3262</v>
      </c>
      <c r="D3817" s="7" t="s">
        <v>183</v>
      </c>
      <c r="E3817" s="5" t="s">
        <v>43</v>
      </c>
      <c r="F3817" s="8"/>
      <c r="G3817" s="9">
        <f>H3817*(1-30%)*(1-F3817)</f>
        <v>52.492999999999995</v>
      </c>
      <c r="H3817" s="9">
        <v>74.989999999999995</v>
      </c>
      <c r="I3817" s="9">
        <f>H3817-G3817</f>
        <v>22.497</v>
      </c>
    </row>
    <row r="3818" ht="14.25">
      <c r="A3818" s="5">
        <v>53769</v>
      </c>
      <c r="B3818" s="7" t="s">
        <v>3912</v>
      </c>
      <c r="C3818" s="7" t="s">
        <v>3262</v>
      </c>
      <c r="D3818" s="7" t="s">
        <v>183</v>
      </c>
      <c r="E3818" s="5" t="s">
        <v>26</v>
      </c>
      <c r="F3818" s="8"/>
      <c r="G3818" s="9">
        <f>H3818*(1-30%)*(1-F3818)</f>
        <v>52.492999999999995</v>
      </c>
      <c r="H3818" s="9">
        <v>74.989999999999995</v>
      </c>
      <c r="I3818" s="9">
        <f>H3818-G3818</f>
        <v>22.497</v>
      </c>
    </row>
    <row r="3819" ht="14.25">
      <c r="A3819" s="5">
        <v>53772</v>
      </c>
      <c r="B3819" s="7" t="s">
        <v>3913</v>
      </c>
      <c r="C3819" s="7" t="s">
        <v>3290</v>
      </c>
      <c r="D3819" s="7" t="s">
        <v>183</v>
      </c>
      <c r="E3819" s="5" t="s">
        <v>43</v>
      </c>
      <c r="F3819" s="8"/>
      <c r="G3819" s="9">
        <f>H3819*(1-30%)*(1-F3819)</f>
        <v>25.893000000000001</v>
      </c>
      <c r="H3819" s="9">
        <v>36.990000000000002</v>
      </c>
      <c r="I3819" s="9">
        <f>H3819-G3819</f>
        <v>11.097000000000001</v>
      </c>
    </row>
    <row r="3820" ht="14.25">
      <c r="A3820" s="5">
        <v>53774</v>
      </c>
      <c r="B3820" s="7" t="s">
        <v>3914</v>
      </c>
      <c r="C3820" s="7" t="s">
        <v>3290</v>
      </c>
      <c r="D3820" s="7" t="s">
        <v>183</v>
      </c>
      <c r="E3820" s="5" t="s">
        <v>15</v>
      </c>
      <c r="F3820" s="8"/>
      <c r="G3820" s="9">
        <f>H3820*(1-30%)*(1-F3820)</f>
        <v>48.292999999999992</v>
      </c>
      <c r="H3820" s="9">
        <v>68.989999999999995</v>
      </c>
      <c r="I3820" s="9">
        <f>H3820-G3820</f>
        <v>20.697000000000003</v>
      </c>
    </row>
    <row r="3821" ht="14.25">
      <c r="A3821" s="5">
        <v>53777</v>
      </c>
      <c r="B3821" s="7" t="s">
        <v>3915</v>
      </c>
      <c r="C3821" s="7" t="s">
        <v>3290</v>
      </c>
      <c r="D3821" s="7" t="s">
        <v>183</v>
      </c>
      <c r="E3821" s="5" t="s">
        <v>15</v>
      </c>
      <c r="F3821" s="8"/>
      <c r="G3821" s="9">
        <f>H3821*(1-30%)*(1-F3821)</f>
        <v>153.93000000000001</v>
      </c>
      <c r="H3821" s="9">
        <v>219.90000000000001</v>
      </c>
      <c r="I3821" s="9">
        <f>H3821-G3821</f>
        <v>65.969999999999999</v>
      </c>
    </row>
    <row r="3822" ht="14.25">
      <c r="A3822" s="5">
        <v>53779</v>
      </c>
      <c r="B3822" s="7" t="s">
        <v>3916</v>
      </c>
      <c r="C3822" s="7" t="s">
        <v>3290</v>
      </c>
      <c r="D3822" s="7" t="s">
        <v>183</v>
      </c>
      <c r="E3822" s="5" t="s">
        <v>15</v>
      </c>
      <c r="F3822" s="8"/>
      <c r="G3822" s="9">
        <f>H3822*(1-30%)*(1-F3822)</f>
        <v>52.492999999999995</v>
      </c>
      <c r="H3822" s="9">
        <v>74.989999999999995</v>
      </c>
      <c r="I3822" s="9">
        <f>H3822-G3822</f>
        <v>22.497</v>
      </c>
    </row>
    <row r="3823" ht="14.25">
      <c r="A3823" s="5">
        <v>53798</v>
      </c>
      <c r="B3823" s="7" t="s">
        <v>3917</v>
      </c>
      <c r="C3823" s="7" t="s">
        <v>3276</v>
      </c>
      <c r="D3823" s="7" t="s">
        <v>45</v>
      </c>
      <c r="E3823" s="5" t="s">
        <v>39</v>
      </c>
      <c r="F3823" s="8"/>
      <c r="G3823" s="9">
        <f>H3823*(1-30%)*(1-F3823)</f>
        <v>19.592999999999996</v>
      </c>
      <c r="H3823" s="9">
        <v>27.989999999999998</v>
      </c>
      <c r="I3823" s="9">
        <f>H3823-G3823</f>
        <v>8.397000000000002</v>
      </c>
    </row>
    <row r="3824" ht="14.25">
      <c r="A3824" s="5">
        <v>53799</v>
      </c>
      <c r="B3824" s="7" t="s">
        <v>3918</v>
      </c>
      <c r="C3824" s="7" t="s">
        <v>3276</v>
      </c>
      <c r="D3824" s="7" t="s">
        <v>45</v>
      </c>
      <c r="E3824" s="5" t="s">
        <v>39</v>
      </c>
      <c r="F3824" s="8"/>
      <c r="G3824" s="9">
        <f>H3824*(1-30%)*(1-F3824)</f>
        <v>19.592999999999996</v>
      </c>
      <c r="H3824" s="9">
        <v>27.989999999999998</v>
      </c>
      <c r="I3824" s="9">
        <f>H3824-G3824</f>
        <v>8.397000000000002</v>
      </c>
    </row>
    <row r="3825" ht="14.25">
      <c r="A3825" s="5">
        <v>53800</v>
      </c>
      <c r="B3825" s="7" t="s">
        <v>3919</v>
      </c>
      <c r="C3825" s="7" t="s">
        <v>3276</v>
      </c>
      <c r="D3825" s="7" t="s">
        <v>45</v>
      </c>
      <c r="E3825" s="5" t="s">
        <v>43</v>
      </c>
      <c r="F3825" s="8"/>
      <c r="G3825" s="9">
        <f>H3825*(1-30%)*(1-F3825)</f>
        <v>19.592999999999996</v>
      </c>
      <c r="H3825" s="9">
        <v>27.989999999999998</v>
      </c>
      <c r="I3825" s="9">
        <f>H3825-G3825</f>
        <v>8.397000000000002</v>
      </c>
    </row>
    <row r="3826" ht="14.25">
      <c r="A3826" s="5">
        <v>53839</v>
      </c>
      <c r="B3826" s="7" t="s">
        <v>3920</v>
      </c>
      <c r="C3826" s="7" t="s">
        <v>3290</v>
      </c>
      <c r="D3826" s="7" t="s">
        <v>45</v>
      </c>
      <c r="E3826" s="5" t="s">
        <v>15</v>
      </c>
      <c r="F3826" s="8"/>
      <c r="G3826" s="9">
        <f>H3826*(1-30%)*(1-F3826)</f>
        <v>33.592999999999996</v>
      </c>
      <c r="H3826" s="9">
        <v>47.990000000000002</v>
      </c>
      <c r="I3826" s="9">
        <f>H3826-G3826</f>
        <v>14.397000000000006</v>
      </c>
    </row>
    <row r="3827" ht="14.25">
      <c r="A3827" s="5">
        <v>53840</v>
      </c>
      <c r="B3827" s="7" t="s">
        <v>3921</v>
      </c>
      <c r="C3827" s="7" t="s">
        <v>3290</v>
      </c>
      <c r="D3827" s="7" t="s">
        <v>11</v>
      </c>
      <c r="E3827" s="5" t="s">
        <v>43</v>
      </c>
      <c r="F3827" s="8"/>
      <c r="G3827" s="9">
        <f>H3827*(1-30%)*(1-F3827)</f>
        <v>87.429999999999993</v>
      </c>
      <c r="H3827" s="9">
        <v>124.90000000000001</v>
      </c>
      <c r="I3827" s="9">
        <f>H3827-G3827</f>
        <v>37.470000000000013</v>
      </c>
    </row>
    <row r="3828" ht="14.25">
      <c r="A3828" s="5">
        <v>53919</v>
      </c>
      <c r="B3828" s="7" t="s">
        <v>3922</v>
      </c>
      <c r="C3828" s="7" t="s">
        <v>3709</v>
      </c>
      <c r="D3828" s="7" t="s">
        <v>219</v>
      </c>
      <c r="E3828" s="5" t="s">
        <v>43</v>
      </c>
      <c r="F3828" s="8"/>
      <c r="G3828" s="9">
        <f>H3828*(1-30%)*(1-F3828)</f>
        <v>97.992999999999995</v>
      </c>
      <c r="H3828" s="9">
        <v>139.99000000000001</v>
      </c>
      <c r="I3828" s="9">
        <f>H3828-G3828</f>
        <v>41.997000000000014</v>
      </c>
    </row>
    <row r="3829" ht="14.25">
      <c r="A3829" s="5">
        <v>53944</v>
      </c>
      <c r="B3829" s="7" t="s">
        <v>3923</v>
      </c>
      <c r="C3829" s="7" t="s">
        <v>3290</v>
      </c>
      <c r="D3829" s="7" t="s">
        <v>1447</v>
      </c>
      <c r="E3829" s="5" t="s">
        <v>15</v>
      </c>
      <c r="F3829" s="8"/>
      <c r="G3829" s="9">
        <f>H3829*(1-30%)*(1-F3829)</f>
        <v>2.73</v>
      </c>
      <c r="H3829" s="9">
        <v>3.8999999999999999</v>
      </c>
      <c r="I3829" s="9">
        <f>H3829-G3829</f>
        <v>1.1699999999999999</v>
      </c>
    </row>
    <row r="3830" ht="14.25">
      <c r="A3830" s="5">
        <v>53951</v>
      </c>
      <c r="B3830" s="7" t="s">
        <v>3924</v>
      </c>
      <c r="C3830" s="7" t="s">
        <v>3435</v>
      </c>
      <c r="D3830" s="7" t="s">
        <v>183</v>
      </c>
      <c r="E3830" s="5" t="s">
        <v>15</v>
      </c>
      <c r="F3830" s="8"/>
      <c r="G3830" s="9">
        <f>H3830*(1-30%)*(1-F3830)</f>
        <v>45.492999999999995</v>
      </c>
      <c r="H3830" s="9">
        <v>64.989999999999995</v>
      </c>
      <c r="I3830" s="9">
        <f>H3830-G3830</f>
        <v>19.497</v>
      </c>
    </row>
    <row r="3831" ht="14.25">
      <c r="A3831" s="5">
        <v>53954</v>
      </c>
      <c r="B3831" s="7" t="s">
        <v>3925</v>
      </c>
      <c r="C3831" s="7" t="s">
        <v>3709</v>
      </c>
      <c r="D3831" s="7" t="s">
        <v>183</v>
      </c>
      <c r="E3831" s="5" t="s">
        <v>15</v>
      </c>
      <c r="F3831" s="8"/>
      <c r="G3831" s="9">
        <f>H3831*(1-30%)*(1-F3831)</f>
        <v>73.492999999999995</v>
      </c>
      <c r="H3831" s="9">
        <v>104.98999999999999</v>
      </c>
      <c r="I3831" s="9">
        <f>H3831-G3831</f>
        <v>31.497</v>
      </c>
    </row>
    <row r="3832" ht="14.25">
      <c r="A3832" s="5">
        <v>53955</v>
      </c>
      <c r="B3832" s="7" t="s">
        <v>3926</v>
      </c>
      <c r="C3832" s="7" t="s">
        <v>3276</v>
      </c>
      <c r="D3832" s="7" t="s">
        <v>183</v>
      </c>
      <c r="E3832" s="5" t="s">
        <v>15</v>
      </c>
      <c r="F3832" s="8"/>
      <c r="G3832" s="9">
        <f>H3832*(1-30%)*(1-F3832)</f>
        <v>44.092999999999996</v>
      </c>
      <c r="H3832" s="9">
        <v>62.990000000000002</v>
      </c>
      <c r="I3832" s="9">
        <f>H3832-G3832</f>
        <v>18.897000000000006</v>
      </c>
    </row>
    <row r="3833" ht="14.25">
      <c r="A3833" s="5">
        <v>53979</v>
      </c>
      <c r="B3833" s="7" t="s">
        <v>3927</v>
      </c>
      <c r="C3833" s="7" t="s">
        <v>3448</v>
      </c>
      <c r="D3833" s="7" t="s">
        <v>11</v>
      </c>
      <c r="E3833" s="5" t="s">
        <v>43</v>
      </c>
      <c r="F3833" s="8"/>
      <c r="G3833" s="9">
        <f>H3833*(1-30%)*(1-F3833)</f>
        <v>101.42999999999999</v>
      </c>
      <c r="H3833" s="9">
        <v>144.90000000000001</v>
      </c>
      <c r="I3833" s="9">
        <f>H3833-G3833</f>
        <v>43.470000000000013</v>
      </c>
    </row>
    <row r="3834" ht="14.25">
      <c r="A3834" s="5">
        <v>53982</v>
      </c>
      <c r="B3834" s="7" t="s">
        <v>3928</v>
      </c>
      <c r="C3834" s="7" t="s">
        <v>3448</v>
      </c>
      <c r="D3834" s="7" t="s">
        <v>45</v>
      </c>
      <c r="E3834" s="5" t="s">
        <v>43</v>
      </c>
      <c r="F3834" s="8"/>
      <c r="G3834" s="9">
        <f>H3834*(1-30%)*(1-F3834)</f>
        <v>38.493000000000002</v>
      </c>
      <c r="H3834" s="9">
        <v>54.990000000000002</v>
      </c>
      <c r="I3834" s="9">
        <f>H3834-G3834</f>
        <v>16.497</v>
      </c>
    </row>
    <row r="3835" ht="14.25">
      <c r="A3835" s="5">
        <v>54000</v>
      </c>
      <c r="B3835" s="7" t="s">
        <v>3929</v>
      </c>
      <c r="C3835" s="7" t="s">
        <v>3262</v>
      </c>
      <c r="D3835" s="7" t="s">
        <v>110</v>
      </c>
      <c r="E3835" s="5" t="s">
        <v>43</v>
      </c>
      <c r="F3835" s="8"/>
      <c r="G3835" s="9">
        <f>H3835*(1-30%)*(1-F3835)</f>
        <v>40.592999999999996</v>
      </c>
      <c r="H3835" s="9">
        <v>57.990000000000002</v>
      </c>
      <c r="I3835" s="9">
        <f>H3835-G3835</f>
        <v>17.397000000000006</v>
      </c>
    </row>
    <row r="3836" ht="14.25">
      <c r="A3836" s="5">
        <v>54001</v>
      </c>
      <c r="B3836" s="7" t="s">
        <v>3930</v>
      </c>
      <c r="C3836" s="7" t="s">
        <v>3262</v>
      </c>
      <c r="D3836" s="7" t="s">
        <v>110</v>
      </c>
      <c r="E3836" s="5" t="s">
        <v>43</v>
      </c>
      <c r="F3836" s="8"/>
      <c r="G3836" s="9">
        <f>H3836*(1-30%)*(1-F3836)</f>
        <v>40.592999999999996</v>
      </c>
      <c r="H3836" s="9">
        <v>57.990000000000002</v>
      </c>
      <c r="I3836" s="9">
        <f>H3836-G3836</f>
        <v>17.397000000000006</v>
      </c>
    </row>
    <row r="3837" ht="14.25">
      <c r="A3837" s="5">
        <v>54003</v>
      </c>
      <c r="B3837" s="7" t="s">
        <v>3931</v>
      </c>
      <c r="C3837" s="7" t="s">
        <v>3262</v>
      </c>
      <c r="D3837" s="7" t="s">
        <v>110</v>
      </c>
      <c r="E3837" s="5" t="s">
        <v>43</v>
      </c>
      <c r="F3837" s="8"/>
      <c r="G3837" s="9">
        <f>H3837*(1-30%)*(1-F3837)</f>
        <v>40.592999999999996</v>
      </c>
      <c r="H3837" s="9">
        <v>57.990000000000002</v>
      </c>
      <c r="I3837" s="9">
        <f>H3837-G3837</f>
        <v>17.397000000000006</v>
      </c>
    </row>
    <row r="3838" ht="14.25">
      <c r="A3838" s="5">
        <v>54004</v>
      </c>
      <c r="B3838" s="7" t="s">
        <v>3932</v>
      </c>
      <c r="C3838" s="7" t="s">
        <v>3262</v>
      </c>
      <c r="D3838" s="7" t="s">
        <v>110</v>
      </c>
      <c r="E3838" s="5" t="s">
        <v>43</v>
      </c>
      <c r="F3838" s="8"/>
      <c r="G3838" s="9">
        <f>H3838*(1-30%)*(1-F3838)</f>
        <v>40.592999999999996</v>
      </c>
      <c r="H3838" s="9">
        <v>57.990000000000002</v>
      </c>
      <c r="I3838" s="9">
        <f>H3838-G3838</f>
        <v>17.397000000000006</v>
      </c>
    </row>
    <row r="3839" ht="14.25">
      <c r="A3839" s="5">
        <v>54073</v>
      </c>
      <c r="B3839" s="7" t="s">
        <v>3933</v>
      </c>
      <c r="C3839" s="7" t="s">
        <v>3709</v>
      </c>
      <c r="D3839" s="7" t="s">
        <v>219</v>
      </c>
      <c r="E3839" s="5" t="s">
        <v>43</v>
      </c>
      <c r="F3839" s="8"/>
      <c r="G3839" s="9">
        <f>H3839*(1-30%)*(1-F3839)</f>
        <v>97.992999999999995</v>
      </c>
      <c r="H3839" s="9">
        <v>139.99000000000001</v>
      </c>
      <c r="I3839" s="9">
        <f>H3839-G3839</f>
        <v>41.997000000000014</v>
      </c>
    </row>
    <row r="3840" ht="14.25">
      <c r="A3840" s="5">
        <v>54078</v>
      </c>
      <c r="B3840" s="7" t="s">
        <v>3934</v>
      </c>
      <c r="C3840" s="7" t="s">
        <v>3324</v>
      </c>
      <c r="D3840" s="7" t="s">
        <v>110</v>
      </c>
      <c r="E3840" s="5" t="s">
        <v>43</v>
      </c>
      <c r="F3840" s="8"/>
      <c r="G3840" s="9">
        <f>H3840*(1-30%)*(1-F3840)</f>
        <v>24.492999999999999</v>
      </c>
      <c r="H3840" s="9">
        <v>34.990000000000002</v>
      </c>
      <c r="I3840" s="9">
        <f>H3840-G3840</f>
        <v>10.497000000000003</v>
      </c>
    </row>
    <row r="3841" ht="14.25">
      <c r="A3841" s="5">
        <v>54095</v>
      </c>
      <c r="B3841" s="7" t="s">
        <v>3935</v>
      </c>
      <c r="C3841" s="7" t="s">
        <v>3280</v>
      </c>
      <c r="D3841" s="7" t="s">
        <v>95</v>
      </c>
      <c r="E3841" s="5" t="s">
        <v>43</v>
      </c>
      <c r="F3841" s="8"/>
      <c r="G3841" s="9">
        <f>H3841*(1-30%)*(1-F3841)</f>
        <v>37.092999999999996</v>
      </c>
      <c r="H3841" s="9">
        <v>52.990000000000002</v>
      </c>
      <c r="I3841" s="9">
        <f>H3841-G3841</f>
        <v>15.897000000000006</v>
      </c>
    </row>
    <row r="3842" ht="14.25">
      <c r="A3842" s="5">
        <v>54137</v>
      </c>
      <c r="B3842" s="7" t="s">
        <v>3936</v>
      </c>
      <c r="C3842" s="7" t="s">
        <v>3290</v>
      </c>
      <c r="D3842" s="7" t="s">
        <v>61</v>
      </c>
      <c r="E3842" s="5" t="s">
        <v>43</v>
      </c>
      <c r="F3842" s="8"/>
      <c r="G3842" s="9">
        <f>H3842*(1-30%)*(1-F3842)</f>
        <v>112.63</v>
      </c>
      <c r="H3842" s="9">
        <v>160.90000000000001</v>
      </c>
      <c r="I3842" s="9">
        <f>H3842-G3842</f>
        <v>48.27000000000001</v>
      </c>
    </row>
    <row r="3843" ht="14.25">
      <c r="A3843" s="5">
        <v>54138</v>
      </c>
      <c r="B3843" s="7" t="s">
        <v>3937</v>
      </c>
      <c r="C3843" s="7" t="s">
        <v>3280</v>
      </c>
      <c r="D3843" s="7" t="s">
        <v>61</v>
      </c>
      <c r="E3843" s="5" t="s">
        <v>43</v>
      </c>
      <c r="F3843" s="8"/>
      <c r="G3843" s="9">
        <f>H3843*(1-30%)*(1-F3843)</f>
        <v>97.278999999999996</v>
      </c>
      <c r="H3843" s="9">
        <v>138.97</v>
      </c>
      <c r="I3843" s="9">
        <f>H3843-G3843</f>
        <v>41.691000000000003</v>
      </c>
    </row>
    <row r="3844" ht="14.25">
      <c r="A3844" s="5">
        <v>54144</v>
      </c>
      <c r="B3844" s="7" t="s">
        <v>3938</v>
      </c>
      <c r="C3844" s="7" t="s">
        <v>3705</v>
      </c>
      <c r="D3844" s="7" t="s">
        <v>71</v>
      </c>
      <c r="E3844" s="5" t="s">
        <v>43</v>
      </c>
      <c r="F3844" s="8"/>
      <c r="G3844" s="9">
        <f>H3844*(1-30%)*(1-F3844)</f>
        <v>19.592999999999996</v>
      </c>
      <c r="H3844" s="9">
        <v>27.989999999999998</v>
      </c>
      <c r="I3844" s="9">
        <f>H3844-G3844</f>
        <v>8.397000000000002</v>
      </c>
    </row>
    <row r="3845" ht="14.25">
      <c r="A3845" s="5">
        <v>54189</v>
      </c>
      <c r="B3845" s="7" t="s">
        <v>3939</v>
      </c>
      <c r="C3845" s="7" t="s">
        <v>3276</v>
      </c>
      <c r="D3845" s="7" t="s">
        <v>103</v>
      </c>
      <c r="E3845" s="5" t="s">
        <v>43</v>
      </c>
      <c r="F3845" s="8"/>
      <c r="G3845" s="9">
        <f>H3845*(1-30%)*(1-F3845)</f>
        <v>17.492999999999999</v>
      </c>
      <c r="H3845" s="9">
        <v>24.989999999999998</v>
      </c>
      <c r="I3845" s="9">
        <f>H3845-G3845</f>
        <v>7.4969999999999999</v>
      </c>
    </row>
    <row r="3846" ht="14.25">
      <c r="A3846" s="5">
        <v>54190</v>
      </c>
      <c r="B3846" s="7" t="s">
        <v>3940</v>
      </c>
      <c r="C3846" s="7" t="s">
        <v>3276</v>
      </c>
      <c r="D3846" s="7" t="s">
        <v>103</v>
      </c>
      <c r="E3846" s="5" t="s">
        <v>43</v>
      </c>
      <c r="F3846" s="8"/>
      <c r="G3846" s="9">
        <f>H3846*(1-30%)*(1-F3846)</f>
        <v>17.492999999999999</v>
      </c>
      <c r="H3846" s="9">
        <v>24.989999999999998</v>
      </c>
      <c r="I3846" s="9">
        <f>H3846-G3846</f>
        <v>7.4969999999999999</v>
      </c>
    </row>
    <row r="3847" ht="14.25">
      <c r="A3847" s="5">
        <v>54191</v>
      </c>
      <c r="B3847" s="7" t="s">
        <v>3941</v>
      </c>
      <c r="C3847" s="7" t="s">
        <v>3705</v>
      </c>
      <c r="D3847" s="7" t="s">
        <v>11</v>
      </c>
      <c r="E3847" s="5" t="s">
        <v>43</v>
      </c>
      <c r="F3847" s="8"/>
      <c r="G3847" s="9">
        <f>H3847*(1-30%)*(1-F3847)</f>
        <v>62.992999999999995</v>
      </c>
      <c r="H3847" s="9">
        <v>89.989999999999995</v>
      </c>
      <c r="I3847" s="9">
        <f>H3847-G3847</f>
        <v>26.997</v>
      </c>
    </row>
    <row r="3848" ht="14.25">
      <c r="A3848" s="5">
        <v>54298</v>
      </c>
      <c r="B3848" s="7" t="s">
        <v>3942</v>
      </c>
      <c r="C3848" s="7" t="s">
        <v>3290</v>
      </c>
      <c r="D3848" s="7" t="s">
        <v>45</v>
      </c>
      <c r="E3848" s="5" t="s">
        <v>43</v>
      </c>
      <c r="F3848" s="8"/>
      <c r="G3848" s="9">
        <f>H3848*(1-30%)*(1-F3848)</f>
        <v>76.992999999999995</v>
      </c>
      <c r="H3848" s="9">
        <v>109.98999999999999</v>
      </c>
      <c r="I3848" s="9">
        <f>H3848-G3848</f>
        <v>32.997</v>
      </c>
    </row>
    <row r="3849" ht="14.25">
      <c r="A3849" s="5">
        <v>54308</v>
      </c>
      <c r="B3849" s="7" t="s">
        <v>3943</v>
      </c>
      <c r="C3849" s="7" t="s">
        <v>3324</v>
      </c>
      <c r="D3849" s="7" t="s">
        <v>110</v>
      </c>
      <c r="E3849" s="5" t="s">
        <v>26</v>
      </c>
      <c r="F3849" s="8"/>
      <c r="G3849" s="9">
        <f>H3849*(1-30%)*(1-F3849)</f>
        <v>15.392999999999997</v>
      </c>
      <c r="H3849" s="9">
        <v>21.989999999999998</v>
      </c>
      <c r="I3849" s="9">
        <f>H3849-G3849</f>
        <v>6.5970000000000013</v>
      </c>
    </row>
    <row r="3850" ht="14.25">
      <c r="A3850" s="5">
        <v>54309</v>
      </c>
      <c r="B3850" s="7" t="s">
        <v>3944</v>
      </c>
      <c r="C3850" s="7" t="s">
        <v>3324</v>
      </c>
      <c r="D3850" s="7" t="s">
        <v>110</v>
      </c>
      <c r="E3850" s="5" t="s">
        <v>15</v>
      </c>
      <c r="F3850" s="8"/>
      <c r="G3850" s="9">
        <f>H3850*(1-30%)*(1-F3850)</f>
        <v>15.392999999999997</v>
      </c>
      <c r="H3850" s="9">
        <v>21.989999999999998</v>
      </c>
      <c r="I3850" s="9">
        <f>H3850-G3850</f>
        <v>6.5970000000000013</v>
      </c>
    </row>
    <row r="3851" ht="14.25">
      <c r="A3851" s="5">
        <v>54310</v>
      </c>
      <c r="B3851" s="7" t="s">
        <v>3945</v>
      </c>
      <c r="C3851" s="7" t="s">
        <v>3324</v>
      </c>
      <c r="D3851" s="7" t="s">
        <v>110</v>
      </c>
      <c r="E3851" s="5" t="s">
        <v>26</v>
      </c>
      <c r="F3851" s="8"/>
      <c r="G3851" s="9">
        <f>H3851*(1-30%)*(1-F3851)</f>
        <v>15.392999999999997</v>
      </c>
      <c r="H3851" s="9">
        <v>21.989999999999998</v>
      </c>
      <c r="I3851" s="9">
        <f>H3851-G3851</f>
        <v>6.5970000000000013</v>
      </c>
    </row>
    <row r="3852" ht="14.25">
      <c r="A3852" s="5">
        <v>54311</v>
      </c>
      <c r="B3852" s="7" t="s">
        <v>3946</v>
      </c>
      <c r="C3852" s="7" t="s">
        <v>3324</v>
      </c>
      <c r="D3852" s="7" t="s">
        <v>110</v>
      </c>
      <c r="E3852" s="5" t="s">
        <v>26</v>
      </c>
      <c r="F3852" s="8"/>
      <c r="G3852" s="9">
        <f>H3852*(1-30%)*(1-F3852)</f>
        <v>15.392999999999997</v>
      </c>
      <c r="H3852" s="9">
        <v>21.989999999999998</v>
      </c>
      <c r="I3852" s="9">
        <f>H3852-G3852</f>
        <v>6.5970000000000013</v>
      </c>
    </row>
    <row r="3853" ht="14.25">
      <c r="A3853" s="5">
        <v>54312</v>
      </c>
      <c r="B3853" s="7" t="s">
        <v>3947</v>
      </c>
      <c r="C3853" s="7" t="s">
        <v>3276</v>
      </c>
      <c r="D3853" s="7" t="s">
        <v>103</v>
      </c>
      <c r="E3853" s="5" t="s">
        <v>43</v>
      </c>
      <c r="F3853" s="8"/>
      <c r="G3853" s="9">
        <f>H3853*(1-30%)*(1-F3853)</f>
        <v>31.492999999999999</v>
      </c>
      <c r="H3853" s="9">
        <v>44.990000000000002</v>
      </c>
      <c r="I3853" s="9">
        <f>H3853-G3853</f>
        <v>13.497000000000003</v>
      </c>
    </row>
    <row r="3854" ht="14.25">
      <c r="A3854" s="5">
        <v>54313</v>
      </c>
      <c r="B3854" s="7" t="s">
        <v>3948</v>
      </c>
      <c r="C3854" s="7" t="s">
        <v>3276</v>
      </c>
      <c r="D3854" s="7" t="s">
        <v>45</v>
      </c>
      <c r="E3854" s="5" t="s">
        <v>43</v>
      </c>
      <c r="F3854" s="8"/>
      <c r="G3854" s="9">
        <f>H3854*(1-30%)*(1-F3854)</f>
        <v>41.292999999999999</v>
      </c>
      <c r="H3854" s="9">
        <v>58.990000000000002</v>
      </c>
      <c r="I3854" s="9">
        <f>H3854-G3854</f>
        <v>17.697000000000003</v>
      </c>
    </row>
    <row r="3855" ht="14.25">
      <c r="A3855" s="5">
        <v>54314</v>
      </c>
      <c r="B3855" s="7" t="s">
        <v>3949</v>
      </c>
      <c r="C3855" s="7" t="s">
        <v>3276</v>
      </c>
      <c r="D3855" s="7" t="s">
        <v>45</v>
      </c>
      <c r="E3855" s="5" t="s">
        <v>43</v>
      </c>
      <c r="F3855" s="8"/>
      <c r="G3855" s="9">
        <f>H3855*(1-30%)*(1-F3855)</f>
        <v>41.292999999999999</v>
      </c>
      <c r="H3855" s="9">
        <v>58.990000000000002</v>
      </c>
      <c r="I3855" s="9">
        <f>H3855-G3855</f>
        <v>17.697000000000003</v>
      </c>
    </row>
    <row r="3856" ht="14.25">
      <c r="A3856" s="5">
        <v>54315</v>
      </c>
      <c r="B3856" s="7" t="s">
        <v>3950</v>
      </c>
      <c r="C3856" s="7" t="s">
        <v>3276</v>
      </c>
      <c r="D3856" s="7" t="s">
        <v>45</v>
      </c>
      <c r="E3856" s="5" t="s">
        <v>43</v>
      </c>
      <c r="F3856" s="8"/>
      <c r="G3856" s="9">
        <f>H3856*(1-30%)*(1-F3856)</f>
        <v>41.292999999999999</v>
      </c>
      <c r="H3856" s="9">
        <v>58.990000000000002</v>
      </c>
      <c r="I3856" s="9">
        <f>H3856-G3856</f>
        <v>17.697000000000003</v>
      </c>
    </row>
    <row r="3857" ht="14.25">
      <c r="A3857" s="5">
        <v>54317</v>
      </c>
      <c r="B3857" s="7" t="s">
        <v>3951</v>
      </c>
      <c r="C3857" s="7" t="s">
        <v>3276</v>
      </c>
      <c r="D3857" s="7" t="s">
        <v>103</v>
      </c>
      <c r="E3857" s="5" t="s">
        <v>43</v>
      </c>
      <c r="F3857" s="8"/>
      <c r="G3857" s="9">
        <f>H3857*(1-30%)*(1-F3857)</f>
        <v>19.592999999999996</v>
      </c>
      <c r="H3857" s="9">
        <v>27.989999999999998</v>
      </c>
      <c r="I3857" s="9">
        <f>H3857-G3857</f>
        <v>8.397000000000002</v>
      </c>
    </row>
    <row r="3858" ht="14.25">
      <c r="A3858" s="5">
        <v>54321</v>
      </c>
      <c r="B3858" s="7" t="s">
        <v>3952</v>
      </c>
      <c r="C3858" s="7" t="s">
        <v>3265</v>
      </c>
      <c r="D3858" s="7" t="s">
        <v>110</v>
      </c>
      <c r="E3858" s="5" t="s">
        <v>26</v>
      </c>
      <c r="F3858" s="8"/>
      <c r="G3858" s="9">
        <f>H3858*(1-30%)*(1-F3858)</f>
        <v>62.992999999999995</v>
      </c>
      <c r="H3858" s="9">
        <v>89.989999999999995</v>
      </c>
      <c r="I3858" s="9">
        <f>H3858-G3858</f>
        <v>26.997</v>
      </c>
    </row>
    <row r="3859" ht="14.25">
      <c r="A3859" s="5">
        <v>54360</v>
      </c>
      <c r="B3859" s="7" t="s">
        <v>3953</v>
      </c>
      <c r="C3859" s="7" t="s">
        <v>3280</v>
      </c>
      <c r="D3859" s="7" t="s">
        <v>95</v>
      </c>
      <c r="E3859" s="5" t="s">
        <v>43</v>
      </c>
      <c r="F3859" s="8"/>
      <c r="G3859" s="9">
        <f>H3859*(1-30%)*(1-F3859)</f>
        <v>45.492999999999995</v>
      </c>
      <c r="H3859" s="9">
        <v>64.989999999999995</v>
      </c>
      <c r="I3859" s="9">
        <f>H3859-G3859</f>
        <v>19.497</v>
      </c>
    </row>
    <row r="3860" ht="14.25">
      <c r="A3860" s="5">
        <v>54361</v>
      </c>
      <c r="B3860" s="7" t="s">
        <v>3954</v>
      </c>
      <c r="C3860" s="7" t="s">
        <v>3280</v>
      </c>
      <c r="D3860" s="7" t="s">
        <v>95</v>
      </c>
      <c r="E3860" s="5" t="s">
        <v>43</v>
      </c>
      <c r="F3860" s="8"/>
      <c r="G3860" s="9">
        <f>H3860*(1-30%)*(1-F3860)</f>
        <v>48.992999999999995</v>
      </c>
      <c r="H3860" s="9">
        <v>69.989999999999995</v>
      </c>
      <c r="I3860" s="9">
        <f>H3860-G3860</f>
        <v>20.997</v>
      </c>
    </row>
    <row r="3861" ht="14.25">
      <c r="A3861" s="5">
        <v>54362</v>
      </c>
      <c r="B3861" s="7" t="s">
        <v>3481</v>
      </c>
      <c r="C3861" s="7" t="s">
        <v>3280</v>
      </c>
      <c r="D3861" s="7" t="s">
        <v>95</v>
      </c>
      <c r="E3861" s="5" t="s">
        <v>43</v>
      </c>
      <c r="F3861" s="8"/>
      <c r="G3861" s="9">
        <f>H3861*(1-30%)*(1-F3861)</f>
        <v>37.092999999999996</v>
      </c>
      <c r="H3861" s="9">
        <v>52.990000000000002</v>
      </c>
      <c r="I3861" s="9">
        <f>H3861-G3861</f>
        <v>15.897000000000006</v>
      </c>
    </row>
    <row r="3862" ht="14.25">
      <c r="A3862" s="5">
        <v>54363</v>
      </c>
      <c r="B3862" s="7" t="s">
        <v>3955</v>
      </c>
      <c r="C3862" s="7" t="s">
        <v>3280</v>
      </c>
      <c r="D3862" s="7" t="s">
        <v>95</v>
      </c>
      <c r="E3862" s="5" t="s">
        <v>43</v>
      </c>
      <c r="F3862" s="8"/>
      <c r="G3862" s="9">
        <f>H3862*(1-30%)*(1-F3862)</f>
        <v>38.493000000000002</v>
      </c>
      <c r="H3862" s="9">
        <v>54.990000000000002</v>
      </c>
      <c r="I3862" s="9">
        <f>H3862-G3862</f>
        <v>16.497</v>
      </c>
    </row>
    <row r="3863" ht="14.25">
      <c r="A3863" s="5">
        <v>54428</v>
      </c>
      <c r="B3863" s="7" t="s">
        <v>3956</v>
      </c>
      <c r="C3863" s="7" t="s">
        <v>3290</v>
      </c>
      <c r="D3863" s="7" t="s">
        <v>1447</v>
      </c>
      <c r="E3863" s="5" t="s">
        <v>15</v>
      </c>
      <c r="F3863" s="8"/>
      <c r="G3863" s="9">
        <f>H3863*(1-30%)*(1-F3863)</f>
        <v>3.4300000000000002</v>
      </c>
      <c r="H3863" s="9">
        <v>4.9000000000000004</v>
      </c>
      <c r="I3863" s="9">
        <f>H3863-G3863</f>
        <v>1.4700000000000002</v>
      </c>
    </row>
    <row r="3864" ht="14.25">
      <c r="A3864" s="5">
        <v>54429</v>
      </c>
      <c r="B3864" s="7" t="s">
        <v>3957</v>
      </c>
      <c r="C3864" s="7" t="s">
        <v>3290</v>
      </c>
      <c r="D3864" s="7" t="s">
        <v>1447</v>
      </c>
      <c r="E3864" s="5" t="s">
        <v>15</v>
      </c>
      <c r="F3864" s="8"/>
      <c r="G3864" s="9">
        <f>H3864*(1-30%)*(1-F3864)</f>
        <v>2.73</v>
      </c>
      <c r="H3864" s="9">
        <v>3.8999999999999999</v>
      </c>
      <c r="I3864" s="9">
        <f>H3864-G3864</f>
        <v>1.1699999999999999</v>
      </c>
    </row>
    <row r="3865" ht="14.25">
      <c r="A3865" s="5">
        <v>54430</v>
      </c>
      <c r="B3865" s="7" t="s">
        <v>3958</v>
      </c>
      <c r="C3865" s="7" t="s">
        <v>3290</v>
      </c>
      <c r="D3865" s="7" t="s">
        <v>1447</v>
      </c>
      <c r="E3865" s="5" t="s">
        <v>15</v>
      </c>
      <c r="F3865" s="8"/>
      <c r="G3865" s="9">
        <f>H3865*(1-30%)*(1-F3865)</f>
        <v>4.8300000000000001</v>
      </c>
      <c r="H3865" s="9">
        <v>6.9000000000000004</v>
      </c>
      <c r="I3865" s="9">
        <f>H3865-G3865</f>
        <v>2.0700000000000003</v>
      </c>
    </row>
    <row r="3866" ht="14.25">
      <c r="A3866" s="5">
        <v>54444</v>
      </c>
      <c r="B3866" s="7" t="s">
        <v>3959</v>
      </c>
      <c r="C3866" s="7" t="s">
        <v>3324</v>
      </c>
      <c r="D3866" s="7" t="s">
        <v>110</v>
      </c>
      <c r="E3866" s="5" t="s">
        <v>43</v>
      </c>
      <c r="F3866" s="8"/>
      <c r="G3866" s="9">
        <f>H3866*(1-30%)*(1-F3866)</f>
        <v>26.593</v>
      </c>
      <c r="H3866" s="9">
        <v>37.990000000000002</v>
      </c>
      <c r="I3866" s="9">
        <f>H3866-G3866</f>
        <v>11.397000000000002</v>
      </c>
    </row>
    <row r="3867" ht="14.25">
      <c r="A3867" s="5">
        <v>54450</v>
      </c>
      <c r="B3867" s="7" t="s">
        <v>3960</v>
      </c>
      <c r="C3867" s="7" t="s">
        <v>3492</v>
      </c>
      <c r="D3867" s="7" t="s">
        <v>11</v>
      </c>
      <c r="E3867" s="5" t="s">
        <v>43</v>
      </c>
      <c r="F3867" s="8"/>
      <c r="G3867" s="9">
        <f>H3867*(1-30%)*(1-F3867)</f>
        <v>108.49299999999999</v>
      </c>
      <c r="H3867" s="9">
        <v>154.99000000000001</v>
      </c>
      <c r="I3867" s="9">
        <f>H3867-G3867</f>
        <v>46.497000000000014</v>
      </c>
    </row>
    <row r="3868" ht="14.25">
      <c r="A3868" s="5">
        <v>54454</v>
      </c>
      <c r="B3868" s="7" t="s">
        <v>3961</v>
      </c>
      <c r="C3868" s="7" t="s">
        <v>3492</v>
      </c>
      <c r="D3868" s="7" t="s">
        <v>71</v>
      </c>
      <c r="E3868" s="5" t="s">
        <v>15</v>
      </c>
      <c r="F3868" s="8"/>
      <c r="G3868" s="9">
        <f>H3868*(1-30%)*(1-F3868)</f>
        <v>27.292999999999999</v>
      </c>
      <c r="H3868" s="9">
        <v>38.990000000000002</v>
      </c>
      <c r="I3868" s="9">
        <f>H3868-G3868</f>
        <v>11.697000000000003</v>
      </c>
    </row>
    <row r="3869" ht="14.25">
      <c r="A3869" s="5">
        <v>54474</v>
      </c>
      <c r="B3869" s="7" t="s">
        <v>3962</v>
      </c>
      <c r="C3869" s="7" t="s">
        <v>3290</v>
      </c>
      <c r="D3869" s="7" t="s">
        <v>183</v>
      </c>
      <c r="E3869" s="5" t="s">
        <v>15</v>
      </c>
      <c r="F3869" s="8"/>
      <c r="G3869" s="9">
        <f>H3869*(1-30%)*(1-F3869)</f>
        <v>2.9050000000000002</v>
      </c>
      <c r="H3869" s="9">
        <v>4.1500000000000004</v>
      </c>
      <c r="I3869" s="9">
        <f>H3869-G3869</f>
        <v>1.2450000000000001</v>
      </c>
    </row>
    <row r="3870" ht="14.25">
      <c r="A3870" s="5">
        <v>54475</v>
      </c>
      <c r="B3870" s="7" t="s">
        <v>3963</v>
      </c>
      <c r="C3870" s="7" t="s">
        <v>3290</v>
      </c>
      <c r="D3870" s="7" t="s">
        <v>183</v>
      </c>
      <c r="E3870" s="5" t="s">
        <v>26</v>
      </c>
      <c r="F3870" s="8"/>
      <c r="G3870" s="9">
        <f>H3870*(1-30%)*(1-F3870)</f>
        <v>4.5499999999999998</v>
      </c>
      <c r="H3870" s="9">
        <v>6.5</v>
      </c>
      <c r="I3870" s="9">
        <f>H3870-G3870</f>
        <v>1.9500000000000002</v>
      </c>
    </row>
    <row r="3871" ht="14.25">
      <c r="A3871" s="5">
        <v>54478</v>
      </c>
      <c r="B3871" s="7" t="s">
        <v>3964</v>
      </c>
      <c r="C3871" s="7" t="s">
        <v>3522</v>
      </c>
      <c r="D3871" s="7" t="s">
        <v>174</v>
      </c>
      <c r="E3871" s="5" t="s">
        <v>43</v>
      </c>
      <c r="F3871" s="8"/>
      <c r="G3871" s="9">
        <f>H3871*(1-30%)*(1-F3871)</f>
        <v>37.792999999999999</v>
      </c>
      <c r="H3871" s="9">
        <v>53.990000000000002</v>
      </c>
      <c r="I3871" s="9">
        <f>H3871-G3871</f>
        <v>16.197000000000003</v>
      </c>
    </row>
    <row r="3872" ht="14.25">
      <c r="A3872" s="5">
        <v>54479</v>
      </c>
      <c r="B3872" s="7" t="s">
        <v>3965</v>
      </c>
      <c r="C3872" s="7" t="s">
        <v>3522</v>
      </c>
      <c r="D3872" s="7" t="s">
        <v>174</v>
      </c>
      <c r="E3872" s="5" t="s">
        <v>43</v>
      </c>
      <c r="F3872" s="8"/>
      <c r="G3872" s="9">
        <f>H3872*(1-30%)*(1-F3872)</f>
        <v>40.592999999999996</v>
      </c>
      <c r="H3872" s="9">
        <v>57.990000000000002</v>
      </c>
      <c r="I3872" s="9">
        <f>H3872-G3872</f>
        <v>17.397000000000006</v>
      </c>
    </row>
    <row r="3873" ht="14.25">
      <c r="A3873" s="5">
        <v>54506</v>
      </c>
      <c r="B3873" s="7" t="s">
        <v>3966</v>
      </c>
      <c r="C3873" s="7" t="s">
        <v>3262</v>
      </c>
      <c r="D3873" s="7" t="s">
        <v>110</v>
      </c>
      <c r="E3873" s="5" t="s">
        <v>43</v>
      </c>
      <c r="F3873" s="8"/>
      <c r="G3873" s="9">
        <f>H3873*(1-30%)*(1-F3873)</f>
        <v>58.092999999999989</v>
      </c>
      <c r="H3873" s="9">
        <v>82.989999999999995</v>
      </c>
      <c r="I3873" s="9">
        <f>H3873-G3873</f>
        <v>24.897000000000006</v>
      </c>
    </row>
    <row r="3874" ht="14.25">
      <c r="A3874" s="5">
        <v>54507</v>
      </c>
      <c r="B3874" s="7" t="s">
        <v>3967</v>
      </c>
      <c r="C3874" s="7" t="s">
        <v>3262</v>
      </c>
      <c r="D3874" s="7" t="s">
        <v>110</v>
      </c>
      <c r="E3874" s="5" t="s">
        <v>3268</v>
      </c>
      <c r="F3874" s="8"/>
      <c r="G3874" s="9">
        <f>H3874*(1-30%)*(1-F3874)</f>
        <v>51.092999999999996</v>
      </c>
      <c r="H3874" s="9">
        <v>72.989999999999995</v>
      </c>
      <c r="I3874" s="9">
        <f>H3874-G3874</f>
        <v>21.896999999999998</v>
      </c>
    </row>
    <row r="3875" ht="14.25">
      <c r="A3875" s="5">
        <v>54508</v>
      </c>
      <c r="B3875" s="7" t="s">
        <v>3968</v>
      </c>
      <c r="C3875" s="7" t="s">
        <v>3262</v>
      </c>
      <c r="D3875" s="7" t="s">
        <v>110</v>
      </c>
      <c r="E3875" s="5" t="s">
        <v>26</v>
      </c>
      <c r="F3875" s="8"/>
      <c r="G3875" s="9">
        <f>H3875*(1-30%)*(1-F3875)</f>
        <v>33.592999999999996</v>
      </c>
      <c r="H3875" s="9">
        <v>47.990000000000002</v>
      </c>
      <c r="I3875" s="9">
        <f>H3875-G3875</f>
        <v>14.397000000000006</v>
      </c>
    </row>
    <row r="3876" ht="14.25">
      <c r="A3876" s="5">
        <v>54511</v>
      </c>
      <c r="B3876" s="7" t="s">
        <v>3969</v>
      </c>
      <c r="C3876" s="7" t="s">
        <v>3262</v>
      </c>
      <c r="D3876" s="7" t="s">
        <v>110</v>
      </c>
      <c r="E3876" s="5" t="s">
        <v>43</v>
      </c>
      <c r="F3876" s="8"/>
      <c r="G3876" s="9">
        <f>H3876*(1-30%)*(1-F3876)</f>
        <v>47.592999999999996</v>
      </c>
      <c r="H3876" s="9">
        <v>67.989999999999995</v>
      </c>
      <c r="I3876" s="9">
        <f>H3876-G3876</f>
        <v>20.396999999999998</v>
      </c>
    </row>
    <row r="3877" ht="14.25">
      <c r="A3877" s="5">
        <v>54512</v>
      </c>
      <c r="B3877" s="7" t="s">
        <v>3970</v>
      </c>
      <c r="C3877" s="7" t="s">
        <v>3262</v>
      </c>
      <c r="D3877" s="7" t="s">
        <v>110</v>
      </c>
      <c r="E3877" s="5" t="s">
        <v>43</v>
      </c>
      <c r="F3877" s="8"/>
      <c r="G3877" s="9">
        <f>H3877*(1-30%)*(1-F3877)</f>
        <v>101.49299999999999</v>
      </c>
      <c r="H3877" s="9">
        <v>144.99000000000001</v>
      </c>
      <c r="I3877" s="9">
        <f>H3877-G3877</f>
        <v>43.497000000000014</v>
      </c>
    </row>
    <row r="3878" ht="14.25">
      <c r="A3878" s="5">
        <v>54513</v>
      </c>
      <c r="B3878" s="7" t="s">
        <v>3971</v>
      </c>
      <c r="C3878" s="7" t="s">
        <v>3262</v>
      </c>
      <c r="D3878" s="7" t="s">
        <v>110</v>
      </c>
      <c r="E3878" s="5" t="s">
        <v>43</v>
      </c>
      <c r="F3878" s="8"/>
      <c r="G3878" s="9">
        <f>H3878*(1-30%)*(1-F3878)</f>
        <v>48.992999999999995</v>
      </c>
      <c r="H3878" s="9">
        <v>69.989999999999995</v>
      </c>
      <c r="I3878" s="9">
        <f>H3878-G3878</f>
        <v>20.997</v>
      </c>
    </row>
    <row r="3879" ht="14.25">
      <c r="A3879" s="5">
        <v>54514</v>
      </c>
      <c r="B3879" s="7" t="s">
        <v>3972</v>
      </c>
      <c r="C3879" s="7" t="s">
        <v>3262</v>
      </c>
      <c r="D3879" s="7" t="s">
        <v>110</v>
      </c>
      <c r="E3879" s="5" t="s">
        <v>43</v>
      </c>
      <c r="F3879" s="8"/>
      <c r="G3879" s="9">
        <f>H3879*(1-30%)*(1-F3879)</f>
        <v>48.992999999999995</v>
      </c>
      <c r="H3879" s="9">
        <v>69.989999999999995</v>
      </c>
      <c r="I3879" s="9">
        <f>H3879-G3879</f>
        <v>20.997</v>
      </c>
    </row>
    <row r="3880" ht="14.25">
      <c r="A3880" s="5">
        <v>54515</v>
      </c>
      <c r="B3880" s="7" t="s">
        <v>3973</v>
      </c>
      <c r="C3880" s="7" t="s">
        <v>3262</v>
      </c>
      <c r="D3880" s="7" t="s">
        <v>110</v>
      </c>
      <c r="E3880" s="5" t="s">
        <v>43</v>
      </c>
      <c r="F3880" s="8"/>
      <c r="G3880" s="9">
        <f>H3880*(1-30%)*(1-F3880)</f>
        <v>48.992999999999995</v>
      </c>
      <c r="H3880" s="9">
        <v>69.989999999999995</v>
      </c>
      <c r="I3880" s="9">
        <f>H3880-G3880</f>
        <v>20.997</v>
      </c>
    </row>
    <row r="3881" ht="14.25">
      <c r="A3881" s="5">
        <v>54516</v>
      </c>
      <c r="B3881" s="7" t="s">
        <v>3974</v>
      </c>
      <c r="C3881" s="7" t="s">
        <v>3262</v>
      </c>
      <c r="D3881" s="7" t="s">
        <v>110</v>
      </c>
      <c r="E3881" s="5" t="s">
        <v>43</v>
      </c>
      <c r="F3881" s="8"/>
      <c r="G3881" s="9">
        <f>H3881*(1-30%)*(1-F3881)</f>
        <v>51.092999999999996</v>
      </c>
      <c r="H3881" s="9">
        <v>72.989999999999995</v>
      </c>
      <c r="I3881" s="9">
        <f>H3881-G3881</f>
        <v>21.896999999999998</v>
      </c>
    </row>
    <row r="3882" ht="14.25">
      <c r="A3882" s="5">
        <v>54522</v>
      </c>
      <c r="B3882" s="7" t="s">
        <v>3975</v>
      </c>
      <c r="C3882" s="7" t="s">
        <v>3262</v>
      </c>
      <c r="D3882" s="7" t="s">
        <v>110</v>
      </c>
      <c r="E3882" s="5" t="s">
        <v>26</v>
      </c>
      <c r="F3882" s="8"/>
      <c r="G3882" s="9">
        <f>H3882*(1-30%)*(1-F3882)</f>
        <v>90.992999999999995</v>
      </c>
      <c r="H3882" s="9">
        <v>129.99000000000001</v>
      </c>
      <c r="I3882" s="9">
        <f>H3882-G3882</f>
        <v>38.997000000000014</v>
      </c>
    </row>
    <row r="3883" ht="14.25">
      <c r="A3883" s="5">
        <v>54523</v>
      </c>
      <c r="B3883" s="7" t="s">
        <v>3976</v>
      </c>
      <c r="C3883" s="7" t="s">
        <v>3262</v>
      </c>
      <c r="D3883" s="7" t="s">
        <v>110</v>
      </c>
      <c r="E3883" s="5" t="s">
        <v>43</v>
      </c>
      <c r="F3883" s="8"/>
      <c r="G3883" s="9">
        <f>H3883*(1-30%)*(1-F3883)</f>
        <v>90.992999999999995</v>
      </c>
      <c r="H3883" s="9">
        <v>129.99000000000001</v>
      </c>
      <c r="I3883" s="9">
        <f>H3883-G3883</f>
        <v>38.997000000000014</v>
      </c>
    </row>
    <row r="3884" ht="14.25">
      <c r="A3884" s="5">
        <v>54525</v>
      </c>
      <c r="B3884" s="7" t="s">
        <v>3977</v>
      </c>
      <c r="C3884" s="7" t="s">
        <v>3262</v>
      </c>
      <c r="D3884" s="7" t="s">
        <v>110</v>
      </c>
      <c r="E3884" s="5" t="s">
        <v>43</v>
      </c>
      <c r="F3884" s="8"/>
      <c r="G3884" s="9">
        <f>H3884*(1-30%)*(1-F3884)</f>
        <v>53.892999999999994</v>
      </c>
      <c r="H3884" s="9">
        <v>76.989999999999995</v>
      </c>
      <c r="I3884" s="9">
        <f>H3884-G3884</f>
        <v>23.097000000000001</v>
      </c>
    </row>
    <row r="3885" ht="14.25">
      <c r="A3885" s="5">
        <v>54527</v>
      </c>
      <c r="B3885" s="7" t="s">
        <v>3978</v>
      </c>
      <c r="C3885" s="7" t="s">
        <v>3262</v>
      </c>
      <c r="D3885" s="7" t="s">
        <v>110</v>
      </c>
      <c r="E3885" s="5" t="s">
        <v>43</v>
      </c>
      <c r="F3885" s="8"/>
      <c r="G3885" s="9">
        <f>H3885*(1-30%)*(1-F3885)</f>
        <v>53.892999999999994</v>
      </c>
      <c r="H3885" s="9">
        <v>76.989999999999995</v>
      </c>
      <c r="I3885" s="9">
        <f>H3885-G3885</f>
        <v>23.097000000000001</v>
      </c>
    </row>
    <row r="3886" ht="14.25">
      <c r="A3886" s="5">
        <v>54530</v>
      </c>
      <c r="B3886" s="7" t="s">
        <v>3979</v>
      </c>
      <c r="C3886" s="7" t="s">
        <v>3262</v>
      </c>
      <c r="D3886" s="7" t="s">
        <v>110</v>
      </c>
      <c r="E3886" s="5" t="s">
        <v>43</v>
      </c>
      <c r="F3886" s="8"/>
      <c r="G3886" s="9">
        <f>H3886*(1-30%)*(1-F3886)</f>
        <v>45.492999999999995</v>
      </c>
      <c r="H3886" s="9">
        <v>64.989999999999995</v>
      </c>
      <c r="I3886" s="9">
        <f>H3886-G3886</f>
        <v>19.497</v>
      </c>
    </row>
    <row r="3887" ht="14.25">
      <c r="A3887" s="5">
        <v>54600</v>
      </c>
      <c r="B3887" s="7" t="s">
        <v>3980</v>
      </c>
      <c r="C3887" s="7" t="s">
        <v>3262</v>
      </c>
      <c r="D3887" s="7" t="s">
        <v>110</v>
      </c>
      <c r="E3887" s="5" t="s">
        <v>43</v>
      </c>
      <c r="F3887" s="8"/>
      <c r="G3887" s="9">
        <f>H3887*(1-30%)*(1-F3887)</f>
        <v>76.992999999999995</v>
      </c>
      <c r="H3887" s="9">
        <v>109.98999999999999</v>
      </c>
      <c r="I3887" s="9">
        <f>H3887-G3887</f>
        <v>32.997</v>
      </c>
    </row>
    <row r="3888" ht="14.25">
      <c r="A3888" s="5">
        <v>54612</v>
      </c>
      <c r="B3888" s="7" t="s">
        <v>3981</v>
      </c>
      <c r="C3888" s="7" t="s">
        <v>3262</v>
      </c>
      <c r="D3888" s="7" t="s">
        <v>110</v>
      </c>
      <c r="E3888" s="5" t="s">
        <v>43</v>
      </c>
      <c r="F3888" s="8"/>
      <c r="G3888" s="9">
        <f>H3888*(1-30%)*(1-F3888)</f>
        <v>38.493000000000002</v>
      </c>
      <c r="H3888" s="9">
        <v>54.990000000000002</v>
      </c>
      <c r="I3888" s="9">
        <f>H3888-G3888</f>
        <v>16.497</v>
      </c>
    </row>
    <row r="3889" ht="14.25">
      <c r="A3889" s="5">
        <v>54613</v>
      </c>
      <c r="B3889" s="7" t="s">
        <v>3982</v>
      </c>
      <c r="C3889" s="7" t="s">
        <v>3262</v>
      </c>
      <c r="D3889" s="7" t="s">
        <v>110</v>
      </c>
      <c r="E3889" s="5" t="s">
        <v>43</v>
      </c>
      <c r="F3889" s="8"/>
      <c r="G3889" s="9">
        <f>H3889*(1-30%)*(1-F3889)</f>
        <v>38.493000000000002</v>
      </c>
      <c r="H3889" s="9">
        <v>54.990000000000002</v>
      </c>
      <c r="I3889" s="9">
        <f>H3889-G3889</f>
        <v>16.497</v>
      </c>
    </row>
    <row r="3890" ht="14.25">
      <c r="A3890" s="5">
        <v>54614</v>
      </c>
      <c r="B3890" s="7" t="s">
        <v>3983</v>
      </c>
      <c r="C3890" s="7" t="s">
        <v>3262</v>
      </c>
      <c r="D3890" s="7" t="s">
        <v>110</v>
      </c>
      <c r="E3890" s="5" t="s">
        <v>43</v>
      </c>
      <c r="F3890" s="8"/>
      <c r="G3890" s="9">
        <f>H3890*(1-30%)*(1-F3890)</f>
        <v>38.493000000000002</v>
      </c>
      <c r="H3890" s="9">
        <v>54.990000000000002</v>
      </c>
      <c r="I3890" s="9">
        <f>H3890-G3890</f>
        <v>16.497</v>
      </c>
    </row>
    <row r="3891" ht="14.25">
      <c r="A3891" s="5">
        <v>54671</v>
      </c>
      <c r="B3891" s="7" t="s">
        <v>3984</v>
      </c>
      <c r="C3891" s="7" t="s">
        <v>3265</v>
      </c>
      <c r="D3891" s="7" t="s">
        <v>61</v>
      </c>
      <c r="E3891" s="5" t="s">
        <v>15</v>
      </c>
      <c r="F3891" s="8"/>
      <c r="G3891" s="9">
        <f>H3891*(1-30%)*(1-F3891)</f>
        <v>54.592999999999996</v>
      </c>
      <c r="H3891" s="9">
        <v>77.989999999999995</v>
      </c>
      <c r="I3891" s="9">
        <f>H3891-G3891</f>
        <v>23.396999999999998</v>
      </c>
    </row>
    <row r="3892" ht="14.25">
      <c r="A3892" s="5">
        <v>54675</v>
      </c>
      <c r="B3892" s="7" t="s">
        <v>3985</v>
      </c>
      <c r="C3892" s="7" t="s">
        <v>3265</v>
      </c>
      <c r="D3892" s="7" t="s">
        <v>61</v>
      </c>
      <c r="E3892" s="5" t="s">
        <v>15</v>
      </c>
      <c r="F3892" s="8"/>
      <c r="G3892" s="9">
        <f>H3892*(1-30%)*(1-F3892)</f>
        <v>54.592999999999996</v>
      </c>
      <c r="H3892" s="9">
        <v>77.989999999999995</v>
      </c>
      <c r="I3892" s="9">
        <f>H3892-G3892</f>
        <v>23.396999999999998</v>
      </c>
    </row>
    <row r="3893" ht="14.25">
      <c r="A3893" s="5">
        <v>55196</v>
      </c>
      <c r="B3893" s="7" t="s">
        <v>3986</v>
      </c>
      <c r="C3893" s="7" t="s">
        <v>3331</v>
      </c>
      <c r="D3893" s="7" t="s">
        <v>11</v>
      </c>
      <c r="E3893" s="5" t="s">
        <v>43</v>
      </c>
      <c r="F3893" s="8"/>
      <c r="G3893" s="9">
        <f>H3893*(1-30%)*(1-F3893)</f>
        <v>108.42999999999999</v>
      </c>
      <c r="H3893" s="9">
        <v>154.90000000000001</v>
      </c>
      <c r="I3893" s="9">
        <f>H3893-G3893</f>
        <v>46.470000000000013</v>
      </c>
    </row>
    <row r="3894" ht="14.25">
      <c r="A3894" s="5">
        <v>55437</v>
      </c>
      <c r="B3894" s="7" t="s">
        <v>3987</v>
      </c>
      <c r="C3894" s="7" t="s">
        <v>3302</v>
      </c>
      <c r="D3894" s="7" t="s">
        <v>219</v>
      </c>
      <c r="E3894" s="5" t="s">
        <v>43</v>
      </c>
      <c r="F3894" s="8"/>
      <c r="G3894" s="9">
        <f>H3894*(1-30%)*(1-F3894)</f>
        <v>87.492999999999995</v>
      </c>
      <c r="H3894" s="9">
        <v>124.98999999999999</v>
      </c>
      <c r="I3894" s="9">
        <f>H3894-G3894</f>
        <v>37.497</v>
      </c>
    </row>
    <row r="3895" ht="14.25">
      <c r="A3895" s="5">
        <v>55438</v>
      </c>
      <c r="B3895" s="7" t="s">
        <v>3988</v>
      </c>
      <c r="C3895" s="7" t="s">
        <v>3302</v>
      </c>
      <c r="D3895" s="7" t="s">
        <v>219</v>
      </c>
      <c r="E3895" s="5" t="s">
        <v>43</v>
      </c>
      <c r="F3895" s="8"/>
      <c r="G3895" s="9">
        <f>H3895*(1-30%)*(1-F3895)</f>
        <v>48.992999999999995</v>
      </c>
      <c r="H3895" s="9">
        <v>69.989999999999995</v>
      </c>
      <c r="I3895" s="9">
        <f>H3895-G3895</f>
        <v>20.997</v>
      </c>
    </row>
    <row r="3896" ht="14.25">
      <c r="A3896" s="5">
        <v>55444</v>
      </c>
      <c r="B3896" s="7" t="s">
        <v>3989</v>
      </c>
      <c r="C3896" s="7" t="s">
        <v>3280</v>
      </c>
      <c r="D3896" s="7" t="s">
        <v>95</v>
      </c>
      <c r="E3896" s="5" t="s">
        <v>43</v>
      </c>
      <c r="F3896" s="8"/>
      <c r="G3896" s="9">
        <f>H3896*(1-30%)*(1-F3896)</f>
        <v>62.992999999999995</v>
      </c>
      <c r="H3896" s="9">
        <v>89.989999999999995</v>
      </c>
      <c r="I3896" s="9">
        <f>H3896-G3896</f>
        <v>26.997</v>
      </c>
    </row>
    <row r="3897" ht="14.25">
      <c r="A3897" s="5">
        <v>55472</v>
      </c>
      <c r="B3897" s="7" t="s">
        <v>3990</v>
      </c>
      <c r="C3897" s="7" t="s">
        <v>3280</v>
      </c>
      <c r="D3897" s="7" t="s">
        <v>95</v>
      </c>
      <c r="E3897" s="5" t="s">
        <v>43</v>
      </c>
      <c r="F3897" s="8"/>
      <c r="G3897" s="9">
        <f>H3897*(1-30%)*(1-F3897)</f>
        <v>48.292999999999992</v>
      </c>
      <c r="H3897" s="9">
        <v>68.989999999999995</v>
      </c>
      <c r="I3897" s="9">
        <f>H3897-G3897</f>
        <v>20.697000000000003</v>
      </c>
    </row>
    <row r="3898" ht="14.25">
      <c r="A3898" s="5">
        <v>55473</v>
      </c>
      <c r="B3898" s="7" t="s">
        <v>3991</v>
      </c>
      <c r="C3898" s="7" t="s">
        <v>3280</v>
      </c>
      <c r="D3898" s="7" t="s">
        <v>95</v>
      </c>
      <c r="E3898" s="5" t="s">
        <v>43</v>
      </c>
      <c r="F3898" s="8"/>
      <c r="G3898" s="9">
        <f>H3898*(1-30%)*(1-F3898)</f>
        <v>48.292999999999992</v>
      </c>
      <c r="H3898" s="9">
        <v>68.989999999999995</v>
      </c>
      <c r="I3898" s="9">
        <f>H3898-G3898</f>
        <v>20.697000000000003</v>
      </c>
    </row>
    <row r="3899" ht="14.25">
      <c r="A3899" s="5">
        <v>55474</v>
      </c>
      <c r="B3899" s="7" t="s">
        <v>3992</v>
      </c>
      <c r="C3899" s="7" t="s">
        <v>3280</v>
      </c>
      <c r="D3899" s="7" t="s">
        <v>95</v>
      </c>
      <c r="E3899" s="5" t="s">
        <v>43</v>
      </c>
      <c r="F3899" s="8"/>
      <c r="G3899" s="9">
        <f>H3899*(1-30%)*(1-F3899)</f>
        <v>45.492999999999995</v>
      </c>
      <c r="H3899" s="9">
        <v>64.989999999999995</v>
      </c>
      <c r="I3899" s="9">
        <f>H3899-G3899</f>
        <v>19.497</v>
      </c>
    </row>
    <row r="3900" ht="14.25">
      <c r="A3900" s="5">
        <v>55475</v>
      </c>
      <c r="B3900" s="7" t="s">
        <v>3993</v>
      </c>
      <c r="C3900" s="7" t="s">
        <v>3280</v>
      </c>
      <c r="D3900" s="7" t="s">
        <v>95</v>
      </c>
      <c r="E3900" s="5" t="s">
        <v>43</v>
      </c>
      <c r="F3900" s="8"/>
      <c r="G3900" s="9">
        <f>H3900*(1-30%)*(1-F3900)</f>
        <v>58.092999999999989</v>
      </c>
      <c r="H3900" s="9">
        <v>82.989999999999995</v>
      </c>
      <c r="I3900" s="9">
        <f>H3900-G3900</f>
        <v>24.897000000000006</v>
      </c>
    </row>
    <row r="3901" ht="14.25">
      <c r="A3901" s="5">
        <v>55476</v>
      </c>
      <c r="B3901" s="7" t="s">
        <v>3994</v>
      </c>
      <c r="C3901" s="7" t="s">
        <v>3280</v>
      </c>
      <c r="D3901" s="7" t="s">
        <v>95</v>
      </c>
      <c r="E3901" s="5" t="s">
        <v>43</v>
      </c>
      <c r="F3901" s="8"/>
      <c r="G3901" s="9">
        <f>H3901*(1-30%)*(1-F3901)</f>
        <v>45.492999999999995</v>
      </c>
      <c r="H3901" s="9">
        <v>64.989999999999995</v>
      </c>
      <c r="I3901" s="9">
        <f>H3901-G3901</f>
        <v>19.497</v>
      </c>
    </row>
    <row r="3902" ht="14.25">
      <c r="A3902" s="5">
        <v>55481</v>
      </c>
      <c r="B3902" s="7" t="s">
        <v>3995</v>
      </c>
      <c r="C3902" s="7" t="s">
        <v>3302</v>
      </c>
      <c r="D3902" s="7" t="s">
        <v>219</v>
      </c>
      <c r="E3902" s="5" t="s">
        <v>43</v>
      </c>
      <c r="F3902" s="8"/>
      <c r="G3902" s="9">
        <f>H3902*(1-30%)*(1-F3902)</f>
        <v>87.429999999999993</v>
      </c>
      <c r="H3902" s="9">
        <v>124.90000000000001</v>
      </c>
      <c r="I3902" s="9">
        <f>H3902-G3902</f>
        <v>37.470000000000013</v>
      </c>
    </row>
    <row r="3903" ht="14.25">
      <c r="A3903" s="5">
        <v>55487</v>
      </c>
      <c r="B3903" s="7" t="s">
        <v>3996</v>
      </c>
      <c r="C3903" s="7" t="s">
        <v>3302</v>
      </c>
      <c r="D3903" s="7" t="s">
        <v>219</v>
      </c>
      <c r="E3903" s="5" t="s">
        <v>43</v>
      </c>
      <c r="F3903" s="8"/>
      <c r="G3903" s="9">
        <f>H3903*(1-30%)*(1-F3903)</f>
        <v>58.092999999999989</v>
      </c>
      <c r="H3903" s="9">
        <v>82.989999999999995</v>
      </c>
      <c r="I3903" s="9">
        <f>H3903-G3903</f>
        <v>24.897000000000006</v>
      </c>
    </row>
    <row r="3904" ht="14.25">
      <c r="A3904" s="5">
        <v>55488</v>
      </c>
      <c r="B3904" s="7" t="s">
        <v>3997</v>
      </c>
      <c r="C3904" s="7" t="s">
        <v>3280</v>
      </c>
      <c r="D3904" s="7" t="s">
        <v>95</v>
      </c>
      <c r="E3904" s="5" t="s">
        <v>43</v>
      </c>
      <c r="F3904" s="8"/>
      <c r="G3904" s="9">
        <f>H3904*(1-30%)*(1-F3904)</f>
        <v>31.492999999999999</v>
      </c>
      <c r="H3904" s="9">
        <v>44.990000000000002</v>
      </c>
      <c r="I3904" s="9">
        <f>H3904-G3904</f>
        <v>13.497000000000003</v>
      </c>
    </row>
    <row r="3905" ht="14.25">
      <c r="A3905" s="5">
        <v>55630</v>
      </c>
      <c r="B3905" s="7" t="s">
        <v>3998</v>
      </c>
      <c r="C3905" s="7" t="s">
        <v>3435</v>
      </c>
      <c r="D3905" s="7" t="s">
        <v>71</v>
      </c>
      <c r="E3905" s="5" t="s">
        <v>43</v>
      </c>
      <c r="F3905" s="8"/>
      <c r="G3905" s="9">
        <f>H3905*(1-30%)*(1-F3905)</f>
        <v>19.592999999999996</v>
      </c>
      <c r="H3905" s="9">
        <v>27.989999999999998</v>
      </c>
      <c r="I3905" s="9">
        <f>H3905-G3905</f>
        <v>8.397000000000002</v>
      </c>
    </row>
    <row r="3906" ht="14.25">
      <c r="A3906" s="5">
        <v>55669</v>
      </c>
      <c r="B3906" s="7" t="s">
        <v>3999</v>
      </c>
      <c r="C3906" s="7" t="s">
        <v>3280</v>
      </c>
      <c r="D3906" s="7" t="s">
        <v>95</v>
      </c>
      <c r="E3906" s="5" t="s">
        <v>43</v>
      </c>
      <c r="F3906" s="8"/>
      <c r="G3906" s="9">
        <f>H3906*(1-30%)*(1-F3906)</f>
        <v>39.192999999999998</v>
      </c>
      <c r="H3906" s="9">
        <v>55.990000000000002</v>
      </c>
      <c r="I3906" s="9">
        <f>H3906-G3906</f>
        <v>16.797000000000004</v>
      </c>
    </row>
    <row r="3907" ht="14.25">
      <c r="A3907" s="5">
        <v>55670</v>
      </c>
      <c r="B3907" s="7" t="s">
        <v>4000</v>
      </c>
      <c r="C3907" s="7" t="s">
        <v>3709</v>
      </c>
      <c r="D3907" s="7" t="s">
        <v>219</v>
      </c>
      <c r="E3907" s="5" t="s">
        <v>43</v>
      </c>
      <c r="F3907" s="8"/>
      <c r="G3907" s="9">
        <f>H3907*(1-30%)*(1-F3907)</f>
        <v>52.492999999999995</v>
      </c>
      <c r="H3907" s="9">
        <v>74.989999999999995</v>
      </c>
      <c r="I3907" s="9">
        <f>H3907-G3907</f>
        <v>22.497</v>
      </c>
    </row>
    <row r="3908" ht="14.25">
      <c r="A3908" s="5">
        <v>55671</v>
      </c>
      <c r="B3908" s="7" t="s">
        <v>4001</v>
      </c>
      <c r="C3908" s="7" t="s">
        <v>3709</v>
      </c>
      <c r="D3908" s="7" t="s">
        <v>219</v>
      </c>
      <c r="E3908" s="5" t="s">
        <v>43</v>
      </c>
      <c r="F3908" s="8"/>
      <c r="G3908" s="9">
        <f>H3908*(1-30%)*(1-F3908)</f>
        <v>52.492999999999995</v>
      </c>
      <c r="H3908" s="9">
        <v>74.989999999999995</v>
      </c>
      <c r="I3908" s="9">
        <f>H3908-G3908</f>
        <v>22.497</v>
      </c>
    </row>
    <row r="3909" ht="14.25">
      <c r="A3909" s="5">
        <v>55674</v>
      </c>
      <c r="B3909" s="7" t="s">
        <v>4002</v>
      </c>
      <c r="C3909" s="7" t="s">
        <v>3280</v>
      </c>
      <c r="D3909" s="7" t="s">
        <v>95</v>
      </c>
      <c r="E3909" s="5" t="s">
        <v>43</v>
      </c>
      <c r="F3909" s="8"/>
      <c r="G3909" s="9">
        <f>H3909*(1-30%)*(1-F3909)</f>
        <v>39.192999999999998</v>
      </c>
      <c r="H3909" s="9">
        <v>55.990000000000002</v>
      </c>
      <c r="I3909" s="9">
        <f>H3909-G3909</f>
        <v>16.797000000000004</v>
      </c>
    </row>
    <row r="3910" ht="14.25">
      <c r="A3910" s="5">
        <v>55675</v>
      </c>
      <c r="B3910" s="7" t="s">
        <v>4003</v>
      </c>
      <c r="C3910" s="7" t="s">
        <v>3280</v>
      </c>
      <c r="D3910" s="7" t="s">
        <v>95</v>
      </c>
      <c r="E3910" s="5" t="s">
        <v>43</v>
      </c>
      <c r="F3910" s="8"/>
      <c r="G3910" s="9">
        <f>H3910*(1-30%)*(1-F3910)</f>
        <v>39.192999999999998</v>
      </c>
      <c r="H3910" s="9">
        <v>55.990000000000002</v>
      </c>
      <c r="I3910" s="9">
        <f>H3910-G3910</f>
        <v>16.797000000000004</v>
      </c>
    </row>
    <row r="3911" ht="14.25">
      <c r="A3911" s="5">
        <v>55676</v>
      </c>
      <c r="B3911" s="7" t="s">
        <v>4004</v>
      </c>
      <c r="C3911" s="7" t="s">
        <v>3280</v>
      </c>
      <c r="D3911" s="7" t="s">
        <v>95</v>
      </c>
      <c r="E3911" s="5" t="s">
        <v>43</v>
      </c>
      <c r="F3911" s="8"/>
      <c r="G3911" s="9">
        <f>H3911*(1-30%)*(1-F3911)</f>
        <v>39.192999999999998</v>
      </c>
      <c r="H3911" s="9">
        <v>55.990000000000002</v>
      </c>
      <c r="I3911" s="9">
        <f>H3911-G3911</f>
        <v>16.797000000000004</v>
      </c>
    </row>
    <row r="3912" ht="14.25">
      <c r="A3912" s="5">
        <v>55677</v>
      </c>
      <c r="B3912" s="7" t="s">
        <v>4005</v>
      </c>
      <c r="C3912" s="7" t="s">
        <v>3280</v>
      </c>
      <c r="D3912" s="7" t="s">
        <v>95</v>
      </c>
      <c r="E3912" s="5" t="s">
        <v>43</v>
      </c>
      <c r="F3912" s="8"/>
      <c r="G3912" s="9">
        <f>H3912*(1-30%)*(1-F3912)</f>
        <v>37.792999999999999</v>
      </c>
      <c r="H3912" s="9">
        <v>53.990000000000002</v>
      </c>
      <c r="I3912" s="9">
        <f>H3912-G3912</f>
        <v>16.197000000000003</v>
      </c>
    </row>
    <row r="3913" ht="14.25">
      <c r="A3913" s="5">
        <v>55731</v>
      </c>
      <c r="B3913" s="7" t="s">
        <v>4006</v>
      </c>
      <c r="C3913" s="7" t="s">
        <v>3262</v>
      </c>
      <c r="D3913" s="7" t="s">
        <v>110</v>
      </c>
      <c r="E3913" s="5" t="s">
        <v>43</v>
      </c>
      <c r="F3913" s="8"/>
      <c r="G3913" s="9">
        <f>H3913*(1-30%)*(1-F3913)</f>
        <v>51.092999999999996</v>
      </c>
      <c r="H3913" s="9">
        <v>72.989999999999995</v>
      </c>
      <c r="I3913" s="9">
        <f>H3913-G3913</f>
        <v>21.896999999999998</v>
      </c>
    </row>
    <row r="3914" ht="14.25">
      <c r="A3914" s="5">
        <v>55732</v>
      </c>
      <c r="B3914" s="7" t="s">
        <v>4007</v>
      </c>
      <c r="C3914" s="7" t="s">
        <v>3262</v>
      </c>
      <c r="D3914" s="7" t="s">
        <v>110</v>
      </c>
      <c r="E3914" s="5" t="s">
        <v>43</v>
      </c>
      <c r="F3914" s="8"/>
      <c r="G3914" s="9">
        <f>H3914*(1-30%)*(1-F3914)</f>
        <v>51.092999999999996</v>
      </c>
      <c r="H3914" s="9">
        <v>72.989999999999995</v>
      </c>
      <c r="I3914" s="9">
        <f>H3914-G3914</f>
        <v>21.896999999999998</v>
      </c>
    </row>
    <row r="3915" ht="14.25">
      <c r="A3915" s="5">
        <v>55733</v>
      </c>
      <c r="B3915" s="7" t="s">
        <v>4008</v>
      </c>
      <c r="C3915" s="7" t="s">
        <v>3262</v>
      </c>
      <c r="D3915" s="7" t="s">
        <v>110</v>
      </c>
      <c r="E3915" s="5" t="s">
        <v>43</v>
      </c>
      <c r="F3915" s="8"/>
      <c r="G3915" s="9">
        <f>H3915*(1-30%)*(1-F3915)</f>
        <v>51.092999999999996</v>
      </c>
      <c r="H3915" s="9">
        <v>72.989999999999995</v>
      </c>
      <c r="I3915" s="9">
        <f>H3915-G3915</f>
        <v>21.896999999999998</v>
      </c>
    </row>
    <row r="3916" ht="14.25">
      <c r="A3916" s="5">
        <v>55734</v>
      </c>
      <c r="B3916" s="7" t="s">
        <v>4009</v>
      </c>
      <c r="C3916" s="7" t="s">
        <v>3262</v>
      </c>
      <c r="D3916" s="7" t="s">
        <v>110</v>
      </c>
      <c r="E3916" s="5" t="s">
        <v>43</v>
      </c>
      <c r="F3916" s="8"/>
      <c r="G3916" s="9">
        <f>H3916*(1-30%)*(1-F3916)</f>
        <v>51.092999999999996</v>
      </c>
      <c r="H3916" s="9">
        <v>72.989999999999995</v>
      </c>
      <c r="I3916" s="9">
        <f>H3916-G3916</f>
        <v>21.896999999999998</v>
      </c>
    </row>
    <row r="3917" ht="14.25">
      <c r="A3917" s="5">
        <v>55735</v>
      </c>
      <c r="B3917" s="7" t="s">
        <v>4010</v>
      </c>
      <c r="C3917" s="7" t="s">
        <v>3262</v>
      </c>
      <c r="D3917" s="7" t="s">
        <v>110</v>
      </c>
      <c r="E3917" s="5" t="s">
        <v>43</v>
      </c>
      <c r="F3917" s="8"/>
      <c r="G3917" s="9">
        <f>H3917*(1-30%)*(1-F3917)</f>
        <v>51.092999999999996</v>
      </c>
      <c r="H3917" s="9">
        <v>72.989999999999995</v>
      </c>
      <c r="I3917" s="9">
        <f>H3917-G3917</f>
        <v>21.896999999999998</v>
      </c>
    </row>
    <row r="3918" ht="14.25">
      <c r="A3918" s="5">
        <v>55736</v>
      </c>
      <c r="B3918" s="7" t="s">
        <v>4011</v>
      </c>
      <c r="C3918" s="7" t="s">
        <v>3262</v>
      </c>
      <c r="D3918" s="7" t="s">
        <v>110</v>
      </c>
      <c r="E3918" s="5" t="s">
        <v>43</v>
      </c>
      <c r="F3918" s="8"/>
      <c r="G3918" s="9">
        <f>H3918*(1-30%)*(1-F3918)</f>
        <v>51.092999999999996</v>
      </c>
      <c r="H3918" s="9">
        <v>72.989999999999995</v>
      </c>
      <c r="I3918" s="9">
        <f>H3918-G3918</f>
        <v>21.896999999999998</v>
      </c>
    </row>
    <row r="3919" ht="14.25">
      <c r="A3919" s="5">
        <v>55741</v>
      </c>
      <c r="B3919" s="7" t="s">
        <v>4012</v>
      </c>
      <c r="C3919" s="7" t="s">
        <v>3262</v>
      </c>
      <c r="D3919" s="7" t="s">
        <v>183</v>
      </c>
      <c r="E3919" s="5" t="s">
        <v>3268</v>
      </c>
      <c r="F3919" s="8"/>
      <c r="G3919" s="9">
        <f>H3919*(1-30%)*(1-F3919)</f>
        <v>111.99299999999999</v>
      </c>
      <c r="H3919" s="9">
        <v>159.99000000000001</v>
      </c>
      <c r="I3919" s="9">
        <f>H3919-G3919</f>
        <v>47.997000000000014</v>
      </c>
    </row>
    <row r="3920" ht="14.25">
      <c r="A3920" s="5">
        <v>55764</v>
      </c>
      <c r="B3920" s="7" t="s">
        <v>4013</v>
      </c>
      <c r="C3920" s="7" t="s">
        <v>3280</v>
      </c>
      <c r="D3920" s="7" t="s">
        <v>95</v>
      </c>
      <c r="E3920" s="5" t="s">
        <v>43</v>
      </c>
      <c r="F3920" s="8"/>
      <c r="G3920" s="9">
        <f>H3920*(1-30%)*(1-F3920)</f>
        <v>90.929999999999993</v>
      </c>
      <c r="H3920" s="9">
        <v>129.90000000000001</v>
      </c>
      <c r="I3920" s="9">
        <f>H3920-G3920</f>
        <v>38.970000000000013</v>
      </c>
    </row>
    <row r="3921" ht="14.25">
      <c r="A3921" s="5">
        <v>55773</v>
      </c>
      <c r="B3921" s="7" t="s">
        <v>4014</v>
      </c>
      <c r="C3921" s="7" t="s">
        <v>3265</v>
      </c>
      <c r="D3921" s="7" t="s">
        <v>110</v>
      </c>
      <c r="E3921" s="5" t="s">
        <v>26</v>
      </c>
      <c r="F3921" s="8"/>
      <c r="G3921" s="9">
        <f>H3921*(1-30%)*(1-F3921)</f>
        <v>37.092999999999996</v>
      </c>
      <c r="H3921" s="9">
        <v>52.990000000000002</v>
      </c>
      <c r="I3921" s="9">
        <f>H3921-G3921</f>
        <v>15.897000000000006</v>
      </c>
    </row>
    <row r="3922" ht="14.25">
      <c r="A3922" s="5">
        <v>55774</v>
      </c>
      <c r="B3922" s="7" t="s">
        <v>4015</v>
      </c>
      <c r="C3922" s="7" t="s">
        <v>3265</v>
      </c>
      <c r="D3922" s="7" t="s">
        <v>110</v>
      </c>
      <c r="E3922" s="5" t="s">
        <v>26</v>
      </c>
      <c r="F3922" s="8"/>
      <c r="G3922" s="9">
        <f>H3922*(1-30%)*(1-F3922)</f>
        <v>37.092999999999996</v>
      </c>
      <c r="H3922" s="9">
        <v>52.990000000000002</v>
      </c>
      <c r="I3922" s="9">
        <f>H3922-G3922</f>
        <v>15.897000000000006</v>
      </c>
    </row>
    <row r="3923" ht="14.25">
      <c r="A3923" s="5">
        <v>55795</v>
      </c>
      <c r="B3923" s="7" t="s">
        <v>4016</v>
      </c>
      <c r="C3923" s="7" t="s">
        <v>3265</v>
      </c>
      <c r="D3923" s="7" t="s">
        <v>110</v>
      </c>
      <c r="E3923" s="5" t="s">
        <v>43</v>
      </c>
      <c r="F3923" s="8"/>
      <c r="G3923" s="9">
        <f>H3923*(1-30%)*(1-F3923)</f>
        <v>51.092999999999996</v>
      </c>
      <c r="H3923" s="9">
        <v>72.989999999999995</v>
      </c>
      <c r="I3923" s="9">
        <f>H3923-G3923</f>
        <v>21.896999999999998</v>
      </c>
    </row>
    <row r="3924" ht="14.25">
      <c r="A3924" s="5">
        <v>55796</v>
      </c>
      <c r="B3924" s="7" t="s">
        <v>4017</v>
      </c>
      <c r="C3924" s="7" t="s">
        <v>3265</v>
      </c>
      <c r="D3924" s="7" t="s">
        <v>110</v>
      </c>
      <c r="E3924" s="5" t="s">
        <v>43</v>
      </c>
      <c r="F3924" s="8"/>
      <c r="G3924" s="9">
        <f>H3924*(1-30%)*(1-F3924)</f>
        <v>51.092999999999996</v>
      </c>
      <c r="H3924" s="9">
        <v>72.989999999999995</v>
      </c>
      <c r="I3924" s="9">
        <f>H3924-G3924</f>
        <v>21.896999999999998</v>
      </c>
    </row>
    <row r="3925" ht="14.25">
      <c r="A3925" s="5">
        <v>55797</v>
      </c>
      <c r="B3925" s="7" t="s">
        <v>4018</v>
      </c>
      <c r="C3925" s="7" t="s">
        <v>3265</v>
      </c>
      <c r="D3925" s="7" t="s">
        <v>110</v>
      </c>
      <c r="E3925" s="5" t="s">
        <v>43</v>
      </c>
      <c r="F3925" s="8"/>
      <c r="G3925" s="9">
        <f>H3925*(1-30%)*(1-F3925)</f>
        <v>51.092999999999996</v>
      </c>
      <c r="H3925" s="9">
        <v>72.989999999999995</v>
      </c>
      <c r="I3925" s="9">
        <f>H3925-G3925</f>
        <v>21.896999999999998</v>
      </c>
    </row>
    <row r="3926" ht="14.25">
      <c r="A3926" s="5">
        <v>55798</v>
      </c>
      <c r="B3926" s="7" t="s">
        <v>4019</v>
      </c>
      <c r="C3926" s="7" t="s">
        <v>3265</v>
      </c>
      <c r="D3926" s="7" t="s">
        <v>110</v>
      </c>
      <c r="E3926" s="5" t="s">
        <v>43</v>
      </c>
      <c r="F3926" s="8"/>
      <c r="G3926" s="9">
        <f>H3926*(1-30%)*(1-F3926)</f>
        <v>51.092999999999996</v>
      </c>
      <c r="H3926" s="9">
        <v>72.989999999999995</v>
      </c>
      <c r="I3926" s="9">
        <f>H3926-G3926</f>
        <v>21.896999999999998</v>
      </c>
    </row>
    <row r="3927" ht="14.25">
      <c r="A3927" s="5">
        <v>55799</v>
      </c>
      <c r="B3927" s="7" t="s">
        <v>4020</v>
      </c>
      <c r="C3927" s="7" t="s">
        <v>3324</v>
      </c>
      <c r="D3927" s="7" t="s">
        <v>110</v>
      </c>
      <c r="E3927" s="5" t="s">
        <v>43</v>
      </c>
      <c r="F3927" s="8"/>
      <c r="G3927" s="9">
        <f>H3927*(1-30%)*(1-F3927)</f>
        <v>40.592999999999996</v>
      </c>
      <c r="H3927" s="9">
        <v>57.990000000000002</v>
      </c>
      <c r="I3927" s="9">
        <f>H3927-G3927</f>
        <v>17.397000000000006</v>
      </c>
    </row>
    <row r="3928" ht="14.25">
      <c r="A3928" s="5">
        <v>55800</v>
      </c>
      <c r="B3928" s="7" t="s">
        <v>4021</v>
      </c>
      <c r="C3928" s="7" t="s">
        <v>3265</v>
      </c>
      <c r="D3928" s="7" t="s">
        <v>110</v>
      </c>
      <c r="E3928" s="5" t="s">
        <v>43</v>
      </c>
      <c r="F3928" s="8"/>
      <c r="G3928" s="9">
        <f>H3928*(1-30%)*(1-F3928)</f>
        <v>73.492999999999995</v>
      </c>
      <c r="H3928" s="9">
        <v>104.98999999999999</v>
      </c>
      <c r="I3928" s="9">
        <f>H3928-G3928</f>
        <v>31.497</v>
      </c>
    </row>
    <row r="3929" ht="14.25">
      <c r="A3929" s="5">
        <v>55801</v>
      </c>
      <c r="B3929" s="7" t="s">
        <v>4022</v>
      </c>
      <c r="C3929" s="7" t="s">
        <v>3265</v>
      </c>
      <c r="D3929" s="7" t="s">
        <v>110</v>
      </c>
      <c r="E3929" s="5" t="s">
        <v>43</v>
      </c>
      <c r="F3929" s="8"/>
      <c r="G3929" s="9">
        <f>H3929*(1-30%)*(1-F3929)</f>
        <v>68.592999999999989</v>
      </c>
      <c r="H3929" s="9">
        <v>97.989999999999995</v>
      </c>
      <c r="I3929" s="9">
        <f>H3929-G3929</f>
        <v>29.397000000000006</v>
      </c>
    </row>
    <row r="3930" ht="14.25">
      <c r="A3930" s="5">
        <v>55802</v>
      </c>
      <c r="B3930" s="7" t="s">
        <v>4023</v>
      </c>
      <c r="C3930" s="7" t="s">
        <v>3280</v>
      </c>
      <c r="D3930" s="7" t="s">
        <v>95</v>
      </c>
      <c r="E3930" s="5" t="s">
        <v>3513</v>
      </c>
      <c r="F3930" s="8"/>
      <c r="G3930" s="9">
        <f>H3930*(1-30%)*(1-F3930)</f>
        <v>33.592999999999996</v>
      </c>
      <c r="H3930" s="9">
        <v>47.990000000000002</v>
      </c>
      <c r="I3930" s="9">
        <f>H3930-G3930</f>
        <v>14.397000000000006</v>
      </c>
    </row>
    <row r="3931" ht="14.25">
      <c r="A3931" s="5">
        <v>55803</v>
      </c>
      <c r="B3931" s="7" t="s">
        <v>4024</v>
      </c>
      <c r="C3931" s="7" t="s">
        <v>3280</v>
      </c>
      <c r="D3931" s="7" t="s">
        <v>95</v>
      </c>
      <c r="E3931" s="5" t="s">
        <v>3513</v>
      </c>
      <c r="F3931" s="8"/>
      <c r="G3931" s="9">
        <f>H3931*(1-30%)*(1-F3931)</f>
        <v>34.993000000000002</v>
      </c>
      <c r="H3931" s="9">
        <v>49.990000000000002</v>
      </c>
      <c r="I3931" s="9">
        <f>H3931-G3931</f>
        <v>14.997</v>
      </c>
    </row>
    <row r="3932" ht="14.25">
      <c r="A3932" s="5">
        <v>55804</v>
      </c>
      <c r="B3932" s="7" t="s">
        <v>4025</v>
      </c>
      <c r="C3932" s="7" t="s">
        <v>3280</v>
      </c>
      <c r="D3932" s="7" t="s">
        <v>95</v>
      </c>
      <c r="E3932" s="5" t="s">
        <v>3513</v>
      </c>
      <c r="F3932" s="8"/>
      <c r="G3932" s="9">
        <f>H3932*(1-30%)*(1-F3932)</f>
        <v>48.992999999999995</v>
      </c>
      <c r="H3932" s="9">
        <v>69.989999999999995</v>
      </c>
      <c r="I3932" s="9">
        <f>H3932-G3932</f>
        <v>20.997</v>
      </c>
    </row>
    <row r="3933" ht="14.25">
      <c r="A3933" s="5">
        <v>55805</v>
      </c>
      <c r="B3933" s="7" t="s">
        <v>4026</v>
      </c>
      <c r="C3933" s="7" t="s">
        <v>3280</v>
      </c>
      <c r="D3933" s="7" t="s">
        <v>95</v>
      </c>
      <c r="E3933" s="5" t="s">
        <v>43</v>
      </c>
      <c r="F3933" s="8"/>
      <c r="G3933" s="9">
        <f>H3933*(1-30%)*(1-F3933)</f>
        <v>48.992999999999995</v>
      </c>
      <c r="H3933" s="9">
        <v>69.989999999999995</v>
      </c>
      <c r="I3933" s="9">
        <f>H3933-G3933</f>
        <v>20.997</v>
      </c>
    </row>
    <row r="3934" ht="14.25">
      <c r="A3934" s="5">
        <v>55838</v>
      </c>
      <c r="B3934" s="7" t="s">
        <v>4027</v>
      </c>
      <c r="C3934" s="7" t="s">
        <v>3265</v>
      </c>
      <c r="D3934" s="7" t="s">
        <v>110</v>
      </c>
      <c r="E3934" s="5" t="s">
        <v>26</v>
      </c>
      <c r="F3934" s="8"/>
      <c r="G3934" s="9">
        <f>H3934*(1-30%)*(1-F3934)</f>
        <v>61.592999999999989</v>
      </c>
      <c r="H3934" s="9">
        <v>87.989999999999995</v>
      </c>
      <c r="I3934" s="9">
        <f>H3934-G3934</f>
        <v>26.397000000000006</v>
      </c>
    </row>
    <row r="3935" ht="14.25">
      <c r="A3935" s="5">
        <v>55839</v>
      </c>
      <c r="B3935" s="7" t="s">
        <v>4028</v>
      </c>
      <c r="C3935" s="7" t="s">
        <v>3265</v>
      </c>
      <c r="D3935" s="7" t="s">
        <v>110</v>
      </c>
      <c r="E3935" s="5" t="s">
        <v>26</v>
      </c>
      <c r="F3935" s="8"/>
      <c r="G3935" s="9">
        <f>H3935*(1-30%)*(1-F3935)</f>
        <v>61.592999999999989</v>
      </c>
      <c r="H3935" s="9">
        <v>87.989999999999995</v>
      </c>
      <c r="I3935" s="9">
        <f>H3935-G3935</f>
        <v>26.397000000000006</v>
      </c>
    </row>
    <row r="3936" ht="14.25">
      <c r="A3936" s="5">
        <v>55840</v>
      </c>
      <c r="B3936" s="7" t="s">
        <v>4029</v>
      </c>
      <c r="C3936" s="7" t="s">
        <v>3265</v>
      </c>
      <c r="D3936" s="7" t="s">
        <v>110</v>
      </c>
      <c r="E3936" s="5" t="s">
        <v>26</v>
      </c>
      <c r="F3936" s="8"/>
      <c r="G3936" s="9">
        <f>H3936*(1-30%)*(1-F3936)</f>
        <v>61.592999999999989</v>
      </c>
      <c r="H3936" s="9">
        <v>87.989999999999995</v>
      </c>
      <c r="I3936" s="9">
        <f>H3936-G3936</f>
        <v>26.397000000000006</v>
      </c>
    </row>
    <row r="3937" ht="14.25">
      <c r="A3937" s="5">
        <v>55841</v>
      </c>
      <c r="B3937" s="7" t="s">
        <v>4030</v>
      </c>
      <c r="C3937" s="7" t="s">
        <v>3265</v>
      </c>
      <c r="D3937" s="7" t="s">
        <v>110</v>
      </c>
      <c r="E3937" s="5" t="s">
        <v>26</v>
      </c>
      <c r="F3937" s="8"/>
      <c r="G3937" s="9">
        <f>H3937*(1-30%)*(1-F3937)</f>
        <v>61.592999999999989</v>
      </c>
      <c r="H3937" s="9">
        <v>87.989999999999995</v>
      </c>
      <c r="I3937" s="9">
        <f>H3937-G3937</f>
        <v>26.397000000000006</v>
      </c>
    </row>
    <row r="3938" ht="14.25">
      <c r="A3938" s="5">
        <v>55842</v>
      </c>
      <c r="B3938" s="7" t="s">
        <v>4031</v>
      </c>
      <c r="C3938" s="7" t="s">
        <v>3265</v>
      </c>
      <c r="D3938" s="7" t="s">
        <v>110</v>
      </c>
      <c r="E3938" s="5" t="s">
        <v>26</v>
      </c>
      <c r="F3938" s="8"/>
      <c r="G3938" s="9">
        <f>H3938*(1-30%)*(1-F3938)</f>
        <v>61.592999999999989</v>
      </c>
      <c r="H3938" s="9">
        <v>87.989999999999995</v>
      </c>
      <c r="I3938" s="9">
        <f>H3938-G3938</f>
        <v>26.397000000000006</v>
      </c>
    </row>
    <row r="3939" ht="14.25">
      <c r="A3939" s="5">
        <v>55846</v>
      </c>
      <c r="B3939" s="7" t="s">
        <v>4032</v>
      </c>
      <c r="C3939" s="7" t="s">
        <v>3522</v>
      </c>
      <c r="D3939" s="7" t="s">
        <v>71</v>
      </c>
      <c r="E3939" s="5" t="s">
        <v>43</v>
      </c>
      <c r="F3939" s="8"/>
      <c r="G3939" s="9">
        <f>H3939*(1-30%)*(1-F3939)</f>
        <v>27.292999999999999</v>
      </c>
      <c r="H3939" s="9">
        <v>38.990000000000002</v>
      </c>
      <c r="I3939" s="9">
        <f>H3939-G3939</f>
        <v>11.697000000000003</v>
      </c>
    </row>
    <row r="3940" ht="14.25">
      <c r="A3940" s="5">
        <v>55871</v>
      </c>
      <c r="B3940" s="7" t="s">
        <v>4033</v>
      </c>
      <c r="C3940" s="7" t="s">
        <v>3265</v>
      </c>
      <c r="D3940" s="7" t="s">
        <v>110</v>
      </c>
      <c r="E3940" s="5" t="s">
        <v>26</v>
      </c>
      <c r="F3940" s="8"/>
      <c r="G3940" s="9">
        <f>H3940*(1-30%)*(1-F3940)</f>
        <v>61.592999999999989</v>
      </c>
      <c r="H3940" s="9">
        <v>87.989999999999995</v>
      </c>
      <c r="I3940" s="9">
        <f>H3940-G3940</f>
        <v>26.397000000000006</v>
      </c>
    </row>
    <row r="3941" ht="14.25">
      <c r="A3941" s="5">
        <v>55873</v>
      </c>
      <c r="B3941" s="7" t="s">
        <v>4034</v>
      </c>
      <c r="C3941" s="7" t="s">
        <v>3265</v>
      </c>
      <c r="D3941" s="7" t="s">
        <v>110</v>
      </c>
      <c r="E3941" s="5" t="s">
        <v>26</v>
      </c>
      <c r="F3941" s="8"/>
      <c r="G3941" s="9">
        <f>H3941*(1-30%)*(1-F3941)</f>
        <v>61.592999999999989</v>
      </c>
      <c r="H3941" s="9">
        <v>87.989999999999995</v>
      </c>
      <c r="I3941" s="9">
        <f>H3941-G3941</f>
        <v>26.397000000000006</v>
      </c>
    </row>
    <row r="3942" ht="14.25">
      <c r="A3942" s="5">
        <v>55874</v>
      </c>
      <c r="B3942" s="7" t="s">
        <v>4035</v>
      </c>
      <c r="C3942" s="7" t="s">
        <v>3265</v>
      </c>
      <c r="D3942" s="7" t="s">
        <v>110</v>
      </c>
      <c r="E3942" s="5" t="s">
        <v>26</v>
      </c>
      <c r="F3942" s="8"/>
      <c r="G3942" s="9">
        <f>H3942*(1-30%)*(1-F3942)</f>
        <v>61.592999999999989</v>
      </c>
      <c r="H3942" s="9">
        <v>87.989999999999995</v>
      </c>
      <c r="I3942" s="9">
        <f>H3942-G3942</f>
        <v>26.397000000000006</v>
      </c>
    </row>
    <row r="3943" ht="14.25">
      <c r="A3943" s="5">
        <v>55879</v>
      </c>
      <c r="B3943" s="7" t="s">
        <v>4036</v>
      </c>
      <c r="C3943" s="7" t="s">
        <v>3265</v>
      </c>
      <c r="D3943" s="7" t="s">
        <v>110</v>
      </c>
      <c r="E3943" s="5" t="s">
        <v>43</v>
      </c>
      <c r="F3943" s="8"/>
      <c r="G3943" s="9">
        <f>H3943*(1-30%)*(1-F3943)</f>
        <v>51.092999999999996</v>
      </c>
      <c r="H3943" s="9">
        <v>72.989999999999995</v>
      </c>
      <c r="I3943" s="9">
        <f>H3943-G3943</f>
        <v>21.896999999999998</v>
      </c>
    </row>
    <row r="3944" ht="14.25">
      <c r="A3944" s="5">
        <v>55880</v>
      </c>
      <c r="B3944" s="7" t="s">
        <v>4037</v>
      </c>
      <c r="C3944" s="7" t="s">
        <v>3265</v>
      </c>
      <c r="D3944" s="7" t="s">
        <v>110</v>
      </c>
      <c r="E3944" s="5" t="s">
        <v>43</v>
      </c>
      <c r="F3944" s="8"/>
      <c r="G3944" s="9">
        <f>H3944*(1-30%)*(1-F3944)</f>
        <v>38.493000000000002</v>
      </c>
      <c r="H3944" s="9">
        <v>54.990000000000002</v>
      </c>
      <c r="I3944" s="9">
        <f>H3944-G3944</f>
        <v>16.497</v>
      </c>
    </row>
    <row r="3945" ht="14.25">
      <c r="A3945" s="5">
        <v>55881</v>
      </c>
      <c r="B3945" s="7" t="s">
        <v>4038</v>
      </c>
      <c r="C3945" s="7" t="s">
        <v>3265</v>
      </c>
      <c r="D3945" s="7" t="s">
        <v>110</v>
      </c>
      <c r="E3945" s="5" t="s">
        <v>43</v>
      </c>
      <c r="F3945" s="8"/>
      <c r="G3945" s="9">
        <f>H3945*(1-30%)*(1-F3945)</f>
        <v>38.493000000000002</v>
      </c>
      <c r="H3945" s="9">
        <v>54.990000000000002</v>
      </c>
      <c r="I3945" s="9">
        <f>H3945-G3945</f>
        <v>16.497</v>
      </c>
    </row>
    <row r="3946" ht="14.25">
      <c r="A3946" s="5">
        <v>55882</v>
      </c>
      <c r="B3946" s="7" t="s">
        <v>4039</v>
      </c>
      <c r="C3946" s="7" t="s">
        <v>3265</v>
      </c>
      <c r="D3946" s="7" t="s">
        <v>110</v>
      </c>
      <c r="E3946" s="5" t="s">
        <v>43</v>
      </c>
      <c r="F3946" s="8"/>
      <c r="G3946" s="9">
        <f>H3946*(1-30%)*(1-F3946)</f>
        <v>65.092999999999989</v>
      </c>
      <c r="H3946" s="9">
        <v>92.989999999999995</v>
      </c>
      <c r="I3946" s="9">
        <f>H3946-G3946</f>
        <v>27.897000000000006</v>
      </c>
    </row>
    <row r="3947" ht="14.25">
      <c r="A3947" s="5">
        <v>55884</v>
      </c>
      <c r="B3947" s="7" t="s">
        <v>4040</v>
      </c>
      <c r="C3947" s="7" t="s">
        <v>3265</v>
      </c>
      <c r="D3947" s="7" t="s">
        <v>110</v>
      </c>
      <c r="E3947" s="5" t="s">
        <v>43</v>
      </c>
      <c r="F3947" s="8"/>
      <c r="G3947" s="9">
        <f>H3947*(1-30%)*(1-F3947)</f>
        <v>62.992999999999995</v>
      </c>
      <c r="H3947" s="9">
        <v>89.989999999999995</v>
      </c>
      <c r="I3947" s="9">
        <f>H3947-G3947</f>
        <v>26.997</v>
      </c>
    </row>
    <row r="3948" ht="14.25">
      <c r="A3948" s="5">
        <v>55885</v>
      </c>
      <c r="B3948" s="7" t="s">
        <v>4041</v>
      </c>
      <c r="C3948" s="7" t="s">
        <v>3265</v>
      </c>
      <c r="D3948" s="7" t="s">
        <v>110</v>
      </c>
      <c r="E3948" s="5" t="s">
        <v>43</v>
      </c>
      <c r="F3948" s="8"/>
      <c r="G3948" s="9">
        <f>H3948*(1-30%)*(1-F3948)</f>
        <v>62.992999999999995</v>
      </c>
      <c r="H3948" s="9">
        <v>89.989999999999995</v>
      </c>
      <c r="I3948" s="9">
        <f>H3948-G3948</f>
        <v>26.997</v>
      </c>
    </row>
    <row r="3949" ht="14.25">
      <c r="A3949" s="5">
        <v>55887</v>
      </c>
      <c r="B3949" s="7" t="s">
        <v>4042</v>
      </c>
      <c r="C3949" s="7" t="s">
        <v>3265</v>
      </c>
      <c r="D3949" s="7" t="s">
        <v>110</v>
      </c>
      <c r="E3949" s="5" t="s">
        <v>43</v>
      </c>
      <c r="F3949" s="8"/>
      <c r="G3949" s="9">
        <f>H3949*(1-30%)*(1-F3949)</f>
        <v>62.992999999999995</v>
      </c>
      <c r="H3949" s="9">
        <v>89.989999999999995</v>
      </c>
      <c r="I3949" s="9">
        <f>H3949-G3949</f>
        <v>26.997</v>
      </c>
    </row>
    <row r="3950" ht="14.25">
      <c r="A3950" s="5">
        <v>55888</v>
      </c>
      <c r="B3950" s="7" t="s">
        <v>4043</v>
      </c>
      <c r="C3950" s="7" t="s">
        <v>3265</v>
      </c>
      <c r="D3950" s="7" t="s">
        <v>110</v>
      </c>
      <c r="E3950" s="5" t="s">
        <v>43</v>
      </c>
      <c r="F3950" s="8"/>
      <c r="G3950" s="9">
        <f>H3950*(1-30%)*(1-F3950)</f>
        <v>62.992999999999995</v>
      </c>
      <c r="H3950" s="9">
        <v>89.989999999999995</v>
      </c>
      <c r="I3950" s="9">
        <f>H3950-G3950</f>
        <v>26.997</v>
      </c>
    </row>
    <row r="3951" ht="14.25">
      <c r="A3951" s="5">
        <v>55889</v>
      </c>
      <c r="B3951" s="7" t="s">
        <v>4044</v>
      </c>
      <c r="C3951" s="7" t="s">
        <v>3265</v>
      </c>
      <c r="D3951" s="7" t="s">
        <v>110</v>
      </c>
      <c r="E3951" s="5" t="s">
        <v>43</v>
      </c>
      <c r="F3951" s="8"/>
      <c r="G3951" s="9">
        <f>H3951*(1-30%)*(1-F3951)</f>
        <v>62.992999999999995</v>
      </c>
      <c r="H3951" s="9">
        <v>89.989999999999995</v>
      </c>
      <c r="I3951" s="9">
        <f>H3951-G3951</f>
        <v>26.997</v>
      </c>
    </row>
    <row r="3952" ht="14.25">
      <c r="A3952" s="5">
        <v>55890</v>
      </c>
      <c r="B3952" s="7" t="s">
        <v>4045</v>
      </c>
      <c r="C3952" s="7" t="s">
        <v>3265</v>
      </c>
      <c r="D3952" s="7" t="s">
        <v>110</v>
      </c>
      <c r="E3952" s="5" t="s">
        <v>43</v>
      </c>
      <c r="F3952" s="8"/>
      <c r="G3952" s="9">
        <f>H3952*(1-30%)*(1-F3952)</f>
        <v>62.992999999999995</v>
      </c>
      <c r="H3952" s="9">
        <v>89.989999999999995</v>
      </c>
      <c r="I3952" s="9">
        <f>H3952-G3952</f>
        <v>26.997</v>
      </c>
    </row>
    <row r="3953" ht="14.25">
      <c r="A3953" s="5">
        <v>55891</v>
      </c>
      <c r="B3953" s="7" t="s">
        <v>4046</v>
      </c>
      <c r="C3953" s="7" t="s">
        <v>3265</v>
      </c>
      <c r="D3953" s="7" t="s">
        <v>110</v>
      </c>
      <c r="E3953" s="5" t="s">
        <v>43</v>
      </c>
      <c r="F3953" s="8"/>
      <c r="G3953" s="9">
        <f>H3953*(1-30%)*(1-F3953)</f>
        <v>62.992999999999995</v>
      </c>
      <c r="H3953" s="9">
        <v>89.989999999999995</v>
      </c>
      <c r="I3953" s="9">
        <f>H3953-G3953</f>
        <v>26.997</v>
      </c>
    </row>
    <row r="3954" ht="14.25">
      <c r="A3954" s="5">
        <v>55893</v>
      </c>
      <c r="B3954" s="7" t="s">
        <v>4047</v>
      </c>
      <c r="C3954" s="7" t="s">
        <v>3265</v>
      </c>
      <c r="D3954" s="7" t="s">
        <v>110</v>
      </c>
      <c r="E3954" s="5" t="s">
        <v>43</v>
      </c>
      <c r="F3954" s="8"/>
      <c r="G3954" s="9">
        <f>H3954*(1-30%)*(1-F3954)</f>
        <v>62.992999999999995</v>
      </c>
      <c r="H3954" s="9">
        <v>89.989999999999995</v>
      </c>
      <c r="I3954" s="9">
        <f>H3954-G3954</f>
        <v>26.997</v>
      </c>
    </row>
    <row r="3955" ht="14.25">
      <c r="A3955" s="5">
        <v>55894</v>
      </c>
      <c r="B3955" s="7" t="s">
        <v>4048</v>
      </c>
      <c r="C3955" s="7" t="s">
        <v>3265</v>
      </c>
      <c r="D3955" s="7" t="s">
        <v>110</v>
      </c>
      <c r="E3955" s="5" t="s">
        <v>43</v>
      </c>
      <c r="F3955" s="8"/>
      <c r="G3955" s="9">
        <f>H3955*(1-30%)*(1-F3955)</f>
        <v>62.992999999999995</v>
      </c>
      <c r="H3955" s="9">
        <v>89.989999999999995</v>
      </c>
      <c r="I3955" s="9">
        <f>H3955-G3955</f>
        <v>26.997</v>
      </c>
    </row>
    <row r="3956" ht="14.25">
      <c r="A3956" s="5">
        <v>55899</v>
      </c>
      <c r="B3956" s="7" t="s">
        <v>4049</v>
      </c>
      <c r="C3956" s="7" t="s">
        <v>3265</v>
      </c>
      <c r="D3956" s="7" t="s">
        <v>110</v>
      </c>
      <c r="E3956" s="5" t="s">
        <v>43</v>
      </c>
      <c r="F3956" s="8"/>
      <c r="G3956" s="9">
        <f>H3956*(1-30%)*(1-F3956)</f>
        <v>62.992999999999995</v>
      </c>
      <c r="H3956" s="9">
        <v>89.989999999999995</v>
      </c>
      <c r="I3956" s="9">
        <f>H3956-G3956</f>
        <v>26.997</v>
      </c>
    </row>
    <row r="3957" ht="14.25">
      <c r="A3957" s="5">
        <v>55902</v>
      </c>
      <c r="B3957" s="7" t="s">
        <v>4050</v>
      </c>
      <c r="C3957" s="7" t="s">
        <v>3265</v>
      </c>
      <c r="D3957" s="7" t="s">
        <v>110</v>
      </c>
      <c r="E3957" s="5" t="s">
        <v>43</v>
      </c>
      <c r="F3957" s="8"/>
      <c r="G3957" s="9">
        <f>H3957*(1-30%)*(1-F3957)</f>
        <v>62.992999999999995</v>
      </c>
      <c r="H3957" s="9">
        <v>89.989999999999995</v>
      </c>
      <c r="I3957" s="9">
        <f>H3957-G3957</f>
        <v>26.997</v>
      </c>
    </row>
    <row r="3958" ht="14.25">
      <c r="A3958" s="5">
        <v>55903</v>
      </c>
      <c r="B3958" s="7" t="s">
        <v>4051</v>
      </c>
      <c r="C3958" s="7" t="s">
        <v>3265</v>
      </c>
      <c r="D3958" s="7" t="s">
        <v>110</v>
      </c>
      <c r="E3958" s="5" t="s">
        <v>43</v>
      </c>
      <c r="F3958" s="8"/>
      <c r="G3958" s="9">
        <f>H3958*(1-30%)*(1-F3958)</f>
        <v>62.992999999999995</v>
      </c>
      <c r="H3958" s="9">
        <v>89.989999999999995</v>
      </c>
      <c r="I3958" s="9">
        <f>H3958-G3958</f>
        <v>26.997</v>
      </c>
    </row>
    <row r="3959" ht="14.25">
      <c r="A3959" s="5">
        <v>55955</v>
      </c>
      <c r="B3959" s="7" t="s">
        <v>4052</v>
      </c>
      <c r="C3959" s="7" t="s">
        <v>3324</v>
      </c>
      <c r="D3959" s="7" t="s">
        <v>110</v>
      </c>
      <c r="E3959" s="5" t="s">
        <v>43</v>
      </c>
      <c r="F3959" s="8"/>
      <c r="G3959" s="9">
        <f>H3959*(1-30%)*(1-F3959)</f>
        <v>26.593</v>
      </c>
      <c r="H3959" s="9">
        <v>37.990000000000002</v>
      </c>
      <c r="I3959" s="9">
        <f>H3959-G3959</f>
        <v>11.397000000000002</v>
      </c>
    </row>
    <row r="3960" ht="14.25">
      <c r="A3960" s="5">
        <v>55956</v>
      </c>
      <c r="B3960" s="7" t="s">
        <v>4053</v>
      </c>
      <c r="C3960" s="7" t="s">
        <v>3324</v>
      </c>
      <c r="D3960" s="7" t="s">
        <v>110</v>
      </c>
      <c r="E3960" s="5" t="s">
        <v>43</v>
      </c>
      <c r="F3960" s="8"/>
      <c r="G3960" s="9">
        <f>H3960*(1-30%)*(1-F3960)</f>
        <v>26.593</v>
      </c>
      <c r="H3960" s="9">
        <v>37.990000000000002</v>
      </c>
      <c r="I3960" s="9">
        <f>H3960-G3960</f>
        <v>11.397000000000002</v>
      </c>
    </row>
    <row r="3961" ht="14.25">
      <c r="A3961" s="5">
        <v>55957</v>
      </c>
      <c r="B3961" s="7" t="s">
        <v>4054</v>
      </c>
      <c r="C3961" s="7" t="s">
        <v>3280</v>
      </c>
      <c r="D3961" s="7" t="s">
        <v>95</v>
      </c>
      <c r="E3961" s="5" t="s">
        <v>43</v>
      </c>
      <c r="F3961" s="8"/>
      <c r="G3961" s="9">
        <f>H3961*(1-30%)*(1-F3961)</f>
        <v>45.492999999999995</v>
      </c>
      <c r="H3961" s="9">
        <v>64.989999999999995</v>
      </c>
      <c r="I3961" s="9">
        <f>H3961-G3961</f>
        <v>19.497</v>
      </c>
    </row>
    <row r="3962" ht="14.25">
      <c r="A3962" s="5">
        <v>55958</v>
      </c>
      <c r="B3962" s="7" t="s">
        <v>4055</v>
      </c>
      <c r="C3962" s="7" t="s">
        <v>3280</v>
      </c>
      <c r="D3962" s="7" t="s">
        <v>95</v>
      </c>
      <c r="E3962" s="5" t="s">
        <v>43</v>
      </c>
      <c r="F3962" s="8"/>
      <c r="G3962" s="9">
        <f>H3962*(1-30%)*(1-F3962)</f>
        <v>48.992999999999995</v>
      </c>
      <c r="H3962" s="9">
        <v>69.989999999999995</v>
      </c>
      <c r="I3962" s="9">
        <f>H3962-G3962</f>
        <v>20.997</v>
      </c>
    </row>
    <row r="3963" ht="14.25">
      <c r="A3963" s="5">
        <v>55961</v>
      </c>
      <c r="B3963" s="7" t="s">
        <v>4056</v>
      </c>
      <c r="C3963" s="7" t="s">
        <v>3265</v>
      </c>
      <c r="D3963" s="7" t="s">
        <v>110</v>
      </c>
      <c r="E3963" s="5" t="s">
        <v>43</v>
      </c>
      <c r="F3963" s="8"/>
      <c r="G3963" s="9">
        <f>H3963*(1-30%)*(1-F3963)</f>
        <v>33.592999999999996</v>
      </c>
      <c r="H3963" s="9">
        <v>47.990000000000002</v>
      </c>
      <c r="I3963" s="9">
        <f>H3963-G3963</f>
        <v>14.397000000000006</v>
      </c>
    </row>
    <row r="3964" ht="14.25">
      <c r="A3964" s="5">
        <v>56163</v>
      </c>
      <c r="B3964" s="7" t="s">
        <v>4057</v>
      </c>
      <c r="C3964" s="7" t="s">
        <v>3262</v>
      </c>
      <c r="D3964" s="7" t="s">
        <v>183</v>
      </c>
      <c r="E3964" s="5" t="s">
        <v>43</v>
      </c>
      <c r="F3964" s="8"/>
      <c r="G3964" s="9">
        <f>H3964*(1-30%)*(1-F3964)</f>
        <v>188.99299999999999</v>
      </c>
      <c r="H3964" s="9">
        <v>269.99000000000001</v>
      </c>
      <c r="I3964" s="9">
        <f>H3964-G3964</f>
        <v>80.997000000000014</v>
      </c>
    </row>
    <row r="3965" ht="14.25">
      <c r="A3965" s="5">
        <v>56164</v>
      </c>
      <c r="B3965" s="7" t="s">
        <v>4058</v>
      </c>
      <c r="C3965" s="7" t="s">
        <v>3262</v>
      </c>
      <c r="D3965" s="7" t="s">
        <v>183</v>
      </c>
      <c r="E3965" s="5" t="s">
        <v>43</v>
      </c>
      <c r="F3965" s="8"/>
      <c r="G3965" s="9">
        <f>H3965*(1-30%)*(1-F3965)</f>
        <v>55.992999999999995</v>
      </c>
      <c r="H3965" s="9">
        <v>79.989999999999995</v>
      </c>
      <c r="I3965" s="9">
        <f>H3965-G3965</f>
        <v>23.997</v>
      </c>
    </row>
    <row r="3966" ht="14.25">
      <c r="A3966" s="5">
        <v>56219</v>
      </c>
      <c r="B3966" s="7" t="s">
        <v>4059</v>
      </c>
      <c r="C3966" s="7" t="s">
        <v>3331</v>
      </c>
      <c r="D3966" s="7" t="s">
        <v>11</v>
      </c>
      <c r="E3966" s="5" t="s">
        <v>43</v>
      </c>
      <c r="F3966" s="8"/>
      <c r="G3966" s="9">
        <f>H3966*(1-30%)*(1-F3966)</f>
        <v>101.42999999999999</v>
      </c>
      <c r="H3966" s="9">
        <v>144.90000000000001</v>
      </c>
      <c r="I3966" s="9">
        <f>H3966-G3966</f>
        <v>43.470000000000013</v>
      </c>
    </row>
    <row r="3967" ht="14.25">
      <c r="A3967" s="5">
        <v>56231</v>
      </c>
      <c r="B3967" s="7" t="s">
        <v>4060</v>
      </c>
      <c r="C3967" s="7" t="s">
        <v>3294</v>
      </c>
      <c r="D3967" s="7" t="s">
        <v>11</v>
      </c>
      <c r="E3967" s="5" t="s">
        <v>43</v>
      </c>
      <c r="F3967" s="8"/>
      <c r="G3967" s="9">
        <f>H3967*(1-30%)*(1-F3967)</f>
        <v>118.92999999999999</v>
      </c>
      <c r="H3967" s="9">
        <v>169.90000000000001</v>
      </c>
      <c r="I3967" s="9">
        <f>H3967-G3967</f>
        <v>50.970000000000013</v>
      </c>
    </row>
    <row r="3968" ht="14.25">
      <c r="A3968" s="5">
        <v>56273</v>
      </c>
      <c r="B3968" s="7" t="s">
        <v>4061</v>
      </c>
      <c r="C3968" s="7" t="s">
        <v>3290</v>
      </c>
      <c r="D3968" s="7" t="s">
        <v>183</v>
      </c>
      <c r="E3968" s="5" t="s">
        <v>15</v>
      </c>
      <c r="F3968" s="8"/>
      <c r="G3968" s="9">
        <f>H3968*(1-30%)*(1-F3968)</f>
        <v>27.992999999999999</v>
      </c>
      <c r="H3968" s="9">
        <v>39.990000000000002</v>
      </c>
      <c r="I3968" s="9">
        <f>H3968-G3968</f>
        <v>11.997000000000003</v>
      </c>
    </row>
    <row r="3969" ht="14.25">
      <c r="A3969" s="5">
        <v>56286</v>
      </c>
      <c r="B3969" s="7" t="s">
        <v>4062</v>
      </c>
      <c r="C3969" s="7" t="s">
        <v>3280</v>
      </c>
      <c r="D3969" s="7" t="s">
        <v>183</v>
      </c>
      <c r="E3969" s="5" t="s">
        <v>15</v>
      </c>
      <c r="F3969" s="8"/>
      <c r="G3969" s="9">
        <f>H3969*(1-30%)*(1-F3969)</f>
        <v>30.093</v>
      </c>
      <c r="H3969" s="9">
        <v>42.990000000000002</v>
      </c>
      <c r="I3969" s="9">
        <f>H3969-G3969</f>
        <v>12.897000000000002</v>
      </c>
    </row>
    <row r="3970" ht="14.25">
      <c r="A3970" s="5">
        <v>56293</v>
      </c>
      <c r="B3970" s="7" t="s">
        <v>4063</v>
      </c>
      <c r="C3970" s="7" t="s">
        <v>3280</v>
      </c>
      <c r="D3970" s="7" t="s">
        <v>95</v>
      </c>
      <c r="E3970" s="5" t="s">
        <v>43</v>
      </c>
      <c r="F3970" s="8"/>
      <c r="G3970" s="9">
        <f>H3970*(1-30%)*(1-F3970)</f>
        <v>29.393000000000001</v>
      </c>
      <c r="H3970" s="9">
        <v>41.990000000000002</v>
      </c>
      <c r="I3970" s="9">
        <f>H3970-G3970</f>
        <v>12.597000000000001</v>
      </c>
    </row>
    <row r="3971" ht="14.25">
      <c r="A3971" s="5">
        <v>56294</v>
      </c>
      <c r="B3971" s="7" t="s">
        <v>4064</v>
      </c>
      <c r="C3971" s="7" t="s">
        <v>3280</v>
      </c>
      <c r="D3971" s="7" t="s">
        <v>95</v>
      </c>
      <c r="E3971" s="5" t="s">
        <v>43</v>
      </c>
      <c r="F3971" s="8"/>
      <c r="G3971" s="9">
        <f>H3971*(1-30%)*(1-F3971)</f>
        <v>30.792999999999999</v>
      </c>
      <c r="H3971" s="9">
        <v>43.990000000000002</v>
      </c>
      <c r="I3971" s="9">
        <f>H3971-G3971</f>
        <v>13.197000000000003</v>
      </c>
    </row>
    <row r="3972" ht="14.25">
      <c r="A3972" s="5">
        <v>56295</v>
      </c>
      <c r="B3972" s="7" t="s">
        <v>4065</v>
      </c>
      <c r="C3972" s="7" t="s">
        <v>3280</v>
      </c>
      <c r="D3972" s="7" t="s">
        <v>95</v>
      </c>
      <c r="E3972" s="5" t="s">
        <v>43</v>
      </c>
      <c r="F3972" s="8"/>
      <c r="G3972" s="9">
        <f>H3972*(1-30%)*(1-F3972)</f>
        <v>48.992999999999995</v>
      </c>
      <c r="H3972" s="9">
        <v>69.989999999999995</v>
      </c>
      <c r="I3972" s="9">
        <f>H3972-G3972</f>
        <v>20.997</v>
      </c>
    </row>
    <row r="3973" ht="14.25">
      <c r="A3973" s="5">
        <v>56296</v>
      </c>
      <c r="B3973" s="7" t="s">
        <v>4066</v>
      </c>
      <c r="C3973" s="7" t="s">
        <v>3280</v>
      </c>
      <c r="D3973" s="7" t="s">
        <v>95</v>
      </c>
      <c r="E3973" s="5" t="s">
        <v>43</v>
      </c>
      <c r="F3973" s="8"/>
      <c r="G3973" s="9">
        <f>H3973*(1-30%)*(1-F3973)</f>
        <v>48.992999999999995</v>
      </c>
      <c r="H3973" s="9">
        <v>69.989999999999995</v>
      </c>
      <c r="I3973" s="9">
        <f>H3973-G3973</f>
        <v>20.997</v>
      </c>
    </row>
    <row r="3974" ht="14.25">
      <c r="A3974" s="5">
        <v>56297</v>
      </c>
      <c r="B3974" s="7" t="s">
        <v>4067</v>
      </c>
      <c r="C3974" s="7" t="s">
        <v>3280</v>
      </c>
      <c r="D3974" s="7" t="s">
        <v>95</v>
      </c>
      <c r="E3974" s="5" t="s">
        <v>43</v>
      </c>
      <c r="F3974" s="8"/>
      <c r="G3974" s="9">
        <f>H3974*(1-30%)*(1-F3974)</f>
        <v>41.993000000000002</v>
      </c>
      <c r="H3974" s="9">
        <v>59.990000000000002</v>
      </c>
      <c r="I3974" s="9">
        <f>H3974-G3974</f>
        <v>17.997</v>
      </c>
    </row>
    <row r="3975" ht="14.25">
      <c r="A3975" s="5">
        <v>56298</v>
      </c>
      <c r="B3975" s="7" t="s">
        <v>4068</v>
      </c>
      <c r="C3975" s="7" t="s">
        <v>3280</v>
      </c>
      <c r="D3975" s="7" t="s">
        <v>95</v>
      </c>
      <c r="E3975" s="5" t="s">
        <v>43</v>
      </c>
      <c r="F3975" s="8"/>
      <c r="G3975" s="9">
        <f>H3975*(1-30%)*(1-F3975)</f>
        <v>34.993000000000002</v>
      </c>
      <c r="H3975" s="9">
        <v>49.990000000000002</v>
      </c>
      <c r="I3975" s="9">
        <f>H3975-G3975</f>
        <v>14.997</v>
      </c>
    </row>
    <row r="3976" ht="14.25">
      <c r="A3976" s="5">
        <v>56365</v>
      </c>
      <c r="B3976" s="7" t="s">
        <v>4069</v>
      </c>
      <c r="C3976" s="7" t="s">
        <v>3290</v>
      </c>
      <c r="D3976" s="7" t="s">
        <v>11</v>
      </c>
      <c r="E3976" s="5" t="s">
        <v>43</v>
      </c>
      <c r="F3976" s="8"/>
      <c r="G3976" s="9">
        <f>H3976*(1-30%)*(1-F3976)</f>
        <v>76.992999999999995</v>
      </c>
      <c r="H3976" s="9">
        <v>109.98999999999999</v>
      </c>
      <c r="I3976" s="9">
        <f>H3976-G3976</f>
        <v>32.997</v>
      </c>
    </row>
    <row r="3977" ht="14.25">
      <c r="A3977" s="5">
        <v>56417</v>
      </c>
      <c r="B3977" s="7" t="s">
        <v>4070</v>
      </c>
      <c r="C3977" s="7" t="s">
        <v>3265</v>
      </c>
      <c r="D3977" s="7" t="s">
        <v>110</v>
      </c>
      <c r="E3977" s="5" t="s">
        <v>43</v>
      </c>
      <c r="F3977" s="8"/>
      <c r="G3977" s="9">
        <f>H3977*(1-30%)*(1-F3977)</f>
        <v>45.492999999999995</v>
      </c>
      <c r="H3977" s="9">
        <v>64.989999999999995</v>
      </c>
      <c r="I3977" s="9">
        <f>H3977-G3977</f>
        <v>19.497</v>
      </c>
    </row>
    <row r="3978" ht="14.25">
      <c r="A3978" s="5">
        <v>56419</v>
      </c>
      <c r="B3978" s="7" t="s">
        <v>4071</v>
      </c>
      <c r="C3978" s="7" t="s">
        <v>3265</v>
      </c>
      <c r="D3978" s="7" t="s">
        <v>110</v>
      </c>
      <c r="E3978" s="5" t="s">
        <v>43</v>
      </c>
      <c r="F3978" s="8"/>
      <c r="G3978" s="9">
        <f>H3978*(1-30%)*(1-F3978)</f>
        <v>45.492999999999995</v>
      </c>
      <c r="H3978" s="9">
        <v>64.989999999999995</v>
      </c>
      <c r="I3978" s="9">
        <f>H3978-G3978</f>
        <v>19.497</v>
      </c>
    </row>
    <row r="3979" ht="14.25">
      <c r="A3979" s="5">
        <v>56421</v>
      </c>
      <c r="B3979" s="7" t="s">
        <v>4072</v>
      </c>
      <c r="C3979" s="7" t="s">
        <v>3265</v>
      </c>
      <c r="D3979" s="7" t="s">
        <v>110</v>
      </c>
      <c r="E3979" s="5" t="s">
        <v>43</v>
      </c>
      <c r="F3979" s="8"/>
      <c r="G3979" s="9">
        <f>H3979*(1-30%)*(1-F3979)</f>
        <v>45.492999999999995</v>
      </c>
      <c r="H3979" s="9">
        <v>64.989999999999995</v>
      </c>
      <c r="I3979" s="9">
        <f>H3979-G3979</f>
        <v>19.497</v>
      </c>
    </row>
    <row r="3980" ht="14.25">
      <c r="A3980" s="5">
        <v>56422</v>
      </c>
      <c r="B3980" s="7" t="s">
        <v>4073</v>
      </c>
      <c r="C3980" s="7" t="s">
        <v>3265</v>
      </c>
      <c r="D3980" s="7" t="s">
        <v>110</v>
      </c>
      <c r="E3980" s="5" t="s">
        <v>43</v>
      </c>
      <c r="F3980" s="8"/>
      <c r="G3980" s="9">
        <f>H3980*(1-30%)*(1-F3980)</f>
        <v>45.492999999999995</v>
      </c>
      <c r="H3980" s="9">
        <v>64.989999999999995</v>
      </c>
      <c r="I3980" s="9">
        <f>H3980-G3980</f>
        <v>19.497</v>
      </c>
    </row>
    <row r="3981" ht="14.25">
      <c r="A3981" s="5">
        <v>56423</v>
      </c>
      <c r="B3981" s="7" t="s">
        <v>4074</v>
      </c>
      <c r="C3981" s="7" t="s">
        <v>3265</v>
      </c>
      <c r="D3981" s="7" t="s">
        <v>110</v>
      </c>
      <c r="E3981" s="5" t="s">
        <v>43</v>
      </c>
      <c r="F3981" s="8"/>
      <c r="G3981" s="9">
        <f>H3981*(1-30%)*(1-F3981)</f>
        <v>45.492999999999995</v>
      </c>
      <c r="H3981" s="9">
        <v>64.989999999999995</v>
      </c>
      <c r="I3981" s="9">
        <f>H3981-G3981</f>
        <v>19.497</v>
      </c>
    </row>
    <row r="3982" ht="14.25">
      <c r="A3982" s="5">
        <v>56458</v>
      </c>
      <c r="B3982" s="7" t="s">
        <v>4075</v>
      </c>
      <c r="C3982" s="7" t="s">
        <v>3448</v>
      </c>
      <c r="D3982" s="7" t="s">
        <v>71</v>
      </c>
      <c r="E3982" s="5" t="s">
        <v>43</v>
      </c>
      <c r="F3982" s="8"/>
      <c r="G3982" s="9">
        <f>H3982*(1-30%)*(1-F3982)</f>
        <v>31.492999999999999</v>
      </c>
      <c r="H3982" s="9">
        <v>44.990000000000002</v>
      </c>
      <c r="I3982" s="9">
        <f>H3982-G3982</f>
        <v>13.497000000000003</v>
      </c>
    </row>
    <row r="3983" ht="14.25">
      <c r="A3983" s="5">
        <v>56459</v>
      </c>
      <c r="B3983" s="7" t="s">
        <v>4076</v>
      </c>
      <c r="C3983" s="7" t="s">
        <v>3452</v>
      </c>
      <c r="D3983" s="7" t="s">
        <v>71</v>
      </c>
      <c r="E3983" s="5" t="s">
        <v>43</v>
      </c>
      <c r="F3983" s="8"/>
      <c r="G3983" s="9">
        <f>H3983*(1-30%)*(1-F3983)</f>
        <v>31.492999999999999</v>
      </c>
      <c r="H3983" s="9">
        <v>44.990000000000002</v>
      </c>
      <c r="I3983" s="9">
        <f>H3983-G3983</f>
        <v>13.497000000000003</v>
      </c>
    </row>
    <row r="3984" ht="14.25">
      <c r="A3984" s="5">
        <v>56496</v>
      </c>
      <c r="B3984" s="7" t="s">
        <v>4077</v>
      </c>
      <c r="C3984" s="7" t="s">
        <v>3262</v>
      </c>
      <c r="D3984" s="7" t="s">
        <v>110</v>
      </c>
      <c r="E3984" s="5" t="s">
        <v>26</v>
      </c>
      <c r="F3984" s="8"/>
      <c r="G3984" s="9">
        <f>H3984*(1-30%)*(1-F3984)</f>
        <v>146.99299999999999</v>
      </c>
      <c r="H3984" s="9">
        <v>209.99000000000001</v>
      </c>
      <c r="I3984" s="9">
        <f>H3984-G3984</f>
        <v>62.997000000000014</v>
      </c>
    </row>
    <row r="3985" ht="14.25">
      <c r="A3985" s="5">
        <v>56526</v>
      </c>
      <c r="B3985" s="7" t="s">
        <v>4078</v>
      </c>
      <c r="C3985" s="7" t="s">
        <v>3709</v>
      </c>
      <c r="D3985" s="7" t="s">
        <v>199</v>
      </c>
      <c r="E3985" s="5" t="s">
        <v>43</v>
      </c>
      <c r="F3985" s="8"/>
      <c r="G3985" s="9">
        <f>H3985*(1-30%)*(1-F3985)</f>
        <v>59.492999999999995</v>
      </c>
      <c r="H3985" s="9">
        <v>84.989999999999995</v>
      </c>
      <c r="I3985" s="9">
        <f>H3985-G3985</f>
        <v>25.497</v>
      </c>
    </row>
    <row r="3986" ht="14.25">
      <c r="A3986" s="5">
        <v>56527</v>
      </c>
      <c r="B3986" s="7" t="s">
        <v>4079</v>
      </c>
      <c r="C3986" s="7" t="s">
        <v>3709</v>
      </c>
      <c r="D3986" s="7" t="s">
        <v>199</v>
      </c>
      <c r="E3986" s="5" t="s">
        <v>43</v>
      </c>
      <c r="F3986" s="8"/>
      <c r="G3986" s="9">
        <f>H3986*(1-30%)*(1-F3986)</f>
        <v>62.992999999999995</v>
      </c>
      <c r="H3986" s="9">
        <v>89.989999999999995</v>
      </c>
      <c r="I3986" s="9">
        <f>H3986-G3986</f>
        <v>26.997</v>
      </c>
    </row>
    <row r="3987" ht="14.25">
      <c r="A3987" s="5">
        <v>56531</v>
      </c>
      <c r="B3987" s="7" t="s">
        <v>4080</v>
      </c>
      <c r="C3987" s="7" t="s">
        <v>3290</v>
      </c>
      <c r="D3987" s="7" t="s">
        <v>1447</v>
      </c>
      <c r="E3987" s="5" t="s">
        <v>15</v>
      </c>
      <c r="F3987" s="8"/>
      <c r="G3987" s="9">
        <f>H3987*(1-30%)*(1-F3987)</f>
        <v>3.4300000000000002</v>
      </c>
      <c r="H3987" s="9">
        <v>4.9000000000000004</v>
      </c>
      <c r="I3987" s="9">
        <f>H3987-G3987</f>
        <v>1.4700000000000002</v>
      </c>
    </row>
    <row r="3988" ht="14.25">
      <c r="A3988" s="5">
        <v>56532</v>
      </c>
      <c r="B3988" s="7" t="s">
        <v>4081</v>
      </c>
      <c r="C3988" s="7" t="s">
        <v>3290</v>
      </c>
      <c r="D3988" s="7" t="s">
        <v>1447</v>
      </c>
      <c r="E3988" s="5" t="s">
        <v>15</v>
      </c>
      <c r="F3988" s="8"/>
      <c r="G3988" s="9">
        <f>H3988*(1-30%)*(1-F3988)</f>
        <v>6.089999999999999</v>
      </c>
      <c r="H3988" s="9">
        <v>8.6999999999999993</v>
      </c>
      <c r="I3988" s="9">
        <f>H3988-G3988</f>
        <v>2.6100000000000003</v>
      </c>
    </row>
    <row r="3989" ht="14.25">
      <c r="A3989" s="5">
        <v>56533</v>
      </c>
      <c r="B3989" s="7" t="s">
        <v>4082</v>
      </c>
      <c r="C3989" s="7" t="s">
        <v>3290</v>
      </c>
      <c r="D3989" s="7" t="s">
        <v>1447</v>
      </c>
      <c r="E3989" s="5" t="s">
        <v>15</v>
      </c>
      <c r="F3989" s="8"/>
      <c r="G3989" s="9">
        <f>H3989*(1-30%)*(1-F3989)</f>
        <v>2.73</v>
      </c>
      <c r="H3989" s="9">
        <v>3.8999999999999999</v>
      </c>
      <c r="I3989" s="9">
        <f>H3989-G3989</f>
        <v>1.1699999999999999</v>
      </c>
    </row>
    <row r="3990" ht="14.25">
      <c r="A3990" s="5">
        <v>56572</v>
      </c>
      <c r="B3990" s="7" t="s">
        <v>4083</v>
      </c>
      <c r="C3990" s="7" t="s">
        <v>3290</v>
      </c>
      <c r="D3990" s="7" t="s">
        <v>11</v>
      </c>
      <c r="E3990" s="5" t="s">
        <v>3513</v>
      </c>
      <c r="F3990" s="8"/>
      <c r="G3990" s="9">
        <f>H3990*(1-30%)*(1-F3990)</f>
        <v>167.93000000000001</v>
      </c>
      <c r="H3990" s="9">
        <v>239.90000000000001</v>
      </c>
      <c r="I3990" s="9">
        <f>H3990-G3990</f>
        <v>71.969999999999999</v>
      </c>
    </row>
    <row r="3991" ht="14.25">
      <c r="A3991" s="5">
        <v>56611</v>
      </c>
      <c r="B3991" s="7" t="s">
        <v>4084</v>
      </c>
      <c r="C3991" s="7" t="s">
        <v>3508</v>
      </c>
      <c r="D3991" s="7" t="s">
        <v>61</v>
      </c>
      <c r="E3991" s="5" t="s">
        <v>43</v>
      </c>
      <c r="F3991" s="8"/>
      <c r="G3991" s="9">
        <f>H3991*(1-30%)*(1-F3991)</f>
        <v>74.052999999999997</v>
      </c>
      <c r="H3991" s="9">
        <v>105.79000000000001</v>
      </c>
      <c r="I3991" s="9">
        <f>H3991-G3991</f>
        <v>31.737000000000009</v>
      </c>
    </row>
    <row r="3992" ht="14.25">
      <c r="A3992" s="5">
        <v>56613</v>
      </c>
      <c r="B3992" s="7" t="s">
        <v>4085</v>
      </c>
      <c r="C3992" s="7" t="s">
        <v>3331</v>
      </c>
      <c r="D3992" s="7" t="s">
        <v>61</v>
      </c>
      <c r="E3992" s="5" t="s">
        <v>43</v>
      </c>
      <c r="F3992" s="8"/>
      <c r="G3992" s="9">
        <f>H3992*(1-30%)*(1-F3992)</f>
        <v>153.85299999999998</v>
      </c>
      <c r="H3992" s="9">
        <v>219.78999999999999</v>
      </c>
      <c r="I3992" s="9">
        <f>H3992-G3992</f>
        <v>65.937000000000012</v>
      </c>
    </row>
    <row r="3993" ht="14.25">
      <c r="A3993" s="5">
        <v>56614</v>
      </c>
      <c r="B3993" s="7" t="s">
        <v>4086</v>
      </c>
      <c r="C3993" s="7" t="s">
        <v>3705</v>
      </c>
      <c r="D3993" s="7" t="s">
        <v>61</v>
      </c>
      <c r="E3993" s="5" t="s">
        <v>43</v>
      </c>
      <c r="F3993" s="8"/>
      <c r="G3993" s="9">
        <f>H3993*(1-30%)*(1-F3993)</f>
        <v>86.022999999999996</v>
      </c>
      <c r="H3993" s="9">
        <v>122.89</v>
      </c>
      <c r="I3993" s="9">
        <f>H3993-G3993</f>
        <v>36.867000000000004</v>
      </c>
    </row>
    <row r="3994" ht="14.25">
      <c r="A3994" s="5">
        <v>56615</v>
      </c>
      <c r="B3994" s="7" t="s">
        <v>4087</v>
      </c>
      <c r="C3994" s="7" t="s">
        <v>3276</v>
      </c>
      <c r="D3994" s="7" t="s">
        <v>61</v>
      </c>
      <c r="E3994" s="5" t="s">
        <v>43</v>
      </c>
      <c r="F3994" s="8"/>
      <c r="G3994" s="9">
        <f>H3994*(1-30%)*(1-F3994)</f>
        <v>48.978999999999999</v>
      </c>
      <c r="H3994" s="9">
        <v>69.969999999999999</v>
      </c>
      <c r="I3994" s="9">
        <f>H3994-G3994</f>
        <v>20.991</v>
      </c>
    </row>
    <row r="3995" ht="14.25">
      <c r="A3995" s="5">
        <v>56616</v>
      </c>
      <c r="B3995" s="7" t="s">
        <v>4088</v>
      </c>
      <c r="C3995" s="7" t="s">
        <v>3290</v>
      </c>
      <c r="D3995" s="7" t="s">
        <v>61</v>
      </c>
      <c r="E3995" s="5" t="s">
        <v>43</v>
      </c>
      <c r="F3995" s="8"/>
      <c r="G3995" s="9">
        <f>H3995*(1-30%)*(1-F3995)</f>
        <v>108.42999999999999</v>
      </c>
      <c r="H3995" s="9">
        <v>154.90000000000001</v>
      </c>
      <c r="I3995" s="9">
        <f>H3995-G3995</f>
        <v>46.470000000000013</v>
      </c>
    </row>
    <row r="3996" ht="14.25">
      <c r="A3996" s="5">
        <v>56617</v>
      </c>
      <c r="B3996" s="7" t="s">
        <v>4089</v>
      </c>
      <c r="C3996" s="7" t="s">
        <v>3448</v>
      </c>
      <c r="D3996" s="7" t="s">
        <v>61</v>
      </c>
      <c r="E3996" s="5" t="s">
        <v>43</v>
      </c>
      <c r="F3996" s="8"/>
      <c r="G3996" s="9">
        <f>H3996*(1-30%)*(1-F3996)</f>
        <v>93.730000000000004</v>
      </c>
      <c r="H3996" s="9">
        <v>133.90000000000001</v>
      </c>
      <c r="I3996" s="9">
        <f>H3996-G3996</f>
        <v>40.170000000000002</v>
      </c>
    </row>
    <row r="3997" ht="14.25">
      <c r="A3997" s="5">
        <v>56623</v>
      </c>
      <c r="B3997" s="7" t="s">
        <v>4090</v>
      </c>
      <c r="C3997" s="7" t="s">
        <v>3324</v>
      </c>
      <c r="D3997" s="7" t="s">
        <v>110</v>
      </c>
      <c r="E3997" s="5" t="s">
        <v>43</v>
      </c>
      <c r="F3997" s="8"/>
      <c r="G3997" s="9">
        <f>H3997*(1-30%)*(1-F3997)</f>
        <v>38.493000000000002</v>
      </c>
      <c r="H3997" s="9">
        <v>54.990000000000002</v>
      </c>
      <c r="I3997" s="9">
        <f>H3997-G3997</f>
        <v>16.497</v>
      </c>
    </row>
    <row r="3998" ht="14.25">
      <c r="A3998" s="5">
        <v>56636</v>
      </c>
      <c r="B3998" s="7" t="s">
        <v>4091</v>
      </c>
      <c r="C3998" s="7" t="s">
        <v>3265</v>
      </c>
      <c r="D3998" s="7" t="s">
        <v>110</v>
      </c>
      <c r="E3998" s="5" t="s">
        <v>39</v>
      </c>
      <c r="F3998" s="8"/>
      <c r="G3998" s="9">
        <f>H3998*(1-30%)*(1-F3998)</f>
        <v>31.492999999999999</v>
      </c>
      <c r="H3998" s="9">
        <v>44.990000000000002</v>
      </c>
      <c r="I3998" s="9">
        <f>H3998-G3998</f>
        <v>13.497000000000003</v>
      </c>
    </row>
    <row r="3999" ht="14.25">
      <c r="A3999" s="5">
        <v>56637</v>
      </c>
      <c r="B3999" s="7" t="s">
        <v>4092</v>
      </c>
      <c r="C3999" s="7" t="s">
        <v>3265</v>
      </c>
      <c r="D3999" s="7" t="s">
        <v>110</v>
      </c>
      <c r="E3999" s="5" t="s">
        <v>26</v>
      </c>
      <c r="F3999" s="8"/>
      <c r="G3999" s="9">
        <f>H3999*(1-30%)*(1-F3999)</f>
        <v>31.492999999999999</v>
      </c>
      <c r="H3999" s="9">
        <v>44.990000000000002</v>
      </c>
      <c r="I3999" s="9">
        <f>H3999-G3999</f>
        <v>13.497000000000003</v>
      </c>
    </row>
    <row r="4000" ht="14.25">
      <c r="A4000" s="5">
        <v>56638</v>
      </c>
      <c r="B4000" s="7" t="s">
        <v>4093</v>
      </c>
      <c r="C4000" s="7" t="s">
        <v>3265</v>
      </c>
      <c r="D4000" s="7" t="s">
        <v>110</v>
      </c>
      <c r="E4000" s="5" t="s">
        <v>26</v>
      </c>
      <c r="F4000" s="8"/>
      <c r="G4000" s="9">
        <f>H4000*(1-30%)*(1-F4000)</f>
        <v>31.492999999999999</v>
      </c>
      <c r="H4000" s="9">
        <v>44.990000000000002</v>
      </c>
      <c r="I4000" s="9">
        <f>H4000-G4000</f>
        <v>13.497000000000003</v>
      </c>
    </row>
    <row r="4001" ht="14.25">
      <c r="A4001" s="5">
        <v>56639</v>
      </c>
      <c r="B4001" s="7" t="s">
        <v>4094</v>
      </c>
      <c r="C4001" s="7" t="s">
        <v>3265</v>
      </c>
      <c r="D4001" s="7" t="s">
        <v>110</v>
      </c>
      <c r="E4001" s="5" t="s">
        <v>26</v>
      </c>
      <c r="F4001" s="8"/>
      <c r="G4001" s="9">
        <f>H4001*(1-30%)*(1-F4001)</f>
        <v>31.492999999999999</v>
      </c>
      <c r="H4001" s="9">
        <v>44.990000000000002</v>
      </c>
      <c r="I4001" s="9">
        <f>H4001-G4001</f>
        <v>13.497000000000003</v>
      </c>
    </row>
    <row r="4002" ht="14.25">
      <c r="A4002" s="5">
        <v>56640</v>
      </c>
      <c r="B4002" s="7" t="s">
        <v>4095</v>
      </c>
      <c r="C4002" s="7" t="s">
        <v>3265</v>
      </c>
      <c r="D4002" s="7" t="s">
        <v>110</v>
      </c>
      <c r="E4002" s="5" t="s">
        <v>26</v>
      </c>
      <c r="F4002" s="8"/>
      <c r="G4002" s="9">
        <f>H4002*(1-30%)*(1-F4002)</f>
        <v>31.492999999999999</v>
      </c>
      <c r="H4002" s="9">
        <v>44.990000000000002</v>
      </c>
      <c r="I4002" s="9">
        <f>H4002-G4002</f>
        <v>13.497000000000003</v>
      </c>
    </row>
    <row r="4003" ht="14.25">
      <c r="A4003" s="5">
        <v>56641</v>
      </c>
      <c r="B4003" s="7" t="s">
        <v>4096</v>
      </c>
      <c r="C4003" s="7" t="s">
        <v>3265</v>
      </c>
      <c r="D4003" s="7" t="s">
        <v>183</v>
      </c>
      <c r="E4003" s="5" t="s">
        <v>39</v>
      </c>
      <c r="F4003" s="8"/>
      <c r="G4003" s="9">
        <f>H4003*(1-30%)*(1-F4003)</f>
        <v>16.092999999999996</v>
      </c>
      <c r="H4003" s="9">
        <v>22.989999999999998</v>
      </c>
      <c r="I4003" s="9">
        <f>H4003-G4003</f>
        <v>6.897000000000002</v>
      </c>
    </row>
    <row r="4004" ht="14.25">
      <c r="A4004" s="5">
        <v>56642</v>
      </c>
      <c r="B4004" s="7" t="s">
        <v>4097</v>
      </c>
      <c r="C4004" s="7" t="s">
        <v>3265</v>
      </c>
      <c r="D4004" s="7" t="s">
        <v>183</v>
      </c>
      <c r="E4004" s="5" t="s">
        <v>39</v>
      </c>
      <c r="F4004" s="8"/>
      <c r="G4004" s="9">
        <f>H4004*(1-30%)*(1-F4004)</f>
        <v>16.092999999999996</v>
      </c>
      <c r="H4004" s="9">
        <v>22.989999999999998</v>
      </c>
      <c r="I4004" s="9">
        <f>H4004-G4004</f>
        <v>6.897000000000002</v>
      </c>
    </row>
    <row r="4005" ht="14.25">
      <c r="A4005" s="5">
        <v>56643</v>
      </c>
      <c r="B4005" s="7" t="s">
        <v>4098</v>
      </c>
      <c r="C4005" s="7" t="s">
        <v>3265</v>
      </c>
      <c r="D4005" s="7" t="s">
        <v>183</v>
      </c>
      <c r="E4005" s="5" t="s">
        <v>39</v>
      </c>
      <c r="F4005" s="8"/>
      <c r="G4005" s="9">
        <f>H4005*(1-30%)*(1-F4005)</f>
        <v>16.092999999999996</v>
      </c>
      <c r="H4005" s="9">
        <v>22.989999999999998</v>
      </c>
      <c r="I4005" s="9">
        <f>H4005-G4005</f>
        <v>6.897000000000002</v>
      </c>
    </row>
    <row r="4006" ht="14.25">
      <c r="A4006" s="5">
        <v>56644</v>
      </c>
      <c r="B4006" s="7" t="s">
        <v>4099</v>
      </c>
      <c r="C4006" s="7" t="s">
        <v>3265</v>
      </c>
      <c r="D4006" s="7" t="s">
        <v>110</v>
      </c>
      <c r="E4006" s="5" t="s">
        <v>39</v>
      </c>
      <c r="F4006" s="8"/>
      <c r="G4006" s="9">
        <f>H4006*(1-30%)*(1-F4006)</f>
        <v>31.492999999999999</v>
      </c>
      <c r="H4006" s="9">
        <v>44.990000000000002</v>
      </c>
      <c r="I4006" s="9">
        <f>H4006-G4006</f>
        <v>13.497000000000003</v>
      </c>
    </row>
    <row r="4007" ht="14.25">
      <c r="A4007" s="5">
        <v>56645</v>
      </c>
      <c r="B4007" s="7" t="s">
        <v>4100</v>
      </c>
      <c r="C4007" s="7" t="s">
        <v>3265</v>
      </c>
      <c r="D4007" s="7" t="s">
        <v>110</v>
      </c>
      <c r="E4007" s="5" t="s">
        <v>26</v>
      </c>
      <c r="F4007" s="8"/>
      <c r="G4007" s="9">
        <f>H4007*(1-30%)*(1-F4007)</f>
        <v>31.492999999999999</v>
      </c>
      <c r="H4007" s="9">
        <v>44.990000000000002</v>
      </c>
      <c r="I4007" s="9">
        <f>H4007-G4007</f>
        <v>13.497000000000003</v>
      </c>
    </row>
    <row r="4008" ht="14.25">
      <c r="A4008" s="5">
        <v>56646</v>
      </c>
      <c r="B4008" s="7" t="s">
        <v>4101</v>
      </c>
      <c r="C4008" s="7" t="s">
        <v>3265</v>
      </c>
      <c r="D4008" s="7" t="s">
        <v>110</v>
      </c>
      <c r="E4008" s="5" t="s">
        <v>26</v>
      </c>
      <c r="F4008" s="8"/>
      <c r="G4008" s="9">
        <f>H4008*(1-30%)*(1-F4008)</f>
        <v>31.492999999999999</v>
      </c>
      <c r="H4008" s="9">
        <v>44.990000000000002</v>
      </c>
      <c r="I4008" s="9">
        <f>H4008-G4008</f>
        <v>13.497000000000003</v>
      </c>
    </row>
    <row r="4009" ht="14.25">
      <c r="A4009" s="5">
        <v>56647</v>
      </c>
      <c r="B4009" s="7" t="s">
        <v>4102</v>
      </c>
      <c r="C4009" s="7" t="s">
        <v>3324</v>
      </c>
      <c r="D4009" s="7" t="s">
        <v>110</v>
      </c>
      <c r="E4009" s="5" t="s">
        <v>15</v>
      </c>
      <c r="F4009" s="8"/>
      <c r="G4009" s="9">
        <f>H4009*(1-30%)*(1-F4009)</f>
        <v>36.393000000000001</v>
      </c>
      <c r="H4009" s="9">
        <v>51.990000000000002</v>
      </c>
      <c r="I4009" s="9">
        <f>H4009-G4009</f>
        <v>15.597000000000001</v>
      </c>
    </row>
    <row r="4010" ht="14.25">
      <c r="A4010" s="5">
        <v>56648</v>
      </c>
      <c r="B4010" s="7" t="s">
        <v>4103</v>
      </c>
      <c r="C4010" s="7" t="s">
        <v>3265</v>
      </c>
      <c r="D4010" s="7" t="s">
        <v>110</v>
      </c>
      <c r="E4010" s="5" t="s">
        <v>43</v>
      </c>
      <c r="F4010" s="8"/>
      <c r="G4010" s="9">
        <f>H4010*(1-30%)*(1-F4010)</f>
        <v>81.192999999999998</v>
      </c>
      <c r="H4010" s="9">
        <v>115.98999999999999</v>
      </c>
      <c r="I4010" s="9">
        <f>H4010-G4010</f>
        <v>34.796999999999997</v>
      </c>
    </row>
    <row r="4011" ht="14.25">
      <c r="A4011" s="5">
        <v>56659</v>
      </c>
      <c r="B4011" s="7" t="s">
        <v>4104</v>
      </c>
      <c r="C4011" s="7" t="s">
        <v>3262</v>
      </c>
      <c r="D4011" s="7" t="s">
        <v>61</v>
      </c>
      <c r="E4011" s="5" t="s">
        <v>26</v>
      </c>
      <c r="F4011" s="8"/>
      <c r="G4011" s="9">
        <f>H4011*(1-30%)*(1-F4011)</f>
        <v>44.092999999999996</v>
      </c>
      <c r="H4011" s="9">
        <v>62.990000000000002</v>
      </c>
      <c r="I4011" s="9">
        <f>H4011-G4011</f>
        <v>18.897000000000006</v>
      </c>
    </row>
    <row r="4012" ht="14.25">
      <c r="A4012" s="5">
        <v>56660</v>
      </c>
      <c r="B4012" s="7" t="s">
        <v>4105</v>
      </c>
      <c r="C4012" s="7" t="s">
        <v>3262</v>
      </c>
      <c r="D4012" s="7" t="s">
        <v>61</v>
      </c>
      <c r="E4012" s="5" t="s">
        <v>39</v>
      </c>
      <c r="F4012" s="8"/>
      <c r="G4012" s="9">
        <f>H4012*(1-30%)*(1-F4012)</f>
        <v>50.392999999999994</v>
      </c>
      <c r="H4012" s="9">
        <v>71.989999999999995</v>
      </c>
      <c r="I4012" s="9">
        <f>H4012-G4012</f>
        <v>21.597000000000001</v>
      </c>
    </row>
    <row r="4013" ht="14.25">
      <c r="A4013" s="5">
        <v>56665</v>
      </c>
      <c r="B4013" s="7" t="s">
        <v>4106</v>
      </c>
      <c r="C4013" s="7" t="s">
        <v>3290</v>
      </c>
      <c r="D4013" s="7" t="s">
        <v>183</v>
      </c>
      <c r="E4013" s="5" t="s">
        <v>15</v>
      </c>
      <c r="F4013" s="8"/>
      <c r="G4013" s="9">
        <f>H4013*(1-30%)*(1-F4013)</f>
        <v>30.093</v>
      </c>
      <c r="H4013" s="9">
        <v>42.990000000000002</v>
      </c>
      <c r="I4013" s="9">
        <f>H4013-G4013</f>
        <v>12.897000000000002</v>
      </c>
    </row>
    <row r="4014" ht="14.25">
      <c r="A4014" s="5">
        <v>56666</v>
      </c>
      <c r="B4014" s="7" t="s">
        <v>4107</v>
      </c>
      <c r="C4014" s="7" t="s">
        <v>3290</v>
      </c>
      <c r="D4014" s="7" t="s">
        <v>183</v>
      </c>
      <c r="E4014" s="5" t="s">
        <v>43</v>
      </c>
      <c r="F4014" s="8"/>
      <c r="G4014" s="9">
        <f>H4014*(1-30%)*(1-F4014)</f>
        <v>38.493000000000002</v>
      </c>
      <c r="H4014" s="9">
        <v>54.990000000000002</v>
      </c>
      <c r="I4014" s="9">
        <f>H4014-G4014</f>
        <v>16.497</v>
      </c>
    </row>
    <row r="4015" ht="14.25">
      <c r="A4015" s="5">
        <v>56668</v>
      </c>
      <c r="B4015" s="7" t="s">
        <v>4108</v>
      </c>
      <c r="C4015" s="7" t="s">
        <v>3290</v>
      </c>
      <c r="D4015" s="7" t="s">
        <v>183</v>
      </c>
      <c r="E4015" s="5" t="s">
        <v>43</v>
      </c>
      <c r="F4015" s="8"/>
      <c r="G4015" s="9">
        <f>H4015*(1-30%)*(1-F4015)</f>
        <v>69.992999999999995</v>
      </c>
      <c r="H4015" s="9">
        <v>99.989999999999995</v>
      </c>
      <c r="I4015" s="9">
        <f>H4015-G4015</f>
        <v>29.997</v>
      </c>
    </row>
    <row r="4016" ht="14.25">
      <c r="A4016" s="5">
        <v>56669</v>
      </c>
      <c r="B4016" s="7" t="s">
        <v>4109</v>
      </c>
      <c r="C4016" s="7" t="s">
        <v>3290</v>
      </c>
      <c r="D4016" s="7" t="s">
        <v>183</v>
      </c>
      <c r="E4016" s="5" t="s">
        <v>15</v>
      </c>
      <c r="F4016" s="8"/>
      <c r="G4016" s="9">
        <f>H4016*(1-30%)*(1-F4016)</f>
        <v>41.993000000000002</v>
      </c>
      <c r="H4016" s="9">
        <v>59.990000000000002</v>
      </c>
      <c r="I4016" s="9">
        <f>H4016-G4016</f>
        <v>17.997</v>
      </c>
    </row>
    <row r="4017" ht="14.25">
      <c r="A4017" s="5">
        <v>56670</v>
      </c>
      <c r="B4017" s="7" t="s">
        <v>4110</v>
      </c>
      <c r="C4017" s="7" t="s">
        <v>3262</v>
      </c>
      <c r="D4017" s="7" t="s">
        <v>183</v>
      </c>
      <c r="E4017" s="5" t="s">
        <v>43</v>
      </c>
      <c r="F4017" s="8"/>
      <c r="G4017" s="9">
        <f>H4017*(1-30%)*(1-F4017)</f>
        <v>48.992999999999995</v>
      </c>
      <c r="H4017" s="9">
        <v>69.989999999999995</v>
      </c>
      <c r="I4017" s="9">
        <f>H4017-G4017</f>
        <v>20.997</v>
      </c>
    </row>
    <row r="4018" ht="14.25">
      <c r="A4018" s="5">
        <v>56671</v>
      </c>
      <c r="B4018" s="7" t="s">
        <v>4111</v>
      </c>
      <c r="C4018" s="7" t="s">
        <v>3262</v>
      </c>
      <c r="D4018" s="7" t="s">
        <v>183</v>
      </c>
      <c r="E4018" s="5" t="s">
        <v>43</v>
      </c>
      <c r="F4018" s="8"/>
      <c r="G4018" s="9">
        <f>H4018*(1-30%)*(1-F4018)</f>
        <v>48.992999999999995</v>
      </c>
      <c r="H4018" s="9">
        <v>69.989999999999995</v>
      </c>
      <c r="I4018" s="9">
        <f>H4018-G4018</f>
        <v>20.997</v>
      </c>
    </row>
    <row r="4019" ht="14.25">
      <c r="A4019" s="5">
        <v>56672</v>
      </c>
      <c r="B4019" s="7" t="s">
        <v>4112</v>
      </c>
      <c r="C4019" s="7" t="s">
        <v>3262</v>
      </c>
      <c r="D4019" s="7" t="s">
        <v>183</v>
      </c>
      <c r="E4019" s="5" t="s">
        <v>43</v>
      </c>
      <c r="F4019" s="8"/>
      <c r="G4019" s="9">
        <f>H4019*(1-30%)*(1-F4019)</f>
        <v>48.992999999999995</v>
      </c>
      <c r="H4019" s="9">
        <v>69.989999999999995</v>
      </c>
      <c r="I4019" s="9">
        <f>H4019-G4019</f>
        <v>20.997</v>
      </c>
    </row>
    <row r="4020" ht="14.25">
      <c r="A4020" s="5">
        <v>56674</v>
      </c>
      <c r="B4020" s="7" t="s">
        <v>4113</v>
      </c>
      <c r="C4020" s="7" t="s">
        <v>3262</v>
      </c>
      <c r="D4020" s="7" t="s">
        <v>183</v>
      </c>
      <c r="E4020" s="5" t="s">
        <v>43</v>
      </c>
      <c r="F4020" s="8"/>
      <c r="G4020" s="9">
        <f>H4020*(1-30%)*(1-F4020)</f>
        <v>52.492999999999995</v>
      </c>
      <c r="H4020" s="9">
        <v>74.989999999999995</v>
      </c>
      <c r="I4020" s="9">
        <f>H4020-G4020</f>
        <v>22.497</v>
      </c>
    </row>
    <row r="4021" ht="14.25">
      <c r="A4021" s="5">
        <v>56675</v>
      </c>
      <c r="B4021" s="7" t="s">
        <v>4114</v>
      </c>
      <c r="C4021" s="7" t="s">
        <v>3262</v>
      </c>
      <c r="D4021" s="7" t="s">
        <v>183</v>
      </c>
      <c r="E4021" s="5" t="s">
        <v>43</v>
      </c>
      <c r="F4021" s="8"/>
      <c r="G4021" s="9">
        <f>H4021*(1-30%)*(1-F4021)</f>
        <v>48.992999999999995</v>
      </c>
      <c r="H4021" s="9">
        <v>69.989999999999995</v>
      </c>
      <c r="I4021" s="9">
        <f>H4021-G4021</f>
        <v>20.997</v>
      </c>
    </row>
    <row r="4022" ht="14.25">
      <c r="A4022" s="5">
        <v>56676</v>
      </c>
      <c r="B4022" s="7" t="s">
        <v>4115</v>
      </c>
      <c r="C4022" s="7" t="s">
        <v>3262</v>
      </c>
      <c r="D4022" s="7" t="s">
        <v>183</v>
      </c>
      <c r="E4022" s="5" t="s">
        <v>43</v>
      </c>
      <c r="F4022" s="8"/>
      <c r="G4022" s="9">
        <f>H4022*(1-30%)*(1-F4022)</f>
        <v>16.092999999999996</v>
      </c>
      <c r="H4022" s="9">
        <v>22.989999999999998</v>
      </c>
      <c r="I4022" s="9">
        <f>H4022-G4022</f>
        <v>6.897000000000002</v>
      </c>
    </row>
    <row r="4023" ht="14.25">
      <c r="A4023" s="5">
        <v>56677</v>
      </c>
      <c r="B4023" s="7" t="s">
        <v>4116</v>
      </c>
      <c r="C4023" s="7" t="s">
        <v>3290</v>
      </c>
      <c r="D4023" s="7" t="s">
        <v>183</v>
      </c>
      <c r="E4023" s="5" t="s">
        <v>43</v>
      </c>
      <c r="F4023" s="8"/>
      <c r="G4023" s="9">
        <f>H4023*(1-30%)*(1-F4023)</f>
        <v>76.992999999999995</v>
      </c>
      <c r="H4023" s="9">
        <v>109.98999999999999</v>
      </c>
      <c r="I4023" s="9">
        <f>H4023-G4023</f>
        <v>32.997</v>
      </c>
    </row>
    <row r="4024" ht="14.25">
      <c r="A4024" s="5">
        <v>56678</v>
      </c>
      <c r="B4024" s="7" t="s">
        <v>4117</v>
      </c>
      <c r="C4024" s="7" t="s">
        <v>3290</v>
      </c>
      <c r="D4024" s="7" t="s">
        <v>183</v>
      </c>
      <c r="E4024" s="5" t="s">
        <v>43</v>
      </c>
      <c r="F4024" s="8"/>
      <c r="G4024" s="9">
        <f>H4024*(1-30%)*(1-F4024)</f>
        <v>52.492999999999995</v>
      </c>
      <c r="H4024" s="9">
        <v>74.989999999999995</v>
      </c>
      <c r="I4024" s="9">
        <f>H4024-G4024</f>
        <v>22.497</v>
      </c>
    </row>
    <row r="4025" ht="14.25">
      <c r="A4025" s="5">
        <v>56679</v>
      </c>
      <c r="B4025" s="7" t="s">
        <v>4118</v>
      </c>
      <c r="C4025" s="7" t="s">
        <v>3262</v>
      </c>
      <c r="D4025" s="7" t="s">
        <v>183</v>
      </c>
      <c r="E4025" s="5" t="s">
        <v>43</v>
      </c>
      <c r="F4025" s="8"/>
      <c r="G4025" s="9">
        <f>H4025*(1-30%)*(1-F4025)</f>
        <v>90.992999999999995</v>
      </c>
      <c r="H4025" s="9">
        <v>129.99000000000001</v>
      </c>
      <c r="I4025" s="9">
        <f>H4025-G4025</f>
        <v>38.997000000000014</v>
      </c>
    </row>
    <row r="4026" ht="14.25">
      <c r="A4026" s="5">
        <v>56708</v>
      </c>
      <c r="B4026" s="7" t="s">
        <v>4119</v>
      </c>
      <c r="C4026" s="7" t="s">
        <v>3265</v>
      </c>
      <c r="D4026" s="7" t="s">
        <v>110</v>
      </c>
      <c r="E4026" s="5" t="s">
        <v>43</v>
      </c>
      <c r="F4026" s="8"/>
      <c r="G4026" s="9">
        <f>H4026*(1-30%)*(1-F4026)</f>
        <v>51.092999999999996</v>
      </c>
      <c r="H4026" s="9">
        <v>72.989999999999995</v>
      </c>
      <c r="I4026" s="9">
        <f>H4026-G4026</f>
        <v>21.896999999999998</v>
      </c>
    </row>
    <row r="4027" ht="14.25">
      <c r="A4027" s="5">
        <v>56709</v>
      </c>
      <c r="B4027" s="7" t="s">
        <v>4120</v>
      </c>
      <c r="C4027" s="7" t="s">
        <v>3265</v>
      </c>
      <c r="D4027" s="7" t="s">
        <v>110</v>
      </c>
      <c r="E4027" s="5" t="s">
        <v>43</v>
      </c>
      <c r="F4027" s="8"/>
      <c r="G4027" s="9">
        <f>H4027*(1-30%)*(1-F4027)</f>
        <v>51.092999999999996</v>
      </c>
      <c r="H4027" s="9">
        <v>72.989999999999995</v>
      </c>
      <c r="I4027" s="9">
        <f>H4027-G4027</f>
        <v>21.896999999999998</v>
      </c>
    </row>
    <row r="4028" ht="14.25">
      <c r="A4028" s="5">
        <v>56742</v>
      </c>
      <c r="B4028" s="7" t="s">
        <v>4121</v>
      </c>
      <c r="C4028" s="7" t="s">
        <v>3329</v>
      </c>
      <c r="D4028" s="7" t="s">
        <v>103</v>
      </c>
      <c r="E4028" s="5" t="s">
        <v>43</v>
      </c>
      <c r="F4028" s="8"/>
      <c r="G4028" s="9">
        <f>H4028*(1-30%)*(1-F4028)</f>
        <v>24.492999999999999</v>
      </c>
      <c r="H4028" s="9">
        <v>34.990000000000002</v>
      </c>
      <c r="I4028" s="9">
        <f>H4028-G4028</f>
        <v>10.497000000000003</v>
      </c>
    </row>
    <row r="4029" ht="14.25">
      <c r="A4029" s="5">
        <v>56743</v>
      </c>
      <c r="B4029" s="7" t="s">
        <v>4122</v>
      </c>
      <c r="C4029" s="7" t="s">
        <v>3452</v>
      </c>
      <c r="D4029" s="7" t="s">
        <v>103</v>
      </c>
      <c r="E4029" s="5" t="s">
        <v>43</v>
      </c>
      <c r="F4029" s="8"/>
      <c r="G4029" s="9">
        <f>H4029*(1-30%)*(1-F4029)</f>
        <v>26.593</v>
      </c>
      <c r="H4029" s="9">
        <v>37.990000000000002</v>
      </c>
      <c r="I4029" s="9">
        <f>H4029-G4029</f>
        <v>11.397000000000002</v>
      </c>
    </row>
    <row r="4030" ht="14.25">
      <c r="A4030" s="5">
        <v>56761</v>
      </c>
      <c r="B4030" s="7" t="s">
        <v>4123</v>
      </c>
      <c r="C4030" s="7" t="s">
        <v>3265</v>
      </c>
      <c r="D4030" s="7" t="s">
        <v>110</v>
      </c>
      <c r="E4030" s="5" t="s">
        <v>43</v>
      </c>
      <c r="F4030" s="8"/>
      <c r="G4030" s="9">
        <f>H4030*(1-30%)*(1-F4030)</f>
        <v>45.492999999999995</v>
      </c>
      <c r="H4030" s="9">
        <v>64.989999999999995</v>
      </c>
      <c r="I4030" s="9">
        <f>H4030-G4030</f>
        <v>19.497</v>
      </c>
    </row>
    <row r="4031" ht="14.25">
      <c r="A4031" s="5">
        <v>56763</v>
      </c>
      <c r="B4031" s="7" t="s">
        <v>4124</v>
      </c>
      <c r="C4031" s="7" t="s">
        <v>3280</v>
      </c>
      <c r="D4031" s="7" t="s">
        <v>183</v>
      </c>
      <c r="E4031" s="5" t="s">
        <v>43</v>
      </c>
      <c r="F4031" s="8"/>
      <c r="G4031" s="9">
        <f>H4031*(1-30%)*(1-F4031)</f>
        <v>31.492999999999999</v>
      </c>
      <c r="H4031" s="9">
        <v>44.990000000000002</v>
      </c>
      <c r="I4031" s="9">
        <f>H4031-G4031</f>
        <v>13.497000000000003</v>
      </c>
    </row>
    <row r="4032" ht="14.25">
      <c r="A4032" s="5">
        <v>56765</v>
      </c>
      <c r="B4032" s="7" t="s">
        <v>4125</v>
      </c>
      <c r="C4032" s="7" t="s">
        <v>3262</v>
      </c>
      <c r="D4032" s="7" t="s">
        <v>183</v>
      </c>
      <c r="E4032" s="5" t="s">
        <v>43</v>
      </c>
      <c r="F4032" s="8"/>
      <c r="G4032" s="9">
        <f>H4032*(1-30%)*(1-F4032)</f>
        <v>47.592999999999996</v>
      </c>
      <c r="H4032" s="9">
        <v>67.989999999999995</v>
      </c>
      <c r="I4032" s="9">
        <f>H4032-G4032</f>
        <v>20.396999999999998</v>
      </c>
    </row>
    <row r="4033" ht="14.25">
      <c r="A4033" s="5">
        <v>56767</v>
      </c>
      <c r="B4033" s="7" t="s">
        <v>4126</v>
      </c>
      <c r="C4033" s="7" t="s">
        <v>3290</v>
      </c>
      <c r="D4033" s="7" t="s">
        <v>183</v>
      </c>
      <c r="E4033" s="5" t="s">
        <v>43</v>
      </c>
      <c r="F4033" s="8"/>
      <c r="G4033" s="9">
        <f>H4033*(1-30%)*(1-F4033)</f>
        <v>48.992999999999995</v>
      </c>
      <c r="H4033" s="9">
        <v>69.989999999999995</v>
      </c>
      <c r="I4033" s="9">
        <f>H4033-G4033</f>
        <v>20.997</v>
      </c>
    </row>
    <row r="4034" ht="14.25">
      <c r="A4034" s="5">
        <v>56770</v>
      </c>
      <c r="B4034" s="7" t="s">
        <v>4127</v>
      </c>
      <c r="C4034" s="7" t="s">
        <v>3290</v>
      </c>
      <c r="D4034" s="7" t="s">
        <v>183</v>
      </c>
      <c r="E4034" s="5" t="s">
        <v>43</v>
      </c>
      <c r="F4034" s="8"/>
      <c r="G4034" s="9">
        <f>H4034*(1-30%)*(1-F4034)</f>
        <v>34.993000000000002</v>
      </c>
      <c r="H4034" s="9">
        <v>49.990000000000002</v>
      </c>
      <c r="I4034" s="9">
        <f>H4034-G4034</f>
        <v>14.997</v>
      </c>
    </row>
    <row r="4035" ht="14.25">
      <c r="A4035" s="5">
        <v>56772</v>
      </c>
      <c r="B4035" s="7" t="s">
        <v>4128</v>
      </c>
      <c r="C4035" s="7" t="s">
        <v>3280</v>
      </c>
      <c r="D4035" s="7" t="s">
        <v>183</v>
      </c>
      <c r="E4035" s="5" t="s">
        <v>15</v>
      </c>
      <c r="F4035" s="8"/>
      <c r="G4035" s="9">
        <f>H4035*(1-30%)*(1-F4035)</f>
        <v>30.093</v>
      </c>
      <c r="H4035" s="9">
        <v>42.990000000000002</v>
      </c>
      <c r="I4035" s="9">
        <f>H4035-G4035</f>
        <v>12.897000000000002</v>
      </c>
    </row>
    <row r="4036" ht="14.25">
      <c r="A4036" s="5">
        <v>56774</v>
      </c>
      <c r="B4036" s="7" t="s">
        <v>4129</v>
      </c>
      <c r="C4036" s="7" t="s">
        <v>3290</v>
      </c>
      <c r="D4036" s="7" t="s">
        <v>183</v>
      </c>
      <c r="E4036" s="5" t="s">
        <v>43</v>
      </c>
      <c r="F4036" s="8"/>
      <c r="G4036" s="9">
        <f>H4036*(1-30%)*(1-F4036)</f>
        <v>41.993000000000002</v>
      </c>
      <c r="H4036" s="9">
        <v>59.990000000000002</v>
      </c>
      <c r="I4036" s="9">
        <f>H4036-G4036</f>
        <v>17.997</v>
      </c>
    </row>
    <row r="4037" ht="14.25">
      <c r="A4037" s="5">
        <v>56801</v>
      </c>
      <c r="B4037" s="7" t="s">
        <v>4130</v>
      </c>
      <c r="C4037" s="7" t="s">
        <v>3290</v>
      </c>
      <c r="D4037" s="7" t="s">
        <v>61</v>
      </c>
      <c r="E4037" s="5" t="s">
        <v>43</v>
      </c>
      <c r="F4037" s="8"/>
      <c r="G4037" s="9">
        <f>H4037*(1-30%)*(1-F4037)</f>
        <v>25.129999999999999</v>
      </c>
      <c r="H4037" s="9">
        <v>35.899999999999999</v>
      </c>
      <c r="I4037" s="9">
        <f>H4037-G4037</f>
        <v>10.77</v>
      </c>
    </row>
    <row r="4038" ht="14.25">
      <c r="A4038" s="5">
        <v>56813</v>
      </c>
      <c r="B4038" s="7" t="s">
        <v>4131</v>
      </c>
      <c r="C4038" s="7" t="s">
        <v>3508</v>
      </c>
      <c r="D4038" s="7" t="s">
        <v>61</v>
      </c>
      <c r="E4038" s="5" t="s">
        <v>43</v>
      </c>
      <c r="F4038" s="8"/>
      <c r="G4038" s="9">
        <f>H4038*(1-30%)*(1-F4038)</f>
        <v>124.52299999999998</v>
      </c>
      <c r="H4038" s="9">
        <v>177.88999999999999</v>
      </c>
      <c r="I4038" s="9">
        <f>H4038-G4038</f>
        <v>53.367000000000004</v>
      </c>
    </row>
    <row r="4039" ht="14.25">
      <c r="A4039" s="5">
        <v>56814</v>
      </c>
      <c r="B4039" s="7" t="s">
        <v>4132</v>
      </c>
      <c r="C4039" s="7" t="s">
        <v>3262</v>
      </c>
      <c r="D4039" s="7" t="s">
        <v>61</v>
      </c>
      <c r="E4039" s="5" t="s">
        <v>43</v>
      </c>
      <c r="F4039" s="8"/>
      <c r="G4039" s="9">
        <f>H4039*(1-30%)*(1-F4039)</f>
        <v>92.960000000000008</v>
      </c>
      <c r="H4039" s="9">
        <v>132.80000000000001</v>
      </c>
      <c r="I4039" s="9">
        <f>H4039-G4039</f>
        <v>39.840000000000003</v>
      </c>
    </row>
    <row r="4040" ht="14.25">
      <c r="A4040" s="5">
        <v>56816</v>
      </c>
      <c r="B4040" s="7" t="s">
        <v>4133</v>
      </c>
      <c r="C4040" s="7" t="s">
        <v>3290</v>
      </c>
      <c r="D4040" s="7" t="s">
        <v>61</v>
      </c>
      <c r="E4040" s="5" t="s">
        <v>43</v>
      </c>
      <c r="F4040" s="8"/>
      <c r="G4040" s="9">
        <f>H4040*(1-30%)*(1-F4040)</f>
        <v>113.155</v>
      </c>
      <c r="H4040" s="9">
        <v>161.65000000000001</v>
      </c>
      <c r="I4040" s="9">
        <f>H4040-G4040</f>
        <v>48.495000000000005</v>
      </c>
    </row>
    <row r="4041" ht="14.25">
      <c r="A4041" s="5">
        <v>56934</v>
      </c>
      <c r="B4041" s="7" t="s">
        <v>4134</v>
      </c>
      <c r="C4041" s="7" t="s">
        <v>3705</v>
      </c>
      <c r="D4041" s="7" t="s">
        <v>174</v>
      </c>
      <c r="E4041" s="5" t="s">
        <v>15</v>
      </c>
      <c r="F4041" s="8"/>
      <c r="G4041" s="9">
        <f>H4041*(1-30%)*(1-F4041)</f>
        <v>34.993000000000002</v>
      </c>
      <c r="H4041" s="9">
        <v>49.990000000000002</v>
      </c>
      <c r="I4041" s="9">
        <f>H4041-G4041</f>
        <v>14.997</v>
      </c>
    </row>
    <row r="4042" ht="14.25">
      <c r="A4042" s="5">
        <v>56935</v>
      </c>
      <c r="B4042" s="7" t="s">
        <v>4135</v>
      </c>
      <c r="C4042" s="7" t="s">
        <v>3448</v>
      </c>
      <c r="D4042" s="7" t="s">
        <v>583</v>
      </c>
      <c r="E4042" s="5" t="s">
        <v>15</v>
      </c>
      <c r="F4042" s="8"/>
      <c r="G4042" s="9">
        <f>H4042*(1-30%)*(1-F4042)</f>
        <v>41.93</v>
      </c>
      <c r="H4042" s="9">
        <v>59.899999999999999</v>
      </c>
      <c r="I4042" s="9">
        <f>H4042-G4042</f>
        <v>17.969999999999999</v>
      </c>
    </row>
    <row r="4043" ht="14.25">
      <c r="A4043" s="5">
        <v>56966</v>
      </c>
      <c r="B4043" s="7" t="s">
        <v>4136</v>
      </c>
      <c r="C4043" s="7" t="s">
        <v>3290</v>
      </c>
      <c r="D4043" s="7" t="s">
        <v>45</v>
      </c>
      <c r="E4043" s="5" t="s">
        <v>15</v>
      </c>
      <c r="F4043" s="8"/>
      <c r="G4043" s="9">
        <f>H4043*(1-30%)*(1-F4043)</f>
        <v>24.492999999999999</v>
      </c>
      <c r="H4043" s="9">
        <v>34.990000000000002</v>
      </c>
      <c r="I4043" s="9">
        <f>H4043-G4043</f>
        <v>10.497000000000003</v>
      </c>
    </row>
    <row r="4044" ht="14.25">
      <c r="A4044" s="5">
        <v>57021</v>
      </c>
      <c r="B4044" s="7" t="s">
        <v>4137</v>
      </c>
      <c r="C4044" s="7" t="s">
        <v>3265</v>
      </c>
      <c r="D4044" s="7" t="s">
        <v>110</v>
      </c>
      <c r="E4044" s="5" t="s">
        <v>43</v>
      </c>
      <c r="F4044" s="8"/>
      <c r="G4044" s="9">
        <f>H4044*(1-30%)*(1-F4044)</f>
        <v>44.092999999999996</v>
      </c>
      <c r="H4044" s="9">
        <v>62.990000000000002</v>
      </c>
      <c r="I4044" s="9">
        <f>H4044-G4044</f>
        <v>18.897000000000006</v>
      </c>
    </row>
    <row r="4045" ht="14.25">
      <c r="A4045" s="5">
        <v>57022</v>
      </c>
      <c r="B4045" s="7" t="s">
        <v>4138</v>
      </c>
      <c r="C4045" s="7" t="s">
        <v>3265</v>
      </c>
      <c r="D4045" s="7" t="s">
        <v>110</v>
      </c>
      <c r="E4045" s="5" t="s">
        <v>43</v>
      </c>
      <c r="F4045" s="8"/>
      <c r="G4045" s="9">
        <f>H4045*(1-30%)*(1-F4045)</f>
        <v>44.092999999999996</v>
      </c>
      <c r="H4045" s="9">
        <v>62.990000000000002</v>
      </c>
      <c r="I4045" s="9">
        <f>H4045-G4045</f>
        <v>18.897000000000006</v>
      </c>
    </row>
    <row r="4046" ht="14.25">
      <c r="A4046" s="5">
        <v>57023</v>
      </c>
      <c r="B4046" s="7" t="s">
        <v>4139</v>
      </c>
      <c r="C4046" s="7" t="s">
        <v>3265</v>
      </c>
      <c r="D4046" s="7" t="s">
        <v>110</v>
      </c>
      <c r="E4046" s="5" t="s">
        <v>43</v>
      </c>
      <c r="F4046" s="8"/>
      <c r="G4046" s="9">
        <f>H4046*(1-30%)*(1-F4046)</f>
        <v>44.092999999999996</v>
      </c>
      <c r="H4046" s="9">
        <v>62.990000000000002</v>
      </c>
      <c r="I4046" s="9">
        <f>H4046-G4046</f>
        <v>18.897000000000006</v>
      </c>
    </row>
    <row r="4047" ht="14.25">
      <c r="A4047" s="5">
        <v>57057</v>
      </c>
      <c r="B4047" s="7" t="s">
        <v>4140</v>
      </c>
      <c r="C4047" s="7" t="s">
        <v>3290</v>
      </c>
      <c r="D4047" s="7" t="s">
        <v>183</v>
      </c>
      <c r="E4047" s="5" t="s">
        <v>43</v>
      </c>
      <c r="F4047" s="8"/>
      <c r="G4047" s="9">
        <f>H4047*(1-30%)*(1-F4047)</f>
        <v>4.8300000000000001</v>
      </c>
      <c r="H4047" s="9">
        <v>6.9000000000000004</v>
      </c>
      <c r="I4047" s="9">
        <f>H4047-G4047</f>
        <v>2.0700000000000003</v>
      </c>
    </row>
    <row r="4048" ht="14.25">
      <c r="A4048" s="5">
        <v>57072</v>
      </c>
      <c r="B4048" s="7" t="s">
        <v>4141</v>
      </c>
      <c r="C4048" s="7" t="s">
        <v>3709</v>
      </c>
      <c r="D4048" s="7" t="s">
        <v>219</v>
      </c>
      <c r="E4048" s="5" t="s">
        <v>43</v>
      </c>
      <c r="F4048" s="8"/>
      <c r="G4048" s="9">
        <f>H4048*(1-30%)*(1-F4048)</f>
        <v>59.492999999999995</v>
      </c>
      <c r="H4048" s="9">
        <v>84.989999999999995</v>
      </c>
      <c r="I4048" s="9">
        <f>H4048-G4048</f>
        <v>25.497</v>
      </c>
    </row>
    <row r="4049" ht="14.25">
      <c r="A4049" s="5">
        <v>57073</v>
      </c>
      <c r="B4049" s="7" t="s">
        <v>4142</v>
      </c>
      <c r="C4049" s="7" t="s">
        <v>3709</v>
      </c>
      <c r="D4049" s="7" t="s">
        <v>219</v>
      </c>
      <c r="E4049" s="5" t="s">
        <v>43</v>
      </c>
      <c r="F4049" s="8"/>
      <c r="G4049" s="9">
        <f>H4049*(1-30%)*(1-F4049)</f>
        <v>97.992999999999995</v>
      </c>
      <c r="H4049" s="9">
        <v>139.99000000000001</v>
      </c>
      <c r="I4049" s="9">
        <f>H4049-G4049</f>
        <v>41.997000000000014</v>
      </c>
    </row>
    <row r="4050" ht="14.25">
      <c r="A4050" s="5">
        <v>57074</v>
      </c>
      <c r="B4050" s="7" t="s">
        <v>4143</v>
      </c>
      <c r="C4050" s="7" t="s">
        <v>3709</v>
      </c>
      <c r="D4050" s="7" t="s">
        <v>219</v>
      </c>
      <c r="E4050" s="5" t="s">
        <v>43</v>
      </c>
      <c r="F4050" s="8"/>
      <c r="G4050" s="9">
        <f>H4050*(1-30%)*(1-F4050)</f>
        <v>52.492999999999995</v>
      </c>
      <c r="H4050" s="9">
        <v>74.989999999999995</v>
      </c>
      <c r="I4050" s="9">
        <f>H4050-G4050</f>
        <v>22.497</v>
      </c>
    </row>
    <row r="4051" ht="14.25">
      <c r="A4051" s="5">
        <v>57076</v>
      </c>
      <c r="B4051" s="7" t="s">
        <v>4144</v>
      </c>
      <c r="C4051" s="7" t="s">
        <v>3280</v>
      </c>
      <c r="D4051" s="7" t="s">
        <v>95</v>
      </c>
      <c r="E4051" s="5" t="s">
        <v>43</v>
      </c>
      <c r="F4051" s="8"/>
      <c r="G4051" s="9">
        <f>H4051*(1-30%)*(1-F4051)</f>
        <v>41.993000000000002</v>
      </c>
      <c r="H4051" s="9">
        <v>59.990000000000002</v>
      </c>
      <c r="I4051" s="9">
        <f>H4051-G4051</f>
        <v>17.997</v>
      </c>
    </row>
    <row r="4052" ht="14.25">
      <c r="A4052" s="5">
        <v>57231</v>
      </c>
      <c r="B4052" s="7" t="s">
        <v>4145</v>
      </c>
      <c r="C4052" s="7" t="s">
        <v>3522</v>
      </c>
      <c r="D4052" s="7" t="s">
        <v>61</v>
      </c>
      <c r="E4052" s="5" t="s">
        <v>43</v>
      </c>
      <c r="F4052" s="8"/>
      <c r="G4052" s="9">
        <f>H4052*(1-30%)*(1-F4052)</f>
        <v>106.67999999999999</v>
      </c>
      <c r="H4052" s="9">
        <v>152.40000000000001</v>
      </c>
      <c r="I4052" s="9">
        <f>H4052-G4052</f>
        <v>45.720000000000013</v>
      </c>
    </row>
    <row r="4053" ht="14.25">
      <c r="A4053" s="5">
        <v>57232</v>
      </c>
      <c r="B4053" s="7" t="s">
        <v>4146</v>
      </c>
      <c r="C4053" s="7" t="s">
        <v>3705</v>
      </c>
      <c r="D4053" s="7" t="s">
        <v>61</v>
      </c>
      <c r="E4053" s="5" t="s">
        <v>43</v>
      </c>
      <c r="F4053" s="8"/>
      <c r="G4053" s="9">
        <f>H4053*(1-30%)*(1-F4053)</f>
        <v>87.423000000000002</v>
      </c>
      <c r="H4053" s="9">
        <v>124.89</v>
      </c>
      <c r="I4053" s="9">
        <f>H4053-G4053</f>
        <v>37.466999999999999</v>
      </c>
    </row>
    <row r="4054" ht="14.25">
      <c r="A4054" s="5">
        <v>57258</v>
      </c>
      <c r="B4054" s="7" t="s">
        <v>4147</v>
      </c>
      <c r="C4054" s="7" t="s">
        <v>3522</v>
      </c>
      <c r="D4054" s="7" t="s">
        <v>103</v>
      </c>
      <c r="E4054" s="5" t="s">
        <v>15</v>
      </c>
      <c r="F4054" s="8"/>
      <c r="G4054" s="9">
        <f>H4054*(1-30%)*(1-F4054)</f>
        <v>30.093</v>
      </c>
      <c r="H4054" s="9">
        <v>42.990000000000002</v>
      </c>
      <c r="I4054" s="9">
        <f>H4054-G4054</f>
        <v>12.897000000000002</v>
      </c>
    </row>
    <row r="4055" ht="14.25">
      <c r="A4055" s="5">
        <v>57374</v>
      </c>
      <c r="B4055" s="7" t="s">
        <v>4148</v>
      </c>
      <c r="C4055" s="7" t="s">
        <v>3522</v>
      </c>
      <c r="D4055" s="7" t="s">
        <v>45</v>
      </c>
      <c r="E4055" s="5" t="s">
        <v>15</v>
      </c>
      <c r="F4055" s="8"/>
      <c r="G4055" s="9">
        <f>H4055*(1-30%)*(1-F4055)</f>
        <v>33.592999999999996</v>
      </c>
      <c r="H4055" s="9">
        <v>47.990000000000002</v>
      </c>
      <c r="I4055" s="9">
        <f>H4055-G4055</f>
        <v>14.397000000000006</v>
      </c>
    </row>
    <row r="4056" ht="14.25">
      <c r="A4056" s="5">
        <v>57390</v>
      </c>
      <c r="B4056" s="7" t="s">
        <v>4149</v>
      </c>
      <c r="C4056" s="7" t="s">
        <v>3290</v>
      </c>
      <c r="D4056" s="7" t="s">
        <v>45</v>
      </c>
      <c r="E4056" s="5" t="s">
        <v>43</v>
      </c>
      <c r="F4056" s="8"/>
      <c r="G4056" s="9">
        <f>H4056*(1-30%)*(1-F4056)</f>
        <v>76.992999999999995</v>
      </c>
      <c r="H4056" s="9">
        <v>109.98999999999999</v>
      </c>
      <c r="I4056" s="9">
        <f>H4056-G4056</f>
        <v>32.997</v>
      </c>
    </row>
    <row r="4057" ht="14.25">
      <c r="A4057" s="5">
        <v>57415</v>
      </c>
      <c r="B4057" s="7" t="s">
        <v>4150</v>
      </c>
      <c r="C4057" s="7" t="s">
        <v>3280</v>
      </c>
      <c r="D4057" s="7" t="s">
        <v>95</v>
      </c>
      <c r="E4057" s="5" t="s">
        <v>43</v>
      </c>
      <c r="F4057" s="8"/>
      <c r="G4057" s="9">
        <f>H4057*(1-30%)*(1-F4057)</f>
        <v>30.093</v>
      </c>
      <c r="H4057" s="9">
        <v>42.990000000000002</v>
      </c>
      <c r="I4057" s="9">
        <f>H4057-G4057</f>
        <v>12.897000000000002</v>
      </c>
    </row>
    <row r="4058" ht="14.25">
      <c r="A4058" s="5">
        <v>57476</v>
      </c>
      <c r="B4058" s="7" t="s">
        <v>4151</v>
      </c>
      <c r="C4058" s="7" t="s">
        <v>3585</v>
      </c>
      <c r="D4058" s="7" t="s">
        <v>71</v>
      </c>
      <c r="E4058" s="5" t="s">
        <v>43</v>
      </c>
      <c r="F4058" s="8"/>
      <c r="G4058" s="9">
        <f>H4058*(1-30%)*(1-F4058)</f>
        <v>31.492999999999999</v>
      </c>
      <c r="H4058" s="9">
        <v>44.990000000000002</v>
      </c>
      <c r="I4058" s="9">
        <f>H4058-G4058</f>
        <v>13.497000000000003</v>
      </c>
    </row>
    <row r="4059" ht="14.25">
      <c r="A4059" s="5">
        <v>57489</v>
      </c>
      <c r="B4059" s="7" t="s">
        <v>4152</v>
      </c>
      <c r="C4059" s="7" t="s">
        <v>3302</v>
      </c>
      <c r="D4059" s="7" t="s">
        <v>219</v>
      </c>
      <c r="E4059" s="5" t="s">
        <v>43</v>
      </c>
      <c r="F4059" s="8"/>
      <c r="G4059" s="9">
        <f>H4059*(1-30%)*(1-F4059)</f>
        <v>59.492999999999995</v>
      </c>
      <c r="H4059" s="9">
        <v>84.989999999999995</v>
      </c>
      <c r="I4059" s="9">
        <f>H4059-G4059</f>
        <v>25.497</v>
      </c>
    </row>
    <row r="4060" ht="14.25">
      <c r="A4060" s="5">
        <v>57491</v>
      </c>
      <c r="B4060" s="7" t="s">
        <v>4153</v>
      </c>
      <c r="C4060" s="7" t="s">
        <v>3280</v>
      </c>
      <c r="D4060" s="7" t="s">
        <v>95</v>
      </c>
      <c r="E4060" s="5" t="s">
        <v>43</v>
      </c>
      <c r="F4060" s="8"/>
      <c r="G4060" s="9">
        <f>H4060*(1-30%)*(1-F4060)</f>
        <v>61.592999999999989</v>
      </c>
      <c r="H4060" s="9">
        <v>87.989999999999995</v>
      </c>
      <c r="I4060" s="9">
        <f>H4060-G4060</f>
        <v>26.397000000000006</v>
      </c>
    </row>
    <row r="4061" ht="14.25">
      <c r="A4061" s="5">
        <v>57550</v>
      </c>
      <c r="B4061" s="7" t="s">
        <v>4154</v>
      </c>
      <c r="C4061" s="7" t="s">
        <v>3290</v>
      </c>
      <c r="D4061" s="7" t="s">
        <v>11</v>
      </c>
      <c r="E4061" s="5" t="s">
        <v>43</v>
      </c>
      <c r="F4061" s="8"/>
      <c r="G4061" s="9">
        <f>H4061*(1-30%)*(1-F4061)</f>
        <v>87.429999999999993</v>
      </c>
      <c r="H4061" s="9">
        <v>124.90000000000001</v>
      </c>
      <c r="I4061" s="9">
        <f>H4061-G4061</f>
        <v>37.470000000000013</v>
      </c>
    </row>
    <row r="4062" ht="14.25">
      <c r="A4062" s="5">
        <v>57569</v>
      </c>
      <c r="B4062" s="7" t="s">
        <v>4155</v>
      </c>
      <c r="C4062" s="7" t="s">
        <v>3290</v>
      </c>
      <c r="D4062" s="7" t="s">
        <v>11</v>
      </c>
      <c r="E4062" s="5" t="s">
        <v>15</v>
      </c>
      <c r="F4062" s="8"/>
      <c r="G4062" s="9">
        <f>H4062*(1-30%)*(1-F4062)</f>
        <v>76.992999999999995</v>
      </c>
      <c r="H4062" s="9">
        <v>109.98999999999999</v>
      </c>
      <c r="I4062" s="9">
        <f>H4062-G4062</f>
        <v>32.997</v>
      </c>
    </row>
    <row r="4063" ht="14.25">
      <c r="A4063" s="5">
        <v>57597</v>
      </c>
      <c r="B4063" s="7" t="s">
        <v>4156</v>
      </c>
      <c r="C4063" s="7" t="s">
        <v>3522</v>
      </c>
      <c r="D4063" s="7" t="s">
        <v>11</v>
      </c>
      <c r="E4063" s="5" t="s">
        <v>43</v>
      </c>
      <c r="F4063" s="8"/>
      <c r="G4063" s="9">
        <f>H4063*(1-30%)*(1-F4063)</f>
        <v>80.429999999999993</v>
      </c>
      <c r="H4063" s="9">
        <v>114.90000000000001</v>
      </c>
      <c r="I4063" s="9">
        <f>H4063-G4063</f>
        <v>34.470000000000013</v>
      </c>
    </row>
    <row r="4064" ht="14.25">
      <c r="A4064" s="5">
        <v>57642</v>
      </c>
      <c r="B4064" s="7" t="s">
        <v>4157</v>
      </c>
      <c r="C4064" s="7" t="s">
        <v>3290</v>
      </c>
      <c r="D4064" s="7" t="s">
        <v>183</v>
      </c>
      <c r="E4064" s="5" t="s">
        <v>43</v>
      </c>
      <c r="F4064" s="8"/>
      <c r="G4064" s="9">
        <f>H4064*(1-30%)*(1-F4064)</f>
        <v>27.992999999999999</v>
      </c>
      <c r="H4064" s="9">
        <v>39.990000000000002</v>
      </c>
      <c r="I4064" s="9">
        <f>H4064-G4064</f>
        <v>11.997000000000003</v>
      </c>
    </row>
    <row r="4065" ht="14.25">
      <c r="A4065" s="5">
        <v>57674</v>
      </c>
      <c r="B4065" s="7" t="s">
        <v>4158</v>
      </c>
      <c r="C4065" s="7" t="s">
        <v>3435</v>
      </c>
      <c r="D4065" s="7" t="s">
        <v>45</v>
      </c>
      <c r="E4065" s="5" t="s">
        <v>43</v>
      </c>
      <c r="F4065" s="8"/>
      <c r="G4065" s="9">
        <f>H4065*(1-30%)*(1-F4065)</f>
        <v>33.592999999999996</v>
      </c>
      <c r="H4065" s="9">
        <v>47.990000000000002</v>
      </c>
      <c r="I4065" s="9">
        <f>H4065-G4065</f>
        <v>14.397000000000006</v>
      </c>
    </row>
    <row r="4066" ht="14.25">
      <c r="A4066" s="5">
        <v>57704</v>
      </c>
      <c r="B4066" s="7" t="s">
        <v>4159</v>
      </c>
      <c r="C4066" s="7" t="s">
        <v>3492</v>
      </c>
      <c r="D4066" s="7" t="s">
        <v>61</v>
      </c>
      <c r="E4066" s="5" t="s">
        <v>43</v>
      </c>
      <c r="F4066" s="8"/>
      <c r="G4066" s="9">
        <f>H4066*(1-30%)*(1-F4066)</f>
        <v>125.22299999999998</v>
      </c>
      <c r="H4066" s="9">
        <v>178.88999999999999</v>
      </c>
      <c r="I4066" s="9">
        <f>H4066-G4066</f>
        <v>53.667000000000002</v>
      </c>
    </row>
    <row r="4067" ht="14.25">
      <c r="A4067" s="5">
        <v>57781</v>
      </c>
      <c r="B4067" s="7" t="s">
        <v>4160</v>
      </c>
      <c r="C4067" s="7" t="s">
        <v>3262</v>
      </c>
      <c r="D4067" s="7" t="s">
        <v>183</v>
      </c>
      <c r="E4067" s="5" t="s">
        <v>43</v>
      </c>
      <c r="F4067" s="8"/>
      <c r="G4067" s="9">
        <f>H4067*(1-30%)*(1-F4067)</f>
        <v>52.492999999999995</v>
      </c>
      <c r="H4067" s="9">
        <v>74.989999999999995</v>
      </c>
      <c r="I4067" s="9">
        <f>H4067-G4067</f>
        <v>22.497</v>
      </c>
    </row>
    <row r="4068" ht="14.25">
      <c r="A4068" s="5">
        <v>57902</v>
      </c>
      <c r="B4068" s="7" t="s">
        <v>4161</v>
      </c>
      <c r="C4068" s="7" t="s">
        <v>3290</v>
      </c>
      <c r="D4068" s="7" t="s">
        <v>183</v>
      </c>
      <c r="E4068" s="5" t="s">
        <v>43</v>
      </c>
      <c r="F4068" s="8"/>
      <c r="G4068" s="9">
        <f>H4068*(1-30%)*(1-F4068)</f>
        <v>90.992999999999995</v>
      </c>
      <c r="H4068" s="9">
        <v>129.99000000000001</v>
      </c>
      <c r="I4068" s="9">
        <f>H4068-G4068</f>
        <v>38.997000000000014</v>
      </c>
    </row>
    <row r="4069" ht="14.25">
      <c r="A4069" s="5">
        <v>58024</v>
      </c>
      <c r="B4069" s="7" t="s">
        <v>4162</v>
      </c>
      <c r="C4069" s="7" t="s">
        <v>3331</v>
      </c>
      <c r="D4069" s="7" t="s">
        <v>71</v>
      </c>
      <c r="E4069" s="5" t="s">
        <v>43</v>
      </c>
      <c r="F4069" s="8"/>
      <c r="G4069" s="9">
        <f>H4069*(1-30%)*(1-F4069)</f>
        <v>19.592999999999996</v>
      </c>
      <c r="H4069" s="9">
        <v>27.989999999999998</v>
      </c>
      <c r="I4069" s="9">
        <f>H4069-G4069</f>
        <v>8.397000000000002</v>
      </c>
    </row>
    <row r="4070" ht="14.25">
      <c r="A4070" s="5">
        <v>58025</v>
      </c>
      <c r="B4070" s="7" t="s">
        <v>4163</v>
      </c>
      <c r="C4070" s="7" t="s">
        <v>3276</v>
      </c>
      <c r="D4070" s="7" t="s">
        <v>11</v>
      </c>
      <c r="E4070" s="5" t="s">
        <v>43</v>
      </c>
      <c r="F4070" s="8"/>
      <c r="G4070" s="9">
        <f>H4070*(1-30%)*(1-F4070)</f>
        <v>51.092999999999996</v>
      </c>
      <c r="H4070" s="9">
        <v>72.989999999999995</v>
      </c>
      <c r="I4070" s="9">
        <f>H4070-G4070</f>
        <v>21.896999999999998</v>
      </c>
    </row>
    <row r="4071" ht="14.25">
      <c r="A4071" s="5">
        <v>58056</v>
      </c>
      <c r="B4071" s="7" t="s">
        <v>4164</v>
      </c>
      <c r="C4071" s="7" t="s">
        <v>3705</v>
      </c>
      <c r="D4071" s="7" t="s">
        <v>11</v>
      </c>
      <c r="E4071" s="5" t="s">
        <v>3513</v>
      </c>
      <c r="F4071" s="8"/>
      <c r="G4071" s="9">
        <f>H4071*(1-30%)*(1-F4071)</f>
        <v>62.992999999999995</v>
      </c>
      <c r="H4071" s="9">
        <v>89.989999999999995</v>
      </c>
      <c r="I4071" s="9">
        <f>H4071-G4071</f>
        <v>26.997</v>
      </c>
    </row>
    <row r="4072" ht="14.25">
      <c r="A4072" s="5">
        <v>58084</v>
      </c>
      <c r="B4072" s="7" t="s">
        <v>4165</v>
      </c>
      <c r="C4072" s="7" t="s">
        <v>3324</v>
      </c>
      <c r="D4072" s="7" t="s">
        <v>110</v>
      </c>
      <c r="E4072" s="5" t="s">
        <v>43</v>
      </c>
      <c r="F4072" s="8"/>
      <c r="G4072" s="9">
        <f>H4072*(1-30%)*(1-F4072)</f>
        <v>26.593</v>
      </c>
      <c r="H4072" s="9">
        <v>37.990000000000002</v>
      </c>
      <c r="I4072" s="9">
        <f>H4072-G4072</f>
        <v>11.397000000000002</v>
      </c>
    </row>
    <row r="4073" ht="14.25">
      <c r="A4073" s="5">
        <v>58119</v>
      </c>
      <c r="B4073" s="7" t="s">
        <v>4166</v>
      </c>
      <c r="C4073" s="7" t="s">
        <v>3280</v>
      </c>
      <c r="D4073" s="7" t="s">
        <v>95</v>
      </c>
      <c r="E4073" s="5" t="s">
        <v>3513</v>
      </c>
      <c r="F4073" s="8"/>
      <c r="G4073" s="9">
        <f>H4073*(1-30%)*(1-F4073)</f>
        <v>33.592999999999996</v>
      </c>
      <c r="H4073" s="9">
        <v>47.990000000000002</v>
      </c>
      <c r="I4073" s="9">
        <f>H4073-G4073</f>
        <v>14.397000000000006</v>
      </c>
    </row>
    <row r="4074" ht="14.25">
      <c r="A4074" s="5">
        <v>58120</v>
      </c>
      <c r="B4074" s="7" t="s">
        <v>4167</v>
      </c>
      <c r="C4074" s="7" t="s">
        <v>3280</v>
      </c>
      <c r="D4074" s="7" t="s">
        <v>95</v>
      </c>
      <c r="E4074" s="5" t="s">
        <v>3513</v>
      </c>
      <c r="F4074" s="8"/>
      <c r="G4074" s="9">
        <f>H4074*(1-30%)*(1-F4074)</f>
        <v>34.993000000000002</v>
      </c>
      <c r="H4074" s="9">
        <v>49.990000000000002</v>
      </c>
      <c r="I4074" s="9">
        <f>H4074-G4074</f>
        <v>14.997</v>
      </c>
    </row>
    <row r="4075" ht="14.25">
      <c r="A4075" s="5">
        <v>58121</v>
      </c>
      <c r="B4075" s="7" t="s">
        <v>4168</v>
      </c>
      <c r="C4075" s="7" t="s">
        <v>3280</v>
      </c>
      <c r="D4075" s="7" t="s">
        <v>95</v>
      </c>
      <c r="E4075" s="5" t="s">
        <v>3513</v>
      </c>
      <c r="F4075" s="8"/>
      <c r="G4075" s="9">
        <f>H4075*(1-30%)*(1-F4075)</f>
        <v>48.992999999999995</v>
      </c>
      <c r="H4075" s="9">
        <v>69.989999999999995</v>
      </c>
      <c r="I4075" s="9">
        <f>H4075-G4075</f>
        <v>20.997</v>
      </c>
    </row>
    <row r="4076" ht="14.25">
      <c r="A4076" s="5">
        <v>58122</v>
      </c>
      <c r="B4076" s="7" t="s">
        <v>4169</v>
      </c>
      <c r="C4076" s="7" t="s">
        <v>3280</v>
      </c>
      <c r="D4076" s="7" t="s">
        <v>95</v>
      </c>
      <c r="E4076" s="5" t="s">
        <v>43</v>
      </c>
      <c r="F4076" s="8"/>
      <c r="G4076" s="9">
        <f>H4076*(1-30%)*(1-F4076)</f>
        <v>47.592999999999996</v>
      </c>
      <c r="H4076" s="9">
        <v>67.989999999999995</v>
      </c>
      <c r="I4076" s="9">
        <f>H4076-G4076</f>
        <v>20.396999999999998</v>
      </c>
    </row>
    <row r="4077" ht="14.25">
      <c r="A4077" s="5">
        <v>58218</v>
      </c>
      <c r="B4077" s="7" t="s">
        <v>4170</v>
      </c>
      <c r="C4077" s="7" t="s">
        <v>3290</v>
      </c>
      <c r="D4077" s="7" t="s">
        <v>183</v>
      </c>
      <c r="E4077" s="5" t="s">
        <v>15</v>
      </c>
      <c r="F4077" s="8"/>
      <c r="G4077" s="9">
        <f>H4077*(1-30%)*(1-F4077)</f>
        <v>34.93</v>
      </c>
      <c r="H4077" s="9">
        <v>49.899999999999999</v>
      </c>
      <c r="I4077" s="9">
        <f>H4077-G4077</f>
        <v>14.969999999999999</v>
      </c>
    </row>
    <row r="4078" ht="14.25">
      <c r="A4078" s="5">
        <v>58256</v>
      </c>
      <c r="B4078" s="7" t="s">
        <v>4171</v>
      </c>
      <c r="C4078" s="7" t="s">
        <v>3324</v>
      </c>
      <c r="D4078" s="7" t="s">
        <v>110</v>
      </c>
      <c r="E4078" s="5" t="s">
        <v>15</v>
      </c>
      <c r="F4078" s="8"/>
      <c r="G4078" s="9">
        <f>H4078*(1-30%)*(1-F4078)</f>
        <v>25.193000000000001</v>
      </c>
      <c r="H4078" s="9">
        <v>35.990000000000002</v>
      </c>
      <c r="I4078" s="9">
        <f>H4078-G4078</f>
        <v>10.797000000000001</v>
      </c>
    </row>
    <row r="4079" ht="14.25">
      <c r="A4079" s="5">
        <v>58257</v>
      </c>
      <c r="B4079" s="7" t="s">
        <v>4172</v>
      </c>
      <c r="C4079" s="7" t="s">
        <v>3324</v>
      </c>
      <c r="D4079" s="7" t="s">
        <v>110</v>
      </c>
      <c r="E4079" s="5" t="s">
        <v>43</v>
      </c>
      <c r="F4079" s="8"/>
      <c r="G4079" s="9">
        <f>H4079*(1-30%)*(1-F4079)</f>
        <v>25.193000000000001</v>
      </c>
      <c r="H4079" s="9">
        <v>35.990000000000002</v>
      </c>
      <c r="I4079" s="9">
        <f>H4079-G4079</f>
        <v>10.797000000000001</v>
      </c>
    </row>
    <row r="4080" ht="14.25">
      <c r="A4080" s="5">
        <v>58259</v>
      </c>
      <c r="B4080" s="7" t="s">
        <v>4173</v>
      </c>
      <c r="C4080" s="7" t="s">
        <v>3324</v>
      </c>
      <c r="D4080" s="7" t="s">
        <v>110</v>
      </c>
      <c r="E4080" s="5" t="s">
        <v>26</v>
      </c>
      <c r="F4080" s="8"/>
      <c r="G4080" s="9">
        <f>H4080*(1-30%)*(1-F4080)</f>
        <v>25.193000000000001</v>
      </c>
      <c r="H4080" s="9">
        <v>35.990000000000002</v>
      </c>
      <c r="I4080" s="9">
        <f>H4080-G4080</f>
        <v>10.797000000000001</v>
      </c>
    </row>
    <row r="4081" ht="14.25">
      <c r="A4081" s="5">
        <v>58307</v>
      </c>
      <c r="B4081" s="7" t="s">
        <v>4174</v>
      </c>
      <c r="C4081" s="7" t="s">
        <v>3280</v>
      </c>
      <c r="D4081" s="7" t="s">
        <v>95</v>
      </c>
      <c r="E4081" s="5" t="s">
        <v>3513</v>
      </c>
      <c r="F4081" s="8"/>
      <c r="G4081" s="9">
        <f>H4081*(1-30%)*(1-F4081)</f>
        <v>33.592999999999996</v>
      </c>
      <c r="H4081" s="9">
        <v>47.990000000000002</v>
      </c>
      <c r="I4081" s="9">
        <f>H4081-G4081</f>
        <v>14.397000000000006</v>
      </c>
    </row>
    <row r="4082" ht="14.25">
      <c r="A4082" s="5">
        <v>58308</v>
      </c>
      <c r="B4082" s="7" t="s">
        <v>4175</v>
      </c>
      <c r="C4082" s="7" t="s">
        <v>3280</v>
      </c>
      <c r="D4082" s="7" t="s">
        <v>95</v>
      </c>
      <c r="E4082" s="5" t="s">
        <v>3513</v>
      </c>
      <c r="F4082" s="8"/>
      <c r="G4082" s="9">
        <f>H4082*(1-30%)*(1-F4082)</f>
        <v>34.993000000000002</v>
      </c>
      <c r="H4082" s="9">
        <v>49.990000000000002</v>
      </c>
      <c r="I4082" s="9">
        <f>H4082-G4082</f>
        <v>14.997</v>
      </c>
    </row>
    <row r="4083" ht="14.25">
      <c r="A4083" s="5">
        <v>58310</v>
      </c>
      <c r="B4083" s="7" t="s">
        <v>4176</v>
      </c>
      <c r="C4083" s="7" t="s">
        <v>3280</v>
      </c>
      <c r="D4083" s="7" t="s">
        <v>95</v>
      </c>
      <c r="E4083" s="5" t="s">
        <v>43</v>
      </c>
      <c r="F4083" s="8"/>
      <c r="G4083" s="9">
        <f>H4083*(1-30%)*(1-F4083)</f>
        <v>34.993000000000002</v>
      </c>
      <c r="H4083" s="9">
        <v>49.990000000000002</v>
      </c>
      <c r="I4083" s="9">
        <f>H4083-G4083</f>
        <v>14.997</v>
      </c>
    </row>
    <row r="4084" ht="14.25">
      <c r="A4084" s="5">
        <v>58311</v>
      </c>
      <c r="B4084" s="7" t="s">
        <v>4177</v>
      </c>
      <c r="C4084" s="7" t="s">
        <v>3280</v>
      </c>
      <c r="D4084" s="7" t="s">
        <v>95</v>
      </c>
      <c r="E4084" s="5" t="s">
        <v>43</v>
      </c>
      <c r="F4084" s="8"/>
      <c r="G4084" s="9">
        <f>H4084*(1-30%)*(1-F4084)</f>
        <v>34.993000000000002</v>
      </c>
      <c r="H4084" s="9">
        <v>49.990000000000002</v>
      </c>
      <c r="I4084" s="9">
        <f>H4084-G4084</f>
        <v>14.997</v>
      </c>
    </row>
    <row r="4085" ht="14.25">
      <c r="A4085" s="5">
        <v>58312</v>
      </c>
      <c r="B4085" s="7" t="s">
        <v>4178</v>
      </c>
      <c r="C4085" s="7" t="s">
        <v>3280</v>
      </c>
      <c r="D4085" s="7" t="s">
        <v>95</v>
      </c>
      <c r="E4085" s="5" t="s">
        <v>43</v>
      </c>
      <c r="F4085" s="8"/>
      <c r="G4085" s="9">
        <f>H4085*(1-30%)*(1-F4085)</f>
        <v>44.092999999999996</v>
      </c>
      <c r="H4085" s="9">
        <v>62.990000000000002</v>
      </c>
      <c r="I4085" s="9">
        <f>H4085-G4085</f>
        <v>18.897000000000006</v>
      </c>
    </row>
    <row r="4086" ht="14.25">
      <c r="A4086" s="5">
        <v>58331</v>
      </c>
      <c r="B4086" s="7" t="s">
        <v>4179</v>
      </c>
      <c r="C4086" s="7" t="s">
        <v>3324</v>
      </c>
      <c r="D4086" s="7" t="s">
        <v>110</v>
      </c>
      <c r="E4086" s="5" t="s">
        <v>43</v>
      </c>
      <c r="F4086" s="8"/>
      <c r="G4086" s="9">
        <f>H4086*(1-30%)*(1-F4086)</f>
        <v>27.992999999999999</v>
      </c>
      <c r="H4086" s="9">
        <v>39.990000000000002</v>
      </c>
      <c r="I4086" s="9">
        <f>H4086-G4086</f>
        <v>11.997000000000003</v>
      </c>
    </row>
    <row r="4087" ht="14.25">
      <c r="A4087" s="5">
        <v>58332</v>
      </c>
      <c r="B4087" s="7" t="s">
        <v>4180</v>
      </c>
      <c r="C4087" s="7" t="s">
        <v>3324</v>
      </c>
      <c r="D4087" s="7" t="s">
        <v>110</v>
      </c>
      <c r="E4087" s="5" t="s">
        <v>43</v>
      </c>
      <c r="F4087" s="8"/>
      <c r="G4087" s="9">
        <f>H4087*(1-30%)*(1-F4087)</f>
        <v>27.992999999999999</v>
      </c>
      <c r="H4087" s="9">
        <v>39.990000000000002</v>
      </c>
      <c r="I4087" s="9">
        <f>H4087-G4087</f>
        <v>11.997000000000003</v>
      </c>
    </row>
    <row r="4088" ht="14.25">
      <c r="A4088" s="5">
        <v>58333</v>
      </c>
      <c r="B4088" s="7" t="s">
        <v>4181</v>
      </c>
      <c r="C4088" s="7" t="s">
        <v>3324</v>
      </c>
      <c r="D4088" s="7" t="s">
        <v>110</v>
      </c>
      <c r="E4088" s="5" t="s">
        <v>43</v>
      </c>
      <c r="F4088" s="8"/>
      <c r="G4088" s="9">
        <f>H4088*(1-30%)*(1-F4088)</f>
        <v>27.992999999999999</v>
      </c>
      <c r="H4088" s="9">
        <v>39.990000000000002</v>
      </c>
      <c r="I4088" s="9">
        <f>H4088-G4088</f>
        <v>11.997000000000003</v>
      </c>
    </row>
    <row r="4089" ht="14.25">
      <c r="A4089" s="5">
        <v>58334</v>
      </c>
      <c r="B4089" s="7" t="s">
        <v>4182</v>
      </c>
      <c r="C4089" s="7" t="s">
        <v>3324</v>
      </c>
      <c r="D4089" s="7" t="s">
        <v>110</v>
      </c>
      <c r="E4089" s="5" t="s">
        <v>43</v>
      </c>
      <c r="F4089" s="8"/>
      <c r="G4089" s="9">
        <f>H4089*(1-30%)*(1-F4089)</f>
        <v>27.992999999999999</v>
      </c>
      <c r="H4089" s="9">
        <v>39.990000000000002</v>
      </c>
      <c r="I4089" s="9">
        <f>H4089-G4089</f>
        <v>11.997000000000003</v>
      </c>
    </row>
    <row r="4090" ht="14.25">
      <c r="A4090" s="5">
        <v>58335</v>
      </c>
      <c r="B4090" s="7" t="s">
        <v>4183</v>
      </c>
      <c r="C4090" s="7" t="s">
        <v>3324</v>
      </c>
      <c r="D4090" s="7" t="s">
        <v>110</v>
      </c>
      <c r="E4090" s="5" t="s">
        <v>43</v>
      </c>
      <c r="F4090" s="8"/>
      <c r="G4090" s="9">
        <f>H4090*(1-30%)*(1-F4090)</f>
        <v>27.992999999999999</v>
      </c>
      <c r="H4090" s="9">
        <v>39.990000000000002</v>
      </c>
      <c r="I4090" s="9">
        <f>H4090-G4090</f>
        <v>11.997000000000003</v>
      </c>
    </row>
    <row r="4091" ht="14.25">
      <c r="A4091" s="5">
        <v>58355</v>
      </c>
      <c r="B4091" s="7" t="s">
        <v>4184</v>
      </c>
      <c r="C4091" s="7" t="s">
        <v>3324</v>
      </c>
      <c r="D4091" s="7" t="s">
        <v>110</v>
      </c>
      <c r="E4091" s="5" t="s">
        <v>26</v>
      </c>
      <c r="F4091" s="8"/>
      <c r="G4091" s="9">
        <f>H4091*(1-30%)*(1-F4091)</f>
        <v>38.493000000000002</v>
      </c>
      <c r="H4091" s="9">
        <v>54.990000000000002</v>
      </c>
      <c r="I4091" s="9">
        <f>H4091-G4091</f>
        <v>16.497</v>
      </c>
    </row>
    <row r="4092" ht="14.25">
      <c r="A4092" s="5">
        <v>58404</v>
      </c>
      <c r="B4092" s="7" t="s">
        <v>4185</v>
      </c>
      <c r="C4092" s="7" t="s">
        <v>3435</v>
      </c>
      <c r="D4092" s="7" t="s">
        <v>45</v>
      </c>
      <c r="E4092" s="5" t="s">
        <v>43</v>
      </c>
      <c r="F4092" s="8"/>
      <c r="G4092" s="9">
        <f>H4092*(1-30%)*(1-F4092)</f>
        <v>47.592999999999996</v>
      </c>
      <c r="H4092" s="9">
        <v>67.989999999999995</v>
      </c>
      <c r="I4092" s="9">
        <f>H4092-G4092</f>
        <v>20.396999999999998</v>
      </c>
    </row>
    <row r="4093" ht="14.25">
      <c r="A4093" s="5">
        <v>58405</v>
      </c>
      <c r="B4093" s="7" t="s">
        <v>4186</v>
      </c>
      <c r="C4093" s="7" t="s">
        <v>3435</v>
      </c>
      <c r="D4093" s="7" t="s">
        <v>103</v>
      </c>
      <c r="E4093" s="5" t="s">
        <v>43</v>
      </c>
      <c r="F4093" s="8"/>
      <c r="G4093" s="9">
        <f>H4093*(1-30%)*(1-F4093)</f>
        <v>33.592999999999996</v>
      </c>
      <c r="H4093" s="9">
        <v>47.990000000000002</v>
      </c>
      <c r="I4093" s="9">
        <f>H4093-G4093</f>
        <v>14.397000000000006</v>
      </c>
    </row>
    <row r="4094" ht="14.25">
      <c r="A4094" s="5">
        <v>58406</v>
      </c>
      <c r="B4094" s="7" t="s">
        <v>4187</v>
      </c>
      <c r="C4094" s="7" t="s">
        <v>3435</v>
      </c>
      <c r="D4094" s="7" t="s">
        <v>45</v>
      </c>
      <c r="E4094" s="5" t="s">
        <v>43</v>
      </c>
      <c r="F4094" s="8"/>
      <c r="G4094" s="9">
        <f>H4094*(1-30%)*(1-F4094)</f>
        <v>37.092999999999996</v>
      </c>
      <c r="H4094" s="9">
        <v>52.990000000000002</v>
      </c>
      <c r="I4094" s="9">
        <f>H4094-G4094</f>
        <v>15.897000000000006</v>
      </c>
    </row>
    <row r="4095" ht="14.25">
      <c r="A4095" s="5">
        <v>58633</v>
      </c>
      <c r="B4095" s="7" t="s">
        <v>4188</v>
      </c>
      <c r="C4095" s="7" t="s">
        <v>3290</v>
      </c>
      <c r="D4095" s="7" t="s">
        <v>71</v>
      </c>
      <c r="E4095" s="5" t="s">
        <v>43</v>
      </c>
      <c r="F4095" s="8"/>
      <c r="G4095" s="9">
        <f>H4095*(1-30%)*(1-F4095)</f>
        <v>31.492999999999999</v>
      </c>
      <c r="H4095" s="9">
        <v>44.990000000000002</v>
      </c>
      <c r="I4095" s="9">
        <f>H4095-G4095</f>
        <v>13.497000000000003</v>
      </c>
    </row>
    <row r="4096" ht="14.25">
      <c r="A4096" s="5">
        <v>58636</v>
      </c>
      <c r="B4096" s="7" t="s">
        <v>4189</v>
      </c>
      <c r="C4096" s="7" t="s">
        <v>3276</v>
      </c>
      <c r="D4096" s="7" t="s">
        <v>11</v>
      </c>
      <c r="E4096" s="5" t="s">
        <v>43</v>
      </c>
      <c r="F4096" s="8"/>
      <c r="G4096" s="9">
        <f>H4096*(1-30%)*(1-F4096)</f>
        <v>51.092999999999996</v>
      </c>
      <c r="H4096" s="9">
        <v>72.989999999999995</v>
      </c>
      <c r="I4096" s="9">
        <f>H4096-G4096</f>
        <v>21.896999999999998</v>
      </c>
    </row>
    <row r="4097" ht="14.25">
      <c r="A4097" s="5">
        <v>58639</v>
      </c>
      <c r="B4097" s="7" t="s">
        <v>4190</v>
      </c>
      <c r="C4097" s="7" t="s">
        <v>3581</v>
      </c>
      <c r="D4097" s="7" t="s">
        <v>71</v>
      </c>
      <c r="E4097" s="5" t="s">
        <v>43</v>
      </c>
      <c r="F4097" s="8"/>
      <c r="G4097" s="9">
        <f>H4097*(1-30%)*(1-F4097)</f>
        <v>31.492999999999999</v>
      </c>
      <c r="H4097" s="9">
        <v>44.990000000000002</v>
      </c>
      <c r="I4097" s="9">
        <f>H4097-G4097</f>
        <v>13.497000000000003</v>
      </c>
    </row>
    <row r="4098" ht="14.25">
      <c r="A4098" s="5">
        <v>58640</v>
      </c>
      <c r="B4098" s="7" t="s">
        <v>3579</v>
      </c>
      <c r="C4098" s="7" t="s">
        <v>3329</v>
      </c>
      <c r="D4098" s="7" t="s">
        <v>71</v>
      </c>
      <c r="E4098" s="5" t="s">
        <v>43</v>
      </c>
      <c r="F4098" s="8"/>
      <c r="G4098" s="9">
        <f>H4098*(1-30%)*(1-F4098)</f>
        <v>31.492999999999999</v>
      </c>
      <c r="H4098" s="9">
        <v>44.990000000000002</v>
      </c>
      <c r="I4098" s="9">
        <f>H4098-G4098</f>
        <v>13.497000000000003</v>
      </c>
    </row>
    <row r="4099" ht="14.25">
      <c r="A4099" s="5">
        <v>58641</v>
      </c>
      <c r="B4099" s="7" t="s">
        <v>4191</v>
      </c>
      <c r="C4099" s="7" t="s">
        <v>3508</v>
      </c>
      <c r="D4099" s="7" t="s">
        <v>71</v>
      </c>
      <c r="E4099" s="5" t="s">
        <v>43</v>
      </c>
      <c r="F4099" s="8"/>
      <c r="G4099" s="9">
        <f>H4099*(1-30%)*(1-F4099)</f>
        <v>31.492999999999999</v>
      </c>
      <c r="H4099" s="9">
        <v>44.990000000000002</v>
      </c>
      <c r="I4099" s="9">
        <f>H4099-G4099</f>
        <v>13.497000000000003</v>
      </c>
    </row>
    <row r="4100" ht="14.25">
      <c r="A4100" s="5">
        <v>58664</v>
      </c>
      <c r="B4100" s="7" t="s">
        <v>4192</v>
      </c>
      <c r="C4100" s="7" t="s">
        <v>3290</v>
      </c>
      <c r="D4100" s="7" t="s">
        <v>61</v>
      </c>
      <c r="E4100" s="5" t="s">
        <v>43</v>
      </c>
      <c r="F4100" s="8"/>
      <c r="G4100" s="9">
        <f>H4100*(1-30%)*(1-F4100)</f>
        <v>136.48599999999999</v>
      </c>
      <c r="H4100" s="9">
        <v>194.97999999999999</v>
      </c>
      <c r="I4100" s="9">
        <f>H4100-G4100</f>
        <v>58.494</v>
      </c>
    </row>
    <row r="4101" ht="14.25">
      <c r="A4101" s="5">
        <v>58665</v>
      </c>
      <c r="B4101" s="7" t="s">
        <v>4193</v>
      </c>
      <c r="C4101" s="7" t="s">
        <v>3492</v>
      </c>
      <c r="D4101" s="7" t="s">
        <v>61</v>
      </c>
      <c r="E4101" s="5" t="s">
        <v>43</v>
      </c>
      <c r="F4101" s="8"/>
      <c r="G4101" s="9">
        <f>H4101*(1-30%)*(1-F4101)</f>
        <v>129.42299999999997</v>
      </c>
      <c r="H4101" s="9">
        <v>184.88999999999999</v>
      </c>
      <c r="I4101" s="9">
        <f>H4101-G4101</f>
        <v>55.467000000000013</v>
      </c>
    </row>
    <row r="4102" ht="14.25">
      <c r="A4102" s="5">
        <v>58666</v>
      </c>
      <c r="B4102" s="7" t="s">
        <v>4194</v>
      </c>
      <c r="C4102" s="7" t="s">
        <v>3331</v>
      </c>
      <c r="D4102" s="7" t="s">
        <v>61</v>
      </c>
      <c r="E4102" s="5" t="s">
        <v>43</v>
      </c>
      <c r="F4102" s="8"/>
      <c r="G4102" s="9">
        <f>H4102*(1-30%)*(1-F4102)</f>
        <v>132.28599999999997</v>
      </c>
      <c r="H4102" s="9">
        <v>188.97999999999999</v>
      </c>
      <c r="I4102" s="9">
        <f>H4102-G4102</f>
        <v>56.694000000000017</v>
      </c>
    </row>
    <row r="4103" ht="14.25">
      <c r="A4103" s="5">
        <v>58667</v>
      </c>
      <c r="B4103" s="7" t="s">
        <v>4195</v>
      </c>
      <c r="C4103" s="7" t="s">
        <v>3448</v>
      </c>
      <c r="D4103" s="7" t="s">
        <v>61</v>
      </c>
      <c r="E4103" s="5" t="s">
        <v>43</v>
      </c>
      <c r="F4103" s="8"/>
      <c r="G4103" s="9">
        <f>H4103*(1-30%)*(1-F4103)</f>
        <v>125.98599999999999</v>
      </c>
      <c r="H4103" s="9">
        <v>179.97999999999999</v>
      </c>
      <c r="I4103" s="9">
        <f>H4103-G4103</f>
        <v>53.994</v>
      </c>
    </row>
    <row r="4104" ht="14.25">
      <c r="A4104" s="5">
        <v>58668</v>
      </c>
      <c r="B4104" s="7" t="s">
        <v>4196</v>
      </c>
      <c r="C4104" s="7" t="s">
        <v>3280</v>
      </c>
      <c r="D4104" s="7" t="s">
        <v>61</v>
      </c>
      <c r="E4104" s="5" t="s">
        <v>43</v>
      </c>
      <c r="F4104" s="8"/>
      <c r="G4104" s="9">
        <f>H4104*(1-30%)*(1-F4104)</f>
        <v>119.67899999999999</v>
      </c>
      <c r="H4104" s="9">
        <v>170.97</v>
      </c>
      <c r="I4104" s="9">
        <f>H4104-G4104</f>
        <v>51.291000000000011</v>
      </c>
    </row>
    <row r="4105" ht="14.25">
      <c r="A4105" s="5">
        <v>58669</v>
      </c>
      <c r="B4105" s="7" t="s">
        <v>4197</v>
      </c>
      <c r="C4105" s="7" t="s">
        <v>3290</v>
      </c>
      <c r="D4105" s="7" t="s">
        <v>61</v>
      </c>
      <c r="E4105" s="5" t="s">
        <v>43</v>
      </c>
      <c r="F4105" s="8"/>
      <c r="G4105" s="9">
        <f>H4105*(1-30%)*(1-F4105)</f>
        <v>107.08599999999998</v>
      </c>
      <c r="H4105" s="9">
        <v>152.97999999999999</v>
      </c>
      <c r="I4105" s="9">
        <f>H4105-G4105</f>
        <v>45.894000000000005</v>
      </c>
    </row>
    <row r="4106" ht="14.25">
      <c r="A4106" s="5">
        <v>58670</v>
      </c>
      <c r="B4106" s="7" t="s">
        <v>4198</v>
      </c>
      <c r="C4106" s="7" t="s">
        <v>3290</v>
      </c>
      <c r="D4106" s="7" t="s">
        <v>61</v>
      </c>
      <c r="E4106" s="5" t="s">
        <v>43</v>
      </c>
      <c r="F4106" s="8"/>
      <c r="G4106" s="9">
        <f>H4106*(1-30%)*(1-F4106)</f>
        <v>83.986000000000004</v>
      </c>
      <c r="H4106" s="9">
        <v>119.98</v>
      </c>
      <c r="I4106" s="9">
        <f>H4106-G4106</f>
        <v>35.994</v>
      </c>
    </row>
    <row r="4107" ht="14.25">
      <c r="A4107" s="5">
        <v>58671</v>
      </c>
      <c r="B4107" s="7" t="s">
        <v>4199</v>
      </c>
      <c r="C4107" s="7" t="s">
        <v>3262</v>
      </c>
      <c r="D4107" s="7" t="s">
        <v>61</v>
      </c>
      <c r="E4107" s="5" t="s">
        <v>43</v>
      </c>
      <c r="F4107" s="8"/>
      <c r="G4107" s="9">
        <f>H4107*(1-30%)*(1-F4107)</f>
        <v>51.786000000000001</v>
      </c>
      <c r="H4107" s="9">
        <v>73.980000000000004</v>
      </c>
      <c r="I4107" s="9">
        <f>H4107-G4107</f>
        <v>22.194000000000003</v>
      </c>
    </row>
    <row r="4108" ht="14.25">
      <c r="A4108" s="5">
        <v>58672</v>
      </c>
      <c r="B4108" s="7" t="s">
        <v>4200</v>
      </c>
      <c r="C4108" s="7" t="s">
        <v>3452</v>
      </c>
      <c r="D4108" s="7" t="s">
        <v>61</v>
      </c>
      <c r="E4108" s="5" t="s">
        <v>43</v>
      </c>
      <c r="F4108" s="8"/>
      <c r="G4108" s="9">
        <f>H4108*(1-30%)*(1-F4108)</f>
        <v>73.486000000000004</v>
      </c>
      <c r="H4108" s="9">
        <v>104.98</v>
      </c>
      <c r="I4108" s="9">
        <f>H4108-G4108</f>
        <v>31.494</v>
      </c>
    </row>
    <row r="4109" ht="14.25">
      <c r="A4109" s="5">
        <v>58673</v>
      </c>
      <c r="B4109" s="7" t="s">
        <v>4201</v>
      </c>
      <c r="C4109" s="7" t="s">
        <v>3329</v>
      </c>
      <c r="D4109" s="7" t="s">
        <v>61</v>
      </c>
      <c r="E4109" s="5" t="s">
        <v>43</v>
      </c>
      <c r="F4109" s="8"/>
      <c r="G4109" s="9">
        <f>H4109*(1-30%)*(1-F4109)</f>
        <v>65.085999999999999</v>
      </c>
      <c r="H4109" s="9">
        <v>92.980000000000004</v>
      </c>
      <c r="I4109" s="9">
        <f>H4109-G4109</f>
        <v>27.894000000000005</v>
      </c>
    </row>
    <row r="4110" ht="14.25">
      <c r="A4110" s="5">
        <v>58674</v>
      </c>
      <c r="B4110" s="7" t="s">
        <v>4202</v>
      </c>
      <c r="C4110" s="7" t="s">
        <v>3324</v>
      </c>
      <c r="D4110" s="7" t="s">
        <v>61</v>
      </c>
      <c r="E4110" s="5" t="s">
        <v>43</v>
      </c>
      <c r="F4110" s="8"/>
      <c r="G4110" s="9">
        <f>H4110*(1-30%)*(1-F4110)</f>
        <v>46.186</v>
      </c>
      <c r="H4110" s="9">
        <v>65.980000000000004</v>
      </c>
      <c r="I4110" s="9">
        <f>H4110-G4110</f>
        <v>19.794000000000004</v>
      </c>
    </row>
    <row r="4111" ht="14.25">
      <c r="A4111" s="5">
        <v>58675</v>
      </c>
      <c r="B4111" s="7" t="s">
        <v>4203</v>
      </c>
      <c r="C4111" s="7" t="s">
        <v>3276</v>
      </c>
      <c r="D4111" s="7" t="s">
        <v>61</v>
      </c>
      <c r="E4111" s="5" t="s">
        <v>43</v>
      </c>
      <c r="F4111" s="8"/>
      <c r="G4111" s="9">
        <f>H4111*(1-30%)*(1-F4111)</f>
        <v>72.778999999999996</v>
      </c>
      <c r="H4111" s="9">
        <v>103.97</v>
      </c>
      <c r="I4111" s="9">
        <f>H4111-G4111</f>
        <v>31.191000000000003</v>
      </c>
    </row>
    <row r="4112" ht="14.25">
      <c r="A4112" s="5">
        <v>58676</v>
      </c>
      <c r="B4112" s="7" t="s">
        <v>4204</v>
      </c>
      <c r="C4112" s="7" t="s">
        <v>3276</v>
      </c>
      <c r="D4112" s="7" t="s">
        <v>61</v>
      </c>
      <c r="E4112" s="5" t="s">
        <v>43</v>
      </c>
      <c r="F4112" s="8"/>
      <c r="G4112" s="9">
        <f>H4112*(1-30%)*(1-F4112)</f>
        <v>38.485999999999997</v>
      </c>
      <c r="H4112" s="9">
        <v>54.979999999999997</v>
      </c>
      <c r="I4112" s="9">
        <f>H4112-G4112</f>
        <v>16.494</v>
      </c>
    </row>
    <row r="4113" ht="14.25">
      <c r="A4113" s="5">
        <v>58741</v>
      </c>
      <c r="B4113" s="7" t="s">
        <v>4205</v>
      </c>
      <c r="C4113" s="7" t="s">
        <v>3276</v>
      </c>
      <c r="D4113" s="7" t="s">
        <v>45</v>
      </c>
      <c r="E4113" s="5" t="s">
        <v>43</v>
      </c>
      <c r="F4113" s="8"/>
      <c r="G4113" s="9">
        <f>H4113*(1-30%)*(1-F4113)</f>
        <v>30.093</v>
      </c>
      <c r="H4113" s="9">
        <v>42.990000000000002</v>
      </c>
      <c r="I4113" s="9">
        <f>H4113-G4113</f>
        <v>12.897000000000002</v>
      </c>
    </row>
    <row r="4114" ht="14.25">
      <c r="A4114" s="5">
        <v>58838</v>
      </c>
      <c r="B4114" s="7" t="s">
        <v>4206</v>
      </c>
      <c r="C4114" s="7" t="s">
        <v>3276</v>
      </c>
      <c r="D4114" s="7" t="s">
        <v>45</v>
      </c>
      <c r="E4114" s="5" t="s">
        <v>43</v>
      </c>
      <c r="F4114" s="8"/>
      <c r="G4114" s="9">
        <f>H4114*(1-30%)*(1-F4114)</f>
        <v>13.992999999999999</v>
      </c>
      <c r="H4114" s="9">
        <v>19.989999999999998</v>
      </c>
      <c r="I4114" s="9">
        <f>H4114-G4114</f>
        <v>5.9969999999999999</v>
      </c>
    </row>
    <row r="4115" ht="14.25">
      <c r="A4115" s="5">
        <v>58839</v>
      </c>
      <c r="B4115" s="7" t="s">
        <v>4207</v>
      </c>
      <c r="C4115" s="7" t="s">
        <v>3276</v>
      </c>
      <c r="D4115" s="7" t="s">
        <v>45</v>
      </c>
      <c r="E4115" s="5" t="s">
        <v>43</v>
      </c>
      <c r="F4115" s="8"/>
      <c r="G4115" s="9">
        <f>H4115*(1-30%)*(1-F4115)</f>
        <v>41.292999999999999</v>
      </c>
      <c r="H4115" s="9">
        <v>58.990000000000002</v>
      </c>
      <c r="I4115" s="9">
        <f>H4115-G4115</f>
        <v>17.697000000000003</v>
      </c>
    </row>
    <row r="4116" ht="14.25">
      <c r="A4116" s="5">
        <v>58840</v>
      </c>
      <c r="B4116" s="7" t="s">
        <v>4208</v>
      </c>
      <c r="C4116" s="7" t="s">
        <v>3276</v>
      </c>
      <c r="D4116" s="7" t="s">
        <v>45</v>
      </c>
      <c r="E4116" s="5" t="s">
        <v>43</v>
      </c>
      <c r="F4116" s="8"/>
      <c r="G4116" s="9">
        <f>H4116*(1-30%)*(1-F4116)</f>
        <v>34.993000000000002</v>
      </c>
      <c r="H4116" s="9">
        <v>49.990000000000002</v>
      </c>
      <c r="I4116" s="9">
        <f>H4116-G4116</f>
        <v>14.997</v>
      </c>
    </row>
    <row r="4117" ht="14.25">
      <c r="A4117" s="5">
        <v>58841</v>
      </c>
      <c r="B4117" s="7" t="s">
        <v>4209</v>
      </c>
      <c r="C4117" s="7" t="s">
        <v>3276</v>
      </c>
      <c r="D4117" s="7" t="s">
        <v>103</v>
      </c>
      <c r="E4117" s="5" t="s">
        <v>43</v>
      </c>
      <c r="F4117" s="8"/>
      <c r="G4117" s="9">
        <f>H4117*(1-30%)*(1-F4117)</f>
        <v>23.093</v>
      </c>
      <c r="H4117" s="9">
        <v>32.990000000000002</v>
      </c>
      <c r="I4117" s="9">
        <f>H4117-G4117</f>
        <v>9.897000000000002</v>
      </c>
    </row>
    <row r="4118" ht="14.25">
      <c r="A4118" s="5">
        <v>58844</v>
      </c>
      <c r="B4118" s="7" t="s">
        <v>4210</v>
      </c>
      <c r="C4118" s="7" t="s">
        <v>3508</v>
      </c>
      <c r="D4118" s="7" t="s">
        <v>45</v>
      </c>
      <c r="E4118" s="5" t="s">
        <v>15</v>
      </c>
      <c r="F4118" s="8"/>
      <c r="G4118" s="9">
        <f>H4118*(1-30%)*(1-F4118)</f>
        <v>20.929999999999996</v>
      </c>
      <c r="H4118" s="9">
        <v>29.899999999999999</v>
      </c>
      <c r="I4118" s="9">
        <f>H4118-G4118</f>
        <v>8.9700000000000024</v>
      </c>
    </row>
    <row r="4119" ht="14.25">
      <c r="A4119" s="5">
        <v>58845</v>
      </c>
      <c r="B4119" s="7" t="s">
        <v>4211</v>
      </c>
      <c r="C4119" s="7" t="s">
        <v>3331</v>
      </c>
      <c r="D4119" s="7" t="s">
        <v>11</v>
      </c>
      <c r="E4119" s="5" t="s">
        <v>3513</v>
      </c>
      <c r="F4119" s="8"/>
      <c r="G4119" s="9">
        <f>H4119*(1-30%)*(1-F4119)</f>
        <v>101.42999999999999</v>
      </c>
      <c r="H4119" s="9">
        <v>144.90000000000001</v>
      </c>
      <c r="I4119" s="9">
        <f>H4119-G4119</f>
        <v>43.470000000000013</v>
      </c>
    </row>
    <row r="4120" ht="14.25">
      <c r="A4120" s="5">
        <v>58926</v>
      </c>
      <c r="B4120" s="7" t="s">
        <v>4212</v>
      </c>
      <c r="C4120" s="7" t="s">
        <v>3290</v>
      </c>
      <c r="D4120" s="7" t="s">
        <v>183</v>
      </c>
      <c r="E4120" s="5" t="s">
        <v>15</v>
      </c>
      <c r="F4120" s="8"/>
      <c r="G4120" s="9">
        <f>H4120*(1-30%)*(1-F4120)</f>
        <v>6.2299999999999995</v>
      </c>
      <c r="H4120" s="9">
        <v>8.9000000000000004</v>
      </c>
      <c r="I4120" s="9">
        <f>H4120-G4120</f>
        <v>2.6700000000000008</v>
      </c>
    </row>
    <row r="4121" ht="14.25">
      <c r="A4121" s="5">
        <v>58933</v>
      </c>
      <c r="B4121" s="7" t="s">
        <v>4213</v>
      </c>
      <c r="C4121" s="7" t="s">
        <v>3492</v>
      </c>
      <c r="D4121" s="7" t="s">
        <v>11</v>
      </c>
      <c r="E4121" s="5" t="s">
        <v>3513</v>
      </c>
      <c r="F4121" s="8"/>
      <c r="G4121" s="9">
        <f>H4121*(1-30%)*(1-F4121)</f>
        <v>108.42999999999999</v>
      </c>
      <c r="H4121" s="9">
        <v>154.90000000000001</v>
      </c>
      <c r="I4121" s="9">
        <f>H4121-G4121</f>
        <v>46.470000000000013</v>
      </c>
    </row>
    <row r="4122" ht="14.25">
      <c r="A4122" s="5">
        <v>58935</v>
      </c>
      <c r="B4122" s="7" t="s">
        <v>4214</v>
      </c>
      <c r="C4122" s="7" t="s">
        <v>3276</v>
      </c>
      <c r="D4122" s="7" t="s">
        <v>45</v>
      </c>
      <c r="E4122" s="5" t="s">
        <v>43</v>
      </c>
      <c r="F4122" s="8"/>
      <c r="G4122" s="9">
        <f>H4122*(1-30%)*(1-F4122)</f>
        <v>41.292999999999999</v>
      </c>
      <c r="H4122" s="9">
        <v>58.990000000000002</v>
      </c>
      <c r="I4122" s="9">
        <f>H4122-G4122</f>
        <v>17.697000000000003</v>
      </c>
    </row>
    <row r="4123" ht="14.25">
      <c r="A4123" s="5">
        <v>58937</v>
      </c>
      <c r="B4123" s="7" t="s">
        <v>4215</v>
      </c>
      <c r="C4123" s="7" t="s">
        <v>3276</v>
      </c>
      <c r="D4123" s="7" t="s">
        <v>45</v>
      </c>
      <c r="E4123" s="5" t="s">
        <v>43</v>
      </c>
      <c r="F4123" s="8"/>
      <c r="G4123" s="9">
        <f>H4123*(1-30%)*(1-F4123)</f>
        <v>27.992999999999999</v>
      </c>
      <c r="H4123" s="9">
        <v>39.990000000000002</v>
      </c>
      <c r="I4123" s="9">
        <f>H4123-G4123</f>
        <v>11.997000000000003</v>
      </c>
    </row>
    <row r="4124" ht="14.25">
      <c r="A4124" s="5">
        <v>58938</v>
      </c>
      <c r="B4124" s="7" t="s">
        <v>4216</v>
      </c>
      <c r="C4124" s="7" t="s">
        <v>3276</v>
      </c>
      <c r="D4124" s="7" t="s">
        <v>103</v>
      </c>
      <c r="E4124" s="5" t="s">
        <v>15</v>
      </c>
      <c r="F4124" s="8"/>
      <c r="G4124" s="9">
        <f>H4124*(1-30%)*(1-F4124)</f>
        <v>26.593</v>
      </c>
      <c r="H4124" s="9">
        <v>37.990000000000002</v>
      </c>
      <c r="I4124" s="9">
        <f>H4124-G4124</f>
        <v>11.397000000000002</v>
      </c>
    </row>
    <row r="4125" ht="14.25">
      <c r="A4125" s="5">
        <v>59012</v>
      </c>
      <c r="B4125" s="7" t="s">
        <v>4217</v>
      </c>
      <c r="C4125" s="7" t="s">
        <v>3448</v>
      </c>
      <c r="D4125" s="7" t="s">
        <v>11</v>
      </c>
      <c r="E4125" s="5" t="s">
        <v>3513</v>
      </c>
      <c r="F4125" s="8"/>
      <c r="G4125" s="9">
        <f>H4125*(1-30%)*(1-F4125)</f>
        <v>101.42999999999999</v>
      </c>
      <c r="H4125" s="9">
        <v>144.90000000000001</v>
      </c>
      <c r="I4125" s="9">
        <f>H4125-G4125</f>
        <v>43.470000000000013</v>
      </c>
    </row>
    <row r="4126" ht="14.25">
      <c r="A4126" s="5">
        <v>59057</v>
      </c>
      <c r="B4126" s="7" t="s">
        <v>4218</v>
      </c>
      <c r="C4126" s="7" t="s">
        <v>3290</v>
      </c>
      <c r="D4126" s="7" t="s">
        <v>183</v>
      </c>
      <c r="E4126" s="5" t="s">
        <v>26</v>
      </c>
      <c r="F4126" s="8"/>
      <c r="G4126" s="9">
        <f>H4126*(1-30%)*(1-F4126)</f>
        <v>6.2299999999999995</v>
      </c>
      <c r="H4126" s="9">
        <v>8.9000000000000004</v>
      </c>
      <c r="I4126" s="9">
        <f>H4126-G4126</f>
        <v>2.6700000000000008</v>
      </c>
    </row>
    <row r="4127" ht="14.25">
      <c r="A4127" s="5">
        <v>59064</v>
      </c>
      <c r="B4127" s="7" t="s">
        <v>4219</v>
      </c>
      <c r="C4127" s="7" t="s">
        <v>3276</v>
      </c>
      <c r="D4127" s="7" t="s">
        <v>45</v>
      </c>
      <c r="E4127" s="5" t="s">
        <v>43</v>
      </c>
      <c r="F4127" s="8"/>
      <c r="G4127" s="9">
        <f>H4127*(1-30%)*(1-F4127)</f>
        <v>41.292999999999999</v>
      </c>
      <c r="H4127" s="9">
        <v>58.990000000000002</v>
      </c>
      <c r="I4127" s="9">
        <f>H4127-G4127</f>
        <v>17.697000000000003</v>
      </c>
    </row>
    <row r="4128" ht="14.25">
      <c r="A4128" s="5">
        <v>59065</v>
      </c>
      <c r="B4128" s="7" t="s">
        <v>4220</v>
      </c>
      <c r="C4128" s="7" t="s">
        <v>3276</v>
      </c>
      <c r="D4128" s="7" t="s">
        <v>45</v>
      </c>
      <c r="E4128" s="5" t="s">
        <v>43</v>
      </c>
      <c r="F4128" s="8"/>
      <c r="G4128" s="9">
        <f>H4128*(1-30%)*(1-F4128)</f>
        <v>34.993000000000002</v>
      </c>
      <c r="H4128" s="9">
        <v>49.990000000000002</v>
      </c>
      <c r="I4128" s="9">
        <f>H4128-G4128</f>
        <v>14.997</v>
      </c>
    </row>
    <row r="4129" ht="14.25">
      <c r="A4129" s="5">
        <v>59066</v>
      </c>
      <c r="B4129" s="7" t="s">
        <v>4221</v>
      </c>
      <c r="C4129" s="7" t="s">
        <v>3276</v>
      </c>
      <c r="D4129" s="7" t="s">
        <v>45</v>
      </c>
      <c r="E4129" s="5" t="s">
        <v>43</v>
      </c>
      <c r="F4129" s="8"/>
      <c r="G4129" s="9">
        <f>H4129*(1-30%)*(1-F4129)</f>
        <v>13.992999999999999</v>
      </c>
      <c r="H4129" s="9">
        <v>19.989999999999998</v>
      </c>
      <c r="I4129" s="9">
        <f>H4129-G4129</f>
        <v>5.9969999999999999</v>
      </c>
    </row>
    <row r="4130" ht="14.25">
      <c r="A4130" s="5">
        <v>59068</v>
      </c>
      <c r="B4130" s="7" t="s">
        <v>4222</v>
      </c>
      <c r="C4130" s="7" t="s">
        <v>3276</v>
      </c>
      <c r="D4130" s="7" t="s">
        <v>103</v>
      </c>
      <c r="E4130" s="5" t="s">
        <v>43</v>
      </c>
      <c r="F4130" s="8"/>
      <c r="G4130" s="9">
        <f>H4130*(1-30%)*(1-F4130)</f>
        <v>23.093</v>
      </c>
      <c r="H4130" s="9">
        <v>32.990000000000002</v>
      </c>
      <c r="I4130" s="9">
        <f>H4130-G4130</f>
        <v>9.897000000000002</v>
      </c>
    </row>
    <row r="4131" ht="14.25">
      <c r="A4131" s="5">
        <v>59070</v>
      </c>
      <c r="B4131" s="7" t="s">
        <v>4223</v>
      </c>
      <c r="C4131" s="7" t="s">
        <v>3276</v>
      </c>
      <c r="D4131" s="7" t="s">
        <v>583</v>
      </c>
      <c r="E4131" s="5" t="s">
        <v>43</v>
      </c>
      <c r="F4131" s="8"/>
      <c r="G4131" s="9">
        <f>H4131*(1-30%)*(1-F4131)</f>
        <v>44.092999999999996</v>
      </c>
      <c r="H4131" s="9">
        <v>62.990000000000002</v>
      </c>
      <c r="I4131" s="9">
        <f>H4131-G4131</f>
        <v>18.897000000000006</v>
      </c>
    </row>
    <row r="4132" ht="14.25">
      <c r="A4132" s="5">
        <v>59189</v>
      </c>
      <c r="B4132" s="7" t="s">
        <v>4224</v>
      </c>
      <c r="C4132" s="7" t="s">
        <v>3302</v>
      </c>
      <c r="D4132" s="7" t="s">
        <v>219</v>
      </c>
      <c r="E4132" s="5" t="s">
        <v>43</v>
      </c>
      <c r="F4132" s="8"/>
      <c r="G4132" s="9">
        <f>H4132*(1-30%)*(1-F4132)</f>
        <v>48.992999999999995</v>
      </c>
      <c r="H4132" s="9">
        <v>69.989999999999995</v>
      </c>
      <c r="I4132" s="9">
        <f>H4132-G4132</f>
        <v>20.997</v>
      </c>
    </row>
    <row r="4133" ht="14.25">
      <c r="A4133" s="5">
        <v>59207</v>
      </c>
      <c r="B4133" s="7" t="s">
        <v>4225</v>
      </c>
      <c r="C4133" s="7" t="s">
        <v>3585</v>
      </c>
      <c r="D4133" s="7" t="s">
        <v>45</v>
      </c>
      <c r="E4133" s="5" t="s">
        <v>43</v>
      </c>
      <c r="F4133" s="8"/>
      <c r="G4133" s="9">
        <f>H4133*(1-30%)*(1-F4133)</f>
        <v>38.493000000000002</v>
      </c>
      <c r="H4133" s="9">
        <v>54.990000000000002</v>
      </c>
      <c r="I4133" s="9">
        <f>H4133-G4133</f>
        <v>16.497</v>
      </c>
    </row>
    <row r="4134" ht="14.25">
      <c r="A4134" s="5">
        <v>59225</v>
      </c>
      <c r="B4134" s="7" t="s">
        <v>4226</v>
      </c>
      <c r="C4134" s="7" t="s">
        <v>3262</v>
      </c>
      <c r="D4134" s="7" t="s">
        <v>103</v>
      </c>
      <c r="E4134" s="5" t="s">
        <v>15</v>
      </c>
      <c r="F4134" s="8"/>
      <c r="G4134" s="9">
        <f>H4134*(1-30%)*(1-F4134)</f>
        <v>24.492999999999999</v>
      </c>
      <c r="H4134" s="9">
        <v>34.990000000000002</v>
      </c>
      <c r="I4134" s="9">
        <f>H4134-G4134</f>
        <v>10.497000000000003</v>
      </c>
    </row>
    <row r="4135" ht="14.25">
      <c r="A4135" s="5">
        <v>59244</v>
      </c>
      <c r="B4135" s="7" t="s">
        <v>4227</v>
      </c>
      <c r="C4135" s="7" t="s">
        <v>3276</v>
      </c>
      <c r="D4135" s="7" t="s">
        <v>11</v>
      </c>
      <c r="E4135" s="5" t="s">
        <v>43</v>
      </c>
      <c r="F4135" s="8"/>
      <c r="G4135" s="9">
        <f>H4135*(1-30%)*(1-F4135)</f>
        <v>51.092999999999996</v>
      </c>
      <c r="H4135" s="9">
        <v>72.989999999999995</v>
      </c>
      <c r="I4135" s="9">
        <f>H4135-G4135</f>
        <v>21.896999999999998</v>
      </c>
    </row>
    <row r="4136" ht="14.25">
      <c r="A4136" s="5">
        <v>59313</v>
      </c>
      <c r="B4136" s="7" t="s">
        <v>4228</v>
      </c>
      <c r="C4136" s="7" t="s">
        <v>3290</v>
      </c>
      <c r="D4136" s="7" t="s">
        <v>1447</v>
      </c>
      <c r="E4136" s="5" t="s">
        <v>15</v>
      </c>
      <c r="F4136" s="8"/>
      <c r="G4136" s="9">
        <f>H4136*(1-30%)*(1-F4136)</f>
        <v>2.73</v>
      </c>
      <c r="H4136" s="9">
        <v>3.8999999999999999</v>
      </c>
      <c r="I4136" s="9">
        <f>H4136-G4136</f>
        <v>1.1699999999999999</v>
      </c>
    </row>
    <row r="4137" ht="14.25">
      <c r="A4137" s="5">
        <v>59314</v>
      </c>
      <c r="B4137" s="7" t="s">
        <v>4229</v>
      </c>
      <c r="C4137" s="7" t="s">
        <v>3290</v>
      </c>
      <c r="D4137" s="7" t="s">
        <v>1447</v>
      </c>
      <c r="E4137" s="5" t="s">
        <v>15</v>
      </c>
      <c r="F4137" s="8"/>
      <c r="G4137" s="9">
        <f>H4137*(1-30%)*(1-F4137)</f>
        <v>6.089999999999999</v>
      </c>
      <c r="H4137" s="9">
        <v>8.6999999999999993</v>
      </c>
      <c r="I4137" s="9">
        <f>H4137-G4137</f>
        <v>2.6100000000000003</v>
      </c>
    </row>
    <row r="4138" ht="14.25">
      <c r="A4138" s="5">
        <v>59315</v>
      </c>
      <c r="B4138" s="7" t="s">
        <v>4230</v>
      </c>
      <c r="C4138" s="7" t="s">
        <v>3290</v>
      </c>
      <c r="D4138" s="7" t="s">
        <v>1447</v>
      </c>
      <c r="E4138" s="5" t="s">
        <v>15</v>
      </c>
      <c r="F4138" s="8"/>
      <c r="G4138" s="9">
        <f>H4138*(1-30%)*(1-F4138)</f>
        <v>3.4300000000000002</v>
      </c>
      <c r="H4138" s="9">
        <v>4.9000000000000004</v>
      </c>
      <c r="I4138" s="9">
        <f>H4138-G4138</f>
        <v>1.4700000000000002</v>
      </c>
    </row>
    <row r="4139" ht="14.25">
      <c r="A4139" s="5">
        <v>59526</v>
      </c>
      <c r="B4139" s="7" t="s">
        <v>4231</v>
      </c>
      <c r="C4139" s="7" t="s">
        <v>3262</v>
      </c>
      <c r="D4139" s="7" t="s">
        <v>11</v>
      </c>
      <c r="E4139" s="5" t="s">
        <v>43</v>
      </c>
      <c r="F4139" s="8"/>
      <c r="G4139" s="9">
        <f>H4139*(1-30%)*(1-F4139)</f>
        <v>125.92999999999999</v>
      </c>
      <c r="H4139" s="9">
        <v>179.90000000000001</v>
      </c>
      <c r="I4139" s="9">
        <f>H4139-G4139</f>
        <v>53.970000000000013</v>
      </c>
    </row>
    <row r="4140" ht="14.25">
      <c r="A4140" s="5">
        <v>59549</v>
      </c>
      <c r="B4140" s="7" t="s">
        <v>4232</v>
      </c>
      <c r="C4140" s="7" t="s">
        <v>3290</v>
      </c>
      <c r="D4140" s="7" t="s">
        <v>11</v>
      </c>
      <c r="E4140" s="5" t="s">
        <v>3513</v>
      </c>
      <c r="F4140" s="8"/>
      <c r="G4140" s="9">
        <f>H4140*(1-30%)*(1-F4140)</f>
        <v>76.992999999999995</v>
      </c>
      <c r="H4140" s="9">
        <v>109.98999999999999</v>
      </c>
      <c r="I4140" s="9">
        <f>H4140-G4140</f>
        <v>32.997</v>
      </c>
    </row>
    <row r="4141" ht="14.25">
      <c r="A4141" s="5">
        <v>59565</v>
      </c>
      <c r="B4141" s="7" t="s">
        <v>4233</v>
      </c>
      <c r="C4141" s="7" t="s">
        <v>3280</v>
      </c>
      <c r="D4141" s="7" t="s">
        <v>61</v>
      </c>
      <c r="E4141" s="5" t="s">
        <v>133</v>
      </c>
      <c r="F4141" s="8"/>
      <c r="G4141" s="9">
        <f>H4141*(1-30%)*(1-F4141)</f>
        <v>48.992999999999995</v>
      </c>
      <c r="H4141" s="9">
        <v>69.989999999999995</v>
      </c>
      <c r="I4141" s="9">
        <f>H4141-G4141</f>
        <v>20.997</v>
      </c>
    </row>
    <row r="4142" ht="14.25">
      <c r="A4142" s="5">
        <v>59681</v>
      </c>
      <c r="B4142" s="7" t="s">
        <v>4234</v>
      </c>
      <c r="C4142" s="7" t="s">
        <v>3709</v>
      </c>
      <c r="D4142" s="7" t="s">
        <v>219</v>
      </c>
      <c r="E4142" s="5" t="s">
        <v>43</v>
      </c>
      <c r="F4142" s="8"/>
      <c r="G4142" s="9">
        <f>H4142*(1-30%)*(1-F4142)</f>
        <v>59.492999999999995</v>
      </c>
      <c r="H4142" s="9">
        <v>84.989999999999995</v>
      </c>
      <c r="I4142" s="9">
        <f>H4142-G4142</f>
        <v>25.497</v>
      </c>
    </row>
    <row r="4143" ht="14.25">
      <c r="A4143" s="5">
        <v>59682</v>
      </c>
      <c r="B4143" s="7" t="s">
        <v>4235</v>
      </c>
      <c r="C4143" s="7" t="s">
        <v>3709</v>
      </c>
      <c r="D4143" s="7" t="s">
        <v>219</v>
      </c>
      <c r="E4143" s="5" t="s">
        <v>43</v>
      </c>
      <c r="F4143" s="8"/>
      <c r="G4143" s="9">
        <f>H4143*(1-30%)*(1-F4143)</f>
        <v>97.992999999999995</v>
      </c>
      <c r="H4143" s="9">
        <v>139.99000000000001</v>
      </c>
      <c r="I4143" s="9">
        <f>H4143-G4143</f>
        <v>41.997000000000014</v>
      </c>
    </row>
    <row r="4144" ht="14.25">
      <c r="A4144" s="5">
        <v>59683</v>
      </c>
      <c r="B4144" s="7" t="s">
        <v>4236</v>
      </c>
      <c r="C4144" s="7" t="s">
        <v>3709</v>
      </c>
      <c r="D4144" s="7" t="s">
        <v>219</v>
      </c>
      <c r="E4144" s="5" t="s">
        <v>43</v>
      </c>
      <c r="F4144" s="8"/>
      <c r="G4144" s="9">
        <f>H4144*(1-30%)*(1-F4144)</f>
        <v>52.492999999999995</v>
      </c>
      <c r="H4144" s="9">
        <v>74.989999999999995</v>
      </c>
      <c r="I4144" s="9">
        <f>H4144-G4144</f>
        <v>22.497</v>
      </c>
    </row>
    <row r="4145" ht="14.25">
      <c r="A4145" s="5">
        <v>59883</v>
      </c>
      <c r="B4145" s="7" t="s">
        <v>4237</v>
      </c>
      <c r="C4145" s="7" t="s">
        <v>3262</v>
      </c>
      <c r="D4145" s="7" t="s">
        <v>110</v>
      </c>
      <c r="E4145" s="5" t="s">
        <v>43</v>
      </c>
      <c r="F4145" s="8"/>
      <c r="G4145" s="9">
        <f>H4145*(1-30%)*(1-F4145)</f>
        <v>41.993000000000002</v>
      </c>
      <c r="H4145" s="9">
        <v>59.990000000000002</v>
      </c>
      <c r="I4145" s="9">
        <f>H4145-G4145</f>
        <v>17.997</v>
      </c>
    </row>
    <row r="4146" ht="14.25">
      <c r="A4146" s="5">
        <v>59884</v>
      </c>
      <c r="B4146" s="7" t="s">
        <v>4238</v>
      </c>
      <c r="C4146" s="7" t="s">
        <v>3262</v>
      </c>
      <c r="D4146" s="7" t="s">
        <v>110</v>
      </c>
      <c r="E4146" s="5" t="s">
        <v>43</v>
      </c>
      <c r="F4146" s="8"/>
      <c r="G4146" s="9">
        <f>H4146*(1-30%)*(1-F4146)</f>
        <v>41.993000000000002</v>
      </c>
      <c r="H4146" s="9">
        <v>59.990000000000002</v>
      </c>
      <c r="I4146" s="9">
        <f>H4146-G4146</f>
        <v>17.997</v>
      </c>
    </row>
    <row r="4147" ht="14.25">
      <c r="A4147" s="5">
        <v>59885</v>
      </c>
      <c r="B4147" s="7" t="s">
        <v>4239</v>
      </c>
      <c r="C4147" s="7" t="s">
        <v>3262</v>
      </c>
      <c r="D4147" s="7" t="s">
        <v>110</v>
      </c>
      <c r="E4147" s="5" t="s">
        <v>43</v>
      </c>
      <c r="F4147" s="8"/>
      <c r="G4147" s="9">
        <f>H4147*(1-30%)*(1-F4147)</f>
        <v>41.993000000000002</v>
      </c>
      <c r="H4147" s="9">
        <v>59.990000000000002</v>
      </c>
      <c r="I4147" s="9">
        <f>H4147-G4147</f>
        <v>17.997</v>
      </c>
    </row>
    <row r="4148" ht="14.25">
      <c r="A4148" s="5">
        <v>59886</v>
      </c>
      <c r="B4148" s="7" t="s">
        <v>4240</v>
      </c>
      <c r="C4148" s="7" t="s">
        <v>3262</v>
      </c>
      <c r="D4148" s="7" t="s">
        <v>110</v>
      </c>
      <c r="E4148" s="5" t="s">
        <v>43</v>
      </c>
      <c r="F4148" s="8"/>
      <c r="G4148" s="9">
        <f>H4148*(1-30%)*(1-F4148)</f>
        <v>47.592999999999996</v>
      </c>
      <c r="H4148" s="9">
        <v>67.989999999999995</v>
      </c>
      <c r="I4148" s="9">
        <f>H4148-G4148</f>
        <v>20.396999999999998</v>
      </c>
    </row>
    <row r="4149" ht="14.25">
      <c r="A4149" s="5">
        <v>59887</v>
      </c>
      <c r="B4149" s="7" t="s">
        <v>4241</v>
      </c>
      <c r="C4149" s="7" t="s">
        <v>3262</v>
      </c>
      <c r="D4149" s="7" t="s">
        <v>110</v>
      </c>
      <c r="E4149" s="5" t="s">
        <v>43</v>
      </c>
      <c r="F4149" s="8"/>
      <c r="G4149" s="9">
        <f>H4149*(1-30%)*(1-F4149)</f>
        <v>47.592999999999996</v>
      </c>
      <c r="H4149" s="9">
        <v>67.989999999999995</v>
      </c>
      <c r="I4149" s="9">
        <f>H4149-G4149</f>
        <v>20.396999999999998</v>
      </c>
    </row>
    <row r="4150" ht="14.25">
      <c r="A4150" s="5">
        <v>59888</v>
      </c>
      <c r="B4150" s="7" t="s">
        <v>4242</v>
      </c>
      <c r="C4150" s="7" t="s">
        <v>3262</v>
      </c>
      <c r="D4150" s="7" t="s">
        <v>110</v>
      </c>
      <c r="E4150" s="5" t="s">
        <v>43</v>
      </c>
      <c r="F4150" s="8"/>
      <c r="G4150" s="9">
        <f>H4150*(1-30%)*(1-F4150)</f>
        <v>40.592999999999996</v>
      </c>
      <c r="H4150" s="9">
        <v>57.990000000000002</v>
      </c>
      <c r="I4150" s="9">
        <f>H4150-G4150</f>
        <v>17.397000000000006</v>
      </c>
    </row>
    <row r="4151" ht="14.25">
      <c r="A4151" s="5">
        <v>59889</v>
      </c>
      <c r="B4151" s="7" t="s">
        <v>4243</v>
      </c>
      <c r="C4151" s="7" t="s">
        <v>3262</v>
      </c>
      <c r="D4151" s="7" t="s">
        <v>110</v>
      </c>
      <c r="E4151" s="5" t="s">
        <v>43</v>
      </c>
      <c r="F4151" s="8"/>
      <c r="G4151" s="9">
        <f>H4151*(1-30%)*(1-F4151)</f>
        <v>40.592999999999996</v>
      </c>
      <c r="H4151" s="9">
        <v>57.990000000000002</v>
      </c>
      <c r="I4151" s="9">
        <f>H4151-G4151</f>
        <v>17.397000000000006</v>
      </c>
    </row>
    <row r="4152" ht="14.25">
      <c r="A4152" s="5">
        <v>59890</v>
      </c>
      <c r="B4152" s="7" t="s">
        <v>4244</v>
      </c>
      <c r="C4152" s="7" t="s">
        <v>3262</v>
      </c>
      <c r="D4152" s="7" t="s">
        <v>110</v>
      </c>
      <c r="E4152" s="5" t="s">
        <v>43</v>
      </c>
      <c r="F4152" s="8"/>
      <c r="G4152" s="9">
        <f>H4152*(1-30%)*(1-F4152)</f>
        <v>40.592999999999996</v>
      </c>
      <c r="H4152" s="9">
        <v>57.990000000000002</v>
      </c>
      <c r="I4152" s="9">
        <f>H4152-G4152</f>
        <v>17.397000000000006</v>
      </c>
    </row>
    <row r="4153" ht="14.25">
      <c r="A4153" s="5">
        <v>59891</v>
      </c>
      <c r="B4153" s="7" t="s">
        <v>4245</v>
      </c>
      <c r="C4153" s="7" t="s">
        <v>3262</v>
      </c>
      <c r="D4153" s="7" t="s">
        <v>110</v>
      </c>
      <c r="E4153" s="5" t="s">
        <v>43</v>
      </c>
      <c r="F4153" s="8"/>
      <c r="G4153" s="9">
        <f>H4153*(1-30%)*(1-F4153)</f>
        <v>40.592999999999996</v>
      </c>
      <c r="H4153" s="9">
        <v>57.990000000000002</v>
      </c>
      <c r="I4153" s="9">
        <f>H4153-G4153</f>
        <v>17.397000000000006</v>
      </c>
    </row>
    <row r="4154" ht="14.25">
      <c r="A4154" s="5">
        <v>59910</v>
      </c>
      <c r="B4154" s="7" t="s">
        <v>4246</v>
      </c>
      <c r="C4154" s="7" t="s">
        <v>3324</v>
      </c>
      <c r="D4154" s="7" t="s">
        <v>110</v>
      </c>
      <c r="E4154" s="5" t="s">
        <v>26</v>
      </c>
      <c r="F4154" s="8"/>
      <c r="G4154" s="9">
        <f>H4154*(1-30%)*(1-F4154)</f>
        <v>27.992999999999999</v>
      </c>
      <c r="H4154" s="9">
        <v>39.990000000000002</v>
      </c>
      <c r="I4154" s="9">
        <f>H4154-G4154</f>
        <v>11.997000000000003</v>
      </c>
    </row>
    <row r="4155" ht="14.25">
      <c r="A4155" s="5">
        <v>59923</v>
      </c>
      <c r="B4155" s="7" t="s">
        <v>4247</v>
      </c>
      <c r="C4155" s="7" t="s">
        <v>3265</v>
      </c>
      <c r="D4155" s="7" t="s">
        <v>110</v>
      </c>
      <c r="E4155" s="5" t="s">
        <v>39</v>
      </c>
      <c r="F4155" s="8"/>
      <c r="G4155" s="9">
        <f>H4155*(1-30%)*(1-F4155)</f>
        <v>37.092999999999996</v>
      </c>
      <c r="H4155" s="9">
        <v>52.990000000000002</v>
      </c>
      <c r="I4155" s="9">
        <f>H4155-G4155</f>
        <v>15.897000000000006</v>
      </c>
    </row>
    <row r="4156" ht="14.25">
      <c r="A4156" s="5">
        <v>59924</v>
      </c>
      <c r="B4156" s="7" t="s">
        <v>4248</v>
      </c>
      <c r="C4156" s="7" t="s">
        <v>3265</v>
      </c>
      <c r="D4156" s="7" t="s">
        <v>110</v>
      </c>
      <c r="E4156" s="5" t="s">
        <v>15</v>
      </c>
      <c r="F4156" s="8"/>
      <c r="G4156" s="9">
        <f>H4156*(1-30%)*(1-F4156)</f>
        <v>37.092999999999996</v>
      </c>
      <c r="H4156" s="9">
        <v>52.990000000000002</v>
      </c>
      <c r="I4156" s="9">
        <f>H4156-G4156</f>
        <v>15.897000000000006</v>
      </c>
    </row>
    <row r="4157" ht="14.25">
      <c r="A4157" s="5">
        <v>59925</v>
      </c>
      <c r="B4157" s="7" t="s">
        <v>4249</v>
      </c>
      <c r="C4157" s="7" t="s">
        <v>3265</v>
      </c>
      <c r="D4157" s="7" t="s">
        <v>110</v>
      </c>
      <c r="E4157" s="5" t="s">
        <v>43</v>
      </c>
      <c r="F4157" s="8"/>
      <c r="G4157" s="9">
        <f>H4157*(1-30%)*(1-F4157)</f>
        <v>55.992999999999995</v>
      </c>
      <c r="H4157" s="9">
        <v>79.989999999999995</v>
      </c>
      <c r="I4157" s="9">
        <f>H4157-G4157</f>
        <v>23.997</v>
      </c>
    </row>
    <row r="4158" ht="14.25">
      <c r="A4158" s="5">
        <v>59926</v>
      </c>
      <c r="B4158" s="7" t="s">
        <v>4250</v>
      </c>
      <c r="C4158" s="7" t="s">
        <v>3265</v>
      </c>
      <c r="D4158" s="7" t="s">
        <v>110</v>
      </c>
      <c r="E4158" s="5" t="s">
        <v>43</v>
      </c>
      <c r="F4158" s="8"/>
      <c r="G4158" s="9">
        <f>H4158*(1-30%)*(1-F4158)</f>
        <v>32.129999999999995</v>
      </c>
      <c r="H4158" s="9">
        <v>45.899999999999999</v>
      </c>
      <c r="I4158" s="9">
        <f>H4158-G4158</f>
        <v>13.770000000000003</v>
      </c>
    </row>
    <row r="4159" ht="14.25">
      <c r="A4159" s="5">
        <v>59958</v>
      </c>
      <c r="B4159" s="7" t="s">
        <v>4251</v>
      </c>
      <c r="C4159" s="7" t="s">
        <v>3290</v>
      </c>
      <c r="D4159" s="7" t="s">
        <v>1447</v>
      </c>
      <c r="E4159" s="5" t="s">
        <v>15</v>
      </c>
      <c r="F4159" s="8"/>
      <c r="G4159" s="9">
        <f>H4159*(1-30%)*(1-F4159)</f>
        <v>2.73</v>
      </c>
      <c r="H4159" s="9">
        <v>3.8999999999999999</v>
      </c>
      <c r="I4159" s="9">
        <f>H4159-G4159</f>
        <v>1.1699999999999999</v>
      </c>
    </row>
    <row r="4160" ht="14.25">
      <c r="A4160" s="5">
        <v>59959</v>
      </c>
      <c r="B4160" s="7" t="s">
        <v>4252</v>
      </c>
      <c r="C4160" s="7" t="s">
        <v>3290</v>
      </c>
      <c r="D4160" s="7" t="s">
        <v>1447</v>
      </c>
      <c r="E4160" s="5" t="s">
        <v>15</v>
      </c>
      <c r="F4160" s="8"/>
      <c r="G4160" s="9">
        <f>H4160*(1-30%)*(1-F4160)</f>
        <v>6.9299999999999997</v>
      </c>
      <c r="H4160" s="9">
        <v>9.9000000000000004</v>
      </c>
      <c r="I4160" s="9">
        <f>H4160-G4160</f>
        <v>2.9700000000000006</v>
      </c>
    </row>
    <row r="4161" ht="14.25">
      <c r="A4161" s="5">
        <v>59960</v>
      </c>
      <c r="B4161" s="7" t="s">
        <v>4253</v>
      </c>
      <c r="C4161" s="7" t="s">
        <v>3290</v>
      </c>
      <c r="D4161" s="7" t="s">
        <v>1447</v>
      </c>
      <c r="E4161" s="5" t="s">
        <v>15</v>
      </c>
      <c r="F4161" s="8"/>
      <c r="G4161" s="9">
        <f>H4161*(1-30%)*(1-F4161)</f>
        <v>3.4300000000000002</v>
      </c>
      <c r="H4161" s="9">
        <v>4.9000000000000004</v>
      </c>
      <c r="I4161" s="9">
        <f>H4161-G4161</f>
        <v>1.4700000000000002</v>
      </c>
    </row>
    <row r="4162" ht="14.25">
      <c r="A4162" s="5">
        <v>70826</v>
      </c>
      <c r="B4162" s="7" t="s">
        <v>4254</v>
      </c>
      <c r="C4162" s="7" t="s">
        <v>3324</v>
      </c>
      <c r="D4162" s="7" t="s">
        <v>110</v>
      </c>
      <c r="E4162" s="5" t="s">
        <v>43</v>
      </c>
      <c r="F4162" s="8"/>
      <c r="G4162" s="9">
        <f>H4162*(1-30%)*(1-F4162)</f>
        <v>26.593</v>
      </c>
      <c r="H4162" s="9">
        <v>37.990000000000002</v>
      </c>
      <c r="I4162" s="9">
        <f>H4162-G4162</f>
        <v>11.397000000000002</v>
      </c>
    </row>
    <row r="4163" ht="14.25">
      <c r="A4163" s="5">
        <v>70827</v>
      </c>
      <c r="B4163" s="7" t="s">
        <v>4255</v>
      </c>
      <c r="C4163" s="7" t="s">
        <v>3324</v>
      </c>
      <c r="D4163" s="7" t="s">
        <v>110</v>
      </c>
      <c r="E4163" s="5" t="s">
        <v>43</v>
      </c>
      <c r="F4163" s="8"/>
      <c r="G4163" s="9">
        <f>H4163*(1-30%)*(1-F4163)</f>
        <v>26.593</v>
      </c>
      <c r="H4163" s="9">
        <v>37.990000000000002</v>
      </c>
      <c r="I4163" s="9">
        <f>H4163-G4163</f>
        <v>11.397000000000002</v>
      </c>
    </row>
    <row r="4164" ht="14.25">
      <c r="A4164" s="5">
        <v>70828</v>
      </c>
      <c r="B4164" s="7" t="s">
        <v>4256</v>
      </c>
      <c r="C4164" s="7" t="s">
        <v>3324</v>
      </c>
      <c r="D4164" s="7" t="s">
        <v>110</v>
      </c>
      <c r="E4164" s="5" t="s">
        <v>43</v>
      </c>
      <c r="F4164" s="8"/>
      <c r="G4164" s="9">
        <f>H4164*(1-30%)*(1-F4164)</f>
        <v>26.593</v>
      </c>
      <c r="H4164" s="9">
        <v>37.990000000000002</v>
      </c>
      <c r="I4164" s="9">
        <f>H4164-G4164</f>
        <v>11.397000000000002</v>
      </c>
    </row>
    <row r="4165" ht="14.25">
      <c r="A4165" s="5">
        <v>70839</v>
      </c>
      <c r="B4165" s="7" t="s">
        <v>4257</v>
      </c>
      <c r="C4165" s="7" t="s">
        <v>3324</v>
      </c>
      <c r="D4165" s="7" t="s">
        <v>110</v>
      </c>
      <c r="E4165" s="5" t="s">
        <v>43</v>
      </c>
      <c r="F4165" s="8"/>
      <c r="G4165" s="9">
        <f>H4165*(1-30%)*(1-F4165)</f>
        <v>26.593</v>
      </c>
      <c r="H4165" s="9">
        <v>37.990000000000002</v>
      </c>
      <c r="I4165" s="9">
        <f>H4165-G4165</f>
        <v>11.397000000000002</v>
      </c>
    </row>
    <row r="4166" ht="14.25">
      <c r="A4166" s="5">
        <v>70841</v>
      </c>
      <c r="B4166" s="7" t="s">
        <v>4258</v>
      </c>
      <c r="C4166" s="7" t="s">
        <v>3324</v>
      </c>
      <c r="D4166" s="7" t="s">
        <v>110</v>
      </c>
      <c r="E4166" s="5" t="s">
        <v>43</v>
      </c>
      <c r="F4166" s="8"/>
      <c r="G4166" s="9">
        <f>H4166*(1-30%)*(1-F4166)</f>
        <v>26.593</v>
      </c>
      <c r="H4166" s="9">
        <v>37.990000000000002</v>
      </c>
      <c r="I4166" s="9">
        <f>H4166-G4166</f>
        <v>11.397000000000002</v>
      </c>
    </row>
    <row r="4167" ht="14.25">
      <c r="A4167" s="5">
        <v>70842</v>
      </c>
      <c r="B4167" s="7" t="s">
        <v>4259</v>
      </c>
      <c r="C4167" s="7" t="s">
        <v>3324</v>
      </c>
      <c r="D4167" s="7" t="s">
        <v>110</v>
      </c>
      <c r="E4167" s="5" t="s">
        <v>43</v>
      </c>
      <c r="F4167" s="8"/>
      <c r="G4167" s="9">
        <f>H4167*(1-30%)*(1-F4167)</f>
        <v>26.593</v>
      </c>
      <c r="H4167" s="9">
        <v>37.990000000000002</v>
      </c>
      <c r="I4167" s="9">
        <f>H4167-G4167</f>
        <v>11.397000000000002</v>
      </c>
    </row>
    <row r="4168" ht="14.25">
      <c r="A4168" s="5">
        <v>70843</v>
      </c>
      <c r="B4168" s="7" t="s">
        <v>4260</v>
      </c>
      <c r="C4168" s="7" t="s">
        <v>3324</v>
      </c>
      <c r="D4168" s="7" t="s">
        <v>110</v>
      </c>
      <c r="E4168" s="5" t="s">
        <v>26</v>
      </c>
      <c r="F4168" s="8"/>
      <c r="G4168" s="9">
        <f>H4168*(1-30%)*(1-F4168)</f>
        <v>26.593</v>
      </c>
      <c r="H4168" s="9">
        <v>37.990000000000002</v>
      </c>
      <c r="I4168" s="9">
        <f>H4168-G4168</f>
        <v>11.397000000000002</v>
      </c>
    </row>
    <row r="4169" ht="14.25">
      <c r="A4169" s="5">
        <v>70847</v>
      </c>
      <c r="B4169" s="7" t="s">
        <v>4261</v>
      </c>
      <c r="C4169" s="7" t="s">
        <v>3324</v>
      </c>
      <c r="D4169" s="7" t="s">
        <v>110</v>
      </c>
      <c r="E4169" s="5" t="s">
        <v>43</v>
      </c>
      <c r="F4169" s="8"/>
      <c r="G4169" s="9">
        <f>H4169*(1-30%)*(1-F4169)</f>
        <v>26.593</v>
      </c>
      <c r="H4169" s="9">
        <v>37.990000000000002</v>
      </c>
      <c r="I4169" s="9">
        <f>H4169-G4169</f>
        <v>11.397000000000002</v>
      </c>
    </row>
    <row r="4170" ht="14.25">
      <c r="A4170" s="5">
        <v>70849</v>
      </c>
      <c r="B4170" s="7" t="s">
        <v>4262</v>
      </c>
      <c r="C4170" s="7" t="s">
        <v>3324</v>
      </c>
      <c r="D4170" s="7" t="s">
        <v>110</v>
      </c>
      <c r="E4170" s="5" t="s">
        <v>43</v>
      </c>
      <c r="F4170" s="8"/>
      <c r="G4170" s="9">
        <f>H4170*(1-30%)*(1-F4170)</f>
        <v>26.593</v>
      </c>
      <c r="H4170" s="9">
        <v>37.990000000000002</v>
      </c>
      <c r="I4170" s="9">
        <f>H4170-G4170</f>
        <v>11.397000000000002</v>
      </c>
    </row>
    <row r="4171" ht="14.25">
      <c r="A4171" s="5">
        <v>70850</v>
      </c>
      <c r="B4171" s="7" t="s">
        <v>4263</v>
      </c>
      <c r="C4171" s="7" t="s">
        <v>3324</v>
      </c>
      <c r="D4171" s="7" t="s">
        <v>110</v>
      </c>
      <c r="E4171" s="5" t="s">
        <v>43</v>
      </c>
      <c r="F4171" s="8"/>
      <c r="G4171" s="9">
        <f>H4171*(1-30%)*(1-F4171)</f>
        <v>26.593</v>
      </c>
      <c r="H4171" s="9">
        <v>37.990000000000002</v>
      </c>
      <c r="I4171" s="9">
        <f>H4171-G4171</f>
        <v>11.397000000000002</v>
      </c>
    </row>
    <row r="4172" ht="14.25">
      <c r="A4172" s="5">
        <v>70877</v>
      </c>
      <c r="B4172" s="7" t="s">
        <v>4264</v>
      </c>
      <c r="C4172" s="7" t="s">
        <v>3265</v>
      </c>
      <c r="D4172" s="7" t="s">
        <v>110</v>
      </c>
      <c r="E4172" s="5" t="s">
        <v>43</v>
      </c>
      <c r="F4172" s="8"/>
      <c r="G4172" s="9">
        <f>H4172*(1-30%)*(1-F4172)</f>
        <v>45.492999999999995</v>
      </c>
      <c r="H4172" s="9">
        <v>64.989999999999995</v>
      </c>
      <c r="I4172" s="9">
        <f>H4172-G4172</f>
        <v>19.497</v>
      </c>
    </row>
    <row r="4173" ht="14.25">
      <c r="A4173" s="5">
        <v>70878</v>
      </c>
      <c r="B4173" s="7" t="s">
        <v>4265</v>
      </c>
      <c r="C4173" s="7" t="s">
        <v>3265</v>
      </c>
      <c r="D4173" s="7" t="s">
        <v>110</v>
      </c>
      <c r="E4173" s="5" t="s">
        <v>43</v>
      </c>
      <c r="F4173" s="8"/>
      <c r="G4173" s="9">
        <f>H4173*(1-30%)*(1-F4173)</f>
        <v>45.492999999999995</v>
      </c>
      <c r="H4173" s="9">
        <v>64.989999999999995</v>
      </c>
      <c r="I4173" s="9">
        <f>H4173-G4173</f>
        <v>19.497</v>
      </c>
    </row>
    <row r="4174" ht="14.25">
      <c r="A4174" s="5">
        <v>70882</v>
      </c>
      <c r="B4174" s="7" t="s">
        <v>4266</v>
      </c>
      <c r="C4174" s="7" t="s">
        <v>3324</v>
      </c>
      <c r="D4174" s="7" t="s">
        <v>110</v>
      </c>
      <c r="E4174" s="5" t="s">
        <v>43</v>
      </c>
      <c r="F4174" s="8"/>
      <c r="G4174" s="9">
        <f>H4174*(1-30%)*(1-F4174)</f>
        <v>30.093</v>
      </c>
      <c r="H4174" s="9">
        <v>42.990000000000002</v>
      </c>
      <c r="I4174" s="9">
        <f>H4174-G4174</f>
        <v>12.897000000000002</v>
      </c>
    </row>
    <row r="4175" ht="14.25">
      <c r="A4175" s="5">
        <v>70883</v>
      </c>
      <c r="B4175" s="7" t="s">
        <v>4267</v>
      </c>
      <c r="C4175" s="7" t="s">
        <v>3265</v>
      </c>
      <c r="D4175" s="7" t="s">
        <v>110</v>
      </c>
      <c r="E4175" s="5" t="s">
        <v>43</v>
      </c>
      <c r="F4175" s="8"/>
      <c r="G4175" s="9">
        <f>H4175*(1-30%)*(1-F4175)</f>
        <v>51.092999999999996</v>
      </c>
      <c r="H4175" s="9">
        <v>72.989999999999995</v>
      </c>
      <c r="I4175" s="9">
        <f>H4175-G4175</f>
        <v>21.896999999999998</v>
      </c>
    </row>
    <row r="4176" ht="14.25">
      <c r="A4176" s="5">
        <v>70892</v>
      </c>
      <c r="B4176" s="7" t="s">
        <v>4268</v>
      </c>
      <c r="C4176" s="7" t="s">
        <v>3324</v>
      </c>
      <c r="D4176" s="7" t="s">
        <v>110</v>
      </c>
      <c r="E4176" s="5" t="s">
        <v>15</v>
      </c>
      <c r="F4176" s="8"/>
      <c r="G4176" s="9">
        <f>H4176*(1-30%)*(1-F4176)</f>
        <v>41.993000000000002</v>
      </c>
      <c r="H4176" s="9">
        <v>59.990000000000002</v>
      </c>
      <c r="I4176" s="9">
        <f>H4176-G4176</f>
        <v>17.997</v>
      </c>
    </row>
    <row r="4177" ht="14.25">
      <c r="A4177" s="5">
        <v>71388</v>
      </c>
      <c r="B4177" s="7" t="s">
        <v>4269</v>
      </c>
      <c r="C4177" s="7" t="s">
        <v>3290</v>
      </c>
      <c r="D4177" s="7" t="s">
        <v>11</v>
      </c>
      <c r="E4177" s="5" t="s">
        <v>43</v>
      </c>
      <c r="F4177" s="8"/>
      <c r="G4177" s="9">
        <f>H4177*(1-30%)*(1-F4177)</f>
        <v>76.992999999999995</v>
      </c>
      <c r="H4177" s="9">
        <v>109.98999999999999</v>
      </c>
      <c r="I4177" s="9">
        <f>H4177-G4177</f>
        <v>32.997</v>
      </c>
    </row>
    <row r="4178" ht="14.25">
      <c r="A4178" s="5">
        <v>71440</v>
      </c>
      <c r="B4178" s="7" t="s">
        <v>4270</v>
      </c>
      <c r="C4178" s="7" t="s">
        <v>3290</v>
      </c>
      <c r="D4178" s="7" t="s">
        <v>45</v>
      </c>
      <c r="E4178" s="5" t="s">
        <v>43</v>
      </c>
      <c r="F4178" s="8"/>
      <c r="G4178" s="9">
        <f>H4178*(1-30%)*(1-F4178)</f>
        <v>24.492999999999999</v>
      </c>
      <c r="H4178" s="9">
        <v>34.990000000000002</v>
      </c>
      <c r="I4178" s="9">
        <f>H4178-G4178</f>
        <v>10.497000000000003</v>
      </c>
    </row>
    <row r="4179" ht="14.25">
      <c r="A4179" s="5">
        <v>71986</v>
      </c>
      <c r="B4179" s="7" t="s">
        <v>4271</v>
      </c>
      <c r="C4179" s="7" t="s">
        <v>4272</v>
      </c>
      <c r="D4179" s="7" t="s">
        <v>219</v>
      </c>
      <c r="E4179" s="5" t="s">
        <v>43</v>
      </c>
      <c r="F4179" s="8"/>
      <c r="G4179" s="9">
        <f>H4179*(1-30%)*(1-F4179)</f>
        <v>136.49299999999999</v>
      </c>
      <c r="H4179" s="9">
        <v>194.99000000000001</v>
      </c>
      <c r="I4179" s="9">
        <f>H4179-G4179</f>
        <v>58.497000000000014</v>
      </c>
    </row>
    <row r="4180" ht="14.25">
      <c r="A4180" s="5">
        <v>71987</v>
      </c>
      <c r="B4180" s="7" t="s">
        <v>4273</v>
      </c>
      <c r="C4180" s="7" t="s">
        <v>4272</v>
      </c>
      <c r="D4180" s="7" t="s">
        <v>219</v>
      </c>
      <c r="E4180" s="5" t="s">
        <v>26</v>
      </c>
      <c r="F4180" s="8"/>
      <c r="G4180" s="9">
        <f>H4180*(1-30%)*(1-F4180)</f>
        <v>66.492999999999995</v>
      </c>
      <c r="H4180" s="9">
        <v>94.989999999999995</v>
      </c>
      <c r="I4180" s="9">
        <f>H4180-G4180</f>
        <v>28.497</v>
      </c>
    </row>
    <row r="4181" ht="14.25">
      <c r="A4181" s="5">
        <v>72012</v>
      </c>
      <c r="B4181" s="7" t="s">
        <v>4274</v>
      </c>
      <c r="C4181" s="7" t="s">
        <v>4272</v>
      </c>
      <c r="D4181" s="7" t="s">
        <v>219</v>
      </c>
      <c r="E4181" s="5" t="s">
        <v>26</v>
      </c>
      <c r="F4181" s="8"/>
      <c r="G4181" s="9">
        <f>H4181*(1-30%)*(1-F4181)</f>
        <v>73.492999999999995</v>
      </c>
      <c r="H4181" s="9">
        <v>104.98999999999999</v>
      </c>
      <c r="I4181" s="9">
        <f>H4181-G4181</f>
        <v>31.497</v>
      </c>
    </row>
    <row r="4182" ht="14.25">
      <c r="A4182" s="5">
        <v>72015</v>
      </c>
      <c r="B4182" s="7" t="s">
        <v>4275</v>
      </c>
      <c r="C4182" s="7" t="s">
        <v>4272</v>
      </c>
      <c r="D4182" s="7" t="s">
        <v>219</v>
      </c>
      <c r="E4182" s="5" t="s">
        <v>15</v>
      </c>
      <c r="F4182" s="8"/>
      <c r="G4182" s="9">
        <f>H4182*(1-30%)*(1-F4182)</f>
        <v>51.092999999999996</v>
      </c>
      <c r="H4182" s="9">
        <v>72.989999999999995</v>
      </c>
      <c r="I4182" s="9">
        <f>H4182-G4182</f>
        <v>21.896999999999998</v>
      </c>
    </row>
    <row r="4183" ht="14.25">
      <c r="A4183" s="5">
        <v>72288</v>
      </c>
      <c r="B4183" s="7" t="s">
        <v>4276</v>
      </c>
      <c r="C4183" s="7" t="s">
        <v>3324</v>
      </c>
      <c r="D4183" s="7" t="s">
        <v>110</v>
      </c>
      <c r="E4183" s="5" t="s">
        <v>15</v>
      </c>
      <c r="F4183" s="8"/>
      <c r="G4183" s="9">
        <f>H4183*(1-30%)*(1-F4183)</f>
        <v>17.492999999999999</v>
      </c>
      <c r="H4183" s="9">
        <v>24.989999999999998</v>
      </c>
      <c r="I4183" s="9">
        <f>H4183-G4183</f>
        <v>7.4969999999999999</v>
      </c>
    </row>
    <row r="4184" ht="14.25">
      <c r="A4184" s="5">
        <v>72289</v>
      </c>
      <c r="B4184" s="7" t="s">
        <v>4277</v>
      </c>
      <c r="C4184" s="7" t="s">
        <v>3324</v>
      </c>
      <c r="D4184" s="7" t="s">
        <v>110</v>
      </c>
      <c r="E4184" s="5" t="s">
        <v>26</v>
      </c>
      <c r="F4184" s="8"/>
      <c r="G4184" s="9">
        <f>H4184*(1-30%)*(1-F4184)</f>
        <v>17.492999999999999</v>
      </c>
      <c r="H4184" s="9">
        <v>24.989999999999998</v>
      </c>
      <c r="I4184" s="9">
        <f>H4184-G4184</f>
        <v>7.4969999999999999</v>
      </c>
    </row>
    <row r="4185" ht="14.25">
      <c r="A4185" s="5">
        <v>72312</v>
      </c>
      <c r="B4185" s="7" t="s">
        <v>4278</v>
      </c>
      <c r="C4185" s="7" t="s">
        <v>4272</v>
      </c>
      <c r="D4185" s="7" t="s">
        <v>219</v>
      </c>
      <c r="E4185" s="5" t="s">
        <v>15</v>
      </c>
      <c r="F4185" s="8"/>
      <c r="G4185" s="9">
        <f>H4185*(1-30%)*(1-F4185)</f>
        <v>48.992999999999995</v>
      </c>
      <c r="H4185" s="9">
        <v>69.989999999999995</v>
      </c>
      <c r="I4185" s="9">
        <f>H4185-G4185</f>
        <v>20.997</v>
      </c>
    </row>
    <row r="4186" ht="14.25">
      <c r="A4186" s="5">
        <v>72319</v>
      </c>
      <c r="B4186" s="7" t="s">
        <v>4279</v>
      </c>
      <c r="C4186" s="7" t="s">
        <v>3522</v>
      </c>
      <c r="D4186" s="7" t="s">
        <v>11</v>
      </c>
      <c r="E4186" s="5" t="s">
        <v>43</v>
      </c>
      <c r="F4186" s="8"/>
      <c r="G4186" s="9">
        <f>H4186*(1-30%)*(1-F4186)</f>
        <v>80.429999999999993</v>
      </c>
      <c r="H4186" s="9">
        <v>114.90000000000001</v>
      </c>
      <c r="I4186" s="9">
        <f>H4186-G4186</f>
        <v>34.470000000000013</v>
      </c>
    </row>
    <row r="4187" ht="14.25">
      <c r="A4187" s="5">
        <v>72325</v>
      </c>
      <c r="B4187" s="7" t="s">
        <v>4280</v>
      </c>
      <c r="C4187" s="7" t="s">
        <v>3324</v>
      </c>
      <c r="D4187" s="7" t="s">
        <v>110</v>
      </c>
      <c r="E4187" s="5" t="s">
        <v>43</v>
      </c>
      <c r="F4187" s="8"/>
      <c r="G4187" s="9">
        <f>H4187*(1-30%)*(1-F4187)</f>
        <v>26.593</v>
      </c>
      <c r="H4187" s="9">
        <v>37.990000000000002</v>
      </c>
      <c r="I4187" s="9">
        <f>H4187-G4187</f>
        <v>11.397000000000002</v>
      </c>
    </row>
    <row r="4188" ht="14.25">
      <c r="A4188" s="5">
        <v>72329</v>
      </c>
      <c r="B4188" s="7" t="s">
        <v>4281</v>
      </c>
      <c r="C4188" s="7" t="s">
        <v>4272</v>
      </c>
      <c r="D4188" s="7" t="s">
        <v>219</v>
      </c>
      <c r="E4188" s="5" t="s">
        <v>15</v>
      </c>
      <c r="F4188" s="8"/>
      <c r="G4188" s="9">
        <f>H4188*(1-30%)*(1-F4188)</f>
        <v>45.492999999999995</v>
      </c>
      <c r="H4188" s="9">
        <v>64.989999999999995</v>
      </c>
      <c r="I4188" s="9">
        <f>H4188-G4188</f>
        <v>19.497</v>
      </c>
    </row>
    <row r="4189" ht="14.25">
      <c r="A4189" s="5">
        <v>72334</v>
      </c>
      <c r="B4189" s="7" t="s">
        <v>4282</v>
      </c>
      <c r="C4189" s="7" t="s">
        <v>4283</v>
      </c>
      <c r="D4189" s="7" t="s">
        <v>199</v>
      </c>
      <c r="E4189" s="5" t="s">
        <v>26</v>
      </c>
      <c r="F4189" s="8"/>
      <c r="G4189" s="9">
        <f>H4189*(1-30%)*(1-F4189)</f>
        <v>62.992999999999995</v>
      </c>
      <c r="H4189" s="9">
        <v>89.989999999999995</v>
      </c>
      <c r="I4189" s="9">
        <f>H4189-G4189</f>
        <v>26.997</v>
      </c>
    </row>
    <row r="4190" ht="14.25">
      <c r="A4190" s="5">
        <v>72335</v>
      </c>
      <c r="B4190" s="7" t="s">
        <v>4284</v>
      </c>
      <c r="C4190" s="7" t="s">
        <v>4283</v>
      </c>
      <c r="D4190" s="7" t="s">
        <v>199</v>
      </c>
      <c r="E4190" s="5" t="s">
        <v>26</v>
      </c>
      <c r="F4190" s="8"/>
      <c r="G4190" s="9">
        <f>H4190*(1-30%)*(1-F4190)</f>
        <v>62.992999999999995</v>
      </c>
      <c r="H4190" s="9">
        <v>89.989999999999995</v>
      </c>
      <c r="I4190" s="9">
        <f>H4190-G4190</f>
        <v>26.997</v>
      </c>
    </row>
    <row r="4191" ht="14.25">
      <c r="A4191" s="5">
        <v>72336</v>
      </c>
      <c r="B4191" s="7" t="s">
        <v>4285</v>
      </c>
      <c r="C4191" s="7" t="s">
        <v>4283</v>
      </c>
      <c r="D4191" s="7" t="s">
        <v>199</v>
      </c>
      <c r="E4191" s="5" t="s">
        <v>43</v>
      </c>
      <c r="F4191" s="8"/>
      <c r="G4191" s="9">
        <f>H4191*(1-30%)*(1-F4191)</f>
        <v>62.992999999999995</v>
      </c>
      <c r="H4191" s="9">
        <v>89.989999999999995</v>
      </c>
      <c r="I4191" s="9">
        <f>H4191-G4191</f>
        <v>26.997</v>
      </c>
    </row>
    <row r="4192" ht="14.25">
      <c r="A4192" s="5">
        <v>72337</v>
      </c>
      <c r="B4192" s="7" t="s">
        <v>4286</v>
      </c>
      <c r="C4192" s="7" t="s">
        <v>4283</v>
      </c>
      <c r="D4192" s="7" t="s">
        <v>199</v>
      </c>
      <c r="E4192" s="5" t="s">
        <v>26</v>
      </c>
      <c r="F4192" s="8"/>
      <c r="G4192" s="9">
        <f>H4192*(1-30%)*(1-F4192)</f>
        <v>62.992999999999995</v>
      </c>
      <c r="H4192" s="9">
        <v>89.989999999999995</v>
      </c>
      <c r="I4192" s="9">
        <f>H4192-G4192</f>
        <v>26.997</v>
      </c>
    </row>
    <row r="4193" ht="14.25">
      <c r="A4193" s="5">
        <v>73341</v>
      </c>
      <c r="B4193" s="7" t="s">
        <v>4287</v>
      </c>
      <c r="C4193" s="7" t="s">
        <v>4283</v>
      </c>
      <c r="D4193" s="7" t="s">
        <v>219</v>
      </c>
      <c r="E4193" s="5" t="s">
        <v>26</v>
      </c>
      <c r="F4193" s="8"/>
      <c r="G4193" s="9">
        <f>H4193*(1-30%)*(1-F4193)</f>
        <v>101.49299999999999</v>
      </c>
      <c r="H4193" s="9">
        <v>144.99000000000001</v>
      </c>
      <c r="I4193" s="9">
        <f>H4193-G4193</f>
        <v>43.497000000000014</v>
      </c>
    </row>
    <row r="4194" ht="14.25">
      <c r="A4194" s="5">
        <v>73342</v>
      </c>
      <c r="B4194" s="7" t="s">
        <v>4288</v>
      </c>
      <c r="C4194" s="7" t="s">
        <v>4272</v>
      </c>
      <c r="D4194" s="7" t="s">
        <v>219</v>
      </c>
      <c r="E4194" s="5" t="s">
        <v>43</v>
      </c>
      <c r="F4194" s="8"/>
      <c r="G4194" s="9">
        <f>H4194*(1-30%)*(1-F4194)</f>
        <v>104.92999999999999</v>
      </c>
      <c r="H4194" s="9">
        <v>149.90000000000001</v>
      </c>
      <c r="I4194" s="9">
        <f>H4194-G4194</f>
        <v>44.970000000000013</v>
      </c>
    </row>
    <row r="4195" ht="14.25">
      <c r="A4195" s="5">
        <v>73668</v>
      </c>
      <c r="B4195" s="7" t="s">
        <v>4289</v>
      </c>
      <c r="C4195" s="7" t="s">
        <v>3324</v>
      </c>
      <c r="D4195" s="7" t="s">
        <v>110</v>
      </c>
      <c r="E4195" s="5" t="s">
        <v>15</v>
      </c>
      <c r="F4195" s="8"/>
      <c r="G4195" s="9">
        <f>H4195*(1-30%)*(1-F4195)</f>
        <v>41.993000000000002</v>
      </c>
      <c r="H4195" s="9">
        <v>59.990000000000002</v>
      </c>
      <c r="I4195" s="9">
        <f>H4195-G4195</f>
        <v>17.997</v>
      </c>
    </row>
    <row r="4196" ht="14.25">
      <c r="A4196" s="5">
        <v>73669</v>
      </c>
      <c r="B4196" s="7" t="s">
        <v>4290</v>
      </c>
      <c r="C4196" s="7" t="s">
        <v>3324</v>
      </c>
      <c r="D4196" s="7" t="s">
        <v>110</v>
      </c>
      <c r="E4196" s="5" t="s">
        <v>15</v>
      </c>
      <c r="F4196" s="8"/>
      <c r="G4196" s="9">
        <f>H4196*(1-30%)*(1-F4196)</f>
        <v>41.993000000000002</v>
      </c>
      <c r="H4196" s="9">
        <v>59.990000000000002</v>
      </c>
      <c r="I4196" s="9">
        <f>H4196-G4196</f>
        <v>17.997</v>
      </c>
    </row>
    <row r="4197" ht="14.25">
      <c r="A4197" s="5">
        <v>73670</v>
      </c>
      <c r="B4197" s="7" t="s">
        <v>4291</v>
      </c>
      <c r="C4197" s="7" t="s">
        <v>3265</v>
      </c>
      <c r="D4197" s="7" t="s">
        <v>110</v>
      </c>
      <c r="E4197" s="5" t="s">
        <v>43</v>
      </c>
      <c r="F4197" s="8"/>
      <c r="G4197" s="9">
        <f>H4197*(1-30%)*(1-F4197)</f>
        <v>41.993000000000002</v>
      </c>
      <c r="H4197" s="9">
        <v>59.990000000000002</v>
      </c>
      <c r="I4197" s="9">
        <f>H4197-G4197</f>
        <v>17.997</v>
      </c>
    </row>
    <row r="4198" ht="14.25">
      <c r="A4198" s="5">
        <v>73671</v>
      </c>
      <c r="B4198" s="7" t="s">
        <v>4292</v>
      </c>
      <c r="C4198" s="7" t="s">
        <v>3324</v>
      </c>
      <c r="D4198" s="7" t="s">
        <v>110</v>
      </c>
      <c r="E4198" s="5" t="s">
        <v>15</v>
      </c>
      <c r="F4198" s="8"/>
      <c r="G4198" s="9">
        <f>H4198*(1-30%)*(1-F4198)</f>
        <v>41.993000000000002</v>
      </c>
      <c r="H4198" s="9">
        <v>59.990000000000002</v>
      </c>
      <c r="I4198" s="9">
        <f>H4198-G4198</f>
        <v>17.997</v>
      </c>
    </row>
    <row r="4199" ht="14.25">
      <c r="A4199" s="5">
        <v>73672</v>
      </c>
      <c r="B4199" s="7" t="s">
        <v>4293</v>
      </c>
      <c r="C4199" s="7" t="s">
        <v>3265</v>
      </c>
      <c r="D4199" s="7" t="s">
        <v>110</v>
      </c>
      <c r="E4199" s="5" t="s">
        <v>26</v>
      </c>
      <c r="F4199" s="8"/>
      <c r="G4199" s="9">
        <f>H4199*(1-30%)*(1-F4199)</f>
        <v>41.993000000000002</v>
      </c>
      <c r="H4199" s="9">
        <v>59.990000000000002</v>
      </c>
      <c r="I4199" s="9">
        <f>H4199-G4199</f>
        <v>17.997</v>
      </c>
    </row>
    <row r="4200" ht="14.25">
      <c r="A4200" s="5">
        <v>73673</v>
      </c>
      <c r="B4200" s="7" t="s">
        <v>4294</v>
      </c>
      <c r="C4200" s="7" t="s">
        <v>3265</v>
      </c>
      <c r="D4200" s="7" t="s">
        <v>110</v>
      </c>
      <c r="E4200" s="5" t="s">
        <v>26</v>
      </c>
      <c r="F4200" s="8"/>
      <c r="G4200" s="9">
        <f>H4200*(1-30%)*(1-F4200)</f>
        <v>41.993000000000002</v>
      </c>
      <c r="H4200" s="9">
        <v>59.990000000000002</v>
      </c>
      <c r="I4200" s="9">
        <f>H4200-G4200</f>
        <v>17.997</v>
      </c>
    </row>
    <row r="4201" ht="14.25">
      <c r="A4201" s="5">
        <v>73683</v>
      </c>
      <c r="B4201" s="7" t="s">
        <v>4295</v>
      </c>
      <c r="C4201" s="7" t="s">
        <v>3265</v>
      </c>
      <c r="D4201" s="7" t="s">
        <v>110</v>
      </c>
      <c r="E4201" s="5" t="s">
        <v>26</v>
      </c>
      <c r="F4201" s="8"/>
      <c r="G4201" s="9">
        <f>H4201*(1-30%)*(1-F4201)</f>
        <v>41.993000000000002</v>
      </c>
      <c r="H4201" s="9">
        <v>59.990000000000002</v>
      </c>
      <c r="I4201" s="9">
        <f>H4201-G4201</f>
        <v>17.997</v>
      </c>
    </row>
    <row r="4202" ht="14.25">
      <c r="A4202" s="5">
        <v>73684</v>
      </c>
      <c r="B4202" s="7" t="s">
        <v>4296</v>
      </c>
      <c r="C4202" s="7" t="s">
        <v>3265</v>
      </c>
      <c r="D4202" s="7" t="s">
        <v>110</v>
      </c>
      <c r="E4202" s="5" t="s">
        <v>26</v>
      </c>
      <c r="F4202" s="8"/>
      <c r="G4202" s="9">
        <f>H4202*(1-30%)*(1-F4202)</f>
        <v>41.993000000000002</v>
      </c>
      <c r="H4202" s="9">
        <v>59.990000000000002</v>
      </c>
      <c r="I4202" s="9">
        <f>H4202-G4202</f>
        <v>17.997</v>
      </c>
    </row>
    <row r="4203" ht="14.25">
      <c r="A4203" s="5">
        <v>73687</v>
      </c>
      <c r="B4203" s="7" t="s">
        <v>4297</v>
      </c>
      <c r="C4203" s="7" t="s">
        <v>3324</v>
      </c>
      <c r="D4203" s="7" t="s">
        <v>110</v>
      </c>
      <c r="E4203" s="5" t="s">
        <v>43</v>
      </c>
      <c r="F4203" s="8"/>
      <c r="G4203" s="9">
        <f>H4203*(1-30%)*(1-F4203)</f>
        <v>25.893000000000001</v>
      </c>
      <c r="H4203" s="9">
        <v>36.990000000000002</v>
      </c>
      <c r="I4203" s="9">
        <f>H4203-G4203</f>
        <v>11.097000000000001</v>
      </c>
    </row>
    <row r="4204" ht="14.25">
      <c r="A4204" s="5">
        <v>73857</v>
      </c>
      <c r="B4204" s="7" t="s">
        <v>4298</v>
      </c>
      <c r="C4204" s="7" t="s">
        <v>3337</v>
      </c>
      <c r="D4204" s="7" t="s">
        <v>11</v>
      </c>
      <c r="E4204" s="5" t="s">
        <v>15</v>
      </c>
      <c r="F4204" s="8"/>
      <c r="G4204" s="9">
        <f>H4204*(1-30%)*(1-F4204)</f>
        <v>132.99299999999999</v>
      </c>
      <c r="H4204" s="9">
        <v>189.99000000000001</v>
      </c>
      <c r="I4204" s="9">
        <f>H4204-G4204</f>
        <v>56.997000000000014</v>
      </c>
    </row>
    <row r="4205" ht="14.25">
      <c r="A4205" s="5">
        <v>73863</v>
      </c>
      <c r="B4205" s="7" t="s">
        <v>4299</v>
      </c>
      <c r="C4205" s="7" t="s">
        <v>3265</v>
      </c>
      <c r="D4205" s="7" t="s">
        <v>110</v>
      </c>
      <c r="E4205" s="5" t="s">
        <v>26</v>
      </c>
      <c r="F4205" s="8"/>
      <c r="G4205" s="9">
        <f>H4205*(1-30%)*(1-F4205)</f>
        <v>61.592999999999989</v>
      </c>
      <c r="H4205" s="9">
        <v>87.989999999999995</v>
      </c>
      <c r="I4205" s="9">
        <f>H4205-G4205</f>
        <v>26.397000000000006</v>
      </c>
    </row>
    <row r="4206" ht="14.25">
      <c r="A4206" s="5">
        <v>73969</v>
      </c>
      <c r="B4206" s="7" t="s">
        <v>4300</v>
      </c>
      <c r="C4206" s="7" t="s">
        <v>3265</v>
      </c>
      <c r="D4206" s="7" t="s">
        <v>110</v>
      </c>
      <c r="E4206" s="5" t="s">
        <v>26</v>
      </c>
      <c r="F4206" s="8"/>
      <c r="G4206" s="9">
        <f>H4206*(1-30%)*(1-F4206)</f>
        <v>41.993000000000002</v>
      </c>
      <c r="H4206" s="9">
        <v>59.990000000000002</v>
      </c>
      <c r="I4206" s="9">
        <f>H4206-G4206</f>
        <v>17.997</v>
      </c>
    </row>
    <row r="4207" ht="14.25">
      <c r="A4207" s="5">
        <v>73970</v>
      </c>
      <c r="B4207" s="7" t="s">
        <v>4301</v>
      </c>
      <c r="C4207" s="7" t="s">
        <v>3265</v>
      </c>
      <c r="D4207" s="7" t="s">
        <v>110</v>
      </c>
      <c r="E4207" s="5" t="s">
        <v>26</v>
      </c>
      <c r="F4207" s="8"/>
      <c r="G4207" s="9">
        <f>H4207*(1-30%)*(1-F4207)</f>
        <v>68.592999999999989</v>
      </c>
      <c r="H4207" s="9">
        <v>97.989999999999995</v>
      </c>
      <c r="I4207" s="9">
        <f>H4207-G4207</f>
        <v>29.397000000000006</v>
      </c>
    </row>
    <row r="4208" ht="14.25">
      <c r="A4208" s="5">
        <v>79363</v>
      </c>
      <c r="B4208" s="7" t="s">
        <v>4302</v>
      </c>
      <c r="C4208" s="7" t="s">
        <v>4303</v>
      </c>
      <c r="D4208" s="7" t="s">
        <v>110</v>
      </c>
      <c r="E4208" s="5" t="s">
        <v>43</v>
      </c>
      <c r="F4208" s="8"/>
      <c r="G4208" s="9">
        <f>H4208*(1-30%)*(1-F4208)</f>
        <v>40.592999999999996</v>
      </c>
      <c r="H4208" s="9">
        <v>57.990000000000002</v>
      </c>
      <c r="I4208" s="9">
        <f>H4208-G4208</f>
        <v>17.397000000000006</v>
      </c>
    </row>
    <row r="4209" ht="14.25">
      <c r="A4209" s="5">
        <v>79364</v>
      </c>
      <c r="B4209" s="7" t="s">
        <v>4304</v>
      </c>
      <c r="C4209" s="7" t="s">
        <v>4303</v>
      </c>
      <c r="D4209" s="7" t="s">
        <v>110</v>
      </c>
      <c r="E4209" s="5" t="s">
        <v>43</v>
      </c>
      <c r="F4209" s="8"/>
      <c r="G4209" s="9">
        <f>H4209*(1-30%)*(1-F4209)</f>
        <v>40.592999999999996</v>
      </c>
      <c r="H4209" s="9">
        <v>57.990000000000002</v>
      </c>
      <c r="I4209" s="9">
        <f>H4209-G4209</f>
        <v>17.397000000000006</v>
      </c>
    </row>
    <row r="4210" ht="14.25">
      <c r="A4210" s="5">
        <v>79365</v>
      </c>
      <c r="B4210" s="7" t="s">
        <v>4305</v>
      </c>
      <c r="C4210" s="7" t="s">
        <v>4303</v>
      </c>
      <c r="D4210" s="7" t="s">
        <v>110</v>
      </c>
      <c r="E4210" s="5" t="s">
        <v>43</v>
      </c>
      <c r="F4210" s="8"/>
      <c r="G4210" s="9">
        <f>H4210*(1-30%)*(1-F4210)</f>
        <v>40.592999999999996</v>
      </c>
      <c r="H4210" s="9">
        <v>57.990000000000002</v>
      </c>
      <c r="I4210" s="9">
        <f>H4210-G4210</f>
        <v>17.397000000000006</v>
      </c>
    </row>
    <row r="4211" ht="14.25">
      <c r="A4211" s="5">
        <v>79369</v>
      </c>
      <c r="B4211" s="7" t="s">
        <v>4306</v>
      </c>
      <c r="C4211" s="7" t="s">
        <v>3290</v>
      </c>
      <c r="D4211" s="7" t="s">
        <v>61</v>
      </c>
      <c r="E4211" s="5" t="s">
        <v>3513</v>
      </c>
      <c r="F4211" s="8"/>
      <c r="G4211" s="9">
        <f>H4211*(1-30%)*(1-F4211)</f>
        <v>108.42999999999999</v>
      </c>
      <c r="H4211" s="9">
        <v>154.90000000000001</v>
      </c>
      <c r="I4211" s="9">
        <f>H4211-G4211</f>
        <v>46.470000000000013</v>
      </c>
    </row>
    <row r="4212" ht="14.25">
      <c r="A4212" s="5">
        <v>79370</v>
      </c>
      <c r="B4212" s="7" t="s">
        <v>4307</v>
      </c>
      <c r="C4212" s="7" t="s">
        <v>3290</v>
      </c>
      <c r="D4212" s="7" t="s">
        <v>61</v>
      </c>
      <c r="E4212" s="5" t="s">
        <v>43</v>
      </c>
      <c r="F4212" s="8"/>
      <c r="G4212" s="9">
        <f>H4212*(1-30%)*(1-F4212)</f>
        <v>91.629999999999995</v>
      </c>
      <c r="H4212" s="9">
        <v>130.90000000000001</v>
      </c>
      <c r="I4212" s="9">
        <f>H4212-G4212</f>
        <v>39.27000000000001</v>
      </c>
    </row>
    <row r="4213" ht="14.25">
      <c r="A4213" s="5">
        <v>79371</v>
      </c>
      <c r="B4213" s="7" t="s">
        <v>4308</v>
      </c>
      <c r="C4213" s="7" t="s">
        <v>3280</v>
      </c>
      <c r="D4213" s="7" t="s">
        <v>61</v>
      </c>
      <c r="E4213" s="5" t="s">
        <v>3513</v>
      </c>
      <c r="F4213" s="8"/>
      <c r="G4213" s="9">
        <f>H4213*(1-30%)*(1-F4213)</f>
        <v>94.429999999999993</v>
      </c>
      <c r="H4213" s="9">
        <v>134.90000000000001</v>
      </c>
      <c r="I4213" s="9">
        <f>H4213-G4213</f>
        <v>40.470000000000013</v>
      </c>
    </row>
    <row r="4214" ht="14.25">
      <c r="A4214" s="5">
        <v>79372</v>
      </c>
      <c r="B4214" s="7" t="s">
        <v>4309</v>
      </c>
      <c r="C4214" s="7" t="s">
        <v>3581</v>
      </c>
      <c r="D4214" s="7" t="s">
        <v>61</v>
      </c>
      <c r="E4214" s="5" t="s">
        <v>43</v>
      </c>
      <c r="F4214" s="8"/>
      <c r="G4214" s="9">
        <f>H4214*(1-30%)*(1-F4214)</f>
        <v>52.43</v>
      </c>
      <c r="H4214" s="9">
        <v>74.900000000000006</v>
      </c>
      <c r="I4214" s="9">
        <f>H4214-G4214</f>
        <v>22.470000000000006</v>
      </c>
    </row>
    <row r="4215" ht="14.25">
      <c r="A4215" s="5">
        <v>79373</v>
      </c>
      <c r="B4215" s="7" t="s">
        <v>4310</v>
      </c>
      <c r="C4215" s="7" t="s">
        <v>3276</v>
      </c>
      <c r="D4215" s="7" t="s">
        <v>61</v>
      </c>
      <c r="E4215" s="5" t="s">
        <v>43</v>
      </c>
      <c r="F4215" s="8"/>
      <c r="G4215" s="9">
        <f>H4215*(1-30%)*(1-F4215)</f>
        <v>38.43</v>
      </c>
      <c r="H4215" s="9">
        <v>54.899999999999999</v>
      </c>
      <c r="I4215" s="9">
        <f>H4215-G4215</f>
        <v>16.469999999999999</v>
      </c>
    </row>
    <row r="4216" ht="14.25">
      <c r="A4216" s="5">
        <v>79376</v>
      </c>
      <c r="B4216" s="7" t="s">
        <v>4311</v>
      </c>
      <c r="C4216" s="7" t="s">
        <v>3262</v>
      </c>
      <c r="D4216" s="7" t="s">
        <v>61</v>
      </c>
      <c r="E4216" s="5" t="s">
        <v>43</v>
      </c>
      <c r="F4216" s="8"/>
      <c r="G4216" s="9">
        <f>H4216*(1-30%)*(1-F4216)</f>
        <v>112.67899999999999</v>
      </c>
      <c r="H4216" s="9">
        <v>160.97</v>
      </c>
      <c r="I4216" s="9">
        <f>H4216-G4216</f>
        <v>48.291000000000011</v>
      </c>
    </row>
    <row r="4217" ht="14.25">
      <c r="A4217" s="5">
        <v>79377</v>
      </c>
      <c r="B4217" s="7" t="s">
        <v>4312</v>
      </c>
      <c r="C4217" s="7" t="s">
        <v>3329</v>
      </c>
      <c r="D4217" s="7" t="s">
        <v>61</v>
      </c>
      <c r="E4217" s="5" t="s">
        <v>3513</v>
      </c>
      <c r="F4217" s="8"/>
      <c r="G4217" s="9">
        <f>H4217*(1-30%)*(1-F4217)</f>
        <v>65.085999999999999</v>
      </c>
      <c r="H4217" s="9">
        <v>92.980000000000004</v>
      </c>
      <c r="I4217" s="9">
        <f>H4217-G4217</f>
        <v>27.894000000000005</v>
      </c>
    </row>
    <row r="4218" ht="14.25">
      <c r="A4218" s="5">
        <v>80357</v>
      </c>
      <c r="B4218" s="7" t="s">
        <v>4313</v>
      </c>
      <c r="C4218" s="7" t="s">
        <v>3280</v>
      </c>
      <c r="D4218" s="7" t="s">
        <v>95</v>
      </c>
      <c r="E4218" s="5" t="s">
        <v>43</v>
      </c>
      <c r="F4218" s="8"/>
      <c r="G4218" s="9">
        <f>H4218*(1-30%)*(1-F4218)</f>
        <v>33.592999999999996</v>
      </c>
      <c r="H4218" s="9">
        <v>47.990000000000002</v>
      </c>
      <c r="I4218" s="9">
        <f>H4218-G4218</f>
        <v>14.397000000000006</v>
      </c>
    </row>
    <row r="4219" ht="14.25">
      <c r="A4219" s="5">
        <v>80358</v>
      </c>
      <c r="B4219" s="7" t="s">
        <v>4314</v>
      </c>
      <c r="C4219" s="7" t="s">
        <v>3280</v>
      </c>
      <c r="D4219" s="7" t="s">
        <v>95</v>
      </c>
      <c r="E4219" s="5" t="s">
        <v>43</v>
      </c>
      <c r="F4219" s="8"/>
      <c r="G4219" s="9">
        <f>H4219*(1-30%)*(1-F4219)</f>
        <v>34.993000000000002</v>
      </c>
      <c r="H4219" s="9">
        <v>49.990000000000002</v>
      </c>
      <c r="I4219" s="9">
        <f>H4219-G4219</f>
        <v>14.997</v>
      </c>
    </row>
    <row r="4220" ht="14.25">
      <c r="A4220" s="5">
        <v>80359</v>
      </c>
      <c r="B4220" s="7" t="s">
        <v>4315</v>
      </c>
      <c r="C4220" s="7" t="s">
        <v>3280</v>
      </c>
      <c r="D4220" s="7" t="s">
        <v>95</v>
      </c>
      <c r="E4220" s="5" t="s">
        <v>43</v>
      </c>
      <c r="F4220" s="8"/>
      <c r="G4220" s="9">
        <f>H4220*(1-30%)*(1-F4220)</f>
        <v>48.992999999999995</v>
      </c>
      <c r="H4220" s="9">
        <v>69.989999999999995</v>
      </c>
      <c r="I4220" s="9">
        <f>H4220-G4220</f>
        <v>20.997</v>
      </c>
    </row>
    <row r="4221" ht="14.25">
      <c r="A4221" s="5">
        <v>81130</v>
      </c>
      <c r="B4221" s="7" t="s">
        <v>4316</v>
      </c>
      <c r="C4221" s="7" t="s">
        <v>3290</v>
      </c>
      <c r="D4221" s="7" t="s">
        <v>183</v>
      </c>
      <c r="E4221" s="5" t="s">
        <v>43</v>
      </c>
      <c r="F4221" s="8"/>
      <c r="G4221" s="9">
        <f>H4221*(1-30%)*(1-F4221)</f>
        <v>44.092999999999996</v>
      </c>
      <c r="H4221" s="9">
        <v>62.990000000000002</v>
      </c>
      <c r="I4221" s="9">
        <f>H4221-G4221</f>
        <v>18.897000000000006</v>
      </c>
    </row>
    <row r="4222" ht="14.25">
      <c r="A4222" s="5">
        <v>81133</v>
      </c>
      <c r="B4222" s="7" t="s">
        <v>4317</v>
      </c>
      <c r="C4222" s="7" t="s">
        <v>3280</v>
      </c>
      <c r="D4222" s="7" t="s">
        <v>183</v>
      </c>
      <c r="E4222" s="5" t="s">
        <v>15</v>
      </c>
      <c r="F4222" s="8"/>
      <c r="G4222" s="9">
        <f>H4222*(1-30%)*(1-F4222)</f>
        <v>30.029999999999998</v>
      </c>
      <c r="H4222" s="9">
        <v>42.899999999999999</v>
      </c>
      <c r="I4222" s="9">
        <f>H4222-G4222</f>
        <v>12.870000000000001</v>
      </c>
    </row>
    <row r="4223" ht="14.25">
      <c r="A4223" s="5">
        <v>84628</v>
      </c>
      <c r="B4223" s="7" t="s">
        <v>4318</v>
      </c>
      <c r="C4223" s="7" t="s">
        <v>3280</v>
      </c>
      <c r="D4223" s="7" t="s">
        <v>183</v>
      </c>
      <c r="E4223" s="5" t="s">
        <v>15</v>
      </c>
      <c r="F4223" s="8"/>
      <c r="G4223" s="9">
        <f>H4223*(1-30%)*(1-F4223)</f>
        <v>27.992999999999999</v>
      </c>
      <c r="H4223" s="9">
        <v>39.990000000000002</v>
      </c>
      <c r="I4223" s="9">
        <f>H4223-G4223</f>
        <v>11.997000000000003</v>
      </c>
    </row>
    <row r="4224" ht="14.25">
      <c r="A4224" s="5">
        <v>84667</v>
      </c>
      <c r="B4224" s="7" t="s">
        <v>4319</v>
      </c>
      <c r="C4224" s="7" t="s">
        <v>3331</v>
      </c>
      <c r="D4224" s="7" t="s">
        <v>61</v>
      </c>
      <c r="E4224" s="5" t="s">
        <v>3513</v>
      </c>
      <c r="F4224" s="8"/>
      <c r="G4224" s="9">
        <f>H4224*(1-30%)*(1-F4224)</f>
        <v>119.62299999999998</v>
      </c>
      <c r="H4224" s="9">
        <v>170.88999999999999</v>
      </c>
      <c r="I4224" s="9">
        <f>H4224-G4224</f>
        <v>51.26700000000001</v>
      </c>
    </row>
    <row r="4225" ht="14.25">
      <c r="A4225" s="5">
        <v>84671</v>
      </c>
      <c r="B4225" s="7" t="s">
        <v>4320</v>
      </c>
      <c r="C4225" s="7" t="s">
        <v>3522</v>
      </c>
      <c r="D4225" s="7" t="s">
        <v>61</v>
      </c>
      <c r="E4225" s="5" t="s">
        <v>43</v>
      </c>
      <c r="F4225" s="8"/>
      <c r="G4225" s="9">
        <f>H4225*(1-30%)*(1-F4225)</f>
        <v>111.92299999999999</v>
      </c>
      <c r="H4225" s="9">
        <v>159.88999999999999</v>
      </c>
      <c r="I4225" s="9">
        <f>H4225-G4225</f>
        <v>47.966999999999999</v>
      </c>
    </row>
    <row r="4226" ht="14.25">
      <c r="A4226" s="5">
        <v>84995</v>
      </c>
      <c r="B4226" s="7" t="s">
        <v>4321</v>
      </c>
      <c r="C4226" s="7" t="s">
        <v>3265</v>
      </c>
      <c r="D4226" s="7" t="s">
        <v>110</v>
      </c>
      <c r="E4226" s="5" t="s">
        <v>15</v>
      </c>
      <c r="F4226" s="8"/>
      <c r="G4226" s="9">
        <f>H4226*(1-30%)*(1-F4226)</f>
        <v>55.992999999999995</v>
      </c>
      <c r="H4226" s="9">
        <v>79.989999999999995</v>
      </c>
      <c r="I4226" s="9">
        <f>H4226-G4226</f>
        <v>23.997</v>
      </c>
    </row>
    <row r="4227" ht="14.25">
      <c r="A4227" s="5">
        <v>85095</v>
      </c>
      <c r="B4227" s="7" t="s">
        <v>4322</v>
      </c>
      <c r="C4227" s="7" t="s">
        <v>3290</v>
      </c>
      <c r="D4227" s="7" t="s">
        <v>110</v>
      </c>
      <c r="E4227" s="5" t="s">
        <v>3268</v>
      </c>
      <c r="F4227" s="8"/>
      <c r="G4227" s="9">
        <f>H4227*(1-30%)*(1-F4227)</f>
        <v>25.893000000000001</v>
      </c>
      <c r="H4227" s="9">
        <v>36.990000000000002</v>
      </c>
      <c r="I4227" s="9">
        <f>H4227-G4227</f>
        <v>11.097000000000001</v>
      </c>
    </row>
    <row r="4228" ht="14.25">
      <c r="A4228" s="5">
        <v>85268</v>
      </c>
      <c r="B4228" s="7" t="s">
        <v>4323</v>
      </c>
      <c r="C4228" s="7" t="s">
        <v>3290</v>
      </c>
      <c r="D4228" s="7" t="s">
        <v>11</v>
      </c>
      <c r="E4228" s="5" t="s">
        <v>3513</v>
      </c>
      <c r="F4228" s="8"/>
      <c r="G4228" s="9">
        <f>H4228*(1-30%)*(1-F4228)</f>
        <v>167.93000000000001</v>
      </c>
      <c r="H4228" s="9">
        <v>239.90000000000001</v>
      </c>
      <c r="I4228" s="9">
        <f>H4228-G4228</f>
        <v>71.969999999999999</v>
      </c>
    </row>
    <row r="4229" ht="14.25">
      <c r="A4229" s="5">
        <v>85400</v>
      </c>
      <c r="B4229" s="7" t="s">
        <v>4324</v>
      </c>
      <c r="C4229" s="7" t="s">
        <v>3262</v>
      </c>
      <c r="D4229" s="7" t="s">
        <v>110</v>
      </c>
      <c r="E4229" s="5" t="s">
        <v>43</v>
      </c>
      <c r="F4229" s="8"/>
      <c r="G4229" s="9">
        <f>H4229*(1-30%)*(1-F4229)</f>
        <v>40.592999999999996</v>
      </c>
      <c r="H4229" s="9">
        <v>57.990000000000002</v>
      </c>
      <c r="I4229" s="9">
        <f>H4229-G4229</f>
        <v>17.397000000000006</v>
      </c>
    </row>
    <row r="4230" ht="14.25">
      <c r="A4230" s="5">
        <v>85402</v>
      </c>
      <c r="B4230" s="7" t="s">
        <v>4325</v>
      </c>
      <c r="C4230" s="7" t="s">
        <v>3262</v>
      </c>
      <c r="D4230" s="7" t="s">
        <v>110</v>
      </c>
      <c r="E4230" s="5" t="s">
        <v>43</v>
      </c>
      <c r="F4230" s="8"/>
      <c r="G4230" s="9">
        <f>H4230*(1-30%)*(1-F4230)</f>
        <v>40.592999999999996</v>
      </c>
      <c r="H4230" s="9">
        <v>57.990000000000002</v>
      </c>
      <c r="I4230" s="9">
        <f>H4230-G4230</f>
        <v>17.397000000000006</v>
      </c>
    </row>
    <row r="4231" ht="14.25">
      <c r="A4231" s="5">
        <v>85403</v>
      </c>
      <c r="B4231" s="7" t="s">
        <v>4326</v>
      </c>
      <c r="C4231" s="7" t="s">
        <v>3262</v>
      </c>
      <c r="D4231" s="7" t="s">
        <v>110</v>
      </c>
      <c r="E4231" s="5" t="s">
        <v>43</v>
      </c>
      <c r="F4231" s="8"/>
      <c r="G4231" s="9">
        <f>H4231*(1-30%)*(1-F4231)</f>
        <v>40.592999999999996</v>
      </c>
      <c r="H4231" s="9">
        <v>57.990000000000002</v>
      </c>
      <c r="I4231" s="9">
        <f>H4231-G4231</f>
        <v>17.397000000000006</v>
      </c>
    </row>
    <row r="4232" ht="14.25">
      <c r="A4232" s="5">
        <v>85404</v>
      </c>
      <c r="B4232" s="7" t="s">
        <v>4327</v>
      </c>
      <c r="C4232" s="7" t="s">
        <v>3262</v>
      </c>
      <c r="D4232" s="7" t="s">
        <v>110</v>
      </c>
      <c r="E4232" s="5" t="s">
        <v>43</v>
      </c>
      <c r="F4232" s="8"/>
      <c r="G4232" s="9">
        <f>H4232*(1-30%)*(1-F4232)</f>
        <v>40.592999999999996</v>
      </c>
      <c r="H4232" s="9">
        <v>57.990000000000002</v>
      </c>
      <c r="I4232" s="9">
        <f>H4232-G4232</f>
        <v>17.397000000000006</v>
      </c>
    </row>
    <row r="4233" ht="14.25">
      <c r="A4233" s="5">
        <v>85412</v>
      </c>
      <c r="B4233" s="7" t="s">
        <v>4328</v>
      </c>
      <c r="C4233" s="7" t="s">
        <v>3290</v>
      </c>
      <c r="D4233" s="7" t="s">
        <v>110</v>
      </c>
      <c r="E4233" s="5" t="s">
        <v>43</v>
      </c>
      <c r="F4233" s="8"/>
      <c r="G4233" s="9">
        <f>H4233*(1-30%)*(1-F4233)</f>
        <v>25.893000000000001</v>
      </c>
      <c r="H4233" s="9">
        <v>36.990000000000002</v>
      </c>
      <c r="I4233" s="9">
        <f>H4233-G4233</f>
        <v>11.097000000000001</v>
      </c>
    </row>
    <row r="4234" ht="14.25">
      <c r="A4234" s="5">
        <v>85696</v>
      </c>
      <c r="B4234" s="7" t="s">
        <v>4329</v>
      </c>
      <c r="C4234" s="7" t="s">
        <v>3265</v>
      </c>
      <c r="D4234" s="7" t="s">
        <v>110</v>
      </c>
      <c r="E4234" s="5" t="s">
        <v>15</v>
      </c>
      <c r="F4234" s="8"/>
      <c r="G4234" s="9">
        <f>H4234*(1-30%)*(1-F4234)</f>
        <v>23.093</v>
      </c>
      <c r="H4234" s="9">
        <v>32.990000000000002</v>
      </c>
      <c r="I4234" s="9">
        <f>H4234-G4234</f>
        <v>9.897000000000002</v>
      </c>
    </row>
    <row r="4235" ht="14.25">
      <c r="A4235" s="5">
        <v>85707</v>
      </c>
      <c r="B4235" s="7" t="s">
        <v>4330</v>
      </c>
      <c r="C4235" s="7" t="s">
        <v>3290</v>
      </c>
      <c r="D4235" s="7" t="s">
        <v>1447</v>
      </c>
      <c r="E4235" s="5" t="s">
        <v>15</v>
      </c>
      <c r="F4235" s="8"/>
      <c r="G4235" s="9">
        <f>H4235*(1-30%)*(1-F4235)</f>
        <v>3.4300000000000002</v>
      </c>
      <c r="H4235" s="9">
        <v>4.9000000000000004</v>
      </c>
      <c r="I4235" s="9">
        <f>H4235-G4235</f>
        <v>1.4700000000000002</v>
      </c>
    </row>
    <row r="4236" ht="14.25">
      <c r="A4236" s="5">
        <v>85708</v>
      </c>
      <c r="B4236" s="7" t="s">
        <v>4331</v>
      </c>
      <c r="C4236" s="7" t="s">
        <v>3290</v>
      </c>
      <c r="D4236" s="7" t="s">
        <v>1447</v>
      </c>
      <c r="E4236" s="5" t="s">
        <v>15</v>
      </c>
      <c r="F4236" s="8"/>
      <c r="G4236" s="9">
        <f>H4236*(1-30%)*(1-F4236)</f>
        <v>6.9299999999999997</v>
      </c>
      <c r="H4236" s="9">
        <v>9.9000000000000004</v>
      </c>
      <c r="I4236" s="9">
        <f>H4236-G4236</f>
        <v>2.9700000000000006</v>
      </c>
    </row>
    <row r="4237" ht="14.25">
      <c r="A4237" s="5">
        <v>85709</v>
      </c>
      <c r="B4237" s="7" t="s">
        <v>4332</v>
      </c>
      <c r="C4237" s="7" t="s">
        <v>3290</v>
      </c>
      <c r="D4237" s="7" t="s">
        <v>1447</v>
      </c>
      <c r="E4237" s="5" t="s">
        <v>15</v>
      </c>
      <c r="F4237" s="8"/>
      <c r="G4237" s="9">
        <f>H4237*(1-30%)*(1-F4237)</f>
        <v>2.73</v>
      </c>
      <c r="H4237" s="9">
        <v>3.8999999999999999</v>
      </c>
      <c r="I4237" s="9">
        <f>H4237-G4237</f>
        <v>1.1699999999999999</v>
      </c>
    </row>
    <row r="4238" ht="14.25">
      <c r="A4238" s="5">
        <v>85755</v>
      </c>
      <c r="B4238" s="7" t="s">
        <v>4333</v>
      </c>
      <c r="C4238" s="7" t="s">
        <v>3280</v>
      </c>
      <c r="D4238" s="7" t="s">
        <v>95</v>
      </c>
      <c r="E4238" s="5" t="s">
        <v>43</v>
      </c>
      <c r="F4238" s="8"/>
      <c r="G4238" s="9">
        <f>H4238*(1-30%)*(1-F4238)</f>
        <v>27.992999999999999</v>
      </c>
      <c r="H4238" s="9">
        <v>39.990000000000002</v>
      </c>
      <c r="I4238" s="9">
        <f>H4238-G4238</f>
        <v>11.997000000000003</v>
      </c>
    </row>
    <row r="4239" ht="14.25">
      <c r="A4239" s="5">
        <v>85756</v>
      </c>
      <c r="B4239" s="7" t="s">
        <v>4334</v>
      </c>
      <c r="C4239" s="7" t="s">
        <v>3280</v>
      </c>
      <c r="D4239" s="7" t="s">
        <v>95</v>
      </c>
      <c r="E4239" s="5" t="s">
        <v>43</v>
      </c>
      <c r="F4239" s="8"/>
      <c r="G4239" s="9">
        <f>H4239*(1-30%)*(1-F4239)</f>
        <v>27.992999999999999</v>
      </c>
      <c r="H4239" s="9">
        <v>39.990000000000002</v>
      </c>
      <c r="I4239" s="9">
        <f>H4239-G4239</f>
        <v>11.997000000000003</v>
      </c>
    </row>
    <row r="4240" ht="14.25">
      <c r="A4240" s="5">
        <v>85823</v>
      </c>
      <c r="B4240" s="7" t="s">
        <v>4335</v>
      </c>
      <c r="C4240" s="7" t="s">
        <v>3290</v>
      </c>
      <c r="D4240" s="7" t="s">
        <v>110</v>
      </c>
      <c r="E4240" s="5" t="s">
        <v>43</v>
      </c>
      <c r="F4240" s="8"/>
      <c r="G4240" s="9">
        <f>H4240*(1-30%)*(1-F4240)</f>
        <v>23.093</v>
      </c>
      <c r="H4240" s="9">
        <v>32.990000000000002</v>
      </c>
      <c r="I4240" s="9">
        <f>H4240-G4240</f>
        <v>9.897000000000002</v>
      </c>
    </row>
    <row r="4241" ht="14.25">
      <c r="A4241" s="5">
        <v>85915</v>
      </c>
      <c r="B4241" s="7" t="s">
        <v>4336</v>
      </c>
      <c r="C4241" s="7" t="s">
        <v>3302</v>
      </c>
      <c r="D4241" s="7" t="s">
        <v>219</v>
      </c>
      <c r="E4241" s="5" t="s">
        <v>43</v>
      </c>
      <c r="F4241" s="8"/>
      <c r="G4241" s="9">
        <f>H4241*(1-30%)*(1-F4241)</f>
        <v>40.592999999999996</v>
      </c>
      <c r="H4241" s="9">
        <v>57.990000000000002</v>
      </c>
      <c r="I4241" s="9">
        <f>H4241-G4241</f>
        <v>17.397000000000006</v>
      </c>
    </row>
    <row r="4242" ht="14.25">
      <c r="A4242" s="5">
        <v>86020</v>
      </c>
      <c r="B4242" s="7" t="s">
        <v>4337</v>
      </c>
      <c r="C4242" s="7" t="s">
        <v>3265</v>
      </c>
      <c r="D4242" s="7" t="s">
        <v>110</v>
      </c>
      <c r="E4242" s="5" t="s">
        <v>15</v>
      </c>
      <c r="F4242" s="8"/>
      <c r="G4242" s="9">
        <f>H4242*(1-30%)*(1-F4242)</f>
        <v>31.492999999999999</v>
      </c>
      <c r="H4242" s="9">
        <v>44.990000000000002</v>
      </c>
      <c r="I4242" s="9">
        <f>H4242-G4242</f>
        <v>13.497000000000003</v>
      </c>
    </row>
    <row r="4243" ht="14.25">
      <c r="A4243" s="5">
        <v>86106</v>
      </c>
      <c r="B4243" s="7" t="s">
        <v>4338</v>
      </c>
      <c r="C4243" s="7" t="s">
        <v>3276</v>
      </c>
      <c r="D4243" s="7" t="s">
        <v>11</v>
      </c>
      <c r="E4243" s="5" t="s">
        <v>43</v>
      </c>
      <c r="F4243" s="8"/>
      <c r="G4243" s="9">
        <f>H4243*(1-30%)*(1-F4243)</f>
        <v>51.092999999999996</v>
      </c>
      <c r="H4243" s="9">
        <v>72.989999999999995</v>
      </c>
      <c r="I4243" s="9">
        <f>H4243-G4243</f>
        <v>21.896999999999998</v>
      </c>
    </row>
    <row r="4244" ht="14.25">
      <c r="A4244" s="5">
        <v>86293</v>
      </c>
      <c r="B4244" s="7" t="s">
        <v>4339</v>
      </c>
      <c r="C4244" s="7" t="s">
        <v>3290</v>
      </c>
      <c r="D4244" s="7" t="s">
        <v>110</v>
      </c>
      <c r="E4244" s="5" t="s">
        <v>43</v>
      </c>
      <c r="F4244" s="8"/>
      <c r="G4244" s="9">
        <f>H4244*(1-30%)*(1-F4244)</f>
        <v>24.492999999999999</v>
      </c>
      <c r="H4244" s="9">
        <v>34.990000000000002</v>
      </c>
      <c r="I4244" s="9">
        <f>H4244-G4244</f>
        <v>10.497000000000003</v>
      </c>
    </row>
    <row r="4245" ht="14.25">
      <c r="A4245" s="5">
        <v>86501</v>
      </c>
      <c r="B4245" s="7" t="s">
        <v>4340</v>
      </c>
      <c r="C4245" s="7" t="s">
        <v>3276</v>
      </c>
      <c r="D4245" s="7" t="s">
        <v>11</v>
      </c>
      <c r="E4245" s="5" t="s">
        <v>43</v>
      </c>
      <c r="F4245" s="8"/>
      <c r="G4245" s="9">
        <f>H4245*(1-30%)*(1-F4245)</f>
        <v>51.092999999999996</v>
      </c>
      <c r="H4245" s="9">
        <v>72.989999999999995</v>
      </c>
      <c r="I4245" s="9">
        <f>H4245-G4245</f>
        <v>21.896999999999998</v>
      </c>
    </row>
    <row r="4246" ht="14.25">
      <c r="A4246" s="5">
        <v>86737</v>
      </c>
      <c r="B4246" s="7" t="s">
        <v>4341</v>
      </c>
      <c r="C4246" s="7" t="s">
        <v>3262</v>
      </c>
      <c r="D4246" s="7" t="s">
        <v>110</v>
      </c>
      <c r="E4246" s="5" t="s">
        <v>43</v>
      </c>
      <c r="F4246" s="8"/>
      <c r="G4246" s="9">
        <f>H4246*(1-30%)*(1-F4246)</f>
        <v>45.492999999999995</v>
      </c>
      <c r="H4246" s="9">
        <v>64.989999999999995</v>
      </c>
      <c r="I4246" s="9">
        <f>H4246-G4246</f>
        <v>19.497</v>
      </c>
    </row>
    <row r="4247" ht="14.25">
      <c r="A4247" s="5">
        <v>86804</v>
      </c>
      <c r="B4247" s="7" t="s">
        <v>4342</v>
      </c>
      <c r="C4247" s="7" t="s">
        <v>3302</v>
      </c>
      <c r="D4247" s="7" t="s">
        <v>219</v>
      </c>
      <c r="E4247" s="5" t="s">
        <v>43</v>
      </c>
      <c r="F4247" s="8"/>
      <c r="G4247" s="9">
        <f>H4247*(1-30%)*(1-F4247)</f>
        <v>58.092999999999989</v>
      </c>
      <c r="H4247" s="9">
        <v>82.989999999999995</v>
      </c>
      <c r="I4247" s="9">
        <f>H4247-G4247</f>
        <v>24.897000000000006</v>
      </c>
    </row>
    <row r="4248" ht="14.25">
      <c r="A4248" s="5">
        <v>86902</v>
      </c>
      <c r="B4248" s="7" t="s">
        <v>4343</v>
      </c>
      <c r="C4248" s="7" t="s">
        <v>3290</v>
      </c>
      <c r="D4248" s="7" t="s">
        <v>11</v>
      </c>
      <c r="E4248" s="5" t="s">
        <v>3513</v>
      </c>
      <c r="F4248" s="8"/>
      <c r="G4248" s="9">
        <f>H4248*(1-30%)*(1-F4248)</f>
        <v>167.93000000000001</v>
      </c>
      <c r="H4248" s="9">
        <v>239.90000000000001</v>
      </c>
      <c r="I4248" s="9">
        <f>H4248-G4248</f>
        <v>71.969999999999999</v>
      </c>
    </row>
    <row r="4249" ht="14.25">
      <c r="A4249" s="5">
        <v>87013</v>
      </c>
      <c r="B4249" s="7" t="s">
        <v>4344</v>
      </c>
      <c r="C4249" s="7" t="s">
        <v>3290</v>
      </c>
      <c r="D4249" s="7" t="s">
        <v>11</v>
      </c>
      <c r="E4249" s="5" t="s">
        <v>3513</v>
      </c>
      <c r="F4249" s="8"/>
      <c r="G4249" s="9">
        <f>H4249*(1-30%)*(1-F4249)</f>
        <v>167.93000000000001</v>
      </c>
      <c r="H4249" s="9">
        <v>239.90000000000001</v>
      </c>
      <c r="I4249" s="9">
        <f>H4249-G4249</f>
        <v>71.969999999999999</v>
      </c>
    </row>
    <row r="4250" ht="14.25">
      <c r="A4250" s="5">
        <v>87014</v>
      </c>
      <c r="B4250" s="7" t="s">
        <v>4345</v>
      </c>
      <c r="C4250" s="7" t="s">
        <v>3290</v>
      </c>
      <c r="D4250" s="7" t="s">
        <v>11</v>
      </c>
      <c r="E4250" s="5" t="s">
        <v>43</v>
      </c>
      <c r="F4250" s="8"/>
      <c r="G4250" s="9">
        <f>H4250*(1-30%)*(1-F4250)</f>
        <v>167.93000000000001</v>
      </c>
      <c r="H4250" s="9">
        <v>239.90000000000001</v>
      </c>
      <c r="I4250" s="9">
        <f>H4250-G4250</f>
        <v>71.969999999999999</v>
      </c>
    </row>
    <row r="4251" ht="14.25">
      <c r="A4251" s="5">
        <v>87017</v>
      </c>
      <c r="B4251" s="7" t="s">
        <v>4346</v>
      </c>
      <c r="C4251" s="7" t="s">
        <v>3290</v>
      </c>
      <c r="D4251" s="7" t="s">
        <v>11</v>
      </c>
      <c r="E4251" s="5" t="s">
        <v>43</v>
      </c>
      <c r="F4251" s="8"/>
      <c r="G4251" s="9">
        <f>H4251*(1-30%)*(1-F4251)</f>
        <v>167.93000000000001</v>
      </c>
      <c r="H4251" s="9">
        <v>239.90000000000001</v>
      </c>
      <c r="I4251" s="9">
        <f>H4251-G4251</f>
        <v>71.969999999999999</v>
      </c>
    </row>
    <row r="4252" ht="14.25">
      <c r="A4252" s="5">
        <v>87107</v>
      </c>
      <c r="B4252" s="7" t="s">
        <v>4347</v>
      </c>
      <c r="C4252" s="7" t="s">
        <v>3276</v>
      </c>
      <c r="D4252" s="7" t="s">
        <v>45</v>
      </c>
      <c r="E4252" s="5" t="s">
        <v>43</v>
      </c>
      <c r="F4252" s="8"/>
      <c r="G4252" s="9">
        <f>H4252*(1-30%)*(1-F4252)</f>
        <v>41.292999999999999</v>
      </c>
      <c r="H4252" s="9">
        <v>58.990000000000002</v>
      </c>
      <c r="I4252" s="9">
        <f>H4252-G4252</f>
        <v>17.697000000000003</v>
      </c>
    </row>
    <row r="4253" ht="14.25">
      <c r="A4253" s="5">
        <v>87108</v>
      </c>
      <c r="B4253" s="7" t="s">
        <v>4348</v>
      </c>
      <c r="C4253" s="7" t="s">
        <v>3276</v>
      </c>
      <c r="D4253" s="7" t="s">
        <v>103</v>
      </c>
      <c r="E4253" s="5" t="s">
        <v>43</v>
      </c>
      <c r="F4253" s="8"/>
      <c r="G4253" s="9">
        <f>H4253*(1-30%)*(1-F4253)</f>
        <v>23.093</v>
      </c>
      <c r="H4253" s="9">
        <v>32.990000000000002</v>
      </c>
      <c r="I4253" s="9">
        <f>H4253-G4253</f>
        <v>9.897000000000002</v>
      </c>
    </row>
    <row r="4254" ht="14.25">
      <c r="A4254" s="5">
        <v>87109</v>
      </c>
      <c r="B4254" s="7" t="s">
        <v>4349</v>
      </c>
      <c r="C4254" s="7" t="s">
        <v>3276</v>
      </c>
      <c r="D4254" s="7" t="s">
        <v>45</v>
      </c>
      <c r="E4254" s="5" t="s">
        <v>43</v>
      </c>
      <c r="F4254" s="8"/>
      <c r="G4254" s="9">
        <f>H4254*(1-30%)*(1-F4254)</f>
        <v>27.992999999999999</v>
      </c>
      <c r="H4254" s="9">
        <v>39.990000000000002</v>
      </c>
      <c r="I4254" s="9">
        <f>H4254-G4254</f>
        <v>11.997000000000003</v>
      </c>
    </row>
    <row r="4255" ht="14.25">
      <c r="A4255" s="5">
        <v>87151</v>
      </c>
      <c r="B4255" s="7" t="s">
        <v>4350</v>
      </c>
      <c r="C4255" s="7" t="s">
        <v>3448</v>
      </c>
      <c r="D4255" s="7" t="s">
        <v>45</v>
      </c>
      <c r="E4255" s="5" t="s">
        <v>43</v>
      </c>
      <c r="F4255" s="8"/>
      <c r="G4255" s="9">
        <f>H4255*(1-30%)*(1-F4255)</f>
        <v>37.092999999999996</v>
      </c>
      <c r="H4255" s="9">
        <v>52.990000000000002</v>
      </c>
      <c r="I4255" s="9">
        <f>H4255-G4255</f>
        <v>15.897000000000006</v>
      </c>
    </row>
    <row r="4256" ht="14.25">
      <c r="A4256" s="5">
        <v>87214</v>
      </c>
      <c r="B4256" s="7" t="s">
        <v>4351</v>
      </c>
      <c r="C4256" s="7" t="s">
        <v>3276</v>
      </c>
      <c r="D4256" s="7" t="s">
        <v>45</v>
      </c>
      <c r="E4256" s="5" t="s">
        <v>43</v>
      </c>
      <c r="F4256" s="8"/>
      <c r="G4256" s="9">
        <f>H4256*(1-30%)*(1-F4256)</f>
        <v>41.292999999999999</v>
      </c>
      <c r="H4256" s="9">
        <v>58.990000000000002</v>
      </c>
      <c r="I4256" s="9">
        <f>H4256-G4256</f>
        <v>17.697000000000003</v>
      </c>
    </row>
    <row r="4257" ht="14.25">
      <c r="A4257" s="5">
        <v>87215</v>
      </c>
      <c r="B4257" s="7" t="s">
        <v>4352</v>
      </c>
      <c r="C4257" s="7" t="s">
        <v>3276</v>
      </c>
      <c r="D4257" s="7" t="s">
        <v>45</v>
      </c>
      <c r="E4257" s="5" t="s">
        <v>43</v>
      </c>
      <c r="F4257" s="8"/>
      <c r="G4257" s="9">
        <f>H4257*(1-30%)*(1-F4257)</f>
        <v>34.993000000000002</v>
      </c>
      <c r="H4257" s="9">
        <v>49.990000000000002</v>
      </c>
      <c r="I4257" s="9">
        <f>H4257-G4257</f>
        <v>14.997</v>
      </c>
    </row>
    <row r="4258" ht="14.25">
      <c r="A4258" s="5">
        <v>87216</v>
      </c>
      <c r="B4258" s="7" t="s">
        <v>4353</v>
      </c>
      <c r="C4258" s="7" t="s">
        <v>3276</v>
      </c>
      <c r="D4258" s="7" t="s">
        <v>45</v>
      </c>
      <c r="E4258" s="5" t="s">
        <v>43</v>
      </c>
      <c r="F4258" s="8"/>
      <c r="G4258" s="9">
        <f>H4258*(1-30%)*(1-F4258)</f>
        <v>26.593</v>
      </c>
      <c r="H4258" s="9">
        <v>37.990000000000002</v>
      </c>
      <c r="I4258" s="9">
        <f>H4258-G4258</f>
        <v>11.397000000000002</v>
      </c>
    </row>
    <row r="4259" ht="14.25">
      <c r="A4259" s="5">
        <v>87218</v>
      </c>
      <c r="B4259" s="7" t="s">
        <v>4354</v>
      </c>
      <c r="C4259" s="7" t="s">
        <v>3276</v>
      </c>
      <c r="D4259" s="7" t="s">
        <v>45</v>
      </c>
      <c r="E4259" s="5" t="s">
        <v>43</v>
      </c>
      <c r="F4259" s="8"/>
      <c r="G4259" s="9">
        <f>H4259*(1-30%)*(1-F4259)</f>
        <v>19.592999999999996</v>
      </c>
      <c r="H4259" s="9">
        <v>27.989999999999998</v>
      </c>
      <c r="I4259" s="9">
        <f>H4259-G4259</f>
        <v>8.397000000000002</v>
      </c>
    </row>
    <row r="4260" ht="14.25">
      <c r="A4260" s="5">
        <v>87224</v>
      </c>
      <c r="B4260" s="7" t="s">
        <v>4355</v>
      </c>
      <c r="C4260" s="7" t="s">
        <v>3331</v>
      </c>
      <c r="D4260" s="7" t="s">
        <v>45</v>
      </c>
      <c r="E4260" s="5" t="s">
        <v>15</v>
      </c>
      <c r="F4260" s="8"/>
      <c r="G4260" s="9">
        <f>H4260*(1-30%)*(1-F4260)</f>
        <v>37.092999999999996</v>
      </c>
      <c r="H4260" s="9">
        <v>52.990000000000002</v>
      </c>
      <c r="I4260" s="9">
        <f>H4260-G4260</f>
        <v>15.897000000000006</v>
      </c>
    </row>
    <row r="4261" ht="14.25">
      <c r="A4261" s="5">
        <v>87302</v>
      </c>
      <c r="B4261" s="7" t="s">
        <v>4356</v>
      </c>
      <c r="C4261" s="7" t="s">
        <v>3262</v>
      </c>
      <c r="D4261" s="7" t="s">
        <v>183</v>
      </c>
      <c r="E4261" s="5" t="s">
        <v>43</v>
      </c>
      <c r="F4261" s="8"/>
      <c r="G4261" s="9">
        <f>H4261*(1-30%)*(1-F4261)</f>
        <v>26.529999999999998</v>
      </c>
      <c r="H4261" s="9">
        <v>37.899999999999999</v>
      </c>
      <c r="I4261" s="9">
        <f>H4261-G4261</f>
        <v>11.370000000000001</v>
      </c>
    </row>
    <row r="4262" ht="14.25">
      <c r="A4262" s="5">
        <v>87303</v>
      </c>
      <c r="B4262" s="7" t="s">
        <v>4357</v>
      </c>
      <c r="C4262" s="7" t="s">
        <v>3262</v>
      </c>
      <c r="D4262" s="7" t="s">
        <v>183</v>
      </c>
      <c r="E4262" s="5" t="s">
        <v>43</v>
      </c>
      <c r="F4262" s="8"/>
      <c r="G4262" s="9">
        <f>H4262*(1-30%)*(1-F4262)</f>
        <v>83.992999999999995</v>
      </c>
      <c r="H4262" s="9">
        <v>119.98999999999999</v>
      </c>
      <c r="I4262" s="9">
        <f>H4262-G4262</f>
        <v>35.997</v>
      </c>
    </row>
    <row r="4263" ht="14.25">
      <c r="A4263" s="5">
        <v>87304</v>
      </c>
      <c r="B4263" s="7" t="s">
        <v>4358</v>
      </c>
      <c r="C4263" s="7" t="s">
        <v>3262</v>
      </c>
      <c r="D4263" s="7" t="s">
        <v>183</v>
      </c>
      <c r="E4263" s="5" t="s">
        <v>43</v>
      </c>
      <c r="F4263" s="8"/>
      <c r="G4263" s="9">
        <f>H4263*(1-30%)*(1-F4263)</f>
        <v>45.492999999999995</v>
      </c>
      <c r="H4263" s="9">
        <v>64.989999999999995</v>
      </c>
      <c r="I4263" s="9">
        <f>H4263-G4263</f>
        <v>19.497</v>
      </c>
    </row>
    <row r="4264" ht="14.25">
      <c r="A4264" s="5">
        <v>87439</v>
      </c>
      <c r="B4264" s="7" t="s">
        <v>4359</v>
      </c>
      <c r="C4264" s="7" t="s">
        <v>4303</v>
      </c>
      <c r="D4264" s="7" t="s">
        <v>110</v>
      </c>
      <c r="E4264" s="5" t="s">
        <v>43</v>
      </c>
      <c r="F4264" s="8"/>
      <c r="G4264" s="9">
        <f>H4264*(1-30%)*(1-F4264)</f>
        <v>40.592999999999996</v>
      </c>
      <c r="H4264" s="9">
        <v>57.990000000000002</v>
      </c>
      <c r="I4264" s="9">
        <f>H4264-G4264</f>
        <v>17.397000000000006</v>
      </c>
    </row>
    <row r="4265" ht="14.25">
      <c r="A4265" s="5">
        <v>87440</v>
      </c>
      <c r="B4265" s="7" t="s">
        <v>4360</v>
      </c>
      <c r="C4265" s="7" t="s">
        <v>4303</v>
      </c>
      <c r="D4265" s="7" t="s">
        <v>110</v>
      </c>
      <c r="E4265" s="5" t="s">
        <v>43</v>
      </c>
      <c r="F4265" s="8"/>
      <c r="G4265" s="9">
        <f>H4265*(1-30%)*(1-F4265)</f>
        <v>40.592999999999996</v>
      </c>
      <c r="H4265" s="9">
        <v>57.990000000000002</v>
      </c>
      <c r="I4265" s="9">
        <f>H4265-G4265</f>
        <v>17.397000000000006</v>
      </c>
    </row>
    <row r="4266" ht="14.25">
      <c r="A4266" s="5">
        <v>87442</v>
      </c>
      <c r="B4266" s="7" t="s">
        <v>4361</v>
      </c>
      <c r="C4266" s="7" t="s">
        <v>4303</v>
      </c>
      <c r="D4266" s="7" t="s">
        <v>110</v>
      </c>
      <c r="E4266" s="5" t="s">
        <v>43</v>
      </c>
      <c r="F4266" s="8"/>
      <c r="G4266" s="9">
        <f>H4266*(1-30%)*(1-F4266)</f>
        <v>40.592999999999996</v>
      </c>
      <c r="H4266" s="9">
        <v>57.990000000000002</v>
      </c>
      <c r="I4266" s="9">
        <f>H4266-G4266</f>
        <v>17.397000000000006</v>
      </c>
    </row>
    <row r="4267" ht="14.25">
      <c r="A4267" s="5">
        <v>87455</v>
      </c>
      <c r="B4267" s="7" t="s">
        <v>4362</v>
      </c>
      <c r="C4267" s="7" t="s">
        <v>3262</v>
      </c>
      <c r="D4267" s="7" t="s">
        <v>110</v>
      </c>
      <c r="E4267" s="5" t="s">
        <v>43</v>
      </c>
      <c r="F4267" s="8"/>
      <c r="G4267" s="9">
        <f>H4267*(1-30%)*(1-F4267)</f>
        <v>45.492999999999995</v>
      </c>
      <c r="H4267" s="9">
        <v>64.989999999999995</v>
      </c>
      <c r="I4267" s="9">
        <f>H4267-G4267</f>
        <v>19.497</v>
      </c>
    </row>
    <row r="4268" ht="14.25">
      <c r="A4268" s="5">
        <v>87456</v>
      </c>
      <c r="B4268" s="7" t="s">
        <v>4363</v>
      </c>
      <c r="C4268" s="7" t="s">
        <v>3262</v>
      </c>
      <c r="D4268" s="7" t="s">
        <v>110</v>
      </c>
      <c r="E4268" s="5" t="s">
        <v>43</v>
      </c>
      <c r="F4268" s="8"/>
      <c r="G4268" s="9">
        <f>H4268*(1-30%)*(1-F4268)</f>
        <v>45.492999999999995</v>
      </c>
      <c r="H4268" s="9">
        <v>64.989999999999995</v>
      </c>
      <c r="I4268" s="9">
        <f>H4268-G4268</f>
        <v>19.497</v>
      </c>
    </row>
    <row r="4269" ht="14.25">
      <c r="A4269" s="5">
        <v>87457</v>
      </c>
      <c r="B4269" s="7" t="s">
        <v>4364</v>
      </c>
      <c r="C4269" s="7" t="s">
        <v>3262</v>
      </c>
      <c r="D4269" s="7" t="s">
        <v>110</v>
      </c>
      <c r="E4269" s="5" t="s">
        <v>43</v>
      </c>
      <c r="F4269" s="8"/>
      <c r="G4269" s="9">
        <f>H4269*(1-30%)*(1-F4269)</f>
        <v>45.492999999999995</v>
      </c>
      <c r="H4269" s="9">
        <v>64.989999999999995</v>
      </c>
      <c r="I4269" s="9">
        <f>H4269-G4269</f>
        <v>19.497</v>
      </c>
    </row>
    <row r="4270" ht="14.25">
      <c r="A4270" s="5">
        <v>88687</v>
      </c>
      <c r="B4270" s="7" t="s">
        <v>4365</v>
      </c>
      <c r="C4270" s="7" t="s">
        <v>3290</v>
      </c>
      <c r="D4270" s="7" t="s">
        <v>45</v>
      </c>
      <c r="E4270" s="5" t="s">
        <v>43</v>
      </c>
      <c r="F4270" s="8"/>
      <c r="G4270" s="9">
        <f>H4270*(1-30%)*(1-F4270)</f>
        <v>76.992999999999995</v>
      </c>
      <c r="H4270" s="9">
        <v>109.98999999999999</v>
      </c>
      <c r="I4270" s="9">
        <f>H4270-G4270</f>
        <v>32.997</v>
      </c>
    </row>
    <row r="4271" ht="14.25">
      <c r="A4271" s="5">
        <v>88715</v>
      </c>
      <c r="B4271" s="7" t="s">
        <v>4366</v>
      </c>
      <c r="C4271" s="7" t="s">
        <v>3276</v>
      </c>
      <c r="D4271" s="7" t="s">
        <v>103</v>
      </c>
      <c r="E4271" s="5" t="s">
        <v>43</v>
      </c>
      <c r="F4271" s="8"/>
      <c r="G4271" s="9">
        <f>H4271*(1-30%)*(1-F4271)</f>
        <v>34.993000000000002</v>
      </c>
      <c r="H4271" s="9">
        <v>49.990000000000002</v>
      </c>
      <c r="I4271" s="9">
        <f>H4271-G4271</f>
        <v>14.997</v>
      </c>
    </row>
    <row r="4272" ht="14.25">
      <c r="A4272" s="5">
        <v>88796</v>
      </c>
      <c r="B4272" s="7" t="s">
        <v>4367</v>
      </c>
      <c r="C4272" s="7" t="s">
        <v>3290</v>
      </c>
      <c r="D4272" s="7" t="s">
        <v>1447</v>
      </c>
      <c r="E4272" s="5" t="s">
        <v>15</v>
      </c>
      <c r="F4272" s="8"/>
      <c r="G4272" s="9">
        <f>H4272*(1-30%)*(1-F4272)</f>
        <v>9.7649999999999988</v>
      </c>
      <c r="H4272" s="9">
        <v>13.949999999999999</v>
      </c>
      <c r="I4272" s="9">
        <f>H4272-G4272</f>
        <v>4.1850000000000005</v>
      </c>
    </row>
    <row r="4273" ht="14.25">
      <c r="A4273" s="5">
        <v>89315</v>
      </c>
      <c r="B4273" s="7" t="s">
        <v>4368</v>
      </c>
      <c r="C4273" s="7" t="s">
        <v>3262</v>
      </c>
      <c r="D4273" s="7" t="s">
        <v>110</v>
      </c>
      <c r="E4273" s="5" t="s">
        <v>43</v>
      </c>
      <c r="F4273" s="8"/>
      <c r="G4273" s="9">
        <f>H4273*(1-30%)*(1-F4273)</f>
        <v>41.993000000000002</v>
      </c>
      <c r="H4273" s="9">
        <v>59.990000000000002</v>
      </c>
      <c r="I4273" s="9">
        <f>H4273-G4273</f>
        <v>17.997</v>
      </c>
    </row>
    <row r="4274" ht="14.25">
      <c r="A4274" s="5">
        <v>91030</v>
      </c>
      <c r="B4274" s="7" t="s">
        <v>4369</v>
      </c>
      <c r="C4274" s="7" t="s">
        <v>3290</v>
      </c>
      <c r="D4274" s="7" t="s">
        <v>183</v>
      </c>
      <c r="E4274" s="5" t="s">
        <v>15</v>
      </c>
      <c r="F4274" s="8"/>
      <c r="G4274" s="9">
        <f>H4274*(1-30%)*(1-F4274)</f>
        <v>38.493000000000002</v>
      </c>
      <c r="H4274" s="9">
        <v>54.990000000000002</v>
      </c>
      <c r="I4274" s="9">
        <f>H4274-G4274</f>
        <v>16.497</v>
      </c>
    </row>
    <row r="4275" ht="14.25">
      <c r="A4275" s="5">
        <v>91035</v>
      </c>
      <c r="B4275" s="7" t="s">
        <v>4370</v>
      </c>
      <c r="C4275" s="7" t="s">
        <v>3290</v>
      </c>
      <c r="D4275" s="7" t="s">
        <v>183</v>
      </c>
      <c r="E4275" s="5" t="s">
        <v>15</v>
      </c>
      <c r="F4275" s="8"/>
      <c r="G4275" s="9">
        <f>H4275*(1-30%)*(1-F4275)</f>
        <v>38.493000000000002</v>
      </c>
      <c r="H4275" s="9">
        <v>54.990000000000002</v>
      </c>
      <c r="I4275" s="9">
        <f>H4275-G4275</f>
        <v>16.497</v>
      </c>
    </row>
    <row r="4276" ht="14.25">
      <c r="A4276" s="5">
        <v>91038</v>
      </c>
      <c r="B4276" s="7" t="s">
        <v>4371</v>
      </c>
      <c r="C4276" s="7" t="s">
        <v>3290</v>
      </c>
      <c r="D4276" s="7" t="s">
        <v>183</v>
      </c>
      <c r="E4276" s="5" t="s">
        <v>15</v>
      </c>
      <c r="F4276" s="8"/>
      <c r="G4276" s="9">
        <f>H4276*(1-30%)*(1-F4276)</f>
        <v>34.993000000000002</v>
      </c>
      <c r="H4276" s="9">
        <v>49.990000000000002</v>
      </c>
      <c r="I4276" s="9">
        <f>H4276-G4276</f>
        <v>14.997</v>
      </c>
    </row>
    <row r="4277" ht="14.25">
      <c r="A4277" s="5">
        <v>91039</v>
      </c>
      <c r="B4277" s="7" t="s">
        <v>4372</v>
      </c>
      <c r="C4277" s="7" t="s">
        <v>3290</v>
      </c>
      <c r="D4277" s="7" t="s">
        <v>183</v>
      </c>
      <c r="E4277" s="5" t="s">
        <v>15</v>
      </c>
      <c r="F4277" s="8"/>
      <c r="G4277" s="9">
        <f>H4277*(1-30%)*(1-F4277)</f>
        <v>39.192999999999998</v>
      </c>
      <c r="H4277" s="9">
        <v>55.990000000000002</v>
      </c>
      <c r="I4277" s="9">
        <f>H4277-G4277</f>
        <v>16.797000000000004</v>
      </c>
    </row>
    <row r="4278" ht="14.25">
      <c r="A4278" s="5">
        <v>91046</v>
      </c>
      <c r="B4278" s="7" t="s">
        <v>4373</v>
      </c>
      <c r="C4278" s="7" t="s">
        <v>3290</v>
      </c>
      <c r="D4278" s="7" t="s">
        <v>183</v>
      </c>
      <c r="E4278" s="5" t="s">
        <v>15</v>
      </c>
      <c r="F4278" s="8"/>
      <c r="G4278" s="9">
        <f>H4278*(1-30%)*(1-F4278)</f>
        <v>41.993000000000002</v>
      </c>
      <c r="H4278" s="9">
        <v>59.990000000000002</v>
      </c>
      <c r="I4278" s="9">
        <f>H4278-G4278</f>
        <v>17.997</v>
      </c>
    </row>
    <row r="4279" ht="14.25">
      <c r="A4279" s="5">
        <v>91047</v>
      </c>
      <c r="B4279" s="7" t="s">
        <v>4374</v>
      </c>
      <c r="C4279" s="7" t="s">
        <v>3290</v>
      </c>
      <c r="D4279" s="7" t="s">
        <v>183</v>
      </c>
      <c r="E4279" s="5" t="s">
        <v>15</v>
      </c>
      <c r="F4279" s="8"/>
      <c r="G4279" s="9">
        <f>H4279*(1-30%)*(1-F4279)</f>
        <v>31.492999999999999</v>
      </c>
      <c r="H4279" s="9">
        <v>44.990000000000002</v>
      </c>
      <c r="I4279" s="9">
        <f>H4279-G4279</f>
        <v>13.497000000000003</v>
      </c>
    </row>
    <row r="4280" ht="14.25">
      <c r="A4280" s="5">
        <v>91050</v>
      </c>
      <c r="B4280" s="7" t="s">
        <v>4375</v>
      </c>
      <c r="C4280" s="7" t="s">
        <v>3290</v>
      </c>
      <c r="D4280" s="7" t="s">
        <v>183</v>
      </c>
      <c r="E4280" s="5" t="s">
        <v>15</v>
      </c>
      <c r="F4280" s="8"/>
      <c r="G4280" s="9">
        <f>H4280*(1-30%)*(1-F4280)</f>
        <v>59.43</v>
      </c>
      <c r="H4280" s="9">
        <v>84.900000000000006</v>
      </c>
      <c r="I4280" s="9">
        <f>H4280-G4280</f>
        <v>25.470000000000006</v>
      </c>
    </row>
    <row r="4281" ht="14.25">
      <c r="A4281" s="5">
        <v>91051</v>
      </c>
      <c r="B4281" s="7" t="s">
        <v>4376</v>
      </c>
      <c r="C4281" s="7" t="s">
        <v>3290</v>
      </c>
      <c r="D4281" s="7" t="s">
        <v>183</v>
      </c>
      <c r="E4281" s="5" t="s">
        <v>15</v>
      </c>
      <c r="F4281" s="8"/>
      <c r="G4281" s="9">
        <f>H4281*(1-30%)*(1-F4281)</f>
        <v>34.93</v>
      </c>
      <c r="H4281" s="9">
        <v>49.899999999999999</v>
      </c>
      <c r="I4281" s="9">
        <f>H4281-G4281</f>
        <v>14.969999999999999</v>
      </c>
    </row>
    <row r="4282" ht="14.25">
      <c r="A4282" s="5">
        <v>91065</v>
      </c>
      <c r="B4282" s="7" t="s">
        <v>4377</v>
      </c>
      <c r="C4282" s="7" t="s">
        <v>3290</v>
      </c>
      <c r="D4282" s="7" t="s">
        <v>183</v>
      </c>
      <c r="E4282" s="5" t="s">
        <v>15</v>
      </c>
      <c r="F4282" s="8"/>
      <c r="G4282" s="9">
        <f>H4282*(1-30%)*(1-F4282)</f>
        <v>30.029999999999998</v>
      </c>
      <c r="H4282" s="9">
        <v>42.899999999999999</v>
      </c>
      <c r="I4282" s="9">
        <f>H4282-G4282</f>
        <v>12.870000000000001</v>
      </c>
    </row>
    <row r="4283" ht="14.25">
      <c r="A4283" s="5">
        <v>91066</v>
      </c>
      <c r="B4283" s="7" t="s">
        <v>4378</v>
      </c>
      <c r="C4283" s="7" t="s">
        <v>3290</v>
      </c>
      <c r="D4283" s="7" t="s">
        <v>183</v>
      </c>
      <c r="E4283" s="5" t="s">
        <v>15</v>
      </c>
      <c r="F4283" s="8"/>
      <c r="G4283" s="9">
        <f>H4283*(1-30%)*(1-F4283)</f>
        <v>55.992999999999995</v>
      </c>
      <c r="H4283" s="9">
        <v>79.989999999999995</v>
      </c>
      <c r="I4283" s="9">
        <f>H4283-G4283</f>
        <v>23.997</v>
      </c>
    </row>
    <row r="4284" ht="14.25">
      <c r="A4284" s="5">
        <v>91141</v>
      </c>
      <c r="B4284" s="7" t="s">
        <v>4379</v>
      </c>
      <c r="C4284" s="7" t="s">
        <v>3265</v>
      </c>
      <c r="D4284" s="7" t="s">
        <v>183</v>
      </c>
      <c r="E4284" s="5" t="s">
        <v>15</v>
      </c>
      <c r="F4284" s="8"/>
      <c r="G4284" s="9">
        <f>H4284*(1-30%)*(1-F4284)</f>
        <v>20.992999999999999</v>
      </c>
      <c r="H4284" s="9">
        <v>29.989999999999998</v>
      </c>
      <c r="I4284" s="9">
        <f>H4284-G4284</f>
        <v>8.9969999999999999</v>
      </c>
    </row>
    <row r="4285" ht="14.25">
      <c r="A4285" s="5">
        <v>91142</v>
      </c>
      <c r="B4285" s="7" t="s">
        <v>4380</v>
      </c>
      <c r="C4285" s="7" t="s">
        <v>3265</v>
      </c>
      <c r="D4285" s="7" t="s">
        <v>183</v>
      </c>
      <c r="E4285" s="5" t="s">
        <v>15</v>
      </c>
      <c r="F4285" s="8"/>
      <c r="G4285" s="9">
        <f>H4285*(1-30%)*(1-F4285)</f>
        <v>20.992999999999999</v>
      </c>
      <c r="H4285" s="9">
        <v>29.989999999999998</v>
      </c>
      <c r="I4285" s="9">
        <f>H4285-G4285</f>
        <v>8.9969999999999999</v>
      </c>
    </row>
    <row r="4286" ht="14.25">
      <c r="A4286" s="5">
        <v>91143</v>
      </c>
      <c r="B4286" s="7" t="s">
        <v>4381</v>
      </c>
      <c r="C4286" s="7" t="s">
        <v>3265</v>
      </c>
      <c r="D4286" s="7" t="s">
        <v>183</v>
      </c>
      <c r="E4286" s="5" t="s">
        <v>15</v>
      </c>
      <c r="F4286" s="8"/>
      <c r="G4286" s="9">
        <f>H4286*(1-30%)*(1-F4286)</f>
        <v>20.992999999999999</v>
      </c>
      <c r="H4286" s="9">
        <v>29.989999999999998</v>
      </c>
      <c r="I4286" s="9">
        <f>H4286-G4286</f>
        <v>8.9969999999999999</v>
      </c>
    </row>
    <row r="4287" ht="14.25">
      <c r="A4287" s="5">
        <v>91144</v>
      </c>
      <c r="B4287" s="7" t="s">
        <v>4382</v>
      </c>
      <c r="C4287" s="7" t="s">
        <v>3265</v>
      </c>
      <c r="D4287" s="7" t="s">
        <v>183</v>
      </c>
      <c r="E4287" s="5" t="s">
        <v>15</v>
      </c>
      <c r="F4287" s="8"/>
      <c r="G4287" s="9">
        <f>H4287*(1-30%)*(1-F4287)</f>
        <v>44.092999999999996</v>
      </c>
      <c r="H4287" s="9">
        <v>62.990000000000002</v>
      </c>
      <c r="I4287" s="9">
        <f>H4287-G4287</f>
        <v>18.897000000000006</v>
      </c>
    </row>
    <row r="4288" ht="14.25">
      <c r="A4288" s="5">
        <v>91145</v>
      </c>
      <c r="B4288" s="7" t="s">
        <v>4383</v>
      </c>
      <c r="C4288" s="7" t="s">
        <v>3265</v>
      </c>
      <c r="D4288" s="7" t="s">
        <v>183</v>
      </c>
      <c r="E4288" s="5" t="s">
        <v>15</v>
      </c>
      <c r="F4288" s="8"/>
      <c r="G4288" s="9">
        <f>H4288*(1-30%)*(1-F4288)</f>
        <v>44.092999999999996</v>
      </c>
      <c r="H4288" s="9">
        <v>62.990000000000002</v>
      </c>
      <c r="I4288" s="9">
        <f>H4288-G4288</f>
        <v>18.897000000000006</v>
      </c>
    </row>
    <row r="4289" ht="14.25">
      <c r="A4289" s="5">
        <v>91146</v>
      </c>
      <c r="B4289" s="7" t="s">
        <v>4384</v>
      </c>
      <c r="C4289" s="7" t="s">
        <v>3265</v>
      </c>
      <c r="D4289" s="7" t="s">
        <v>183</v>
      </c>
      <c r="E4289" s="5" t="s">
        <v>15</v>
      </c>
      <c r="F4289" s="8"/>
      <c r="G4289" s="9">
        <f>H4289*(1-30%)*(1-F4289)</f>
        <v>20.992999999999999</v>
      </c>
      <c r="H4289" s="9">
        <v>29.989999999999998</v>
      </c>
      <c r="I4289" s="9">
        <f>H4289-G4289</f>
        <v>8.9969999999999999</v>
      </c>
    </row>
    <row r="4290" ht="14.25">
      <c r="A4290" s="5">
        <v>91147</v>
      </c>
      <c r="B4290" s="7" t="s">
        <v>4385</v>
      </c>
      <c r="C4290" s="7" t="s">
        <v>3265</v>
      </c>
      <c r="D4290" s="7" t="s">
        <v>183</v>
      </c>
      <c r="E4290" s="5" t="s">
        <v>15</v>
      </c>
      <c r="F4290" s="8"/>
      <c r="G4290" s="9">
        <f>H4290*(1-30%)*(1-F4290)</f>
        <v>44.092999999999996</v>
      </c>
      <c r="H4290" s="9">
        <v>62.990000000000002</v>
      </c>
      <c r="I4290" s="9">
        <f>H4290-G4290</f>
        <v>18.897000000000006</v>
      </c>
    </row>
    <row r="4291" ht="14.25">
      <c r="A4291" s="5">
        <v>91148</v>
      </c>
      <c r="B4291" s="7" t="s">
        <v>4386</v>
      </c>
      <c r="C4291" s="7" t="s">
        <v>3265</v>
      </c>
      <c r="D4291" s="7" t="s">
        <v>183</v>
      </c>
      <c r="E4291" s="5" t="s">
        <v>15</v>
      </c>
      <c r="F4291" s="8"/>
      <c r="G4291" s="9">
        <f>H4291*(1-30%)*(1-F4291)</f>
        <v>44.092999999999996</v>
      </c>
      <c r="H4291" s="9">
        <v>62.990000000000002</v>
      </c>
      <c r="I4291" s="9">
        <f>H4291-G4291</f>
        <v>18.897000000000006</v>
      </c>
    </row>
    <row r="4292" ht="14.25">
      <c r="A4292" s="5">
        <v>91149</v>
      </c>
      <c r="B4292" s="7" t="s">
        <v>4387</v>
      </c>
      <c r="C4292" s="7" t="s">
        <v>3265</v>
      </c>
      <c r="D4292" s="7" t="s">
        <v>183</v>
      </c>
      <c r="E4292" s="5" t="s">
        <v>15</v>
      </c>
      <c r="F4292" s="8"/>
      <c r="G4292" s="9">
        <f>H4292*(1-30%)*(1-F4292)</f>
        <v>44.092999999999996</v>
      </c>
      <c r="H4292" s="9">
        <v>62.990000000000002</v>
      </c>
      <c r="I4292" s="9">
        <f>H4292-G4292</f>
        <v>18.897000000000006</v>
      </c>
    </row>
    <row r="4293" ht="14.25">
      <c r="A4293" s="5">
        <v>91254</v>
      </c>
      <c r="B4293" s="7" t="s">
        <v>4388</v>
      </c>
      <c r="C4293" s="7" t="s">
        <v>3290</v>
      </c>
      <c r="D4293" s="7" t="s">
        <v>183</v>
      </c>
      <c r="E4293" s="5" t="s">
        <v>15</v>
      </c>
      <c r="F4293" s="8"/>
      <c r="G4293" s="9">
        <f>H4293*(1-30%)*(1-F4293)</f>
        <v>13.992999999999999</v>
      </c>
      <c r="H4293" s="9">
        <v>19.989999999999998</v>
      </c>
      <c r="I4293" s="9">
        <f>H4293-G4293</f>
        <v>5.9969999999999999</v>
      </c>
    </row>
    <row r="4294" ht="14.25">
      <c r="A4294" s="5">
        <v>91287</v>
      </c>
      <c r="B4294" s="7" t="s">
        <v>4389</v>
      </c>
      <c r="C4294" s="7" t="s">
        <v>3290</v>
      </c>
      <c r="D4294" s="7" t="s">
        <v>183</v>
      </c>
      <c r="E4294" s="5" t="s">
        <v>15</v>
      </c>
      <c r="F4294" s="8"/>
      <c r="G4294" s="9">
        <f>H4294*(1-30%)*(1-F4294)</f>
        <v>37.729999999999997</v>
      </c>
      <c r="H4294" s="9">
        <v>53.899999999999999</v>
      </c>
      <c r="I4294" s="9">
        <f>H4294-G4294</f>
        <v>16.170000000000002</v>
      </c>
    </row>
    <row r="4295" ht="14.25">
      <c r="A4295" s="5">
        <v>91302</v>
      </c>
      <c r="B4295" s="7" t="s">
        <v>4390</v>
      </c>
      <c r="C4295" s="7" t="s">
        <v>3276</v>
      </c>
      <c r="D4295" s="7" t="s">
        <v>11</v>
      </c>
      <c r="E4295" s="5" t="s">
        <v>43</v>
      </c>
      <c r="F4295" s="8"/>
      <c r="G4295" s="9">
        <f>H4295*(1-30%)*(1-F4295)</f>
        <v>51.092999999999996</v>
      </c>
      <c r="H4295" s="9">
        <v>72.989999999999995</v>
      </c>
      <c r="I4295" s="9">
        <f>H4295-G4295</f>
        <v>21.896999999999998</v>
      </c>
    </row>
    <row r="4296" ht="14.25">
      <c r="A4296" s="5">
        <v>91304</v>
      </c>
      <c r="B4296" s="7" t="s">
        <v>4391</v>
      </c>
      <c r="C4296" s="7" t="s">
        <v>3276</v>
      </c>
      <c r="D4296" s="7" t="s">
        <v>11</v>
      </c>
      <c r="E4296" s="5" t="s">
        <v>43</v>
      </c>
      <c r="F4296" s="8"/>
      <c r="G4296" s="9">
        <f>H4296*(1-30%)*(1-F4296)</f>
        <v>51.092999999999996</v>
      </c>
      <c r="H4296" s="9">
        <v>72.989999999999995</v>
      </c>
      <c r="I4296" s="9">
        <f>H4296-G4296</f>
        <v>21.896999999999998</v>
      </c>
    </row>
    <row r="4297" ht="14.25">
      <c r="A4297" s="5">
        <v>91307</v>
      </c>
      <c r="B4297" s="7" t="s">
        <v>4392</v>
      </c>
      <c r="C4297" s="7" t="s">
        <v>3276</v>
      </c>
      <c r="D4297" s="7" t="s">
        <v>103</v>
      </c>
      <c r="E4297" s="5" t="s">
        <v>15</v>
      </c>
      <c r="F4297" s="8"/>
      <c r="G4297" s="9">
        <f>H4297*(1-30%)*(1-F4297)</f>
        <v>27.992999999999999</v>
      </c>
      <c r="H4297" s="9">
        <v>39.990000000000002</v>
      </c>
      <c r="I4297" s="9">
        <f>H4297-G4297</f>
        <v>11.997000000000003</v>
      </c>
    </row>
    <row r="4298" ht="14.25">
      <c r="A4298" s="5">
        <v>91314</v>
      </c>
      <c r="B4298" s="7" t="s">
        <v>4393</v>
      </c>
      <c r="C4298" s="7" t="s">
        <v>3276</v>
      </c>
      <c r="D4298" s="7" t="s">
        <v>45</v>
      </c>
      <c r="E4298" s="5" t="s">
        <v>15</v>
      </c>
      <c r="F4298" s="8"/>
      <c r="G4298" s="9">
        <f>H4298*(1-30%)*(1-F4298)</f>
        <v>13.992999999999999</v>
      </c>
      <c r="H4298" s="9">
        <v>19.989999999999998</v>
      </c>
      <c r="I4298" s="9">
        <f>H4298-G4298</f>
        <v>5.9969999999999999</v>
      </c>
    </row>
    <row r="4299" ht="14.25">
      <c r="A4299" s="5">
        <v>91315</v>
      </c>
      <c r="B4299" s="7" t="s">
        <v>4394</v>
      </c>
      <c r="C4299" s="7" t="s">
        <v>3276</v>
      </c>
      <c r="D4299" s="7" t="s">
        <v>45</v>
      </c>
      <c r="E4299" s="5" t="s">
        <v>15</v>
      </c>
      <c r="F4299" s="8"/>
      <c r="G4299" s="9">
        <f>H4299*(1-30%)*(1-F4299)</f>
        <v>26.593</v>
      </c>
      <c r="H4299" s="9">
        <v>37.990000000000002</v>
      </c>
      <c r="I4299" s="9">
        <f>H4299-G4299</f>
        <v>11.397000000000002</v>
      </c>
    </row>
    <row r="4300" ht="14.25">
      <c r="A4300" s="5">
        <v>91316</v>
      </c>
      <c r="B4300" s="7" t="s">
        <v>4395</v>
      </c>
      <c r="C4300" s="7" t="s">
        <v>3276</v>
      </c>
      <c r="D4300" s="7" t="s">
        <v>103</v>
      </c>
      <c r="E4300" s="5" t="s">
        <v>15</v>
      </c>
      <c r="F4300" s="8"/>
      <c r="G4300" s="9">
        <f>H4300*(1-30%)*(1-F4300)</f>
        <v>27.992999999999999</v>
      </c>
      <c r="H4300" s="9">
        <v>39.990000000000002</v>
      </c>
      <c r="I4300" s="9">
        <f>H4300-G4300</f>
        <v>11.997000000000003</v>
      </c>
    </row>
    <row r="4301" ht="14.25">
      <c r="A4301" s="5">
        <v>91318</v>
      </c>
      <c r="B4301" s="7" t="s">
        <v>4396</v>
      </c>
      <c r="C4301" s="7" t="s">
        <v>3276</v>
      </c>
      <c r="D4301" s="7" t="s">
        <v>103</v>
      </c>
      <c r="E4301" s="5" t="s">
        <v>15</v>
      </c>
      <c r="F4301" s="8"/>
      <c r="G4301" s="9">
        <f>H4301*(1-30%)*(1-F4301)</f>
        <v>27.992999999999999</v>
      </c>
      <c r="H4301" s="9">
        <v>39.990000000000002</v>
      </c>
      <c r="I4301" s="9">
        <f>H4301-G4301</f>
        <v>11.997000000000003</v>
      </c>
    </row>
    <row r="4302" ht="14.25">
      <c r="A4302" s="5">
        <v>91320</v>
      </c>
      <c r="B4302" s="7" t="s">
        <v>4397</v>
      </c>
      <c r="C4302" s="7" t="s">
        <v>3276</v>
      </c>
      <c r="D4302" s="7" t="s">
        <v>103</v>
      </c>
      <c r="E4302" s="5" t="s">
        <v>15</v>
      </c>
      <c r="F4302" s="8"/>
      <c r="G4302" s="9">
        <f>H4302*(1-30%)*(1-F4302)</f>
        <v>24.492999999999999</v>
      </c>
      <c r="H4302" s="9">
        <v>34.990000000000002</v>
      </c>
      <c r="I4302" s="9">
        <f>H4302-G4302</f>
        <v>10.497000000000003</v>
      </c>
    </row>
    <row r="4303" ht="14.25">
      <c r="A4303" s="5">
        <v>91324</v>
      </c>
      <c r="B4303" s="7" t="s">
        <v>4398</v>
      </c>
      <c r="C4303" s="7" t="s">
        <v>3276</v>
      </c>
      <c r="D4303" s="7" t="s">
        <v>45</v>
      </c>
      <c r="E4303" s="5" t="s">
        <v>15</v>
      </c>
      <c r="F4303" s="8"/>
      <c r="G4303" s="9">
        <f>H4303*(1-30%)*(1-F4303)</f>
        <v>41.292999999999999</v>
      </c>
      <c r="H4303" s="9">
        <v>58.990000000000002</v>
      </c>
      <c r="I4303" s="9">
        <f>H4303-G4303</f>
        <v>17.697000000000003</v>
      </c>
    </row>
    <row r="4304" ht="14.25">
      <c r="A4304" s="5">
        <v>91325</v>
      </c>
      <c r="B4304" s="7" t="s">
        <v>4399</v>
      </c>
      <c r="C4304" s="7" t="s">
        <v>3276</v>
      </c>
      <c r="D4304" s="7" t="s">
        <v>45</v>
      </c>
      <c r="E4304" s="5" t="s">
        <v>15</v>
      </c>
      <c r="F4304" s="8"/>
      <c r="G4304" s="9">
        <f>H4304*(1-30%)*(1-F4304)</f>
        <v>41.292999999999999</v>
      </c>
      <c r="H4304" s="9">
        <v>58.990000000000002</v>
      </c>
      <c r="I4304" s="9">
        <f>H4304-G4304</f>
        <v>17.697000000000003</v>
      </c>
    </row>
    <row r="4305" ht="14.25">
      <c r="A4305" s="5">
        <v>91330</v>
      </c>
      <c r="B4305" s="7" t="s">
        <v>4400</v>
      </c>
      <c r="C4305" s="7" t="s">
        <v>3276</v>
      </c>
      <c r="D4305" s="7" t="s">
        <v>95</v>
      </c>
      <c r="E4305" s="5" t="s">
        <v>3268</v>
      </c>
      <c r="F4305" s="8"/>
      <c r="G4305" s="9">
        <f>H4305*(1-30%)*(1-F4305)</f>
        <v>19.592999999999996</v>
      </c>
      <c r="H4305" s="9">
        <v>27.989999999999998</v>
      </c>
      <c r="I4305" s="9">
        <f>H4305-G4305</f>
        <v>8.397000000000002</v>
      </c>
    </row>
    <row r="4306" ht="14.25">
      <c r="A4306" s="5">
        <v>91331</v>
      </c>
      <c r="B4306" s="7" t="s">
        <v>4401</v>
      </c>
      <c r="C4306" s="7" t="s">
        <v>3276</v>
      </c>
      <c r="D4306" s="7" t="s">
        <v>95</v>
      </c>
      <c r="E4306" s="5" t="s">
        <v>15</v>
      </c>
      <c r="F4306" s="8"/>
      <c r="G4306" s="9">
        <f>H4306*(1-30%)*(1-F4306)</f>
        <v>20.992999999999999</v>
      </c>
      <c r="H4306" s="9">
        <v>29.989999999999998</v>
      </c>
      <c r="I4306" s="9">
        <f>H4306-G4306</f>
        <v>8.9969999999999999</v>
      </c>
    </row>
    <row r="4307" ht="14.25">
      <c r="A4307" s="5">
        <v>91332</v>
      </c>
      <c r="B4307" s="7" t="s">
        <v>4402</v>
      </c>
      <c r="C4307" s="7" t="s">
        <v>3276</v>
      </c>
      <c r="D4307" s="7" t="s">
        <v>95</v>
      </c>
      <c r="E4307" s="5" t="s">
        <v>26</v>
      </c>
      <c r="F4307" s="8"/>
      <c r="G4307" s="9">
        <f>H4307*(1-30%)*(1-F4307)</f>
        <v>20.992999999999999</v>
      </c>
      <c r="H4307" s="9">
        <v>29.989999999999998</v>
      </c>
      <c r="I4307" s="9">
        <f>H4307-G4307</f>
        <v>8.9969999999999999</v>
      </c>
    </row>
    <row r="4308" ht="14.25">
      <c r="A4308" s="5">
        <v>91336</v>
      </c>
      <c r="B4308" s="7" t="s">
        <v>4403</v>
      </c>
      <c r="C4308" s="7" t="s">
        <v>3276</v>
      </c>
      <c r="D4308" s="7" t="s">
        <v>103</v>
      </c>
      <c r="E4308" s="5" t="s">
        <v>15</v>
      </c>
      <c r="F4308" s="8"/>
      <c r="G4308" s="9">
        <f>H4308*(1-30%)*(1-F4308)</f>
        <v>27.992999999999999</v>
      </c>
      <c r="H4308" s="9">
        <v>39.990000000000002</v>
      </c>
      <c r="I4308" s="9">
        <f>H4308-G4308</f>
        <v>11.997000000000003</v>
      </c>
    </row>
    <row r="4309" ht="14.25">
      <c r="A4309" s="5">
        <v>91376</v>
      </c>
      <c r="B4309" s="7" t="s">
        <v>4404</v>
      </c>
      <c r="C4309" s="7" t="s">
        <v>3290</v>
      </c>
      <c r="D4309" s="7" t="s">
        <v>1447</v>
      </c>
      <c r="E4309" s="5" t="s">
        <v>15</v>
      </c>
      <c r="F4309" s="8"/>
      <c r="G4309" s="9">
        <f>H4309*(1-30%)*(1-F4309)</f>
        <v>5.25</v>
      </c>
      <c r="H4309" s="9">
        <v>7.5</v>
      </c>
      <c r="I4309" s="9">
        <f>H4309-G4309</f>
        <v>2.25</v>
      </c>
    </row>
    <row r="4310" ht="14.25">
      <c r="A4310" s="5">
        <v>91377</v>
      </c>
      <c r="B4310" s="7" t="s">
        <v>4405</v>
      </c>
      <c r="C4310" s="7" t="s">
        <v>3290</v>
      </c>
      <c r="D4310" s="7" t="s">
        <v>1447</v>
      </c>
      <c r="E4310" s="5" t="s">
        <v>15</v>
      </c>
      <c r="F4310" s="8"/>
      <c r="G4310" s="9">
        <f>H4310*(1-30%)*(1-F4310)</f>
        <v>5.9499999999999993</v>
      </c>
      <c r="H4310" s="9">
        <v>8.5</v>
      </c>
      <c r="I4310" s="9">
        <f>H4310-G4310</f>
        <v>2.5500000000000007</v>
      </c>
    </row>
    <row r="4311" ht="14.25">
      <c r="A4311" s="5">
        <v>91379</v>
      </c>
      <c r="B4311" s="7" t="s">
        <v>4406</v>
      </c>
      <c r="C4311" s="7" t="s">
        <v>3324</v>
      </c>
      <c r="D4311" s="7" t="s">
        <v>110</v>
      </c>
      <c r="E4311" s="5" t="s">
        <v>26</v>
      </c>
      <c r="F4311" s="8"/>
      <c r="G4311" s="9">
        <f>H4311*(1-30%)*(1-F4311)</f>
        <v>38.493000000000002</v>
      </c>
      <c r="H4311" s="9">
        <v>54.990000000000002</v>
      </c>
      <c r="I4311" s="9">
        <f>H4311-G4311</f>
        <v>16.497</v>
      </c>
    </row>
    <row r="4312" ht="14.25">
      <c r="A4312" s="5">
        <v>91380</v>
      </c>
      <c r="B4312" s="7" t="s">
        <v>4407</v>
      </c>
      <c r="C4312" s="7" t="s">
        <v>3324</v>
      </c>
      <c r="D4312" s="7" t="s">
        <v>110</v>
      </c>
      <c r="E4312" s="5" t="s">
        <v>26</v>
      </c>
      <c r="F4312" s="8"/>
      <c r="G4312" s="9">
        <f>H4312*(1-30%)*(1-F4312)</f>
        <v>41.993000000000002</v>
      </c>
      <c r="H4312" s="9">
        <v>59.990000000000002</v>
      </c>
      <c r="I4312" s="9">
        <f>H4312-G4312</f>
        <v>17.997</v>
      </c>
    </row>
    <row r="4313" ht="14.25">
      <c r="A4313" s="5">
        <v>91393</v>
      </c>
      <c r="B4313" s="7" t="s">
        <v>4408</v>
      </c>
      <c r="C4313" s="7" t="s">
        <v>3276</v>
      </c>
      <c r="D4313" s="7" t="s">
        <v>45</v>
      </c>
      <c r="E4313" s="5" t="s">
        <v>15</v>
      </c>
      <c r="F4313" s="8"/>
      <c r="G4313" s="9">
        <f>H4313*(1-30%)*(1-F4313)</f>
        <v>13.992999999999999</v>
      </c>
      <c r="H4313" s="9">
        <v>19.989999999999998</v>
      </c>
      <c r="I4313" s="9">
        <f>H4313-G4313</f>
        <v>5.9969999999999999</v>
      </c>
    </row>
    <row r="4314" ht="14.25">
      <c r="A4314" s="5">
        <v>91395</v>
      </c>
      <c r="B4314" s="7" t="s">
        <v>4409</v>
      </c>
      <c r="C4314" s="7" t="s">
        <v>3276</v>
      </c>
      <c r="D4314" s="7" t="s">
        <v>45</v>
      </c>
      <c r="E4314" s="5" t="s">
        <v>15</v>
      </c>
      <c r="F4314" s="8"/>
      <c r="G4314" s="9">
        <f>H4314*(1-30%)*(1-F4314)</f>
        <v>34.993000000000002</v>
      </c>
      <c r="H4314" s="9">
        <v>49.990000000000002</v>
      </c>
      <c r="I4314" s="9">
        <f>H4314-G4314</f>
        <v>14.997</v>
      </c>
    </row>
    <row r="4315" ht="14.25">
      <c r="A4315" s="5">
        <v>91402</v>
      </c>
      <c r="B4315" s="7" t="s">
        <v>4410</v>
      </c>
      <c r="C4315" s="7" t="s">
        <v>1446</v>
      </c>
      <c r="D4315" s="7" t="s">
        <v>1447</v>
      </c>
      <c r="E4315" s="5" t="s">
        <v>15</v>
      </c>
      <c r="F4315" s="8"/>
      <c r="G4315" s="9">
        <f>H4315*(1-30%)*(1-F4315)</f>
        <v>3.4929999999999999</v>
      </c>
      <c r="H4315" s="9">
        <v>4.9900000000000002</v>
      </c>
      <c r="I4315" s="9">
        <f>H4315-G4315</f>
        <v>1.4970000000000003</v>
      </c>
    </row>
    <row r="4316" ht="14.25">
      <c r="A4316" s="5">
        <v>91413</v>
      </c>
      <c r="B4316" s="7" t="s">
        <v>4411</v>
      </c>
      <c r="C4316" s="7" t="s">
        <v>3290</v>
      </c>
      <c r="D4316" s="7" t="s">
        <v>11</v>
      </c>
      <c r="E4316" s="5" t="s">
        <v>15</v>
      </c>
      <c r="F4316" s="8"/>
      <c r="G4316" s="9">
        <f>H4316*(1-30%)*(1-F4316)</f>
        <v>97.992999999999995</v>
      </c>
      <c r="H4316" s="9">
        <v>139.99000000000001</v>
      </c>
      <c r="I4316" s="9">
        <f>H4316-G4316</f>
        <v>41.997000000000014</v>
      </c>
    </row>
    <row r="4317" ht="14.25">
      <c r="A4317" s="5">
        <v>91448</v>
      </c>
      <c r="B4317" s="7" t="s">
        <v>4412</v>
      </c>
      <c r="C4317" s="7" t="s">
        <v>3265</v>
      </c>
      <c r="D4317" s="7" t="s">
        <v>470</v>
      </c>
      <c r="E4317" s="5" t="s">
        <v>15</v>
      </c>
      <c r="F4317" s="8"/>
      <c r="G4317" s="9">
        <f>H4317*(1-30%)*(1-F4317)</f>
        <v>13.992999999999999</v>
      </c>
      <c r="H4317" s="9">
        <v>19.989999999999998</v>
      </c>
      <c r="I4317" s="9">
        <f>H4317-G4317</f>
        <v>5.9969999999999999</v>
      </c>
    </row>
    <row r="4318" ht="14.25">
      <c r="A4318" s="5">
        <v>91468</v>
      </c>
      <c r="B4318" s="7" t="s">
        <v>4413</v>
      </c>
      <c r="C4318" s="7" t="s">
        <v>3276</v>
      </c>
      <c r="D4318" s="7" t="s">
        <v>95</v>
      </c>
      <c r="E4318" s="5" t="s">
        <v>43</v>
      </c>
      <c r="F4318" s="8"/>
      <c r="G4318" s="9">
        <f>H4318*(1-30%)*(1-F4318)</f>
        <v>37.092999999999996</v>
      </c>
      <c r="H4318" s="9">
        <v>52.990000000000002</v>
      </c>
      <c r="I4318" s="9">
        <f>H4318-G4318</f>
        <v>15.897000000000006</v>
      </c>
    </row>
    <row r="4319" ht="14.25">
      <c r="A4319" s="5">
        <v>91490</v>
      </c>
      <c r="B4319" s="7" t="s">
        <v>4414</v>
      </c>
      <c r="C4319" s="7" t="s">
        <v>3290</v>
      </c>
      <c r="D4319" s="7" t="s">
        <v>183</v>
      </c>
      <c r="E4319" s="5" t="s">
        <v>15</v>
      </c>
      <c r="F4319" s="8"/>
      <c r="G4319" s="9">
        <f>H4319*(1-30%)*(1-F4319)</f>
        <v>27.992999999999999</v>
      </c>
      <c r="H4319" s="9">
        <v>39.990000000000002</v>
      </c>
      <c r="I4319" s="9">
        <f>H4319-G4319</f>
        <v>11.997000000000003</v>
      </c>
    </row>
    <row r="4320" ht="14.25">
      <c r="A4320" s="5">
        <v>91491</v>
      </c>
      <c r="B4320" s="7" t="s">
        <v>4415</v>
      </c>
      <c r="C4320" s="7" t="s">
        <v>3290</v>
      </c>
      <c r="D4320" s="7" t="s">
        <v>183</v>
      </c>
      <c r="E4320" s="5" t="s">
        <v>15</v>
      </c>
      <c r="F4320" s="8"/>
      <c r="G4320" s="9">
        <f>H4320*(1-30%)*(1-F4320)</f>
        <v>41.993000000000002</v>
      </c>
      <c r="H4320" s="9">
        <v>59.990000000000002</v>
      </c>
      <c r="I4320" s="9">
        <f>H4320-G4320</f>
        <v>17.997</v>
      </c>
    </row>
    <row r="4321" ht="14.25">
      <c r="A4321" s="5">
        <v>91540</v>
      </c>
      <c r="B4321" s="7" t="s">
        <v>4416</v>
      </c>
      <c r="C4321" s="7" t="s">
        <v>3324</v>
      </c>
      <c r="D4321" s="7" t="s">
        <v>110</v>
      </c>
      <c r="E4321" s="5" t="s">
        <v>26</v>
      </c>
      <c r="F4321" s="8"/>
      <c r="G4321" s="9">
        <f>H4321*(1-30%)*(1-F4321)</f>
        <v>27.992999999999999</v>
      </c>
      <c r="H4321" s="9">
        <v>39.990000000000002</v>
      </c>
      <c r="I4321" s="9">
        <f>H4321-G4321</f>
        <v>11.997000000000003</v>
      </c>
    </row>
    <row r="4322" ht="14.25">
      <c r="A4322" s="5">
        <v>91541</v>
      </c>
      <c r="B4322" s="7" t="s">
        <v>4417</v>
      </c>
      <c r="C4322" s="7" t="s">
        <v>3324</v>
      </c>
      <c r="D4322" s="7" t="s">
        <v>110</v>
      </c>
      <c r="E4322" s="5" t="s">
        <v>26</v>
      </c>
      <c r="F4322" s="8"/>
      <c r="G4322" s="9">
        <f>H4322*(1-30%)*(1-F4322)</f>
        <v>27.992999999999999</v>
      </c>
      <c r="H4322" s="9">
        <v>39.990000000000002</v>
      </c>
      <c r="I4322" s="9">
        <f>H4322-G4322</f>
        <v>11.997000000000003</v>
      </c>
    </row>
    <row r="4323" ht="14.25">
      <c r="A4323" s="5">
        <v>91583</v>
      </c>
      <c r="B4323" s="7" t="s">
        <v>4418</v>
      </c>
      <c r="C4323" s="7" t="s">
        <v>3324</v>
      </c>
      <c r="D4323" s="7" t="s">
        <v>110</v>
      </c>
      <c r="E4323" s="5" t="s">
        <v>26</v>
      </c>
      <c r="F4323" s="8"/>
      <c r="G4323" s="9">
        <f>H4323*(1-30%)*(1-F4323)</f>
        <v>34.993000000000002</v>
      </c>
      <c r="H4323" s="9">
        <v>49.990000000000002</v>
      </c>
      <c r="I4323" s="9">
        <f>H4323-G4323</f>
        <v>14.997</v>
      </c>
    </row>
    <row r="4324" ht="14.25">
      <c r="A4324" s="5">
        <v>91584</v>
      </c>
      <c r="B4324" s="7" t="s">
        <v>4419</v>
      </c>
      <c r="C4324" s="7" t="s">
        <v>3324</v>
      </c>
      <c r="D4324" s="7" t="s">
        <v>110</v>
      </c>
      <c r="E4324" s="5" t="s">
        <v>43</v>
      </c>
      <c r="F4324" s="8"/>
      <c r="G4324" s="9">
        <f>H4324*(1-30%)*(1-F4324)</f>
        <v>27.992999999999999</v>
      </c>
      <c r="H4324" s="9">
        <v>39.990000000000002</v>
      </c>
      <c r="I4324" s="9">
        <f>H4324-G4324</f>
        <v>11.997000000000003</v>
      </c>
    </row>
    <row r="4325" ht="14.25">
      <c r="A4325" s="5">
        <v>91587</v>
      </c>
      <c r="B4325" s="7" t="s">
        <v>4420</v>
      </c>
      <c r="C4325" s="7" t="s">
        <v>3324</v>
      </c>
      <c r="D4325" s="7" t="s">
        <v>110</v>
      </c>
      <c r="E4325" s="5" t="s">
        <v>26</v>
      </c>
      <c r="F4325" s="8"/>
      <c r="G4325" s="9">
        <f>H4325*(1-30%)*(1-F4325)</f>
        <v>41.993000000000002</v>
      </c>
      <c r="H4325" s="9">
        <v>59.990000000000002</v>
      </c>
      <c r="I4325" s="9">
        <f>H4325-G4325</f>
        <v>17.997</v>
      </c>
    </row>
    <row r="4326" ht="14.25">
      <c r="A4326" s="5">
        <v>91588</v>
      </c>
      <c r="B4326" s="7" t="s">
        <v>4421</v>
      </c>
      <c r="C4326" s="7" t="s">
        <v>3324</v>
      </c>
      <c r="D4326" s="7" t="s">
        <v>110</v>
      </c>
      <c r="E4326" s="5" t="s">
        <v>26</v>
      </c>
      <c r="F4326" s="8"/>
      <c r="G4326" s="9">
        <f>H4326*(1-30%)*(1-F4326)</f>
        <v>41.993000000000002</v>
      </c>
      <c r="H4326" s="9">
        <v>59.990000000000002</v>
      </c>
      <c r="I4326" s="9">
        <f>H4326-G4326</f>
        <v>17.997</v>
      </c>
    </row>
    <row r="4327" ht="14.25">
      <c r="A4327" s="5">
        <v>91589</v>
      </c>
      <c r="B4327" s="7" t="s">
        <v>4422</v>
      </c>
      <c r="C4327" s="7" t="s">
        <v>3324</v>
      </c>
      <c r="D4327" s="7" t="s">
        <v>110</v>
      </c>
      <c r="E4327" s="5" t="s">
        <v>15</v>
      </c>
      <c r="F4327" s="8"/>
      <c r="G4327" s="9">
        <f>H4327*(1-30%)*(1-F4327)</f>
        <v>41.993000000000002</v>
      </c>
      <c r="H4327" s="9">
        <v>59.990000000000002</v>
      </c>
      <c r="I4327" s="9">
        <f>H4327-G4327</f>
        <v>17.997</v>
      </c>
    </row>
    <row r="4328" ht="14.25">
      <c r="A4328" s="5">
        <v>91646</v>
      </c>
      <c r="B4328" s="7" t="s">
        <v>4423</v>
      </c>
      <c r="C4328" s="7" t="s">
        <v>3324</v>
      </c>
      <c r="D4328" s="7" t="s">
        <v>110</v>
      </c>
      <c r="E4328" s="5" t="s">
        <v>26</v>
      </c>
      <c r="F4328" s="8"/>
      <c r="G4328" s="9">
        <f>H4328*(1-30%)*(1-F4328)</f>
        <v>41.993000000000002</v>
      </c>
      <c r="H4328" s="9">
        <v>59.990000000000002</v>
      </c>
      <c r="I4328" s="9">
        <f>H4328-G4328</f>
        <v>17.997</v>
      </c>
    </row>
    <row r="4329" ht="14.25">
      <c r="A4329" s="5">
        <v>91647</v>
      </c>
      <c r="B4329" s="7" t="s">
        <v>4424</v>
      </c>
      <c r="C4329" s="7" t="s">
        <v>3324</v>
      </c>
      <c r="D4329" s="7" t="s">
        <v>110</v>
      </c>
      <c r="E4329" s="5" t="s">
        <v>26</v>
      </c>
      <c r="F4329" s="8"/>
      <c r="G4329" s="9">
        <f>H4329*(1-30%)*(1-F4329)</f>
        <v>41.993000000000002</v>
      </c>
      <c r="H4329" s="9">
        <v>59.990000000000002</v>
      </c>
      <c r="I4329" s="9">
        <f>H4329-G4329</f>
        <v>17.997</v>
      </c>
    </row>
    <row r="4330" ht="14.25">
      <c r="A4330" s="5">
        <v>91715</v>
      </c>
      <c r="B4330" s="7" t="s">
        <v>4425</v>
      </c>
      <c r="C4330" s="7" t="s">
        <v>3581</v>
      </c>
      <c r="D4330" s="7" t="s">
        <v>11</v>
      </c>
      <c r="E4330" s="5" t="s">
        <v>3513</v>
      </c>
      <c r="F4330" s="8"/>
      <c r="G4330" s="9">
        <f>H4330*(1-30%)*(1-F4330)</f>
        <v>118.92999999999999</v>
      </c>
      <c r="H4330" s="9">
        <v>169.90000000000001</v>
      </c>
      <c r="I4330" s="9">
        <f>H4330-G4330</f>
        <v>50.970000000000013</v>
      </c>
    </row>
    <row r="4331" ht="14.25">
      <c r="A4331" s="5">
        <v>91801</v>
      </c>
      <c r="B4331" s="7" t="s">
        <v>4426</v>
      </c>
      <c r="C4331" s="7" t="s">
        <v>3290</v>
      </c>
      <c r="D4331" s="7" t="s">
        <v>1447</v>
      </c>
      <c r="E4331" s="5" t="s">
        <v>15</v>
      </c>
      <c r="F4331" s="8"/>
      <c r="G4331" s="9">
        <f>H4331*(1-30%)*(1-F4331)</f>
        <v>5.5300000000000002</v>
      </c>
      <c r="H4331" s="9">
        <v>7.9000000000000004</v>
      </c>
      <c r="I4331" s="9">
        <f>H4331-G4331</f>
        <v>2.3700000000000001</v>
      </c>
    </row>
    <row r="4332" ht="14.25">
      <c r="A4332" s="5">
        <v>91850</v>
      </c>
      <c r="B4332" s="7" t="s">
        <v>4427</v>
      </c>
      <c r="C4332" s="7" t="s">
        <v>3290</v>
      </c>
      <c r="D4332" s="7" t="s">
        <v>183</v>
      </c>
      <c r="E4332" s="5" t="s">
        <v>15</v>
      </c>
      <c r="F4332" s="8"/>
      <c r="G4332" s="9">
        <f>H4332*(1-30%)*(1-F4332)</f>
        <v>41.993000000000002</v>
      </c>
      <c r="H4332" s="9">
        <v>59.990000000000002</v>
      </c>
      <c r="I4332" s="9">
        <f>H4332-G4332</f>
        <v>17.997</v>
      </c>
    </row>
    <row r="4333" ht="14.25">
      <c r="A4333" s="5">
        <v>91852</v>
      </c>
      <c r="B4333" s="7" t="s">
        <v>4428</v>
      </c>
      <c r="C4333" s="7" t="s">
        <v>3290</v>
      </c>
      <c r="D4333" s="7" t="s">
        <v>183</v>
      </c>
      <c r="E4333" s="5" t="s">
        <v>15</v>
      </c>
      <c r="F4333" s="8"/>
      <c r="G4333" s="9">
        <f>H4333*(1-30%)*(1-F4333)</f>
        <v>37.092999999999996</v>
      </c>
      <c r="H4333" s="9">
        <v>52.990000000000002</v>
      </c>
      <c r="I4333" s="9">
        <f>H4333-G4333</f>
        <v>15.897000000000006</v>
      </c>
    </row>
    <row r="4334" ht="14.25">
      <c r="A4334" s="5">
        <v>91855</v>
      </c>
      <c r="B4334" s="7" t="s">
        <v>4429</v>
      </c>
      <c r="C4334" s="7" t="s">
        <v>3290</v>
      </c>
      <c r="D4334" s="7" t="s">
        <v>183</v>
      </c>
      <c r="E4334" s="5" t="s">
        <v>15</v>
      </c>
      <c r="F4334" s="8"/>
      <c r="G4334" s="9">
        <f>H4334*(1-30%)*(1-F4334)</f>
        <v>30.029999999999998</v>
      </c>
      <c r="H4334" s="9">
        <v>42.899999999999999</v>
      </c>
      <c r="I4334" s="9">
        <f>H4334-G4334</f>
        <v>12.870000000000001</v>
      </c>
    </row>
    <row r="4335" ht="14.25">
      <c r="A4335" s="5">
        <v>91880</v>
      </c>
      <c r="B4335" s="7" t="s">
        <v>4430</v>
      </c>
      <c r="C4335" s="7" t="s">
        <v>3290</v>
      </c>
      <c r="D4335" s="7" t="s">
        <v>183</v>
      </c>
      <c r="E4335" s="5" t="s">
        <v>15</v>
      </c>
      <c r="F4335" s="8"/>
      <c r="G4335" s="9">
        <f>H4335*(1-30%)*(1-F4335)</f>
        <v>27.992999999999999</v>
      </c>
      <c r="H4335" s="9">
        <v>39.990000000000002</v>
      </c>
      <c r="I4335" s="9">
        <f>H4335-G4335</f>
        <v>11.997000000000003</v>
      </c>
    </row>
    <row r="4336" ht="14.25">
      <c r="A4336" s="5">
        <v>91882</v>
      </c>
      <c r="B4336" s="7" t="s">
        <v>4431</v>
      </c>
      <c r="C4336" s="7" t="s">
        <v>3290</v>
      </c>
      <c r="D4336" s="7" t="s">
        <v>183</v>
      </c>
      <c r="E4336" s="5" t="s">
        <v>15</v>
      </c>
      <c r="F4336" s="8"/>
      <c r="G4336" s="9">
        <f>H4336*(1-30%)*(1-F4336)</f>
        <v>68.530000000000001</v>
      </c>
      <c r="H4336" s="9">
        <v>97.900000000000006</v>
      </c>
      <c r="I4336" s="9">
        <f>H4336-G4336</f>
        <v>29.370000000000005</v>
      </c>
    </row>
    <row r="4337" ht="14.25">
      <c r="A4337" s="5">
        <v>91887</v>
      </c>
      <c r="B4337" s="7" t="s">
        <v>4432</v>
      </c>
      <c r="C4337" s="7" t="s">
        <v>3290</v>
      </c>
      <c r="D4337" s="7" t="s">
        <v>183</v>
      </c>
      <c r="E4337" s="5" t="s">
        <v>15</v>
      </c>
      <c r="F4337" s="8"/>
      <c r="G4337" s="9">
        <f>H4337*(1-30%)*(1-F4337)</f>
        <v>55.992999999999995</v>
      </c>
      <c r="H4337" s="9">
        <v>79.989999999999995</v>
      </c>
      <c r="I4337" s="9">
        <f>H4337-G4337</f>
        <v>23.997</v>
      </c>
    </row>
    <row r="4338" ht="14.25">
      <c r="A4338" s="5">
        <v>91888</v>
      </c>
      <c r="B4338" s="7" t="s">
        <v>4433</v>
      </c>
      <c r="C4338" s="7" t="s">
        <v>3290</v>
      </c>
      <c r="D4338" s="7" t="s">
        <v>183</v>
      </c>
      <c r="E4338" s="5" t="s">
        <v>15</v>
      </c>
      <c r="F4338" s="8"/>
      <c r="G4338" s="9">
        <f>H4338*(1-30%)*(1-F4338)</f>
        <v>37.792999999999999</v>
      </c>
      <c r="H4338" s="9">
        <v>53.990000000000002</v>
      </c>
      <c r="I4338" s="9">
        <f>H4338-G4338</f>
        <v>16.197000000000003</v>
      </c>
    </row>
    <row r="4339" ht="14.25">
      <c r="A4339" s="5">
        <v>91890</v>
      </c>
      <c r="B4339" s="7" t="s">
        <v>4434</v>
      </c>
      <c r="C4339" s="7" t="s">
        <v>3290</v>
      </c>
      <c r="D4339" s="7" t="s">
        <v>183</v>
      </c>
      <c r="E4339" s="5" t="s">
        <v>15</v>
      </c>
      <c r="F4339" s="8"/>
      <c r="G4339" s="9">
        <f>H4339*(1-30%)*(1-F4339)</f>
        <v>41.993000000000002</v>
      </c>
      <c r="H4339" s="9">
        <v>59.990000000000002</v>
      </c>
      <c r="I4339" s="9">
        <f>H4339-G4339</f>
        <v>17.997</v>
      </c>
    </row>
    <row r="4340" ht="14.25">
      <c r="A4340" s="5">
        <v>91895</v>
      </c>
      <c r="B4340" s="7" t="s">
        <v>4435</v>
      </c>
      <c r="C4340" s="7" t="s">
        <v>3290</v>
      </c>
      <c r="D4340" s="7" t="s">
        <v>183</v>
      </c>
      <c r="E4340" s="5" t="s">
        <v>15</v>
      </c>
      <c r="F4340" s="8"/>
      <c r="G4340" s="9">
        <f>H4340*(1-30%)*(1-F4340)</f>
        <v>45.43</v>
      </c>
      <c r="H4340" s="9">
        <v>64.900000000000006</v>
      </c>
      <c r="I4340" s="9">
        <f>H4340-G4340</f>
        <v>19.470000000000006</v>
      </c>
    </row>
    <row r="4341" ht="14.25">
      <c r="A4341" s="5">
        <v>92202</v>
      </c>
      <c r="B4341" s="7" t="s">
        <v>4436</v>
      </c>
      <c r="C4341" s="7" t="s">
        <v>3265</v>
      </c>
      <c r="D4341" s="7" t="s">
        <v>183</v>
      </c>
      <c r="E4341" s="5" t="s">
        <v>43</v>
      </c>
      <c r="F4341" s="8"/>
      <c r="G4341" s="9">
        <f>H4341*(1-30%)*(1-F4341)</f>
        <v>47.592999999999996</v>
      </c>
      <c r="H4341" s="9">
        <v>67.989999999999995</v>
      </c>
      <c r="I4341" s="9">
        <f>H4341-G4341</f>
        <v>20.396999999999998</v>
      </c>
    </row>
    <row r="4342" ht="14.25">
      <c r="A4342" s="5">
        <v>92219</v>
      </c>
      <c r="B4342" s="7" t="s">
        <v>4437</v>
      </c>
      <c r="C4342" s="7" t="s">
        <v>3294</v>
      </c>
      <c r="D4342" s="7" t="s">
        <v>11</v>
      </c>
      <c r="E4342" s="5" t="s">
        <v>43</v>
      </c>
      <c r="F4342" s="8"/>
      <c r="G4342" s="9">
        <f>H4342*(1-30%)*(1-F4342)</f>
        <v>118.92999999999999</v>
      </c>
      <c r="H4342" s="9">
        <v>169.90000000000001</v>
      </c>
      <c r="I4342" s="9">
        <f>H4342-G4342</f>
        <v>50.970000000000013</v>
      </c>
    </row>
    <row r="4343" ht="14.25">
      <c r="A4343" s="5">
        <v>92227</v>
      </c>
      <c r="B4343" s="7" t="s">
        <v>4438</v>
      </c>
      <c r="C4343" s="7" t="s">
        <v>3280</v>
      </c>
      <c r="D4343" s="7" t="s">
        <v>95</v>
      </c>
      <c r="E4343" s="5" t="s">
        <v>43</v>
      </c>
      <c r="F4343" s="8"/>
      <c r="G4343" s="9">
        <f>H4343*(1-30%)*(1-F4343)</f>
        <v>29.393000000000001</v>
      </c>
      <c r="H4343" s="9">
        <v>41.990000000000002</v>
      </c>
      <c r="I4343" s="9">
        <f>H4343-G4343</f>
        <v>12.597000000000001</v>
      </c>
    </row>
    <row r="4344" ht="14.25">
      <c r="A4344" s="5">
        <v>92228</v>
      </c>
      <c r="B4344" s="7" t="s">
        <v>4439</v>
      </c>
      <c r="C4344" s="7" t="s">
        <v>3280</v>
      </c>
      <c r="D4344" s="7" t="s">
        <v>95</v>
      </c>
      <c r="E4344" s="5" t="s">
        <v>43</v>
      </c>
      <c r="F4344" s="8"/>
      <c r="G4344" s="9">
        <f>H4344*(1-30%)*(1-F4344)</f>
        <v>37.092999999999996</v>
      </c>
      <c r="H4344" s="9">
        <v>52.990000000000002</v>
      </c>
      <c r="I4344" s="9">
        <f>H4344-G4344</f>
        <v>15.897000000000006</v>
      </c>
    </row>
    <row r="4345" ht="14.25">
      <c r="A4345" s="5">
        <v>92297</v>
      </c>
      <c r="B4345" s="7" t="s">
        <v>4440</v>
      </c>
      <c r="C4345" s="7" t="s">
        <v>3265</v>
      </c>
      <c r="D4345" s="7" t="s">
        <v>110</v>
      </c>
      <c r="E4345" s="5" t="s">
        <v>43</v>
      </c>
      <c r="F4345" s="8"/>
      <c r="G4345" s="9">
        <f>H4345*(1-30%)*(1-F4345)</f>
        <v>73.492999999999995</v>
      </c>
      <c r="H4345" s="9">
        <v>104.98999999999999</v>
      </c>
      <c r="I4345" s="9">
        <f>H4345-G4345</f>
        <v>31.497</v>
      </c>
    </row>
    <row r="4346" ht="14.25">
      <c r="A4346" s="5">
        <v>92298</v>
      </c>
      <c r="B4346" s="7" t="s">
        <v>4441</v>
      </c>
      <c r="C4346" s="7" t="s">
        <v>3265</v>
      </c>
      <c r="D4346" s="7" t="s">
        <v>110</v>
      </c>
      <c r="E4346" s="5" t="s">
        <v>43</v>
      </c>
      <c r="F4346" s="8"/>
      <c r="G4346" s="9">
        <f>H4346*(1-30%)*(1-F4346)</f>
        <v>73.492999999999995</v>
      </c>
      <c r="H4346" s="9">
        <v>104.98999999999999</v>
      </c>
      <c r="I4346" s="9">
        <f>H4346-G4346</f>
        <v>31.497</v>
      </c>
    </row>
    <row r="4347" ht="14.25">
      <c r="A4347" s="5">
        <v>92299</v>
      </c>
      <c r="B4347" s="7" t="s">
        <v>4442</v>
      </c>
      <c r="C4347" s="7" t="s">
        <v>3265</v>
      </c>
      <c r="D4347" s="7" t="s">
        <v>110</v>
      </c>
      <c r="E4347" s="5" t="s">
        <v>43</v>
      </c>
      <c r="F4347" s="8"/>
      <c r="G4347" s="9">
        <f>H4347*(1-30%)*(1-F4347)</f>
        <v>73.492999999999995</v>
      </c>
      <c r="H4347" s="9">
        <v>104.98999999999999</v>
      </c>
      <c r="I4347" s="9">
        <f>H4347-G4347</f>
        <v>31.497</v>
      </c>
    </row>
    <row r="4348" ht="14.25">
      <c r="A4348" s="5">
        <v>92300</v>
      </c>
      <c r="B4348" s="7" t="s">
        <v>4443</v>
      </c>
      <c r="C4348" s="7" t="s">
        <v>3265</v>
      </c>
      <c r="D4348" s="7" t="s">
        <v>110</v>
      </c>
      <c r="E4348" s="5" t="s">
        <v>43</v>
      </c>
      <c r="F4348" s="8"/>
      <c r="G4348" s="9">
        <f>H4348*(1-30%)*(1-F4348)</f>
        <v>73.492999999999995</v>
      </c>
      <c r="H4348" s="9">
        <v>104.98999999999999</v>
      </c>
      <c r="I4348" s="9">
        <f>H4348-G4348</f>
        <v>31.497</v>
      </c>
    </row>
    <row r="4349" ht="14.25">
      <c r="A4349" s="5">
        <v>92301</v>
      </c>
      <c r="B4349" s="7" t="s">
        <v>4444</v>
      </c>
      <c r="C4349" s="7" t="s">
        <v>3265</v>
      </c>
      <c r="D4349" s="7" t="s">
        <v>110</v>
      </c>
      <c r="E4349" s="5" t="s">
        <v>43</v>
      </c>
      <c r="F4349" s="8"/>
      <c r="G4349" s="9">
        <f>H4349*(1-30%)*(1-F4349)</f>
        <v>73.492999999999995</v>
      </c>
      <c r="H4349" s="9">
        <v>104.98999999999999</v>
      </c>
      <c r="I4349" s="9">
        <f>H4349-G4349</f>
        <v>31.497</v>
      </c>
    </row>
    <row r="4350" ht="14.25">
      <c r="A4350" s="5">
        <v>92302</v>
      </c>
      <c r="B4350" s="7" t="s">
        <v>4445</v>
      </c>
      <c r="C4350" s="7" t="s">
        <v>3265</v>
      </c>
      <c r="D4350" s="7" t="s">
        <v>110</v>
      </c>
      <c r="E4350" s="5" t="s">
        <v>43</v>
      </c>
      <c r="F4350" s="8"/>
      <c r="G4350" s="9">
        <f>H4350*(1-30%)*(1-F4350)</f>
        <v>73.492999999999995</v>
      </c>
      <c r="H4350" s="9">
        <v>104.98999999999999</v>
      </c>
      <c r="I4350" s="9">
        <f>H4350-G4350</f>
        <v>31.497</v>
      </c>
    </row>
    <row r="4351" ht="14.25">
      <c r="A4351" s="5">
        <v>92303</v>
      </c>
      <c r="B4351" s="7" t="s">
        <v>4446</v>
      </c>
      <c r="C4351" s="7" t="s">
        <v>3265</v>
      </c>
      <c r="D4351" s="7" t="s">
        <v>110</v>
      </c>
      <c r="E4351" s="5" t="s">
        <v>43</v>
      </c>
      <c r="F4351" s="8"/>
      <c r="G4351" s="9">
        <f>H4351*(1-30%)*(1-F4351)</f>
        <v>73.492999999999995</v>
      </c>
      <c r="H4351" s="9">
        <v>104.98999999999999</v>
      </c>
      <c r="I4351" s="9">
        <f>H4351-G4351</f>
        <v>31.497</v>
      </c>
    </row>
    <row r="4352" ht="14.25">
      <c r="A4352" s="5">
        <v>92304</v>
      </c>
      <c r="B4352" s="7" t="s">
        <v>4447</v>
      </c>
      <c r="C4352" s="7" t="s">
        <v>3265</v>
      </c>
      <c r="D4352" s="7" t="s">
        <v>110</v>
      </c>
      <c r="E4352" s="5" t="s">
        <v>43</v>
      </c>
      <c r="F4352" s="8"/>
      <c r="G4352" s="9">
        <f>H4352*(1-30%)*(1-F4352)</f>
        <v>73.492999999999995</v>
      </c>
      <c r="H4352" s="9">
        <v>104.98999999999999</v>
      </c>
      <c r="I4352" s="9">
        <f>H4352-G4352</f>
        <v>31.497</v>
      </c>
    </row>
    <row r="4353" ht="14.25">
      <c r="A4353" s="5">
        <v>92305</v>
      </c>
      <c r="B4353" s="7" t="s">
        <v>4448</v>
      </c>
      <c r="C4353" s="7" t="s">
        <v>3265</v>
      </c>
      <c r="D4353" s="7" t="s">
        <v>110</v>
      </c>
      <c r="E4353" s="5" t="s">
        <v>43</v>
      </c>
      <c r="F4353" s="8"/>
      <c r="G4353" s="9">
        <f>H4353*(1-30%)*(1-F4353)</f>
        <v>73.492999999999995</v>
      </c>
      <c r="H4353" s="9">
        <v>104.98999999999999</v>
      </c>
      <c r="I4353" s="9">
        <f>H4353-G4353</f>
        <v>31.497</v>
      </c>
    </row>
    <row r="4354" ht="14.25">
      <c r="A4354" s="5">
        <v>92306</v>
      </c>
      <c r="B4354" s="7" t="s">
        <v>4449</v>
      </c>
      <c r="C4354" s="7" t="s">
        <v>3265</v>
      </c>
      <c r="D4354" s="7" t="s">
        <v>110</v>
      </c>
      <c r="E4354" s="5" t="s">
        <v>43</v>
      </c>
      <c r="F4354" s="8"/>
      <c r="G4354" s="9">
        <f>H4354*(1-30%)*(1-F4354)</f>
        <v>73.492999999999995</v>
      </c>
      <c r="H4354" s="9">
        <v>104.98999999999999</v>
      </c>
      <c r="I4354" s="9">
        <f>H4354-G4354</f>
        <v>31.497</v>
      </c>
    </row>
    <row r="4355" ht="14.25">
      <c r="A4355" s="5">
        <v>92307</v>
      </c>
      <c r="B4355" s="7" t="s">
        <v>4450</v>
      </c>
      <c r="C4355" s="7" t="s">
        <v>3265</v>
      </c>
      <c r="D4355" s="7" t="s">
        <v>110</v>
      </c>
      <c r="E4355" s="5" t="s">
        <v>43</v>
      </c>
      <c r="F4355" s="8"/>
      <c r="G4355" s="9">
        <f>H4355*(1-30%)*(1-F4355)</f>
        <v>73.492999999999995</v>
      </c>
      <c r="H4355" s="9">
        <v>104.98999999999999</v>
      </c>
      <c r="I4355" s="9">
        <f>H4355-G4355</f>
        <v>31.497</v>
      </c>
    </row>
    <row r="4356" ht="14.25">
      <c r="A4356" s="5">
        <v>92308</v>
      </c>
      <c r="B4356" s="7" t="s">
        <v>4451</v>
      </c>
      <c r="C4356" s="7" t="s">
        <v>3265</v>
      </c>
      <c r="D4356" s="7" t="s">
        <v>110</v>
      </c>
      <c r="E4356" s="5" t="s">
        <v>43</v>
      </c>
      <c r="F4356" s="8"/>
      <c r="G4356" s="9">
        <f>H4356*(1-30%)*(1-F4356)</f>
        <v>73.492999999999995</v>
      </c>
      <c r="H4356" s="9">
        <v>104.98999999999999</v>
      </c>
      <c r="I4356" s="9">
        <f>H4356-G4356</f>
        <v>31.497</v>
      </c>
    </row>
    <row r="4357" ht="14.25">
      <c r="A4357" s="5">
        <v>92312</v>
      </c>
      <c r="B4357" s="7" t="s">
        <v>4452</v>
      </c>
      <c r="C4357" s="7" t="s">
        <v>3265</v>
      </c>
      <c r="D4357" s="7" t="s">
        <v>110</v>
      </c>
      <c r="E4357" s="5" t="s">
        <v>43</v>
      </c>
      <c r="F4357" s="8"/>
      <c r="G4357" s="9">
        <f>H4357*(1-30%)*(1-F4357)</f>
        <v>61.592999999999989</v>
      </c>
      <c r="H4357" s="9">
        <v>87.989999999999995</v>
      </c>
      <c r="I4357" s="9">
        <f>H4357-G4357</f>
        <v>26.397000000000006</v>
      </c>
    </row>
    <row r="4358" ht="14.25">
      <c r="A4358" s="5">
        <v>92370</v>
      </c>
      <c r="B4358" s="7" t="s">
        <v>4453</v>
      </c>
      <c r="C4358" s="7" t="s">
        <v>3276</v>
      </c>
      <c r="D4358" s="7" t="s">
        <v>103</v>
      </c>
      <c r="E4358" s="5" t="s">
        <v>15</v>
      </c>
      <c r="F4358" s="8"/>
      <c r="G4358" s="9">
        <f>H4358*(1-30%)*(1-F4358)</f>
        <v>23.792999999999999</v>
      </c>
      <c r="H4358" s="9">
        <v>33.990000000000002</v>
      </c>
      <c r="I4358" s="9">
        <f>H4358-G4358</f>
        <v>10.197000000000003</v>
      </c>
    </row>
    <row r="4359" ht="14.25">
      <c r="A4359" s="5">
        <v>92394</v>
      </c>
      <c r="B4359" s="7" t="s">
        <v>4454</v>
      </c>
      <c r="C4359" s="7" t="s">
        <v>4272</v>
      </c>
      <c r="D4359" s="7" t="s">
        <v>219</v>
      </c>
      <c r="E4359" s="5" t="s">
        <v>15</v>
      </c>
      <c r="F4359" s="8"/>
      <c r="G4359" s="9">
        <f>H4359*(1-30%)*(1-F4359)</f>
        <v>73.492999999999995</v>
      </c>
      <c r="H4359" s="9">
        <v>104.98999999999999</v>
      </c>
      <c r="I4359" s="9">
        <f>H4359-G4359</f>
        <v>31.497</v>
      </c>
    </row>
    <row r="4360" ht="14.25">
      <c r="A4360" s="5">
        <v>92429</v>
      </c>
      <c r="B4360" s="7" t="s">
        <v>4455</v>
      </c>
      <c r="C4360" s="7" t="s">
        <v>3290</v>
      </c>
      <c r="D4360" s="7" t="s">
        <v>183</v>
      </c>
      <c r="E4360" s="5" t="s">
        <v>15</v>
      </c>
      <c r="F4360" s="8"/>
      <c r="G4360" s="9">
        <f>H4360*(1-30%)*(1-F4360)</f>
        <v>48.992999999999995</v>
      </c>
      <c r="H4360" s="9">
        <v>69.989999999999995</v>
      </c>
      <c r="I4360" s="9">
        <f>H4360-G4360</f>
        <v>20.997</v>
      </c>
    </row>
    <row r="4361" ht="14.25">
      <c r="A4361" s="5">
        <v>92455</v>
      </c>
      <c r="B4361" s="7" t="s">
        <v>4456</v>
      </c>
      <c r="C4361" s="7" t="s">
        <v>3290</v>
      </c>
      <c r="D4361" s="7" t="s">
        <v>1447</v>
      </c>
      <c r="E4361" s="5" t="s">
        <v>15</v>
      </c>
      <c r="F4361" s="8"/>
      <c r="G4361" s="9">
        <f>H4361*(1-30%)*(1-F4361)</f>
        <v>4.5499999999999998</v>
      </c>
      <c r="H4361" s="9">
        <v>6.5</v>
      </c>
      <c r="I4361" s="9">
        <f>H4361-G4361</f>
        <v>1.9500000000000002</v>
      </c>
    </row>
    <row r="4362" ht="14.25">
      <c r="A4362" s="5">
        <v>92547</v>
      </c>
      <c r="B4362" s="7" t="s">
        <v>4457</v>
      </c>
      <c r="C4362" s="7" t="s">
        <v>3265</v>
      </c>
      <c r="D4362" s="7" t="s">
        <v>183</v>
      </c>
      <c r="E4362" s="5" t="s">
        <v>15</v>
      </c>
      <c r="F4362" s="8"/>
      <c r="G4362" s="9">
        <f>H4362*(1-30%)*(1-F4362)</f>
        <v>26.593</v>
      </c>
      <c r="H4362" s="9">
        <v>37.990000000000002</v>
      </c>
      <c r="I4362" s="9">
        <f>H4362-G4362</f>
        <v>11.397000000000002</v>
      </c>
    </row>
    <row r="4363" ht="14.25">
      <c r="A4363" s="5">
        <v>92550</v>
      </c>
      <c r="B4363" s="7" t="s">
        <v>4458</v>
      </c>
      <c r="C4363" s="7" t="s">
        <v>3280</v>
      </c>
      <c r="D4363" s="7" t="s">
        <v>95</v>
      </c>
      <c r="E4363" s="5" t="s">
        <v>43</v>
      </c>
      <c r="F4363" s="8"/>
      <c r="G4363" s="9">
        <f>H4363*(1-30%)*(1-F4363)</f>
        <v>33.592999999999996</v>
      </c>
      <c r="H4363" s="9">
        <v>47.990000000000002</v>
      </c>
      <c r="I4363" s="9">
        <f>H4363-G4363</f>
        <v>14.397000000000006</v>
      </c>
    </row>
    <row r="4364" ht="14.25">
      <c r="A4364" s="5">
        <v>92551</v>
      </c>
      <c r="B4364" s="7" t="s">
        <v>4459</v>
      </c>
      <c r="C4364" s="7" t="s">
        <v>3280</v>
      </c>
      <c r="D4364" s="7" t="s">
        <v>95</v>
      </c>
      <c r="E4364" s="5" t="s">
        <v>43</v>
      </c>
      <c r="F4364" s="8"/>
      <c r="G4364" s="9">
        <f>H4364*(1-30%)*(1-F4364)</f>
        <v>34.993000000000002</v>
      </c>
      <c r="H4364" s="9">
        <v>49.990000000000002</v>
      </c>
      <c r="I4364" s="9">
        <f>H4364-G4364</f>
        <v>14.997</v>
      </c>
    </row>
    <row r="4365" ht="14.25">
      <c r="A4365" s="5">
        <v>92552</v>
      </c>
      <c r="B4365" s="7" t="s">
        <v>4460</v>
      </c>
      <c r="C4365" s="7" t="s">
        <v>3280</v>
      </c>
      <c r="D4365" s="7" t="s">
        <v>95</v>
      </c>
      <c r="E4365" s="5" t="s">
        <v>43</v>
      </c>
      <c r="F4365" s="8"/>
      <c r="G4365" s="9">
        <f>H4365*(1-30%)*(1-F4365)</f>
        <v>48.992999999999995</v>
      </c>
      <c r="H4365" s="9">
        <v>69.989999999999995</v>
      </c>
      <c r="I4365" s="9">
        <f>H4365-G4365</f>
        <v>20.997</v>
      </c>
    </row>
    <row r="4366" ht="14.25">
      <c r="A4366" s="5">
        <v>92553</v>
      </c>
      <c r="B4366" s="7" t="s">
        <v>4461</v>
      </c>
      <c r="C4366" s="7" t="s">
        <v>3280</v>
      </c>
      <c r="D4366" s="7" t="s">
        <v>95</v>
      </c>
      <c r="E4366" s="5" t="s">
        <v>15</v>
      </c>
      <c r="F4366" s="8"/>
      <c r="G4366" s="9">
        <f>H4366*(1-30%)*(1-F4366)</f>
        <v>12.592999999999998</v>
      </c>
      <c r="H4366" s="9">
        <v>17.989999999999998</v>
      </c>
      <c r="I4366" s="9">
        <f>H4366-G4366</f>
        <v>5.3970000000000002</v>
      </c>
    </row>
    <row r="4367" ht="14.25">
      <c r="A4367" s="5">
        <v>92554</v>
      </c>
      <c r="B4367" s="7" t="s">
        <v>4462</v>
      </c>
      <c r="C4367" s="7" t="s">
        <v>3280</v>
      </c>
      <c r="D4367" s="7" t="s">
        <v>95</v>
      </c>
      <c r="E4367" s="5" t="s">
        <v>43</v>
      </c>
      <c r="F4367" s="8"/>
      <c r="G4367" s="9">
        <f>H4367*(1-30%)*(1-F4367)</f>
        <v>37.092999999999996</v>
      </c>
      <c r="H4367" s="9">
        <v>52.990000000000002</v>
      </c>
      <c r="I4367" s="9">
        <f>H4367-G4367</f>
        <v>15.897000000000006</v>
      </c>
    </row>
    <row r="4368" ht="14.25">
      <c r="A4368" s="5">
        <v>92555</v>
      </c>
      <c r="B4368" s="7" t="s">
        <v>4463</v>
      </c>
      <c r="C4368" s="7" t="s">
        <v>3280</v>
      </c>
      <c r="D4368" s="7" t="s">
        <v>95</v>
      </c>
      <c r="E4368" s="5" t="s">
        <v>43</v>
      </c>
      <c r="F4368" s="8"/>
      <c r="G4368" s="9">
        <f>H4368*(1-30%)*(1-F4368)</f>
        <v>55.992999999999995</v>
      </c>
      <c r="H4368" s="9">
        <v>79.989999999999995</v>
      </c>
      <c r="I4368" s="9">
        <f>H4368-G4368</f>
        <v>23.997</v>
      </c>
    </row>
    <row r="4369" ht="14.25">
      <c r="A4369" s="5">
        <v>92557</v>
      </c>
      <c r="B4369" s="7" t="s">
        <v>4464</v>
      </c>
      <c r="C4369" s="7" t="s">
        <v>3280</v>
      </c>
      <c r="D4369" s="7" t="s">
        <v>95</v>
      </c>
      <c r="E4369" s="5" t="s">
        <v>43</v>
      </c>
      <c r="F4369" s="8"/>
      <c r="G4369" s="9">
        <f>H4369*(1-30%)*(1-F4369)</f>
        <v>33.592999999999996</v>
      </c>
      <c r="H4369" s="9">
        <v>47.990000000000002</v>
      </c>
      <c r="I4369" s="9">
        <f>H4369-G4369</f>
        <v>14.397000000000006</v>
      </c>
    </row>
    <row r="4370" ht="14.25">
      <c r="A4370" s="5">
        <v>92558</v>
      </c>
      <c r="B4370" s="7" t="s">
        <v>4465</v>
      </c>
      <c r="C4370" s="7" t="s">
        <v>3280</v>
      </c>
      <c r="D4370" s="7" t="s">
        <v>95</v>
      </c>
      <c r="E4370" s="5" t="s">
        <v>43</v>
      </c>
      <c r="F4370" s="8"/>
      <c r="G4370" s="9">
        <f>H4370*(1-30%)*(1-F4370)</f>
        <v>48.992999999999995</v>
      </c>
      <c r="H4370" s="9">
        <v>69.989999999999995</v>
      </c>
      <c r="I4370" s="9">
        <f>H4370-G4370</f>
        <v>20.997</v>
      </c>
    </row>
    <row r="4371" ht="14.25">
      <c r="A4371" s="5">
        <v>92559</v>
      </c>
      <c r="B4371" s="7" t="s">
        <v>4466</v>
      </c>
      <c r="C4371" s="7" t="s">
        <v>3280</v>
      </c>
      <c r="D4371" s="7" t="s">
        <v>95</v>
      </c>
      <c r="E4371" s="5" t="s">
        <v>15</v>
      </c>
      <c r="F4371" s="8"/>
      <c r="G4371" s="9">
        <f>H4371*(1-30%)*(1-F4371)</f>
        <v>33.592999999999996</v>
      </c>
      <c r="H4371" s="9">
        <v>47.990000000000002</v>
      </c>
      <c r="I4371" s="9">
        <f>H4371-G4371</f>
        <v>14.397000000000006</v>
      </c>
    </row>
    <row r="4372" ht="14.25">
      <c r="A4372" s="5">
        <v>92560</v>
      </c>
      <c r="B4372" s="7" t="s">
        <v>4467</v>
      </c>
      <c r="C4372" s="7" t="s">
        <v>3280</v>
      </c>
      <c r="D4372" s="7" t="s">
        <v>95</v>
      </c>
      <c r="E4372" s="5" t="s">
        <v>15</v>
      </c>
      <c r="F4372" s="8"/>
      <c r="G4372" s="9">
        <f>H4372*(1-30%)*(1-F4372)</f>
        <v>34.993000000000002</v>
      </c>
      <c r="H4372" s="9">
        <v>49.990000000000002</v>
      </c>
      <c r="I4372" s="9">
        <f>H4372-G4372</f>
        <v>14.997</v>
      </c>
    </row>
    <row r="4373" ht="14.25">
      <c r="A4373" s="5">
        <v>92562</v>
      </c>
      <c r="B4373" s="7" t="s">
        <v>4468</v>
      </c>
      <c r="C4373" s="7" t="s">
        <v>3280</v>
      </c>
      <c r="D4373" s="7" t="s">
        <v>95</v>
      </c>
      <c r="E4373" s="5" t="s">
        <v>43</v>
      </c>
      <c r="F4373" s="8"/>
      <c r="G4373" s="9">
        <f>H4373*(1-30%)*(1-F4373)</f>
        <v>37.092999999999996</v>
      </c>
      <c r="H4373" s="9">
        <v>52.990000000000002</v>
      </c>
      <c r="I4373" s="9">
        <f>H4373-G4373</f>
        <v>15.897000000000006</v>
      </c>
    </row>
    <row r="4374" ht="14.25">
      <c r="A4374" s="5">
        <v>92563</v>
      </c>
      <c r="B4374" s="7" t="s">
        <v>4469</v>
      </c>
      <c r="C4374" s="7" t="s">
        <v>3280</v>
      </c>
      <c r="D4374" s="7" t="s">
        <v>95</v>
      </c>
      <c r="E4374" s="5" t="s">
        <v>43</v>
      </c>
      <c r="F4374" s="8"/>
      <c r="G4374" s="9">
        <f>H4374*(1-30%)*(1-F4374)</f>
        <v>33.592999999999996</v>
      </c>
      <c r="H4374" s="9">
        <v>47.990000000000002</v>
      </c>
      <c r="I4374" s="9">
        <f>H4374-G4374</f>
        <v>14.397000000000006</v>
      </c>
    </row>
    <row r="4375" ht="14.25">
      <c r="A4375" s="5">
        <v>92564</v>
      </c>
      <c r="B4375" s="7" t="s">
        <v>4470</v>
      </c>
      <c r="C4375" s="7" t="s">
        <v>3280</v>
      </c>
      <c r="D4375" s="7" t="s">
        <v>95</v>
      </c>
      <c r="E4375" s="5" t="s">
        <v>43</v>
      </c>
      <c r="F4375" s="8"/>
      <c r="G4375" s="9">
        <f>H4375*(1-30%)*(1-F4375)</f>
        <v>34.993000000000002</v>
      </c>
      <c r="H4375" s="9">
        <v>49.990000000000002</v>
      </c>
      <c r="I4375" s="9">
        <f>H4375-G4375</f>
        <v>14.997</v>
      </c>
    </row>
    <row r="4376" ht="14.25">
      <c r="A4376" s="5">
        <v>92565</v>
      </c>
      <c r="B4376" s="7" t="s">
        <v>4471</v>
      </c>
      <c r="C4376" s="7" t="s">
        <v>3280</v>
      </c>
      <c r="D4376" s="7" t="s">
        <v>95</v>
      </c>
      <c r="E4376" s="5" t="s">
        <v>43</v>
      </c>
      <c r="F4376" s="8"/>
      <c r="G4376" s="9">
        <f>H4376*(1-30%)*(1-F4376)</f>
        <v>48.992999999999995</v>
      </c>
      <c r="H4376" s="9">
        <v>69.989999999999995</v>
      </c>
      <c r="I4376" s="9">
        <f>H4376-G4376</f>
        <v>20.997</v>
      </c>
    </row>
    <row r="4377" ht="14.25">
      <c r="A4377" s="5">
        <v>92578</v>
      </c>
      <c r="B4377" s="7" t="s">
        <v>4472</v>
      </c>
      <c r="C4377" s="7" t="s">
        <v>4272</v>
      </c>
      <c r="D4377" s="7" t="s">
        <v>219</v>
      </c>
      <c r="E4377" s="5" t="s">
        <v>26</v>
      </c>
      <c r="F4377" s="8"/>
      <c r="G4377" s="9">
        <f>H4377*(1-30%)*(1-F4377)</f>
        <v>69.992999999999995</v>
      </c>
      <c r="H4377" s="9">
        <v>99.989999999999995</v>
      </c>
      <c r="I4377" s="9">
        <f>H4377-G4377</f>
        <v>29.997</v>
      </c>
    </row>
    <row r="4378" ht="14.25">
      <c r="A4378" s="5">
        <v>92585</v>
      </c>
      <c r="B4378" s="7" t="s">
        <v>4473</v>
      </c>
      <c r="C4378" s="7" t="s">
        <v>3280</v>
      </c>
      <c r="D4378" s="7" t="s">
        <v>95</v>
      </c>
      <c r="E4378" s="5" t="s">
        <v>43</v>
      </c>
      <c r="F4378" s="8"/>
      <c r="G4378" s="9">
        <f>H4378*(1-30%)*(1-F4378)</f>
        <v>31.492999999999999</v>
      </c>
      <c r="H4378" s="9">
        <v>44.990000000000002</v>
      </c>
      <c r="I4378" s="9">
        <f>H4378-G4378</f>
        <v>13.497000000000003</v>
      </c>
    </row>
    <row r="4379" ht="14.25">
      <c r="A4379" s="5">
        <v>92597</v>
      </c>
      <c r="B4379" s="7" t="s">
        <v>4474</v>
      </c>
      <c r="C4379" s="7" t="s">
        <v>3280</v>
      </c>
      <c r="D4379" s="7" t="s">
        <v>95</v>
      </c>
      <c r="E4379" s="5" t="s">
        <v>43</v>
      </c>
      <c r="F4379" s="8"/>
      <c r="G4379" s="9">
        <f>H4379*(1-30%)*(1-F4379)</f>
        <v>33.592999999999996</v>
      </c>
      <c r="H4379" s="9">
        <v>47.990000000000002</v>
      </c>
      <c r="I4379" s="9">
        <f>H4379-G4379</f>
        <v>14.397000000000006</v>
      </c>
    </row>
    <row r="4380" ht="14.25">
      <c r="A4380" s="5">
        <v>92598</v>
      </c>
      <c r="B4380" s="7" t="s">
        <v>4475</v>
      </c>
      <c r="C4380" s="7" t="s">
        <v>3280</v>
      </c>
      <c r="D4380" s="7" t="s">
        <v>95</v>
      </c>
      <c r="E4380" s="5" t="s">
        <v>43</v>
      </c>
      <c r="F4380" s="8"/>
      <c r="G4380" s="9">
        <f>H4380*(1-30%)*(1-F4380)</f>
        <v>47.592999999999996</v>
      </c>
      <c r="H4380" s="9">
        <v>67.989999999999995</v>
      </c>
      <c r="I4380" s="9">
        <f>H4380-G4380</f>
        <v>20.396999999999998</v>
      </c>
    </row>
    <row r="4381" ht="14.25">
      <c r="A4381" s="5">
        <v>92599</v>
      </c>
      <c r="B4381" s="7" t="s">
        <v>4476</v>
      </c>
      <c r="C4381" s="7" t="s">
        <v>3280</v>
      </c>
      <c r="D4381" s="7" t="s">
        <v>95</v>
      </c>
      <c r="E4381" s="5" t="s">
        <v>43</v>
      </c>
      <c r="F4381" s="8"/>
      <c r="G4381" s="9">
        <f>H4381*(1-30%)*(1-F4381)</f>
        <v>45.492999999999995</v>
      </c>
      <c r="H4381" s="9">
        <v>64.989999999999995</v>
      </c>
      <c r="I4381" s="9">
        <f>H4381-G4381</f>
        <v>19.497</v>
      </c>
    </row>
    <row r="4382" ht="14.25">
      <c r="A4382" s="5">
        <v>92601</v>
      </c>
      <c r="B4382" s="7" t="s">
        <v>4477</v>
      </c>
      <c r="C4382" s="7" t="s">
        <v>3280</v>
      </c>
      <c r="D4382" s="7" t="s">
        <v>95</v>
      </c>
      <c r="E4382" s="5" t="s">
        <v>43</v>
      </c>
      <c r="F4382" s="8"/>
      <c r="G4382" s="9">
        <f>H4382*(1-30%)*(1-F4382)</f>
        <v>31.492999999999999</v>
      </c>
      <c r="H4382" s="9">
        <v>44.990000000000002</v>
      </c>
      <c r="I4382" s="9">
        <f>H4382-G4382</f>
        <v>13.497000000000003</v>
      </c>
    </row>
    <row r="4383" ht="14.25">
      <c r="A4383" s="5">
        <v>92604</v>
      </c>
      <c r="B4383" s="7" t="s">
        <v>4478</v>
      </c>
      <c r="C4383" s="7" t="s">
        <v>3280</v>
      </c>
      <c r="D4383" s="7" t="s">
        <v>95</v>
      </c>
      <c r="E4383" s="5" t="s">
        <v>43</v>
      </c>
      <c r="F4383" s="8"/>
      <c r="G4383" s="9">
        <f>H4383*(1-30%)*(1-F4383)</f>
        <v>31.492999999999999</v>
      </c>
      <c r="H4383" s="9">
        <v>44.990000000000002</v>
      </c>
      <c r="I4383" s="9">
        <f>H4383-G4383</f>
        <v>13.497000000000003</v>
      </c>
    </row>
    <row r="4384" ht="14.25">
      <c r="A4384" s="5">
        <v>92605</v>
      </c>
      <c r="B4384" s="7" t="s">
        <v>4479</v>
      </c>
      <c r="C4384" s="7" t="s">
        <v>3280</v>
      </c>
      <c r="D4384" s="7" t="s">
        <v>95</v>
      </c>
      <c r="E4384" s="5" t="s">
        <v>43</v>
      </c>
      <c r="F4384" s="8"/>
      <c r="G4384" s="9">
        <f>H4384*(1-30%)*(1-F4384)</f>
        <v>33.592999999999996</v>
      </c>
      <c r="H4384" s="9">
        <v>47.990000000000002</v>
      </c>
      <c r="I4384" s="9">
        <f>H4384-G4384</f>
        <v>14.397000000000006</v>
      </c>
    </row>
    <row r="4385" ht="14.25">
      <c r="A4385" s="5">
        <v>92606</v>
      </c>
      <c r="B4385" s="7" t="s">
        <v>4480</v>
      </c>
      <c r="C4385" s="7" t="s">
        <v>3280</v>
      </c>
      <c r="D4385" s="7" t="s">
        <v>95</v>
      </c>
      <c r="E4385" s="5" t="s">
        <v>43</v>
      </c>
      <c r="F4385" s="8"/>
      <c r="G4385" s="9">
        <f>H4385*(1-30%)*(1-F4385)</f>
        <v>47.592999999999996</v>
      </c>
      <c r="H4385" s="9">
        <v>67.989999999999995</v>
      </c>
      <c r="I4385" s="9">
        <f>H4385-G4385</f>
        <v>20.396999999999998</v>
      </c>
    </row>
    <row r="4386" ht="14.25">
      <c r="A4386" s="5">
        <v>92607</v>
      </c>
      <c r="B4386" s="7" t="s">
        <v>4481</v>
      </c>
      <c r="C4386" s="7" t="s">
        <v>3280</v>
      </c>
      <c r="D4386" s="7" t="s">
        <v>95</v>
      </c>
      <c r="E4386" s="5" t="s">
        <v>43</v>
      </c>
      <c r="F4386" s="8"/>
      <c r="G4386" s="9">
        <f>H4386*(1-30%)*(1-F4386)</f>
        <v>34.993000000000002</v>
      </c>
      <c r="H4386" s="9">
        <v>49.990000000000002</v>
      </c>
      <c r="I4386" s="9">
        <f>H4386-G4386</f>
        <v>14.997</v>
      </c>
    </row>
    <row r="4387" ht="14.25">
      <c r="A4387" s="5">
        <v>92608</v>
      </c>
      <c r="B4387" s="7" t="s">
        <v>4482</v>
      </c>
      <c r="C4387" s="7" t="s">
        <v>3280</v>
      </c>
      <c r="D4387" s="7" t="s">
        <v>95</v>
      </c>
      <c r="E4387" s="5" t="s">
        <v>43</v>
      </c>
      <c r="F4387" s="8"/>
      <c r="G4387" s="9">
        <f>H4387*(1-30%)*(1-F4387)</f>
        <v>31.492999999999999</v>
      </c>
      <c r="H4387" s="9">
        <v>44.990000000000002</v>
      </c>
      <c r="I4387" s="9">
        <f>H4387-G4387</f>
        <v>13.497000000000003</v>
      </c>
    </row>
    <row r="4388" ht="14.25">
      <c r="A4388" s="5">
        <v>92609</v>
      </c>
      <c r="B4388" s="7" t="s">
        <v>4483</v>
      </c>
      <c r="C4388" s="7" t="s">
        <v>3280</v>
      </c>
      <c r="D4388" s="7" t="s">
        <v>95</v>
      </c>
      <c r="E4388" s="5" t="s">
        <v>43</v>
      </c>
      <c r="F4388" s="8"/>
      <c r="G4388" s="9">
        <f>H4388*(1-30%)*(1-F4388)</f>
        <v>33.592999999999996</v>
      </c>
      <c r="H4388" s="9">
        <v>47.990000000000002</v>
      </c>
      <c r="I4388" s="9">
        <f>H4388-G4388</f>
        <v>14.397000000000006</v>
      </c>
    </row>
    <row r="4389" ht="14.25">
      <c r="A4389" s="5">
        <v>92610</v>
      </c>
      <c r="B4389" s="7" t="s">
        <v>4484</v>
      </c>
      <c r="C4389" s="7" t="s">
        <v>3280</v>
      </c>
      <c r="D4389" s="7" t="s">
        <v>95</v>
      </c>
      <c r="E4389" s="5" t="s">
        <v>43</v>
      </c>
      <c r="F4389" s="8"/>
      <c r="G4389" s="9">
        <f>H4389*(1-30%)*(1-F4389)</f>
        <v>47.592999999999996</v>
      </c>
      <c r="H4389" s="9">
        <v>67.989999999999995</v>
      </c>
      <c r="I4389" s="9">
        <f>H4389-G4389</f>
        <v>20.396999999999998</v>
      </c>
    </row>
    <row r="4390" ht="14.25">
      <c r="A4390" s="5">
        <v>92612</v>
      </c>
      <c r="B4390" s="7" t="s">
        <v>4485</v>
      </c>
      <c r="C4390" s="7" t="s">
        <v>3280</v>
      </c>
      <c r="D4390" s="7" t="s">
        <v>95</v>
      </c>
      <c r="E4390" s="5" t="s">
        <v>3268</v>
      </c>
      <c r="F4390" s="8"/>
      <c r="G4390" s="9">
        <f>H4390*(1-30%)*(1-F4390)</f>
        <v>33.592999999999996</v>
      </c>
      <c r="H4390" s="9">
        <v>47.990000000000002</v>
      </c>
      <c r="I4390" s="9">
        <f>H4390-G4390</f>
        <v>14.397000000000006</v>
      </c>
    </row>
    <row r="4391" ht="14.25">
      <c r="A4391" s="5">
        <v>92613</v>
      </c>
      <c r="B4391" s="7" t="s">
        <v>4486</v>
      </c>
      <c r="C4391" s="7" t="s">
        <v>3280</v>
      </c>
      <c r="D4391" s="7" t="s">
        <v>95</v>
      </c>
      <c r="E4391" s="5" t="s">
        <v>3268</v>
      </c>
      <c r="F4391" s="8"/>
      <c r="G4391" s="9">
        <f>H4391*(1-30%)*(1-F4391)</f>
        <v>31.492999999999999</v>
      </c>
      <c r="H4391" s="9">
        <v>44.990000000000002</v>
      </c>
      <c r="I4391" s="9">
        <f>H4391-G4391</f>
        <v>13.497000000000003</v>
      </c>
    </row>
    <row r="4392" ht="14.25">
      <c r="A4392" s="5">
        <v>92627</v>
      </c>
      <c r="B4392" s="7" t="s">
        <v>4487</v>
      </c>
      <c r="C4392" s="7" t="s">
        <v>3280</v>
      </c>
      <c r="D4392" s="7" t="s">
        <v>95</v>
      </c>
      <c r="E4392" s="5" t="s">
        <v>15</v>
      </c>
      <c r="F4392" s="8"/>
      <c r="G4392" s="9">
        <f>H4392*(1-30%)*(1-F4392)</f>
        <v>34.993000000000002</v>
      </c>
      <c r="H4392" s="9">
        <v>49.990000000000002</v>
      </c>
      <c r="I4392" s="9">
        <f>H4392-G4392</f>
        <v>14.997</v>
      </c>
    </row>
    <row r="4393" ht="14.25">
      <c r="A4393" s="5">
        <v>92630</v>
      </c>
      <c r="B4393" s="7" t="s">
        <v>4488</v>
      </c>
      <c r="C4393" s="7" t="s">
        <v>3280</v>
      </c>
      <c r="D4393" s="7" t="s">
        <v>95</v>
      </c>
      <c r="E4393" s="5" t="s">
        <v>3513</v>
      </c>
      <c r="F4393" s="8"/>
      <c r="G4393" s="9">
        <f>H4393*(1-30%)*(1-F4393)</f>
        <v>33.592999999999996</v>
      </c>
      <c r="H4393" s="9">
        <v>47.990000000000002</v>
      </c>
      <c r="I4393" s="9">
        <f>H4393-G4393</f>
        <v>14.397000000000006</v>
      </c>
    </row>
    <row r="4394" ht="14.25">
      <c r="A4394" s="5">
        <v>92631</v>
      </c>
      <c r="B4394" s="7" t="s">
        <v>4489</v>
      </c>
      <c r="C4394" s="7" t="s">
        <v>3280</v>
      </c>
      <c r="D4394" s="7" t="s">
        <v>95</v>
      </c>
      <c r="E4394" s="5" t="s">
        <v>3513</v>
      </c>
      <c r="F4394" s="8"/>
      <c r="G4394" s="9">
        <f>H4394*(1-30%)*(1-F4394)</f>
        <v>34.993000000000002</v>
      </c>
      <c r="H4394" s="9">
        <v>49.990000000000002</v>
      </c>
      <c r="I4394" s="9">
        <f>H4394-G4394</f>
        <v>14.997</v>
      </c>
    </row>
    <row r="4395" ht="14.25">
      <c r="A4395" s="5">
        <v>92632</v>
      </c>
      <c r="B4395" s="7" t="s">
        <v>4490</v>
      </c>
      <c r="C4395" s="7" t="s">
        <v>3280</v>
      </c>
      <c r="D4395" s="7" t="s">
        <v>95</v>
      </c>
      <c r="E4395" s="5" t="s">
        <v>3513</v>
      </c>
      <c r="F4395" s="8"/>
      <c r="G4395" s="9">
        <f>H4395*(1-30%)*(1-F4395)</f>
        <v>48.992999999999995</v>
      </c>
      <c r="H4395" s="9">
        <v>69.989999999999995</v>
      </c>
      <c r="I4395" s="9">
        <f>H4395-G4395</f>
        <v>20.997</v>
      </c>
    </row>
    <row r="4396" ht="14.25">
      <c r="A4396" s="5">
        <v>92633</v>
      </c>
      <c r="B4396" s="7" t="s">
        <v>4491</v>
      </c>
      <c r="C4396" s="7" t="s">
        <v>3280</v>
      </c>
      <c r="D4396" s="7" t="s">
        <v>95</v>
      </c>
      <c r="E4396" s="5" t="s">
        <v>43</v>
      </c>
      <c r="F4396" s="8"/>
      <c r="G4396" s="9">
        <f>H4396*(1-30%)*(1-F4396)</f>
        <v>51.092999999999996</v>
      </c>
      <c r="H4396" s="9">
        <v>72.989999999999995</v>
      </c>
      <c r="I4396" s="9">
        <f>H4396-G4396</f>
        <v>21.896999999999998</v>
      </c>
    </row>
    <row r="4397" ht="14.25">
      <c r="A4397" s="5">
        <v>92641</v>
      </c>
      <c r="B4397" s="7" t="s">
        <v>4492</v>
      </c>
      <c r="C4397" s="7" t="s">
        <v>3265</v>
      </c>
      <c r="D4397" s="7" t="s">
        <v>110</v>
      </c>
      <c r="E4397" s="5" t="s">
        <v>26</v>
      </c>
      <c r="F4397" s="8"/>
      <c r="G4397" s="9">
        <f>H4397*(1-30%)*(1-F4397)</f>
        <v>87.492999999999995</v>
      </c>
      <c r="H4397" s="9">
        <v>124.98999999999999</v>
      </c>
      <c r="I4397" s="9">
        <f>H4397-G4397</f>
        <v>37.497</v>
      </c>
    </row>
    <row r="4398" ht="14.25">
      <c r="A4398" s="5">
        <v>92642</v>
      </c>
      <c r="B4398" s="7" t="s">
        <v>4493</v>
      </c>
      <c r="C4398" s="7" t="s">
        <v>3265</v>
      </c>
      <c r="D4398" s="7" t="s">
        <v>110</v>
      </c>
      <c r="E4398" s="5" t="s">
        <v>26</v>
      </c>
      <c r="F4398" s="8"/>
      <c r="G4398" s="9">
        <f>H4398*(1-30%)*(1-F4398)</f>
        <v>87.492999999999995</v>
      </c>
      <c r="H4398" s="9">
        <v>124.98999999999999</v>
      </c>
      <c r="I4398" s="9">
        <f>H4398-G4398</f>
        <v>37.497</v>
      </c>
    </row>
    <row r="4399" ht="14.25">
      <c r="A4399" s="5">
        <v>92643</v>
      </c>
      <c r="B4399" s="7" t="s">
        <v>4494</v>
      </c>
      <c r="C4399" s="7" t="s">
        <v>3265</v>
      </c>
      <c r="D4399" s="7" t="s">
        <v>110</v>
      </c>
      <c r="E4399" s="5" t="s">
        <v>26</v>
      </c>
      <c r="F4399" s="8"/>
      <c r="G4399" s="9">
        <f>H4399*(1-30%)*(1-F4399)</f>
        <v>87.492999999999995</v>
      </c>
      <c r="H4399" s="9">
        <v>124.98999999999999</v>
      </c>
      <c r="I4399" s="9">
        <f>H4399-G4399</f>
        <v>37.497</v>
      </c>
    </row>
    <row r="4400" ht="14.25">
      <c r="A4400" s="5">
        <v>92644</v>
      </c>
      <c r="B4400" s="7" t="s">
        <v>4495</v>
      </c>
      <c r="C4400" s="7" t="s">
        <v>3265</v>
      </c>
      <c r="D4400" s="7" t="s">
        <v>110</v>
      </c>
      <c r="E4400" s="5" t="s">
        <v>26</v>
      </c>
      <c r="F4400" s="8"/>
      <c r="G4400" s="9">
        <f>H4400*(1-30%)*(1-F4400)</f>
        <v>87.492999999999995</v>
      </c>
      <c r="H4400" s="9">
        <v>124.98999999999999</v>
      </c>
      <c r="I4400" s="9">
        <f>H4400-G4400</f>
        <v>37.497</v>
      </c>
    </row>
    <row r="4401" ht="14.25">
      <c r="A4401" s="5">
        <v>92646</v>
      </c>
      <c r="B4401" s="7" t="s">
        <v>4496</v>
      </c>
      <c r="C4401" s="7" t="s">
        <v>3265</v>
      </c>
      <c r="D4401" s="7" t="s">
        <v>110</v>
      </c>
      <c r="E4401" s="5" t="s">
        <v>26</v>
      </c>
      <c r="F4401" s="8"/>
      <c r="G4401" s="9">
        <f>H4401*(1-30%)*(1-F4401)</f>
        <v>87.492999999999995</v>
      </c>
      <c r="H4401" s="9">
        <v>124.98999999999999</v>
      </c>
      <c r="I4401" s="9">
        <f>H4401-G4401</f>
        <v>37.497</v>
      </c>
    </row>
    <row r="4402" ht="14.25">
      <c r="A4402" s="5">
        <v>92647</v>
      </c>
      <c r="B4402" s="7" t="s">
        <v>4497</v>
      </c>
      <c r="C4402" s="7" t="s">
        <v>3265</v>
      </c>
      <c r="D4402" s="7" t="s">
        <v>110</v>
      </c>
      <c r="E4402" s="5" t="s">
        <v>43</v>
      </c>
      <c r="F4402" s="8"/>
      <c r="G4402" s="9">
        <f>H4402*(1-30%)*(1-F4402)</f>
        <v>61.592999999999989</v>
      </c>
      <c r="H4402" s="9">
        <v>87.989999999999995</v>
      </c>
      <c r="I4402" s="9">
        <f>H4402-G4402</f>
        <v>26.397000000000006</v>
      </c>
    </row>
    <row r="4403" ht="14.25">
      <c r="A4403" s="5">
        <v>92648</v>
      </c>
      <c r="B4403" s="7" t="s">
        <v>4498</v>
      </c>
      <c r="C4403" s="7" t="s">
        <v>3265</v>
      </c>
      <c r="D4403" s="7" t="s">
        <v>110</v>
      </c>
      <c r="E4403" s="5" t="s">
        <v>43</v>
      </c>
      <c r="F4403" s="8"/>
      <c r="G4403" s="9">
        <f>H4403*(1-30%)*(1-F4403)</f>
        <v>61.592999999999989</v>
      </c>
      <c r="H4403" s="9">
        <v>87.989999999999995</v>
      </c>
      <c r="I4403" s="9">
        <f>H4403-G4403</f>
        <v>26.397000000000006</v>
      </c>
    </row>
    <row r="4404" ht="14.25">
      <c r="A4404" s="5">
        <v>92649</v>
      </c>
      <c r="B4404" s="7" t="s">
        <v>4499</v>
      </c>
      <c r="C4404" s="7" t="s">
        <v>3265</v>
      </c>
      <c r="D4404" s="7" t="s">
        <v>110</v>
      </c>
      <c r="E4404" s="5" t="s">
        <v>26</v>
      </c>
      <c r="F4404" s="8"/>
      <c r="G4404" s="9">
        <f>H4404*(1-30%)*(1-F4404)</f>
        <v>51.092999999999996</v>
      </c>
      <c r="H4404" s="9">
        <v>72.989999999999995</v>
      </c>
      <c r="I4404" s="9">
        <f>H4404-G4404</f>
        <v>21.896999999999998</v>
      </c>
    </row>
    <row r="4405" ht="14.25">
      <c r="A4405" s="5">
        <v>92672</v>
      </c>
      <c r="B4405" s="7" t="s">
        <v>4500</v>
      </c>
      <c r="C4405" s="7" t="s">
        <v>3324</v>
      </c>
      <c r="D4405" s="7" t="s">
        <v>110</v>
      </c>
      <c r="E4405" s="5" t="s">
        <v>43</v>
      </c>
      <c r="F4405" s="8"/>
      <c r="G4405" s="9">
        <f>H4405*(1-30%)*(1-F4405)</f>
        <v>38.493000000000002</v>
      </c>
      <c r="H4405" s="9">
        <v>54.990000000000002</v>
      </c>
      <c r="I4405" s="9">
        <f>H4405-G4405</f>
        <v>16.497</v>
      </c>
    </row>
    <row r="4406" ht="14.25">
      <c r="A4406" s="5">
        <v>92673</v>
      </c>
      <c r="B4406" s="7" t="s">
        <v>4501</v>
      </c>
      <c r="C4406" s="7" t="s">
        <v>3324</v>
      </c>
      <c r="D4406" s="7" t="s">
        <v>110</v>
      </c>
      <c r="E4406" s="5" t="s">
        <v>43</v>
      </c>
      <c r="F4406" s="8"/>
      <c r="G4406" s="9">
        <f>H4406*(1-30%)*(1-F4406)</f>
        <v>38.493000000000002</v>
      </c>
      <c r="H4406" s="9">
        <v>54.990000000000002</v>
      </c>
      <c r="I4406" s="9">
        <f>H4406-G4406</f>
        <v>16.497</v>
      </c>
    </row>
    <row r="4407" ht="14.25">
      <c r="A4407" s="5">
        <v>92674</v>
      </c>
      <c r="B4407" s="7" t="s">
        <v>4502</v>
      </c>
      <c r="C4407" s="7" t="s">
        <v>3324</v>
      </c>
      <c r="D4407" s="7" t="s">
        <v>110</v>
      </c>
      <c r="E4407" s="5" t="s">
        <v>43</v>
      </c>
      <c r="F4407" s="8"/>
      <c r="G4407" s="9">
        <f>H4407*(1-30%)*(1-F4407)</f>
        <v>38.493000000000002</v>
      </c>
      <c r="H4407" s="9">
        <v>54.990000000000002</v>
      </c>
      <c r="I4407" s="9">
        <f>H4407-G4407</f>
        <v>16.497</v>
      </c>
    </row>
    <row r="4408" ht="14.25">
      <c r="A4408" s="5">
        <v>92675</v>
      </c>
      <c r="B4408" s="7" t="s">
        <v>4503</v>
      </c>
      <c r="C4408" s="7" t="s">
        <v>3324</v>
      </c>
      <c r="D4408" s="7" t="s">
        <v>110</v>
      </c>
      <c r="E4408" s="5" t="s">
        <v>43</v>
      </c>
      <c r="F4408" s="8"/>
      <c r="G4408" s="9">
        <f>H4408*(1-30%)*(1-F4408)</f>
        <v>38.493000000000002</v>
      </c>
      <c r="H4408" s="9">
        <v>54.990000000000002</v>
      </c>
      <c r="I4408" s="9">
        <f>H4408-G4408</f>
        <v>16.497</v>
      </c>
    </row>
    <row r="4409" ht="14.25">
      <c r="A4409" s="5">
        <v>92676</v>
      </c>
      <c r="B4409" s="7" t="s">
        <v>4504</v>
      </c>
      <c r="C4409" s="7" t="s">
        <v>3324</v>
      </c>
      <c r="D4409" s="7" t="s">
        <v>110</v>
      </c>
      <c r="E4409" s="5" t="s">
        <v>43</v>
      </c>
      <c r="F4409" s="8"/>
      <c r="G4409" s="9">
        <f>H4409*(1-30%)*(1-F4409)</f>
        <v>38.493000000000002</v>
      </c>
      <c r="H4409" s="9">
        <v>54.990000000000002</v>
      </c>
      <c r="I4409" s="9">
        <f>H4409-G4409</f>
        <v>16.497</v>
      </c>
    </row>
    <row r="4410" ht="14.25">
      <c r="A4410" s="5">
        <v>92677</v>
      </c>
      <c r="B4410" s="7" t="s">
        <v>4505</v>
      </c>
      <c r="C4410" s="7" t="s">
        <v>3324</v>
      </c>
      <c r="D4410" s="7" t="s">
        <v>110</v>
      </c>
      <c r="E4410" s="5" t="s">
        <v>43</v>
      </c>
      <c r="F4410" s="8"/>
      <c r="G4410" s="9">
        <f>H4410*(1-30%)*(1-F4410)</f>
        <v>38.493000000000002</v>
      </c>
      <c r="H4410" s="9">
        <v>54.990000000000002</v>
      </c>
      <c r="I4410" s="9">
        <f>H4410-G4410</f>
        <v>16.497</v>
      </c>
    </row>
    <row r="4411" ht="14.25">
      <c r="A4411" s="5">
        <v>92684</v>
      </c>
      <c r="B4411" s="7" t="s">
        <v>4506</v>
      </c>
      <c r="C4411" s="7" t="s">
        <v>3290</v>
      </c>
      <c r="D4411" s="7" t="s">
        <v>11</v>
      </c>
      <c r="E4411" s="5" t="s">
        <v>43</v>
      </c>
      <c r="F4411" s="8"/>
      <c r="G4411" s="9">
        <f>H4411*(1-30%)*(1-F4411)</f>
        <v>76.992999999999995</v>
      </c>
      <c r="H4411" s="9">
        <v>109.98999999999999</v>
      </c>
      <c r="I4411" s="9">
        <f>H4411-G4411</f>
        <v>32.997</v>
      </c>
    </row>
    <row r="4412" ht="14.25">
      <c r="A4412" s="5">
        <v>92685</v>
      </c>
      <c r="B4412" s="7" t="s">
        <v>4507</v>
      </c>
      <c r="C4412" s="7" t="s">
        <v>3290</v>
      </c>
      <c r="D4412" s="7" t="s">
        <v>45</v>
      </c>
      <c r="E4412" s="5" t="s">
        <v>15</v>
      </c>
      <c r="F4412" s="8"/>
      <c r="G4412" s="9">
        <f>H4412*(1-30%)*(1-F4412)</f>
        <v>24.492999999999999</v>
      </c>
      <c r="H4412" s="9">
        <v>34.990000000000002</v>
      </c>
      <c r="I4412" s="9">
        <f>H4412-G4412</f>
        <v>10.497000000000003</v>
      </c>
    </row>
    <row r="4413" ht="14.25">
      <c r="A4413" s="5">
        <v>92691</v>
      </c>
      <c r="B4413" s="7" t="s">
        <v>4508</v>
      </c>
      <c r="C4413" s="7" t="s">
        <v>3265</v>
      </c>
      <c r="D4413" s="7" t="s">
        <v>183</v>
      </c>
      <c r="E4413" s="5" t="s">
        <v>15</v>
      </c>
      <c r="F4413" s="8"/>
      <c r="G4413" s="9">
        <f>H4413*(1-30%)*(1-F4413)</f>
        <v>20.992999999999999</v>
      </c>
      <c r="H4413" s="9">
        <v>29.989999999999998</v>
      </c>
      <c r="I4413" s="9">
        <f>H4413-G4413</f>
        <v>8.9969999999999999</v>
      </c>
    </row>
    <row r="4414" ht="14.25">
      <c r="A4414" s="5">
        <v>92722</v>
      </c>
      <c r="B4414" s="7" t="s">
        <v>4509</v>
      </c>
      <c r="C4414" s="7" t="s">
        <v>3294</v>
      </c>
      <c r="D4414" s="7" t="s">
        <v>71</v>
      </c>
      <c r="E4414" s="5" t="s">
        <v>43</v>
      </c>
      <c r="F4414" s="8"/>
      <c r="G4414" s="9">
        <f>H4414*(1-30%)*(1-F4414)</f>
        <v>27.292999999999999</v>
      </c>
      <c r="H4414" s="9">
        <v>38.990000000000002</v>
      </c>
      <c r="I4414" s="9">
        <f>H4414-G4414</f>
        <v>11.697000000000003</v>
      </c>
    </row>
    <row r="4415" ht="14.25">
      <c r="A4415" s="5">
        <v>92730</v>
      </c>
      <c r="B4415" s="7" t="s">
        <v>4510</v>
      </c>
      <c r="C4415" s="7" t="s">
        <v>3581</v>
      </c>
      <c r="D4415" s="7" t="s">
        <v>45</v>
      </c>
      <c r="E4415" s="5" t="s">
        <v>43</v>
      </c>
      <c r="F4415" s="8"/>
      <c r="G4415" s="9">
        <f>H4415*(1-30%)*(1-F4415)</f>
        <v>37.092999999999996</v>
      </c>
      <c r="H4415" s="9">
        <v>52.990000000000002</v>
      </c>
      <c r="I4415" s="9">
        <f>H4415-G4415</f>
        <v>15.897000000000006</v>
      </c>
    </row>
    <row r="4416" ht="14.25">
      <c r="A4416" s="5">
        <v>92734</v>
      </c>
      <c r="B4416" s="7" t="s">
        <v>4511</v>
      </c>
      <c r="C4416" s="7" t="s">
        <v>3290</v>
      </c>
      <c r="D4416" s="7" t="s">
        <v>11</v>
      </c>
      <c r="E4416" s="5" t="s">
        <v>15</v>
      </c>
      <c r="F4416" s="8"/>
      <c r="G4416" s="9">
        <f>H4416*(1-30%)*(1-F4416)</f>
        <v>167.93000000000001</v>
      </c>
      <c r="H4416" s="9">
        <v>239.90000000000001</v>
      </c>
      <c r="I4416" s="9">
        <f>H4416-G4416</f>
        <v>71.969999999999999</v>
      </c>
    </row>
    <row r="4417" ht="14.25">
      <c r="A4417" s="5">
        <v>92754</v>
      </c>
      <c r="B4417" s="7" t="s">
        <v>4512</v>
      </c>
      <c r="C4417" s="7" t="s">
        <v>3265</v>
      </c>
      <c r="D4417" s="7" t="s">
        <v>110</v>
      </c>
      <c r="E4417" s="5" t="s">
        <v>43</v>
      </c>
      <c r="F4417" s="8"/>
      <c r="G4417" s="9">
        <f>H4417*(1-30%)*(1-F4417)</f>
        <v>61.592999999999989</v>
      </c>
      <c r="H4417" s="9">
        <v>87.989999999999995</v>
      </c>
      <c r="I4417" s="9">
        <f>H4417-G4417</f>
        <v>26.397000000000006</v>
      </c>
    </row>
    <row r="4418" ht="14.25">
      <c r="A4418" s="5">
        <v>92755</v>
      </c>
      <c r="B4418" s="7" t="s">
        <v>4513</v>
      </c>
      <c r="C4418" s="7" t="s">
        <v>3265</v>
      </c>
      <c r="D4418" s="7" t="s">
        <v>110</v>
      </c>
      <c r="E4418" s="5" t="s">
        <v>26</v>
      </c>
      <c r="F4418" s="8"/>
      <c r="G4418" s="9">
        <f>H4418*(1-30%)*(1-F4418)</f>
        <v>44.092999999999996</v>
      </c>
      <c r="H4418" s="9">
        <v>62.990000000000002</v>
      </c>
      <c r="I4418" s="9">
        <f>H4418-G4418</f>
        <v>18.897000000000006</v>
      </c>
    </row>
    <row r="4419" ht="14.25">
      <c r="A4419" s="5">
        <v>92757</v>
      </c>
      <c r="B4419" s="7" t="s">
        <v>4514</v>
      </c>
      <c r="C4419" s="7" t="s">
        <v>3265</v>
      </c>
      <c r="D4419" s="7" t="s">
        <v>110</v>
      </c>
      <c r="E4419" s="5" t="s">
        <v>26</v>
      </c>
      <c r="F4419" s="8"/>
      <c r="G4419" s="9">
        <f>H4419*(1-30%)*(1-F4419)</f>
        <v>44.092999999999996</v>
      </c>
      <c r="H4419" s="9">
        <v>62.990000000000002</v>
      </c>
      <c r="I4419" s="9">
        <f>H4419-G4419</f>
        <v>18.897000000000006</v>
      </c>
    </row>
    <row r="4420" ht="14.25">
      <c r="A4420" s="5">
        <v>92762</v>
      </c>
      <c r="B4420" s="7" t="s">
        <v>4515</v>
      </c>
      <c r="C4420" s="7" t="s">
        <v>3265</v>
      </c>
      <c r="D4420" s="7" t="s">
        <v>110</v>
      </c>
      <c r="E4420" s="5" t="s">
        <v>43</v>
      </c>
      <c r="F4420" s="8"/>
      <c r="G4420" s="9">
        <f>H4420*(1-30%)*(1-F4420)</f>
        <v>44.092999999999996</v>
      </c>
      <c r="H4420" s="9">
        <v>62.990000000000002</v>
      </c>
      <c r="I4420" s="9">
        <f>H4420-G4420</f>
        <v>18.897000000000006</v>
      </c>
    </row>
    <row r="4421" ht="14.25">
      <c r="A4421" s="5">
        <v>92777</v>
      </c>
      <c r="B4421" s="7" t="s">
        <v>4516</v>
      </c>
      <c r="C4421" s="7" t="s">
        <v>3265</v>
      </c>
      <c r="D4421" s="7" t="s">
        <v>110</v>
      </c>
      <c r="E4421" s="5" t="s">
        <v>26</v>
      </c>
      <c r="F4421" s="8"/>
      <c r="G4421" s="9">
        <f>H4421*(1-30%)*(1-F4421)</f>
        <v>65.092999999999989</v>
      </c>
      <c r="H4421" s="9">
        <v>92.989999999999995</v>
      </c>
      <c r="I4421" s="9">
        <f>H4421-G4421</f>
        <v>27.897000000000006</v>
      </c>
    </row>
    <row r="4422" ht="14.25">
      <c r="A4422" s="5">
        <v>92787</v>
      </c>
      <c r="B4422" s="7" t="s">
        <v>4517</v>
      </c>
      <c r="C4422" s="7" t="s">
        <v>3265</v>
      </c>
      <c r="D4422" s="7" t="s">
        <v>470</v>
      </c>
      <c r="E4422" s="5" t="s">
        <v>15</v>
      </c>
      <c r="F4422" s="8"/>
      <c r="G4422" s="9">
        <f>H4422*(1-30%)*(1-F4422)</f>
        <v>13.992999999999999</v>
      </c>
      <c r="H4422" s="9">
        <v>19.989999999999998</v>
      </c>
      <c r="I4422" s="9">
        <f>H4422-G4422</f>
        <v>5.9969999999999999</v>
      </c>
    </row>
    <row r="4423" ht="14.25">
      <c r="A4423" s="5">
        <v>92797</v>
      </c>
      <c r="B4423" s="7" t="s">
        <v>4518</v>
      </c>
      <c r="C4423" s="7" t="s">
        <v>3324</v>
      </c>
      <c r="D4423" s="7" t="s">
        <v>110</v>
      </c>
      <c r="E4423" s="5" t="s">
        <v>43</v>
      </c>
      <c r="F4423" s="8"/>
      <c r="G4423" s="9">
        <f>H4423*(1-30%)*(1-F4423)</f>
        <v>26.593</v>
      </c>
      <c r="H4423" s="9">
        <v>37.990000000000002</v>
      </c>
      <c r="I4423" s="9">
        <f>H4423-G4423</f>
        <v>11.397000000000002</v>
      </c>
    </row>
    <row r="4424" ht="14.25">
      <c r="A4424" s="5">
        <v>92798</v>
      </c>
      <c r="B4424" s="7" t="s">
        <v>4519</v>
      </c>
      <c r="C4424" s="7" t="s">
        <v>3324</v>
      </c>
      <c r="D4424" s="7" t="s">
        <v>110</v>
      </c>
      <c r="E4424" s="5" t="s">
        <v>43</v>
      </c>
      <c r="F4424" s="8"/>
      <c r="G4424" s="9">
        <f>H4424*(1-30%)*(1-F4424)</f>
        <v>26.593</v>
      </c>
      <c r="H4424" s="9">
        <v>37.990000000000002</v>
      </c>
      <c r="I4424" s="9">
        <f>H4424-G4424</f>
        <v>11.397000000000002</v>
      </c>
    </row>
    <row r="4425" ht="14.25">
      <c r="A4425" s="5">
        <v>92799</v>
      </c>
      <c r="B4425" s="7" t="s">
        <v>4520</v>
      </c>
      <c r="C4425" s="7" t="s">
        <v>3324</v>
      </c>
      <c r="D4425" s="7" t="s">
        <v>110</v>
      </c>
      <c r="E4425" s="5" t="s">
        <v>43</v>
      </c>
      <c r="F4425" s="8"/>
      <c r="G4425" s="9">
        <f>H4425*(1-30%)*(1-F4425)</f>
        <v>26.593</v>
      </c>
      <c r="H4425" s="9">
        <v>37.990000000000002</v>
      </c>
      <c r="I4425" s="9">
        <f>H4425-G4425</f>
        <v>11.397000000000002</v>
      </c>
    </row>
    <row r="4426" ht="14.25">
      <c r="A4426" s="5">
        <v>92800</v>
      </c>
      <c r="B4426" s="7" t="s">
        <v>4521</v>
      </c>
      <c r="C4426" s="7" t="s">
        <v>3324</v>
      </c>
      <c r="D4426" s="7" t="s">
        <v>110</v>
      </c>
      <c r="E4426" s="5" t="s">
        <v>43</v>
      </c>
      <c r="F4426" s="8"/>
      <c r="G4426" s="9">
        <f>H4426*(1-30%)*(1-F4426)</f>
        <v>26.593</v>
      </c>
      <c r="H4426" s="9">
        <v>37.990000000000002</v>
      </c>
      <c r="I4426" s="9">
        <f>H4426-G4426</f>
        <v>11.397000000000002</v>
      </c>
    </row>
    <row r="4427" ht="14.25">
      <c r="A4427" s="5">
        <v>92801</v>
      </c>
      <c r="B4427" s="7" t="s">
        <v>4522</v>
      </c>
      <c r="C4427" s="7" t="s">
        <v>3324</v>
      </c>
      <c r="D4427" s="7" t="s">
        <v>110</v>
      </c>
      <c r="E4427" s="5" t="s">
        <v>43</v>
      </c>
      <c r="F4427" s="8"/>
      <c r="G4427" s="9">
        <f>H4427*(1-30%)*(1-F4427)</f>
        <v>26.593</v>
      </c>
      <c r="H4427" s="9">
        <v>37.990000000000002</v>
      </c>
      <c r="I4427" s="9">
        <f>H4427-G4427</f>
        <v>11.397000000000002</v>
      </c>
    </row>
    <row r="4428" ht="14.25">
      <c r="A4428" s="5">
        <v>92809</v>
      </c>
      <c r="B4428" s="7" t="s">
        <v>4523</v>
      </c>
      <c r="C4428" s="7" t="s">
        <v>3265</v>
      </c>
      <c r="D4428" s="7" t="s">
        <v>110</v>
      </c>
      <c r="E4428" s="5" t="s">
        <v>43</v>
      </c>
      <c r="F4428" s="8"/>
      <c r="G4428" s="9">
        <f>H4428*(1-30%)*(1-F4428)</f>
        <v>45.492999999999995</v>
      </c>
      <c r="H4428" s="9">
        <v>64.989999999999995</v>
      </c>
      <c r="I4428" s="9">
        <f>H4428-G4428</f>
        <v>19.497</v>
      </c>
    </row>
    <row r="4429" ht="14.25">
      <c r="A4429" s="5">
        <v>92810</v>
      </c>
      <c r="B4429" s="7" t="s">
        <v>4524</v>
      </c>
      <c r="C4429" s="7" t="s">
        <v>3265</v>
      </c>
      <c r="D4429" s="7" t="s">
        <v>110</v>
      </c>
      <c r="E4429" s="5" t="s">
        <v>43</v>
      </c>
      <c r="F4429" s="8"/>
      <c r="G4429" s="9">
        <f>H4429*(1-30%)*(1-F4429)</f>
        <v>45.492999999999995</v>
      </c>
      <c r="H4429" s="9">
        <v>64.989999999999995</v>
      </c>
      <c r="I4429" s="9">
        <f>H4429-G4429</f>
        <v>19.497</v>
      </c>
    </row>
    <row r="4430" ht="14.25">
      <c r="A4430" s="5">
        <v>92811</v>
      </c>
      <c r="B4430" s="7" t="s">
        <v>4525</v>
      </c>
      <c r="C4430" s="7" t="s">
        <v>3265</v>
      </c>
      <c r="D4430" s="7" t="s">
        <v>110</v>
      </c>
      <c r="E4430" s="5" t="s">
        <v>43</v>
      </c>
      <c r="F4430" s="8"/>
      <c r="G4430" s="9">
        <f>H4430*(1-30%)*(1-F4430)</f>
        <v>45.492999999999995</v>
      </c>
      <c r="H4430" s="9">
        <v>64.989999999999995</v>
      </c>
      <c r="I4430" s="9">
        <f>H4430-G4430</f>
        <v>19.497</v>
      </c>
    </row>
    <row r="4431" ht="14.25">
      <c r="A4431" s="5">
        <v>92812</v>
      </c>
      <c r="B4431" s="7" t="s">
        <v>4526</v>
      </c>
      <c r="C4431" s="7" t="s">
        <v>3265</v>
      </c>
      <c r="D4431" s="7" t="s">
        <v>110</v>
      </c>
      <c r="E4431" s="5" t="s">
        <v>43</v>
      </c>
      <c r="F4431" s="8"/>
      <c r="G4431" s="9">
        <f>H4431*(1-30%)*(1-F4431)</f>
        <v>45.492999999999995</v>
      </c>
      <c r="H4431" s="9">
        <v>64.989999999999995</v>
      </c>
      <c r="I4431" s="9">
        <f>H4431-G4431</f>
        <v>19.497</v>
      </c>
    </row>
    <row r="4432" ht="14.25">
      <c r="A4432" s="5">
        <v>92813</v>
      </c>
      <c r="B4432" s="7" t="s">
        <v>4527</v>
      </c>
      <c r="C4432" s="7" t="s">
        <v>3265</v>
      </c>
      <c r="D4432" s="7" t="s">
        <v>110</v>
      </c>
      <c r="E4432" s="5" t="s">
        <v>43</v>
      </c>
      <c r="F4432" s="8"/>
      <c r="G4432" s="9">
        <f>H4432*(1-30%)*(1-F4432)</f>
        <v>45.492999999999995</v>
      </c>
      <c r="H4432" s="9">
        <v>64.989999999999995</v>
      </c>
      <c r="I4432" s="9">
        <f>H4432-G4432</f>
        <v>19.497</v>
      </c>
    </row>
    <row r="4433" ht="14.25">
      <c r="A4433" s="5">
        <v>92824</v>
      </c>
      <c r="B4433" s="7" t="s">
        <v>4528</v>
      </c>
      <c r="C4433" s="7" t="s">
        <v>3522</v>
      </c>
      <c r="D4433" s="7" t="s">
        <v>103</v>
      </c>
      <c r="E4433" s="5" t="s">
        <v>15</v>
      </c>
      <c r="F4433" s="8"/>
      <c r="G4433" s="9">
        <f>H4433*(1-30%)*(1-F4433)</f>
        <v>30.093</v>
      </c>
      <c r="H4433" s="9">
        <v>42.990000000000002</v>
      </c>
      <c r="I4433" s="9">
        <f>H4433-G4433</f>
        <v>12.897000000000002</v>
      </c>
    </row>
    <row r="4434" ht="14.25">
      <c r="A4434" s="5">
        <v>92826</v>
      </c>
      <c r="B4434" s="7" t="s">
        <v>4529</v>
      </c>
      <c r="C4434" s="7" t="s">
        <v>3522</v>
      </c>
      <c r="D4434" s="7" t="s">
        <v>71</v>
      </c>
      <c r="E4434" s="5" t="s">
        <v>43</v>
      </c>
      <c r="F4434" s="8"/>
      <c r="G4434" s="9">
        <f>H4434*(1-30%)*(1-F4434)</f>
        <v>27.292999999999999</v>
      </c>
      <c r="H4434" s="9">
        <v>38.990000000000002</v>
      </c>
      <c r="I4434" s="9">
        <f>H4434-G4434</f>
        <v>11.697000000000003</v>
      </c>
    </row>
    <row r="4435" ht="14.25">
      <c r="A4435" s="5">
        <v>92836</v>
      </c>
      <c r="B4435" s="7" t="s">
        <v>4530</v>
      </c>
      <c r="C4435" s="7" t="s">
        <v>3324</v>
      </c>
      <c r="D4435" s="7" t="s">
        <v>110</v>
      </c>
      <c r="E4435" s="5" t="s">
        <v>43</v>
      </c>
      <c r="F4435" s="8"/>
      <c r="G4435" s="9">
        <f>H4435*(1-30%)*(1-F4435)</f>
        <v>26.593</v>
      </c>
      <c r="H4435" s="9">
        <v>37.990000000000002</v>
      </c>
      <c r="I4435" s="9">
        <f>H4435-G4435</f>
        <v>11.397000000000002</v>
      </c>
    </row>
    <row r="4436" ht="14.25">
      <c r="A4436" s="5">
        <v>92838</v>
      </c>
      <c r="B4436" s="7" t="s">
        <v>4531</v>
      </c>
      <c r="C4436" s="7" t="s">
        <v>3324</v>
      </c>
      <c r="D4436" s="7" t="s">
        <v>110</v>
      </c>
      <c r="E4436" s="5" t="s">
        <v>43</v>
      </c>
      <c r="F4436" s="8"/>
      <c r="G4436" s="9">
        <f>H4436*(1-30%)*(1-F4436)</f>
        <v>26.593</v>
      </c>
      <c r="H4436" s="9">
        <v>37.990000000000002</v>
      </c>
      <c r="I4436" s="9">
        <f>H4436-G4436</f>
        <v>11.397000000000002</v>
      </c>
    </row>
    <row r="4437" ht="14.25">
      <c r="A4437" s="5">
        <v>92851</v>
      </c>
      <c r="B4437" s="7" t="s">
        <v>4532</v>
      </c>
      <c r="C4437" s="7" t="s">
        <v>3265</v>
      </c>
      <c r="D4437" s="7" t="s">
        <v>183</v>
      </c>
      <c r="E4437" s="5" t="s">
        <v>15</v>
      </c>
      <c r="F4437" s="8"/>
      <c r="G4437" s="9">
        <f>H4437*(1-30%)*(1-F4437)</f>
        <v>48.992999999999995</v>
      </c>
      <c r="H4437" s="9">
        <v>69.989999999999995</v>
      </c>
      <c r="I4437" s="9">
        <f>H4437-G4437</f>
        <v>20.997</v>
      </c>
    </row>
    <row r="4438" ht="14.25">
      <c r="A4438" s="5">
        <v>92892</v>
      </c>
      <c r="B4438" s="7" t="s">
        <v>4533</v>
      </c>
      <c r="C4438" s="7" t="s">
        <v>3280</v>
      </c>
      <c r="D4438" s="7" t="s">
        <v>95</v>
      </c>
      <c r="E4438" s="5" t="s">
        <v>43</v>
      </c>
      <c r="F4438" s="8"/>
      <c r="G4438" s="9">
        <f>H4438*(1-30%)*(1-F4438)</f>
        <v>31.492999999999999</v>
      </c>
      <c r="H4438" s="9">
        <v>44.990000000000002</v>
      </c>
      <c r="I4438" s="9">
        <f>H4438-G4438</f>
        <v>13.497000000000003</v>
      </c>
    </row>
    <row r="4439" ht="14.25">
      <c r="A4439" s="5">
        <v>92894</v>
      </c>
      <c r="B4439" s="7" t="s">
        <v>4534</v>
      </c>
      <c r="C4439" s="7" t="s">
        <v>3290</v>
      </c>
      <c r="D4439" s="7" t="s">
        <v>183</v>
      </c>
      <c r="E4439" s="5" t="s">
        <v>15</v>
      </c>
      <c r="F4439" s="8"/>
      <c r="G4439" s="9">
        <f>H4439*(1-30%)*(1-F4439)</f>
        <v>19.592999999999996</v>
      </c>
      <c r="H4439" s="9">
        <v>27.989999999999998</v>
      </c>
      <c r="I4439" s="9">
        <f>H4439-G4439</f>
        <v>8.397000000000002</v>
      </c>
    </row>
    <row r="4440" ht="14.25">
      <c r="A4440" s="5">
        <v>92907</v>
      </c>
      <c r="B4440" s="7" t="s">
        <v>4535</v>
      </c>
      <c r="C4440" s="7" t="s">
        <v>1446</v>
      </c>
      <c r="D4440" s="7" t="s">
        <v>1447</v>
      </c>
      <c r="E4440" s="5" t="s">
        <v>15</v>
      </c>
      <c r="F4440" s="8"/>
      <c r="G4440" s="9">
        <f>H4440*(1-30%)*(1-F4440)</f>
        <v>3.4929999999999999</v>
      </c>
      <c r="H4440" s="9">
        <v>4.9900000000000002</v>
      </c>
      <c r="I4440" s="9">
        <f>H4440-G4440</f>
        <v>1.4970000000000003</v>
      </c>
    </row>
    <row r="4441" ht="14.25">
      <c r="A4441" s="5">
        <v>92913</v>
      </c>
      <c r="B4441" s="7" t="s">
        <v>4536</v>
      </c>
      <c r="C4441" s="7" t="s">
        <v>3276</v>
      </c>
      <c r="D4441" s="7" t="s">
        <v>11</v>
      </c>
      <c r="E4441" s="5" t="s">
        <v>15</v>
      </c>
      <c r="F4441" s="8"/>
      <c r="G4441" s="9">
        <f>H4441*(1-30%)*(1-F4441)</f>
        <v>80.492999999999995</v>
      </c>
      <c r="H4441" s="9">
        <v>114.98999999999999</v>
      </c>
      <c r="I4441" s="9">
        <f>H4441-G4441</f>
        <v>34.497</v>
      </c>
    </row>
    <row r="4442" ht="14.25">
      <c r="A4442" s="5">
        <v>92914</v>
      </c>
      <c r="B4442" s="7" t="s">
        <v>4537</v>
      </c>
      <c r="C4442" s="7" t="s">
        <v>3265</v>
      </c>
      <c r="D4442" s="7" t="s">
        <v>470</v>
      </c>
      <c r="E4442" s="5" t="s">
        <v>15</v>
      </c>
      <c r="F4442" s="8"/>
      <c r="G4442" s="9">
        <f>H4442*(1-30%)*(1-F4442)</f>
        <v>13.292999999999997</v>
      </c>
      <c r="H4442" s="9">
        <v>18.989999999999998</v>
      </c>
      <c r="I4442" s="9">
        <f>H4442-G4442</f>
        <v>5.697000000000001</v>
      </c>
    </row>
    <row r="4443" ht="14.25">
      <c r="A4443" s="5">
        <v>92918</v>
      </c>
      <c r="B4443" s="7" t="s">
        <v>4538</v>
      </c>
      <c r="C4443" s="7" t="s">
        <v>3324</v>
      </c>
      <c r="D4443" s="7" t="s">
        <v>110</v>
      </c>
      <c r="E4443" s="5" t="s">
        <v>43</v>
      </c>
      <c r="F4443" s="8"/>
      <c r="G4443" s="9">
        <f>H4443*(1-30%)*(1-F4443)</f>
        <v>38.493000000000002</v>
      </c>
      <c r="H4443" s="9">
        <v>54.990000000000002</v>
      </c>
      <c r="I4443" s="9">
        <f>H4443-G4443</f>
        <v>16.497</v>
      </c>
    </row>
    <row r="4444" ht="14.25">
      <c r="A4444" s="5">
        <v>92948</v>
      </c>
      <c r="B4444" s="7" t="s">
        <v>4539</v>
      </c>
      <c r="C4444" s="7" t="s">
        <v>3324</v>
      </c>
      <c r="D4444" s="7" t="s">
        <v>110</v>
      </c>
      <c r="E4444" s="5" t="s">
        <v>43</v>
      </c>
      <c r="F4444" s="8"/>
      <c r="G4444" s="9">
        <f>H4444*(1-30%)*(1-F4444)</f>
        <v>38.493000000000002</v>
      </c>
      <c r="H4444" s="9">
        <v>54.990000000000002</v>
      </c>
      <c r="I4444" s="9">
        <f>H4444-G4444</f>
        <v>16.497</v>
      </c>
    </row>
    <row r="4445" ht="14.25">
      <c r="A4445" s="5">
        <v>92949</v>
      </c>
      <c r="B4445" s="7" t="s">
        <v>4540</v>
      </c>
      <c r="C4445" s="7" t="s">
        <v>3290</v>
      </c>
      <c r="D4445" s="7" t="s">
        <v>1447</v>
      </c>
      <c r="E4445" s="5" t="s">
        <v>15</v>
      </c>
      <c r="F4445" s="8"/>
      <c r="G4445" s="9">
        <f>H4445*(1-30%)*(1-F4445)</f>
        <v>13.929999999999998</v>
      </c>
      <c r="H4445" s="9">
        <v>19.899999999999999</v>
      </c>
      <c r="I4445" s="9">
        <f>H4445-G4445</f>
        <v>5.9700000000000006</v>
      </c>
    </row>
    <row r="4446" ht="14.25">
      <c r="A4446" s="5">
        <v>92989</v>
      </c>
      <c r="B4446" s="7" t="s">
        <v>4541</v>
      </c>
      <c r="C4446" s="7" t="s">
        <v>3265</v>
      </c>
      <c r="D4446" s="7" t="s">
        <v>110</v>
      </c>
      <c r="E4446" s="5" t="s">
        <v>43</v>
      </c>
      <c r="F4446" s="8"/>
      <c r="G4446" s="9">
        <f>H4446*(1-30%)*(1-F4446)</f>
        <v>73.492999999999995</v>
      </c>
      <c r="H4446" s="9">
        <v>104.98999999999999</v>
      </c>
      <c r="I4446" s="9">
        <f>H4446-G4446</f>
        <v>31.497</v>
      </c>
    </row>
    <row r="4447" ht="14.25">
      <c r="A4447" s="5">
        <v>92990</v>
      </c>
      <c r="B4447" s="7" t="s">
        <v>4542</v>
      </c>
      <c r="C4447" s="7" t="s">
        <v>3265</v>
      </c>
      <c r="D4447" s="7" t="s">
        <v>110</v>
      </c>
      <c r="E4447" s="5" t="s">
        <v>43</v>
      </c>
      <c r="F4447" s="8"/>
      <c r="G4447" s="9">
        <f>H4447*(1-30%)*(1-F4447)</f>
        <v>73.492999999999995</v>
      </c>
      <c r="H4447" s="9">
        <v>104.98999999999999</v>
      </c>
      <c r="I4447" s="9">
        <f>H4447-G4447</f>
        <v>31.497</v>
      </c>
    </row>
    <row r="4448" ht="14.25">
      <c r="A4448" s="5">
        <v>92991</v>
      </c>
      <c r="B4448" s="7" t="s">
        <v>4543</v>
      </c>
      <c r="C4448" s="7" t="s">
        <v>3265</v>
      </c>
      <c r="D4448" s="7" t="s">
        <v>110</v>
      </c>
      <c r="E4448" s="5" t="s">
        <v>43</v>
      </c>
      <c r="F4448" s="8"/>
      <c r="G4448" s="9">
        <f>H4448*(1-30%)*(1-F4448)</f>
        <v>73.492999999999995</v>
      </c>
      <c r="H4448" s="9">
        <v>104.98999999999999</v>
      </c>
      <c r="I4448" s="9">
        <f>H4448-G4448</f>
        <v>31.497</v>
      </c>
    </row>
    <row r="4449" ht="14.25">
      <c r="A4449" s="5">
        <v>93020</v>
      </c>
      <c r="B4449" s="7" t="s">
        <v>4544</v>
      </c>
      <c r="C4449" s="7" t="s">
        <v>3506</v>
      </c>
      <c r="D4449" s="7" t="s">
        <v>45</v>
      </c>
      <c r="E4449" s="5" t="s">
        <v>15</v>
      </c>
      <c r="F4449" s="8"/>
      <c r="G4449" s="9">
        <f>H4449*(1-30%)*(1-F4449)</f>
        <v>33.592999999999996</v>
      </c>
      <c r="H4449" s="9">
        <v>47.990000000000002</v>
      </c>
      <c r="I4449" s="9">
        <f>H4449-G4449</f>
        <v>14.397000000000006</v>
      </c>
    </row>
    <row r="4450" ht="14.25">
      <c r="A4450" s="5">
        <v>93024</v>
      </c>
      <c r="B4450" s="7" t="s">
        <v>4545</v>
      </c>
      <c r="C4450" s="7" t="s">
        <v>3506</v>
      </c>
      <c r="D4450" s="7" t="s">
        <v>11</v>
      </c>
      <c r="E4450" s="5" t="s">
        <v>43</v>
      </c>
      <c r="F4450" s="8"/>
      <c r="G4450" s="9">
        <f>H4450*(1-30%)*(1-F4450)</f>
        <v>83.929999999999993</v>
      </c>
      <c r="H4450" s="9">
        <v>119.90000000000001</v>
      </c>
      <c r="I4450" s="9">
        <f>H4450-G4450</f>
        <v>35.970000000000013</v>
      </c>
    </row>
    <row r="4451" ht="14.25">
      <c r="A4451" s="5">
        <v>93029</v>
      </c>
      <c r="B4451" s="7" t="s">
        <v>4546</v>
      </c>
      <c r="C4451" s="7" t="s">
        <v>3524</v>
      </c>
      <c r="D4451" s="7" t="s">
        <v>11</v>
      </c>
      <c r="E4451" s="5" t="s">
        <v>15</v>
      </c>
      <c r="F4451" s="8"/>
      <c r="G4451" s="9">
        <f>H4451*(1-30%)*(1-F4451)</f>
        <v>97.992999999999995</v>
      </c>
      <c r="H4451" s="9">
        <v>139.99000000000001</v>
      </c>
      <c r="I4451" s="9">
        <f>H4451-G4451</f>
        <v>41.997000000000014</v>
      </c>
    </row>
    <row r="4452" ht="14.25">
      <c r="A4452" s="5">
        <v>93047</v>
      </c>
      <c r="B4452" s="7" t="s">
        <v>4547</v>
      </c>
      <c r="C4452" s="7" t="s">
        <v>3280</v>
      </c>
      <c r="D4452" s="7" t="s">
        <v>95</v>
      </c>
      <c r="E4452" s="5" t="s">
        <v>43</v>
      </c>
      <c r="F4452" s="8"/>
      <c r="G4452" s="9">
        <f>H4452*(1-30%)*(1-F4452)</f>
        <v>34.993000000000002</v>
      </c>
      <c r="H4452" s="9">
        <v>49.990000000000002</v>
      </c>
      <c r="I4452" s="9">
        <f>H4452-G4452</f>
        <v>14.997</v>
      </c>
    </row>
    <row r="4453" ht="14.25">
      <c r="A4453" s="5">
        <v>93054</v>
      </c>
      <c r="B4453" s="7" t="s">
        <v>4548</v>
      </c>
      <c r="C4453" s="7" t="s">
        <v>3280</v>
      </c>
      <c r="D4453" s="7" t="s">
        <v>95</v>
      </c>
      <c r="E4453" s="5" t="s">
        <v>43</v>
      </c>
      <c r="F4453" s="8"/>
      <c r="G4453" s="9">
        <f>H4453*(1-30%)*(1-F4453)</f>
        <v>33.592999999999996</v>
      </c>
      <c r="H4453" s="9">
        <v>47.990000000000002</v>
      </c>
      <c r="I4453" s="9">
        <f>H4453-G4453</f>
        <v>14.397000000000006</v>
      </c>
    </row>
    <row r="4454" ht="14.25">
      <c r="A4454" s="5">
        <v>93055</v>
      </c>
      <c r="B4454" s="7" t="s">
        <v>4549</v>
      </c>
      <c r="C4454" s="7" t="s">
        <v>3280</v>
      </c>
      <c r="D4454" s="7" t="s">
        <v>95</v>
      </c>
      <c r="E4454" s="5" t="s">
        <v>43</v>
      </c>
      <c r="F4454" s="8"/>
      <c r="G4454" s="9">
        <f>H4454*(1-30%)*(1-F4454)</f>
        <v>34.993000000000002</v>
      </c>
      <c r="H4454" s="9">
        <v>49.990000000000002</v>
      </c>
      <c r="I4454" s="9">
        <f>H4454-G4454</f>
        <v>14.997</v>
      </c>
    </row>
    <row r="4455" ht="14.25">
      <c r="A4455" s="5">
        <v>93056</v>
      </c>
      <c r="B4455" s="7" t="s">
        <v>4550</v>
      </c>
      <c r="C4455" s="7" t="s">
        <v>3280</v>
      </c>
      <c r="D4455" s="7" t="s">
        <v>95</v>
      </c>
      <c r="E4455" s="5" t="s">
        <v>43</v>
      </c>
      <c r="F4455" s="8"/>
      <c r="G4455" s="9">
        <f>H4455*(1-30%)*(1-F4455)</f>
        <v>48.992999999999995</v>
      </c>
      <c r="H4455" s="9">
        <v>69.989999999999995</v>
      </c>
      <c r="I4455" s="9">
        <f>H4455-G4455</f>
        <v>20.997</v>
      </c>
    </row>
    <row r="4456" ht="14.25">
      <c r="A4456" s="5">
        <v>93057</v>
      </c>
      <c r="B4456" s="7" t="s">
        <v>4551</v>
      </c>
      <c r="C4456" s="7" t="s">
        <v>3280</v>
      </c>
      <c r="D4456" s="7" t="s">
        <v>95</v>
      </c>
      <c r="E4456" s="5" t="s">
        <v>43</v>
      </c>
      <c r="F4456" s="8"/>
      <c r="G4456" s="9">
        <f>H4456*(1-30%)*(1-F4456)</f>
        <v>47.592999999999996</v>
      </c>
      <c r="H4456" s="9">
        <v>67.989999999999995</v>
      </c>
      <c r="I4456" s="9">
        <f>H4456-G4456</f>
        <v>20.396999999999998</v>
      </c>
    </row>
    <row r="4457" ht="14.25">
      <c r="A4457" s="5">
        <v>93060</v>
      </c>
      <c r="B4457" s="7" t="s">
        <v>4552</v>
      </c>
      <c r="C4457" s="7" t="s">
        <v>3435</v>
      </c>
      <c r="D4457" s="7" t="s">
        <v>45</v>
      </c>
      <c r="E4457" s="5" t="s">
        <v>15</v>
      </c>
      <c r="F4457" s="8"/>
      <c r="G4457" s="9">
        <f>H4457*(1-30%)*(1-F4457)</f>
        <v>47.592999999999996</v>
      </c>
      <c r="H4457" s="9">
        <v>67.989999999999995</v>
      </c>
      <c r="I4457" s="9">
        <f>H4457-G4457</f>
        <v>20.396999999999998</v>
      </c>
    </row>
    <row r="4458" ht="14.25">
      <c r="A4458" s="5">
        <v>93062</v>
      </c>
      <c r="B4458" s="7" t="s">
        <v>4553</v>
      </c>
      <c r="C4458" s="7" t="s">
        <v>3435</v>
      </c>
      <c r="D4458" s="7" t="s">
        <v>45</v>
      </c>
      <c r="E4458" s="5" t="s">
        <v>43</v>
      </c>
      <c r="F4458" s="8"/>
      <c r="G4458" s="9">
        <f>H4458*(1-30%)*(1-F4458)</f>
        <v>47.592999999999996</v>
      </c>
      <c r="H4458" s="9">
        <v>67.989999999999995</v>
      </c>
      <c r="I4458" s="9">
        <f>H4458-G4458</f>
        <v>20.396999999999998</v>
      </c>
    </row>
    <row r="4459" ht="14.25">
      <c r="A4459" s="5">
        <v>93063</v>
      </c>
      <c r="B4459" s="7" t="s">
        <v>4554</v>
      </c>
      <c r="C4459" s="7" t="s">
        <v>3435</v>
      </c>
      <c r="D4459" s="7" t="s">
        <v>45</v>
      </c>
      <c r="E4459" s="5" t="s">
        <v>43</v>
      </c>
      <c r="F4459" s="8"/>
      <c r="G4459" s="9">
        <f>H4459*(1-30%)*(1-F4459)</f>
        <v>47.592999999999996</v>
      </c>
      <c r="H4459" s="9">
        <v>67.989999999999995</v>
      </c>
      <c r="I4459" s="9">
        <f>H4459-G4459</f>
        <v>20.396999999999998</v>
      </c>
    </row>
    <row r="4460" ht="14.25">
      <c r="A4460" s="5">
        <v>93065</v>
      </c>
      <c r="B4460" s="7" t="s">
        <v>4555</v>
      </c>
      <c r="C4460" s="7" t="s">
        <v>3435</v>
      </c>
      <c r="D4460" s="7" t="s">
        <v>45</v>
      </c>
      <c r="E4460" s="5" t="s">
        <v>43</v>
      </c>
      <c r="F4460" s="8"/>
      <c r="G4460" s="9">
        <f>H4460*(1-30%)*(1-F4460)</f>
        <v>47.592999999999996</v>
      </c>
      <c r="H4460" s="9">
        <v>67.989999999999995</v>
      </c>
      <c r="I4460" s="9">
        <f>H4460-G4460</f>
        <v>20.396999999999998</v>
      </c>
    </row>
    <row r="4461" ht="14.25">
      <c r="A4461" s="5">
        <v>93067</v>
      </c>
      <c r="B4461" s="7" t="s">
        <v>4556</v>
      </c>
      <c r="C4461" s="7" t="s">
        <v>3435</v>
      </c>
      <c r="D4461" s="7" t="s">
        <v>45</v>
      </c>
      <c r="E4461" s="5" t="s">
        <v>43</v>
      </c>
      <c r="F4461" s="8"/>
      <c r="G4461" s="9">
        <f>H4461*(1-30%)*(1-F4461)</f>
        <v>47.592999999999996</v>
      </c>
      <c r="H4461" s="9">
        <v>67.989999999999995</v>
      </c>
      <c r="I4461" s="9">
        <f>H4461-G4461</f>
        <v>20.396999999999998</v>
      </c>
    </row>
    <row r="4462" ht="14.25">
      <c r="A4462" s="5">
        <v>93069</v>
      </c>
      <c r="B4462" s="7" t="s">
        <v>4557</v>
      </c>
      <c r="C4462" s="7" t="s">
        <v>3435</v>
      </c>
      <c r="D4462" s="7" t="s">
        <v>11</v>
      </c>
      <c r="E4462" s="5" t="s">
        <v>15</v>
      </c>
      <c r="F4462" s="8"/>
      <c r="G4462" s="9">
        <f>H4462*(1-30%)*(1-F4462)</f>
        <v>55.992999999999995</v>
      </c>
      <c r="H4462" s="9">
        <v>79.989999999999995</v>
      </c>
      <c r="I4462" s="9">
        <f>H4462-G4462</f>
        <v>23.997</v>
      </c>
    </row>
    <row r="4463" ht="14.25">
      <c r="A4463" s="5">
        <v>93071</v>
      </c>
      <c r="B4463" s="7" t="s">
        <v>4558</v>
      </c>
      <c r="C4463" s="7" t="s">
        <v>3435</v>
      </c>
      <c r="D4463" s="7" t="s">
        <v>11</v>
      </c>
      <c r="E4463" s="5" t="s">
        <v>15</v>
      </c>
      <c r="F4463" s="8"/>
      <c r="G4463" s="9">
        <f>H4463*(1-30%)*(1-F4463)</f>
        <v>55.992999999999995</v>
      </c>
      <c r="H4463" s="9">
        <v>79.989999999999995</v>
      </c>
      <c r="I4463" s="9">
        <f>H4463-G4463</f>
        <v>23.997</v>
      </c>
    </row>
    <row r="4464" ht="14.25">
      <c r="A4464" s="5">
        <v>93073</v>
      </c>
      <c r="B4464" s="7" t="s">
        <v>4559</v>
      </c>
      <c r="C4464" s="7" t="s">
        <v>3435</v>
      </c>
      <c r="D4464" s="7" t="s">
        <v>103</v>
      </c>
      <c r="E4464" s="5" t="s">
        <v>15</v>
      </c>
      <c r="F4464" s="8"/>
      <c r="G4464" s="9">
        <f>H4464*(1-30%)*(1-F4464)</f>
        <v>26.593</v>
      </c>
      <c r="H4464" s="9">
        <v>37.990000000000002</v>
      </c>
      <c r="I4464" s="9">
        <f>H4464-G4464</f>
        <v>11.397000000000002</v>
      </c>
    </row>
    <row r="4465" ht="14.25">
      <c r="A4465" s="5">
        <v>93076</v>
      </c>
      <c r="B4465" s="7" t="s">
        <v>4560</v>
      </c>
      <c r="C4465" s="7" t="s">
        <v>3435</v>
      </c>
      <c r="D4465" s="7" t="s">
        <v>103</v>
      </c>
      <c r="E4465" s="5" t="s">
        <v>43</v>
      </c>
      <c r="F4465" s="8"/>
      <c r="G4465" s="9">
        <f>H4465*(1-30%)*(1-F4465)</f>
        <v>26.593</v>
      </c>
      <c r="H4465" s="9">
        <v>37.990000000000002</v>
      </c>
      <c r="I4465" s="9">
        <f>H4465-G4465</f>
        <v>11.397000000000002</v>
      </c>
    </row>
    <row r="4466" ht="14.25">
      <c r="A4466" s="5">
        <v>93077</v>
      </c>
      <c r="B4466" s="7" t="s">
        <v>4561</v>
      </c>
      <c r="C4466" s="7" t="s">
        <v>3435</v>
      </c>
      <c r="D4466" s="7" t="s">
        <v>45</v>
      </c>
      <c r="E4466" s="5" t="s">
        <v>43</v>
      </c>
      <c r="F4466" s="8"/>
      <c r="G4466" s="9">
        <f>H4466*(1-30%)*(1-F4466)</f>
        <v>33.592999999999996</v>
      </c>
      <c r="H4466" s="9">
        <v>47.990000000000002</v>
      </c>
      <c r="I4466" s="9">
        <f>H4466-G4466</f>
        <v>14.397000000000006</v>
      </c>
    </row>
    <row r="4467" ht="14.25">
      <c r="A4467" s="5">
        <v>93079</v>
      </c>
      <c r="B4467" s="7" t="s">
        <v>4562</v>
      </c>
      <c r="C4467" s="7" t="s">
        <v>3435</v>
      </c>
      <c r="D4467" s="7" t="s">
        <v>45</v>
      </c>
      <c r="E4467" s="5" t="s">
        <v>43</v>
      </c>
      <c r="F4467" s="8"/>
      <c r="G4467" s="9">
        <f>H4467*(1-30%)*(1-F4467)</f>
        <v>24.492999999999999</v>
      </c>
      <c r="H4467" s="9">
        <v>34.990000000000002</v>
      </c>
      <c r="I4467" s="9">
        <f>H4467-G4467</f>
        <v>10.497000000000003</v>
      </c>
    </row>
    <row r="4468" ht="14.25">
      <c r="A4468" s="5">
        <v>93081</v>
      </c>
      <c r="B4468" s="7" t="s">
        <v>4563</v>
      </c>
      <c r="C4468" s="7" t="s">
        <v>3435</v>
      </c>
      <c r="D4468" s="7" t="s">
        <v>45</v>
      </c>
      <c r="E4468" s="5" t="s">
        <v>43</v>
      </c>
      <c r="F4468" s="8"/>
      <c r="G4468" s="9">
        <f>H4468*(1-30%)*(1-F4468)</f>
        <v>24.492999999999999</v>
      </c>
      <c r="H4468" s="9">
        <v>34.990000000000002</v>
      </c>
      <c r="I4468" s="9">
        <f>H4468-G4468</f>
        <v>10.497000000000003</v>
      </c>
    </row>
    <row r="4469" ht="14.25">
      <c r="A4469" s="5">
        <v>93082</v>
      </c>
      <c r="B4469" s="7" t="s">
        <v>4564</v>
      </c>
      <c r="C4469" s="7" t="s">
        <v>3435</v>
      </c>
      <c r="D4469" s="7" t="s">
        <v>45</v>
      </c>
      <c r="E4469" s="5" t="s">
        <v>15</v>
      </c>
      <c r="F4469" s="8"/>
      <c r="G4469" s="9">
        <f>H4469*(1-30%)*(1-F4469)</f>
        <v>24.492999999999999</v>
      </c>
      <c r="H4469" s="9">
        <v>34.990000000000002</v>
      </c>
      <c r="I4469" s="9">
        <f>H4469-G4469</f>
        <v>10.497000000000003</v>
      </c>
    </row>
    <row r="4470" ht="14.25">
      <c r="A4470" s="5">
        <v>93103</v>
      </c>
      <c r="B4470" s="7" t="s">
        <v>4565</v>
      </c>
      <c r="C4470" s="7" t="s">
        <v>3280</v>
      </c>
      <c r="D4470" s="7" t="s">
        <v>95</v>
      </c>
      <c r="E4470" s="5" t="s">
        <v>43</v>
      </c>
      <c r="F4470" s="8"/>
      <c r="G4470" s="9">
        <f>H4470*(1-30%)*(1-F4470)</f>
        <v>33.592999999999996</v>
      </c>
      <c r="H4470" s="9">
        <v>47.990000000000002</v>
      </c>
      <c r="I4470" s="9">
        <f>H4470-G4470</f>
        <v>14.397000000000006</v>
      </c>
    </row>
    <row r="4471" ht="14.25">
      <c r="A4471" s="5">
        <v>93104</v>
      </c>
      <c r="B4471" s="7" t="s">
        <v>4566</v>
      </c>
      <c r="C4471" s="7" t="s">
        <v>3280</v>
      </c>
      <c r="D4471" s="7" t="s">
        <v>95</v>
      </c>
      <c r="E4471" s="5" t="s">
        <v>43</v>
      </c>
      <c r="F4471" s="8"/>
      <c r="G4471" s="9">
        <f>H4471*(1-30%)*(1-F4471)</f>
        <v>34.993000000000002</v>
      </c>
      <c r="H4471" s="9">
        <v>49.990000000000002</v>
      </c>
      <c r="I4471" s="9">
        <f>H4471-G4471</f>
        <v>14.997</v>
      </c>
    </row>
    <row r="4472" ht="14.25">
      <c r="A4472" s="5">
        <v>93105</v>
      </c>
      <c r="B4472" s="7" t="s">
        <v>4567</v>
      </c>
      <c r="C4472" s="7" t="s">
        <v>3280</v>
      </c>
      <c r="D4472" s="7" t="s">
        <v>95</v>
      </c>
      <c r="E4472" s="5" t="s">
        <v>43</v>
      </c>
      <c r="F4472" s="8"/>
      <c r="G4472" s="9">
        <f>H4472*(1-30%)*(1-F4472)</f>
        <v>48.992999999999995</v>
      </c>
      <c r="H4472" s="9">
        <v>69.989999999999995</v>
      </c>
      <c r="I4472" s="9">
        <f>H4472-G4472</f>
        <v>20.997</v>
      </c>
    </row>
    <row r="4473" ht="14.25">
      <c r="A4473" s="5">
        <v>93106</v>
      </c>
      <c r="B4473" s="7" t="s">
        <v>4568</v>
      </c>
      <c r="C4473" s="7" t="s">
        <v>3280</v>
      </c>
      <c r="D4473" s="7" t="s">
        <v>95</v>
      </c>
      <c r="E4473" s="5" t="s">
        <v>43</v>
      </c>
      <c r="F4473" s="8"/>
      <c r="G4473" s="9">
        <f>H4473*(1-30%)*(1-F4473)</f>
        <v>37.092999999999996</v>
      </c>
      <c r="H4473" s="9">
        <v>52.990000000000002</v>
      </c>
      <c r="I4473" s="9">
        <f>H4473-G4473</f>
        <v>15.897000000000006</v>
      </c>
    </row>
    <row r="4474" ht="14.25">
      <c r="A4474" s="5">
        <v>93131</v>
      </c>
      <c r="B4474" s="7" t="s">
        <v>4569</v>
      </c>
      <c r="C4474" s="7" t="s">
        <v>3280</v>
      </c>
      <c r="D4474" s="7" t="s">
        <v>95</v>
      </c>
      <c r="E4474" s="5" t="s">
        <v>43</v>
      </c>
      <c r="F4474" s="8"/>
      <c r="G4474" s="9">
        <f>H4474*(1-30%)*(1-F4474)</f>
        <v>52.492999999999995</v>
      </c>
      <c r="H4474" s="9">
        <v>74.989999999999995</v>
      </c>
      <c r="I4474" s="9">
        <f>H4474-G4474</f>
        <v>22.497</v>
      </c>
    </row>
    <row r="4475" ht="14.25">
      <c r="A4475" s="5">
        <v>93144</v>
      </c>
      <c r="B4475" s="7" t="s">
        <v>4570</v>
      </c>
      <c r="C4475" s="7" t="s">
        <v>3417</v>
      </c>
      <c r="D4475" s="7" t="s">
        <v>219</v>
      </c>
      <c r="E4475" s="5" t="s">
        <v>26</v>
      </c>
      <c r="F4475" s="8"/>
      <c r="G4475" s="9">
        <f>H4475*(1-30%)*(1-F4475)</f>
        <v>54.592999999999996</v>
      </c>
      <c r="H4475" s="9">
        <v>77.989999999999995</v>
      </c>
      <c r="I4475" s="9">
        <f>H4475-G4475</f>
        <v>23.396999999999998</v>
      </c>
    </row>
    <row r="4476" ht="14.25">
      <c r="A4476" s="5">
        <v>93148</v>
      </c>
      <c r="B4476" s="7" t="s">
        <v>4571</v>
      </c>
      <c r="C4476" s="7" t="s">
        <v>3417</v>
      </c>
      <c r="D4476" s="7" t="s">
        <v>219</v>
      </c>
      <c r="E4476" s="5" t="s">
        <v>26</v>
      </c>
      <c r="F4476" s="8"/>
      <c r="G4476" s="9">
        <f>H4476*(1-30%)*(1-F4476)</f>
        <v>94.429999999999993</v>
      </c>
      <c r="H4476" s="9">
        <v>134.90000000000001</v>
      </c>
      <c r="I4476" s="9">
        <f>H4476-G4476</f>
        <v>40.470000000000013</v>
      </c>
    </row>
    <row r="4477" ht="14.25">
      <c r="A4477" s="5">
        <v>93149</v>
      </c>
      <c r="B4477" s="7" t="s">
        <v>4572</v>
      </c>
      <c r="C4477" s="7" t="s">
        <v>3417</v>
      </c>
      <c r="D4477" s="7" t="s">
        <v>199</v>
      </c>
      <c r="E4477" s="5" t="s">
        <v>43</v>
      </c>
      <c r="F4477" s="8"/>
      <c r="G4477" s="9">
        <f>H4477*(1-30%)*(1-F4477)</f>
        <v>76.992999999999995</v>
      </c>
      <c r="H4477" s="9">
        <v>109.98999999999999</v>
      </c>
      <c r="I4477" s="9">
        <f>H4477-G4477</f>
        <v>32.997</v>
      </c>
    </row>
    <row r="4478" ht="14.25">
      <c r="A4478" s="5">
        <v>93150</v>
      </c>
      <c r="B4478" s="7" t="s">
        <v>4573</v>
      </c>
      <c r="C4478" s="7" t="s">
        <v>3417</v>
      </c>
      <c r="D4478" s="7" t="s">
        <v>199</v>
      </c>
      <c r="E4478" s="5" t="s">
        <v>43</v>
      </c>
      <c r="F4478" s="8"/>
      <c r="G4478" s="9">
        <f>H4478*(1-30%)*(1-F4478)</f>
        <v>87.492999999999995</v>
      </c>
      <c r="H4478" s="9">
        <v>124.98999999999999</v>
      </c>
      <c r="I4478" s="9">
        <f>H4478-G4478</f>
        <v>37.497</v>
      </c>
    </row>
    <row r="4479" ht="14.25">
      <c r="A4479" s="5">
        <v>93154</v>
      </c>
      <c r="B4479" s="7" t="s">
        <v>4574</v>
      </c>
      <c r="C4479" s="7" t="s">
        <v>3276</v>
      </c>
      <c r="D4479" s="7" t="s">
        <v>45</v>
      </c>
      <c r="E4479" s="5" t="s">
        <v>15</v>
      </c>
      <c r="F4479" s="8"/>
      <c r="G4479" s="9">
        <f>H4479*(1-30%)*(1-F4479)</f>
        <v>41.292999999999999</v>
      </c>
      <c r="H4479" s="9">
        <v>58.990000000000002</v>
      </c>
      <c r="I4479" s="9">
        <f>H4479-G4479</f>
        <v>17.697000000000003</v>
      </c>
    </row>
    <row r="4480" ht="14.25">
      <c r="A4480" s="5">
        <v>93156</v>
      </c>
      <c r="B4480" s="7" t="s">
        <v>4575</v>
      </c>
      <c r="C4480" s="7" t="s">
        <v>3331</v>
      </c>
      <c r="D4480" s="7" t="s">
        <v>11</v>
      </c>
      <c r="E4480" s="5" t="s">
        <v>43</v>
      </c>
      <c r="F4480" s="8"/>
      <c r="G4480" s="9">
        <f>H4480*(1-30%)*(1-F4480)</f>
        <v>101.42999999999999</v>
      </c>
      <c r="H4480" s="9">
        <v>144.90000000000001</v>
      </c>
      <c r="I4480" s="9">
        <f>H4480-G4480</f>
        <v>43.470000000000013</v>
      </c>
    </row>
    <row r="4481" ht="14.25">
      <c r="A4481" s="5">
        <v>93163</v>
      </c>
      <c r="B4481" s="7" t="s">
        <v>4576</v>
      </c>
      <c r="C4481" s="7" t="s">
        <v>3331</v>
      </c>
      <c r="D4481" s="7" t="s">
        <v>95</v>
      </c>
      <c r="E4481" s="5" t="s">
        <v>26</v>
      </c>
      <c r="F4481" s="8"/>
      <c r="G4481" s="9">
        <f>H4481*(1-30%)*(1-F4481)</f>
        <v>31.492999999999999</v>
      </c>
      <c r="H4481" s="9">
        <v>44.990000000000002</v>
      </c>
      <c r="I4481" s="9">
        <f>H4481-G4481</f>
        <v>13.497000000000003</v>
      </c>
    </row>
    <row r="4482" ht="14.25">
      <c r="A4482" s="5">
        <v>93220</v>
      </c>
      <c r="B4482" s="7" t="s">
        <v>4577</v>
      </c>
      <c r="C4482" s="7" t="s">
        <v>3585</v>
      </c>
      <c r="D4482" s="7" t="s">
        <v>11</v>
      </c>
      <c r="E4482" s="5" t="s">
        <v>43</v>
      </c>
      <c r="F4482" s="8"/>
      <c r="G4482" s="9">
        <f>H4482*(1-30%)*(1-F4482)</f>
        <v>146.93000000000001</v>
      </c>
      <c r="H4482" s="9">
        <v>209.90000000000001</v>
      </c>
      <c r="I4482" s="9">
        <f>H4482-G4482</f>
        <v>62.969999999999999</v>
      </c>
    </row>
    <row r="4483" ht="14.25">
      <c r="A4483" s="5">
        <v>93221</v>
      </c>
      <c r="B4483" s="7" t="s">
        <v>4578</v>
      </c>
      <c r="C4483" s="7" t="s">
        <v>3585</v>
      </c>
      <c r="D4483" s="7" t="s">
        <v>45</v>
      </c>
      <c r="E4483" s="5" t="s">
        <v>43</v>
      </c>
      <c r="F4483" s="8"/>
      <c r="G4483" s="9">
        <f>H4483*(1-30%)*(1-F4483)</f>
        <v>52.492999999999995</v>
      </c>
      <c r="H4483" s="9">
        <v>74.989999999999995</v>
      </c>
      <c r="I4483" s="9">
        <f>H4483-G4483</f>
        <v>22.497</v>
      </c>
    </row>
    <row r="4484" ht="14.25">
      <c r="A4484" s="5">
        <v>93231</v>
      </c>
      <c r="B4484" s="7" t="s">
        <v>4579</v>
      </c>
      <c r="C4484" s="7" t="s">
        <v>3265</v>
      </c>
      <c r="D4484" s="7" t="s">
        <v>110</v>
      </c>
      <c r="E4484" s="5" t="s">
        <v>26</v>
      </c>
      <c r="F4484" s="8"/>
      <c r="G4484" s="9">
        <f>H4484*(1-30%)*(1-F4484)</f>
        <v>73.492999999999995</v>
      </c>
      <c r="H4484" s="9">
        <v>104.98999999999999</v>
      </c>
      <c r="I4484" s="9">
        <f>H4484-G4484</f>
        <v>31.497</v>
      </c>
    </row>
    <row r="4485" ht="14.25">
      <c r="A4485" s="5">
        <v>93232</v>
      </c>
      <c r="B4485" s="7" t="s">
        <v>4580</v>
      </c>
      <c r="C4485" s="7" t="s">
        <v>3265</v>
      </c>
      <c r="D4485" s="7" t="s">
        <v>110</v>
      </c>
      <c r="E4485" s="5" t="s">
        <v>43</v>
      </c>
      <c r="F4485" s="8"/>
      <c r="G4485" s="9">
        <f>H4485*(1-30%)*(1-F4485)</f>
        <v>73.492999999999995</v>
      </c>
      <c r="H4485" s="9">
        <v>104.98999999999999</v>
      </c>
      <c r="I4485" s="9">
        <f>H4485-G4485</f>
        <v>31.497</v>
      </c>
    </row>
    <row r="4486" ht="14.25">
      <c r="A4486" s="5">
        <v>93233</v>
      </c>
      <c r="B4486" s="7" t="s">
        <v>4581</v>
      </c>
      <c r="C4486" s="7" t="s">
        <v>3265</v>
      </c>
      <c r="D4486" s="7" t="s">
        <v>110</v>
      </c>
      <c r="E4486" s="5" t="s">
        <v>43</v>
      </c>
      <c r="F4486" s="8"/>
      <c r="G4486" s="9">
        <f>H4486*(1-30%)*(1-F4486)</f>
        <v>73.492999999999995</v>
      </c>
      <c r="H4486" s="9">
        <v>104.98999999999999</v>
      </c>
      <c r="I4486" s="9">
        <f>H4486-G4486</f>
        <v>31.497</v>
      </c>
    </row>
    <row r="4487" ht="14.25">
      <c r="A4487" s="5">
        <v>93235</v>
      </c>
      <c r="B4487" s="7" t="s">
        <v>4582</v>
      </c>
      <c r="C4487" s="7" t="s">
        <v>3265</v>
      </c>
      <c r="D4487" s="7" t="s">
        <v>110</v>
      </c>
      <c r="E4487" s="5" t="s">
        <v>26</v>
      </c>
      <c r="F4487" s="8"/>
      <c r="G4487" s="9">
        <f>H4487*(1-30%)*(1-F4487)</f>
        <v>73.492999999999995</v>
      </c>
      <c r="H4487" s="9">
        <v>104.98999999999999</v>
      </c>
      <c r="I4487" s="9">
        <f>H4487-G4487</f>
        <v>31.497</v>
      </c>
    </row>
    <row r="4488" ht="14.25">
      <c r="A4488" s="5">
        <v>93236</v>
      </c>
      <c r="B4488" s="7" t="s">
        <v>4583</v>
      </c>
      <c r="C4488" s="7" t="s">
        <v>3265</v>
      </c>
      <c r="D4488" s="7" t="s">
        <v>110</v>
      </c>
      <c r="E4488" s="5" t="s">
        <v>26</v>
      </c>
      <c r="F4488" s="8"/>
      <c r="G4488" s="9">
        <f>H4488*(1-30%)*(1-F4488)</f>
        <v>73.492999999999995</v>
      </c>
      <c r="H4488" s="9">
        <v>104.98999999999999</v>
      </c>
      <c r="I4488" s="9">
        <f>H4488-G4488</f>
        <v>31.497</v>
      </c>
    </row>
    <row r="4489" ht="14.25">
      <c r="A4489" s="5">
        <v>93266</v>
      </c>
      <c r="B4489" s="7" t="s">
        <v>4584</v>
      </c>
      <c r="C4489" s="7" t="s">
        <v>3262</v>
      </c>
      <c r="D4489" s="7" t="s">
        <v>110</v>
      </c>
      <c r="E4489" s="5" t="s">
        <v>26</v>
      </c>
      <c r="F4489" s="8"/>
      <c r="G4489" s="9">
        <f>H4489*(1-30%)*(1-F4489)</f>
        <v>40.592999999999996</v>
      </c>
      <c r="H4489" s="9">
        <v>57.990000000000002</v>
      </c>
      <c r="I4489" s="9">
        <f>H4489-G4489</f>
        <v>17.397000000000006</v>
      </c>
    </row>
    <row r="4490" ht="14.25">
      <c r="A4490" s="5">
        <v>93267</v>
      </c>
      <c r="B4490" s="7" t="s">
        <v>4585</v>
      </c>
      <c r="C4490" s="7" t="s">
        <v>3262</v>
      </c>
      <c r="D4490" s="7" t="s">
        <v>110</v>
      </c>
      <c r="E4490" s="5" t="s">
        <v>43</v>
      </c>
      <c r="F4490" s="8"/>
      <c r="G4490" s="9">
        <f>H4490*(1-30%)*(1-F4490)</f>
        <v>40.592999999999996</v>
      </c>
      <c r="H4490" s="9">
        <v>57.990000000000002</v>
      </c>
      <c r="I4490" s="9">
        <f>H4490-G4490</f>
        <v>17.397000000000006</v>
      </c>
    </row>
    <row r="4491" ht="14.25">
      <c r="A4491" s="5">
        <v>93268</v>
      </c>
      <c r="B4491" s="7" t="s">
        <v>4586</v>
      </c>
      <c r="C4491" s="7" t="s">
        <v>3262</v>
      </c>
      <c r="D4491" s="7" t="s">
        <v>110</v>
      </c>
      <c r="E4491" s="5" t="s">
        <v>43</v>
      </c>
      <c r="F4491" s="8"/>
      <c r="G4491" s="9">
        <f>H4491*(1-30%)*(1-F4491)</f>
        <v>40.592999999999996</v>
      </c>
      <c r="H4491" s="9">
        <v>57.990000000000002</v>
      </c>
      <c r="I4491" s="9">
        <f>H4491-G4491</f>
        <v>17.397000000000006</v>
      </c>
    </row>
    <row r="4492" ht="14.25">
      <c r="A4492" s="5">
        <v>93269</v>
      </c>
      <c r="B4492" s="7" t="s">
        <v>4587</v>
      </c>
      <c r="C4492" s="7" t="s">
        <v>3262</v>
      </c>
      <c r="D4492" s="7" t="s">
        <v>110</v>
      </c>
      <c r="E4492" s="5" t="s">
        <v>43</v>
      </c>
      <c r="F4492" s="8"/>
      <c r="G4492" s="9">
        <f>H4492*(1-30%)*(1-F4492)</f>
        <v>40.592999999999996</v>
      </c>
      <c r="H4492" s="9">
        <v>57.990000000000002</v>
      </c>
      <c r="I4492" s="9">
        <f>H4492-G4492</f>
        <v>17.397000000000006</v>
      </c>
    </row>
    <row r="4493" ht="14.25">
      <c r="A4493" s="5">
        <v>93270</v>
      </c>
      <c r="B4493" s="7" t="s">
        <v>4588</v>
      </c>
      <c r="C4493" s="7" t="s">
        <v>3262</v>
      </c>
      <c r="D4493" s="7" t="s">
        <v>110</v>
      </c>
      <c r="E4493" s="5" t="s">
        <v>43</v>
      </c>
      <c r="F4493" s="8"/>
      <c r="G4493" s="9">
        <f>H4493*(1-30%)*(1-F4493)</f>
        <v>40.592999999999996</v>
      </c>
      <c r="H4493" s="9">
        <v>57.990000000000002</v>
      </c>
      <c r="I4493" s="9">
        <f>H4493-G4493</f>
        <v>17.397000000000006</v>
      </c>
    </row>
    <row r="4494" ht="14.25">
      <c r="A4494" s="5">
        <v>93274</v>
      </c>
      <c r="B4494" s="7" t="s">
        <v>4589</v>
      </c>
      <c r="C4494" s="7" t="s">
        <v>3262</v>
      </c>
      <c r="D4494" s="7" t="s">
        <v>110</v>
      </c>
      <c r="E4494" s="5" t="s">
        <v>43</v>
      </c>
      <c r="F4494" s="8"/>
      <c r="G4494" s="9">
        <f>H4494*(1-30%)*(1-F4494)</f>
        <v>66.492999999999995</v>
      </c>
      <c r="H4494" s="9">
        <v>94.989999999999995</v>
      </c>
      <c r="I4494" s="9">
        <f>H4494-G4494</f>
        <v>28.497</v>
      </c>
    </row>
    <row r="4495" ht="14.25">
      <c r="A4495" s="5">
        <v>93275</v>
      </c>
      <c r="B4495" s="7" t="s">
        <v>4590</v>
      </c>
      <c r="C4495" s="7" t="s">
        <v>3262</v>
      </c>
      <c r="D4495" s="7" t="s">
        <v>110</v>
      </c>
      <c r="E4495" s="5" t="s">
        <v>43</v>
      </c>
      <c r="F4495" s="8"/>
      <c r="G4495" s="9">
        <f>H4495*(1-30%)*(1-F4495)</f>
        <v>66.492999999999995</v>
      </c>
      <c r="H4495" s="9">
        <v>94.989999999999995</v>
      </c>
      <c r="I4495" s="9">
        <f>H4495-G4495</f>
        <v>28.497</v>
      </c>
    </row>
    <row r="4496" ht="14.25">
      <c r="A4496" s="5">
        <v>93277</v>
      </c>
      <c r="B4496" s="7" t="s">
        <v>4591</v>
      </c>
      <c r="C4496" s="7" t="s">
        <v>3262</v>
      </c>
      <c r="D4496" s="7" t="s">
        <v>110</v>
      </c>
      <c r="E4496" s="5" t="s">
        <v>43</v>
      </c>
      <c r="F4496" s="8"/>
      <c r="G4496" s="9">
        <f>H4496*(1-30%)*(1-F4496)</f>
        <v>66.492999999999995</v>
      </c>
      <c r="H4496" s="9">
        <v>94.989999999999995</v>
      </c>
      <c r="I4496" s="9">
        <f>H4496-G4496</f>
        <v>28.497</v>
      </c>
    </row>
    <row r="4497" ht="14.25">
      <c r="A4497" s="5">
        <v>93278</v>
      </c>
      <c r="B4497" s="7" t="s">
        <v>4592</v>
      </c>
      <c r="C4497" s="7" t="s">
        <v>3262</v>
      </c>
      <c r="D4497" s="7" t="s">
        <v>110</v>
      </c>
      <c r="E4497" s="5" t="s">
        <v>43</v>
      </c>
      <c r="F4497" s="8"/>
      <c r="G4497" s="9">
        <f>H4497*(1-30%)*(1-F4497)</f>
        <v>66.492999999999995</v>
      </c>
      <c r="H4497" s="9">
        <v>94.989999999999995</v>
      </c>
      <c r="I4497" s="9">
        <f>H4497-G4497</f>
        <v>28.497</v>
      </c>
    </row>
    <row r="4498" ht="14.25">
      <c r="A4498" s="5">
        <v>93279</v>
      </c>
      <c r="B4498" s="7" t="s">
        <v>4593</v>
      </c>
      <c r="C4498" s="7" t="s">
        <v>3262</v>
      </c>
      <c r="D4498" s="7" t="s">
        <v>110</v>
      </c>
      <c r="E4498" s="5" t="s">
        <v>43</v>
      </c>
      <c r="F4498" s="8"/>
      <c r="G4498" s="9">
        <f>H4498*(1-30%)*(1-F4498)</f>
        <v>66.492999999999995</v>
      </c>
      <c r="H4498" s="9">
        <v>94.989999999999995</v>
      </c>
      <c r="I4498" s="9">
        <f>H4498-G4498</f>
        <v>28.497</v>
      </c>
    </row>
    <row r="4499" ht="14.25">
      <c r="A4499" s="5">
        <v>93280</v>
      </c>
      <c r="B4499" s="7" t="s">
        <v>4594</v>
      </c>
      <c r="C4499" s="7" t="s">
        <v>3262</v>
      </c>
      <c r="D4499" s="7" t="s">
        <v>110</v>
      </c>
      <c r="E4499" s="5" t="s">
        <v>43</v>
      </c>
      <c r="F4499" s="8"/>
      <c r="G4499" s="9">
        <f>H4499*(1-30%)*(1-F4499)</f>
        <v>66.492999999999995</v>
      </c>
      <c r="H4499" s="9">
        <v>94.989999999999995</v>
      </c>
      <c r="I4499" s="9">
        <f>H4499-G4499</f>
        <v>28.497</v>
      </c>
    </row>
    <row r="4500" ht="14.25">
      <c r="A4500" s="5">
        <v>93281</v>
      </c>
      <c r="B4500" s="7" t="s">
        <v>4595</v>
      </c>
      <c r="C4500" s="7" t="s">
        <v>3262</v>
      </c>
      <c r="D4500" s="7" t="s">
        <v>110</v>
      </c>
      <c r="E4500" s="5" t="s">
        <v>43</v>
      </c>
      <c r="F4500" s="8"/>
      <c r="G4500" s="9">
        <f>H4500*(1-30%)*(1-F4500)</f>
        <v>66.492999999999995</v>
      </c>
      <c r="H4500" s="9">
        <v>94.989999999999995</v>
      </c>
      <c r="I4500" s="9">
        <f>H4500-G4500</f>
        <v>28.497</v>
      </c>
    </row>
    <row r="4501" ht="14.25">
      <c r="A4501" s="5">
        <v>93282</v>
      </c>
      <c r="B4501" s="7" t="s">
        <v>4596</v>
      </c>
      <c r="C4501" s="7" t="s">
        <v>3262</v>
      </c>
      <c r="D4501" s="7" t="s">
        <v>110</v>
      </c>
      <c r="E4501" s="5" t="s">
        <v>43</v>
      </c>
      <c r="F4501" s="8"/>
      <c r="G4501" s="9">
        <f>H4501*(1-30%)*(1-F4501)</f>
        <v>66.492999999999995</v>
      </c>
      <c r="H4501" s="9">
        <v>94.989999999999995</v>
      </c>
      <c r="I4501" s="9">
        <f>H4501-G4501</f>
        <v>28.497</v>
      </c>
    </row>
    <row r="4502" ht="14.25">
      <c r="A4502" s="5">
        <v>93283</v>
      </c>
      <c r="B4502" s="7" t="s">
        <v>4597</v>
      </c>
      <c r="C4502" s="7" t="s">
        <v>3262</v>
      </c>
      <c r="D4502" s="7" t="s">
        <v>110</v>
      </c>
      <c r="E4502" s="5" t="s">
        <v>43</v>
      </c>
      <c r="F4502" s="8"/>
      <c r="G4502" s="9">
        <f>H4502*(1-30%)*(1-F4502)</f>
        <v>66.492999999999995</v>
      </c>
      <c r="H4502" s="9">
        <v>94.989999999999995</v>
      </c>
      <c r="I4502" s="9">
        <f>H4502-G4502</f>
        <v>28.497</v>
      </c>
    </row>
    <row r="4503" ht="14.25">
      <c r="A4503" s="5">
        <v>93284</v>
      </c>
      <c r="B4503" s="7" t="s">
        <v>4598</v>
      </c>
      <c r="C4503" s="7" t="s">
        <v>3262</v>
      </c>
      <c r="D4503" s="7" t="s">
        <v>110</v>
      </c>
      <c r="E4503" s="5" t="s">
        <v>43</v>
      </c>
      <c r="F4503" s="8"/>
      <c r="G4503" s="9">
        <f>H4503*(1-30%)*(1-F4503)</f>
        <v>66.492999999999995</v>
      </c>
      <c r="H4503" s="9">
        <v>94.989999999999995</v>
      </c>
      <c r="I4503" s="9">
        <f>H4503-G4503</f>
        <v>28.497</v>
      </c>
    </row>
    <row r="4504" ht="14.25">
      <c r="A4504" s="5">
        <v>93285</v>
      </c>
      <c r="B4504" s="7" t="s">
        <v>4599</v>
      </c>
      <c r="C4504" s="7" t="s">
        <v>3262</v>
      </c>
      <c r="D4504" s="7" t="s">
        <v>110</v>
      </c>
      <c r="E4504" s="5" t="s">
        <v>43</v>
      </c>
      <c r="F4504" s="8"/>
      <c r="G4504" s="9">
        <f>H4504*(1-30%)*(1-F4504)</f>
        <v>66.492999999999995</v>
      </c>
      <c r="H4504" s="9">
        <v>94.989999999999995</v>
      </c>
      <c r="I4504" s="9">
        <f>H4504-G4504</f>
        <v>28.497</v>
      </c>
    </row>
    <row r="4505" ht="14.25">
      <c r="A4505" s="5">
        <v>93286</v>
      </c>
      <c r="B4505" s="7" t="s">
        <v>4600</v>
      </c>
      <c r="C4505" s="7" t="s">
        <v>3262</v>
      </c>
      <c r="D4505" s="7" t="s">
        <v>110</v>
      </c>
      <c r="E4505" s="5" t="s">
        <v>43</v>
      </c>
      <c r="F4505" s="8"/>
      <c r="G4505" s="9">
        <f>H4505*(1-30%)*(1-F4505)</f>
        <v>66.492999999999995</v>
      </c>
      <c r="H4505" s="9">
        <v>94.989999999999995</v>
      </c>
      <c r="I4505" s="9">
        <f>H4505-G4505</f>
        <v>28.497</v>
      </c>
    </row>
    <row r="4506" ht="14.25">
      <c r="A4506" s="5">
        <v>93287</v>
      </c>
      <c r="B4506" s="7" t="s">
        <v>4601</v>
      </c>
      <c r="C4506" s="7" t="s">
        <v>3262</v>
      </c>
      <c r="D4506" s="7" t="s">
        <v>110</v>
      </c>
      <c r="E4506" s="5" t="s">
        <v>43</v>
      </c>
      <c r="F4506" s="8"/>
      <c r="G4506" s="9">
        <f>H4506*(1-30%)*(1-F4506)</f>
        <v>66.492999999999995</v>
      </c>
      <c r="H4506" s="9">
        <v>94.989999999999995</v>
      </c>
      <c r="I4506" s="9">
        <f>H4506-G4506</f>
        <v>28.497</v>
      </c>
    </row>
    <row r="4507" ht="14.25">
      <c r="A4507" s="5">
        <v>93288</v>
      </c>
      <c r="B4507" s="7" t="s">
        <v>4602</v>
      </c>
      <c r="C4507" s="7" t="s">
        <v>3262</v>
      </c>
      <c r="D4507" s="7" t="s">
        <v>110</v>
      </c>
      <c r="E4507" s="5" t="s">
        <v>43</v>
      </c>
      <c r="F4507" s="8"/>
      <c r="G4507" s="9">
        <f>H4507*(1-30%)*(1-F4507)</f>
        <v>66.492999999999995</v>
      </c>
      <c r="H4507" s="9">
        <v>94.989999999999995</v>
      </c>
      <c r="I4507" s="9">
        <f>H4507-G4507</f>
        <v>28.497</v>
      </c>
    </row>
    <row r="4508" ht="14.25">
      <c r="A4508" s="5">
        <v>93289</v>
      </c>
      <c r="B4508" s="7" t="s">
        <v>4603</v>
      </c>
      <c r="C4508" s="7" t="s">
        <v>3262</v>
      </c>
      <c r="D4508" s="7" t="s">
        <v>110</v>
      </c>
      <c r="E4508" s="5" t="s">
        <v>43</v>
      </c>
      <c r="F4508" s="8"/>
      <c r="G4508" s="9">
        <f>H4508*(1-30%)*(1-F4508)</f>
        <v>66.492999999999995</v>
      </c>
      <c r="H4508" s="9">
        <v>94.989999999999995</v>
      </c>
      <c r="I4508" s="9">
        <f>H4508-G4508</f>
        <v>28.497</v>
      </c>
    </row>
    <row r="4509" ht="14.25">
      <c r="A4509" s="5">
        <v>93290</v>
      </c>
      <c r="B4509" s="7" t="s">
        <v>4604</v>
      </c>
      <c r="C4509" s="7" t="s">
        <v>3262</v>
      </c>
      <c r="D4509" s="7" t="s">
        <v>110</v>
      </c>
      <c r="E4509" s="5" t="s">
        <v>26</v>
      </c>
      <c r="F4509" s="8"/>
      <c r="G4509" s="9">
        <f>H4509*(1-30%)*(1-F4509)</f>
        <v>58.092999999999989</v>
      </c>
      <c r="H4509" s="9">
        <v>82.989999999999995</v>
      </c>
      <c r="I4509" s="9">
        <f>H4509-G4509</f>
        <v>24.897000000000006</v>
      </c>
    </row>
    <row r="4510" ht="14.25">
      <c r="A4510" s="5">
        <v>93298</v>
      </c>
      <c r="B4510" s="7" t="s">
        <v>4605</v>
      </c>
      <c r="C4510" s="7" t="s">
        <v>3265</v>
      </c>
      <c r="D4510" s="7" t="s">
        <v>110</v>
      </c>
      <c r="E4510" s="5" t="s">
        <v>26</v>
      </c>
      <c r="F4510" s="8"/>
      <c r="G4510" s="9">
        <f>H4510*(1-30%)*(1-F4510)</f>
        <v>52.492999999999995</v>
      </c>
      <c r="H4510" s="9">
        <v>74.989999999999995</v>
      </c>
      <c r="I4510" s="9">
        <f>H4510-G4510</f>
        <v>22.497</v>
      </c>
    </row>
    <row r="4511" ht="14.25">
      <c r="A4511" s="5">
        <v>93299</v>
      </c>
      <c r="B4511" s="7" t="s">
        <v>4606</v>
      </c>
      <c r="C4511" s="7" t="s">
        <v>3265</v>
      </c>
      <c r="D4511" s="7" t="s">
        <v>110</v>
      </c>
      <c r="E4511" s="5" t="s">
        <v>43</v>
      </c>
      <c r="F4511" s="8"/>
      <c r="G4511" s="9">
        <f>H4511*(1-30%)*(1-F4511)</f>
        <v>52.492999999999995</v>
      </c>
      <c r="H4511" s="9">
        <v>74.989999999999995</v>
      </c>
      <c r="I4511" s="9">
        <f>H4511-G4511</f>
        <v>22.497</v>
      </c>
    </row>
    <row r="4512" ht="14.25">
      <c r="A4512" s="5">
        <v>93300</v>
      </c>
      <c r="B4512" s="7" t="s">
        <v>4607</v>
      </c>
      <c r="C4512" s="7" t="s">
        <v>3265</v>
      </c>
      <c r="D4512" s="7" t="s">
        <v>110</v>
      </c>
      <c r="E4512" s="5" t="s">
        <v>43</v>
      </c>
      <c r="F4512" s="8"/>
      <c r="G4512" s="9">
        <f>H4512*(1-30%)*(1-F4512)</f>
        <v>52.492999999999995</v>
      </c>
      <c r="H4512" s="9">
        <v>74.989999999999995</v>
      </c>
      <c r="I4512" s="9">
        <f>H4512-G4512</f>
        <v>22.497</v>
      </c>
    </row>
    <row r="4513" ht="14.25">
      <c r="A4513" s="5">
        <v>93301</v>
      </c>
      <c r="B4513" s="7" t="s">
        <v>4608</v>
      </c>
      <c r="C4513" s="7" t="s">
        <v>3265</v>
      </c>
      <c r="D4513" s="7" t="s">
        <v>110</v>
      </c>
      <c r="E4513" s="5" t="s">
        <v>26</v>
      </c>
      <c r="F4513" s="8"/>
      <c r="G4513" s="9">
        <f>H4513*(1-30%)*(1-F4513)</f>
        <v>52.492999999999995</v>
      </c>
      <c r="H4513" s="9">
        <v>74.989999999999995</v>
      </c>
      <c r="I4513" s="9">
        <f>H4513-G4513</f>
        <v>22.497</v>
      </c>
    </row>
    <row r="4514" ht="14.25">
      <c r="A4514" s="5">
        <v>93302</v>
      </c>
      <c r="B4514" s="7" t="s">
        <v>4609</v>
      </c>
      <c r="C4514" s="7" t="s">
        <v>3265</v>
      </c>
      <c r="D4514" s="7" t="s">
        <v>110</v>
      </c>
      <c r="E4514" s="5" t="s">
        <v>26</v>
      </c>
      <c r="F4514" s="8"/>
      <c r="G4514" s="9">
        <f>H4514*(1-30%)*(1-F4514)</f>
        <v>52.492999999999995</v>
      </c>
      <c r="H4514" s="9">
        <v>74.989999999999995</v>
      </c>
      <c r="I4514" s="9">
        <f>H4514-G4514</f>
        <v>22.497</v>
      </c>
    </row>
    <row r="4515" ht="14.25">
      <c r="A4515" s="5">
        <v>93303</v>
      </c>
      <c r="B4515" s="7" t="s">
        <v>4610</v>
      </c>
      <c r="C4515" s="7" t="s">
        <v>3265</v>
      </c>
      <c r="D4515" s="7" t="s">
        <v>110</v>
      </c>
      <c r="E4515" s="5" t="s">
        <v>43</v>
      </c>
      <c r="F4515" s="8"/>
      <c r="G4515" s="9">
        <f>H4515*(1-30%)*(1-F4515)</f>
        <v>52.492999999999995</v>
      </c>
      <c r="H4515" s="9">
        <v>74.989999999999995</v>
      </c>
      <c r="I4515" s="9">
        <f>H4515-G4515</f>
        <v>22.497</v>
      </c>
    </row>
    <row r="4516" ht="14.25">
      <c r="A4516" s="5">
        <v>93304</v>
      </c>
      <c r="B4516" s="7" t="s">
        <v>4611</v>
      </c>
      <c r="C4516" s="7" t="s">
        <v>3265</v>
      </c>
      <c r="D4516" s="7" t="s">
        <v>110</v>
      </c>
      <c r="E4516" s="5" t="s">
        <v>43</v>
      </c>
      <c r="F4516" s="8"/>
      <c r="G4516" s="9">
        <f>H4516*(1-30%)*(1-F4516)</f>
        <v>52.492999999999995</v>
      </c>
      <c r="H4516" s="9">
        <v>74.989999999999995</v>
      </c>
      <c r="I4516" s="9">
        <f>H4516-G4516</f>
        <v>22.497</v>
      </c>
    </row>
    <row r="4517" ht="14.25">
      <c r="A4517" s="5">
        <v>93306</v>
      </c>
      <c r="B4517" s="7" t="s">
        <v>4612</v>
      </c>
      <c r="C4517" s="7" t="s">
        <v>3265</v>
      </c>
      <c r="D4517" s="7" t="s">
        <v>110</v>
      </c>
      <c r="E4517" s="5" t="s">
        <v>26</v>
      </c>
      <c r="F4517" s="8"/>
      <c r="G4517" s="9">
        <f>H4517*(1-30%)*(1-F4517)</f>
        <v>52.492999999999995</v>
      </c>
      <c r="H4517" s="9">
        <v>74.989999999999995</v>
      </c>
      <c r="I4517" s="9">
        <f>H4517-G4517</f>
        <v>22.497</v>
      </c>
    </row>
    <row r="4518" ht="14.25">
      <c r="A4518" s="5">
        <v>93307</v>
      </c>
      <c r="B4518" s="7" t="s">
        <v>4613</v>
      </c>
      <c r="C4518" s="7" t="s">
        <v>3265</v>
      </c>
      <c r="D4518" s="7" t="s">
        <v>110</v>
      </c>
      <c r="E4518" s="5" t="s">
        <v>26</v>
      </c>
      <c r="F4518" s="8"/>
      <c r="G4518" s="9">
        <f>H4518*(1-30%)*(1-F4518)</f>
        <v>52.492999999999995</v>
      </c>
      <c r="H4518" s="9">
        <v>74.989999999999995</v>
      </c>
      <c r="I4518" s="9">
        <f>H4518-G4518</f>
        <v>22.497</v>
      </c>
    </row>
    <row r="4519" ht="14.25">
      <c r="A4519" s="5">
        <v>93308</v>
      </c>
      <c r="B4519" s="7" t="s">
        <v>4614</v>
      </c>
      <c r="C4519" s="7" t="s">
        <v>3265</v>
      </c>
      <c r="D4519" s="7" t="s">
        <v>110</v>
      </c>
      <c r="E4519" s="5" t="s">
        <v>26</v>
      </c>
      <c r="F4519" s="8"/>
      <c r="G4519" s="9">
        <f>H4519*(1-30%)*(1-F4519)</f>
        <v>52.492999999999995</v>
      </c>
      <c r="H4519" s="9">
        <v>74.989999999999995</v>
      </c>
      <c r="I4519" s="9">
        <f>H4519-G4519</f>
        <v>22.497</v>
      </c>
    </row>
    <row r="4520" ht="14.25">
      <c r="A4520" s="5">
        <v>93309</v>
      </c>
      <c r="B4520" s="7" t="s">
        <v>4615</v>
      </c>
      <c r="C4520" s="7" t="s">
        <v>3265</v>
      </c>
      <c r="D4520" s="7" t="s">
        <v>110</v>
      </c>
      <c r="E4520" s="5" t="s">
        <v>43</v>
      </c>
      <c r="F4520" s="8"/>
      <c r="G4520" s="9">
        <f>H4520*(1-30%)*(1-F4520)</f>
        <v>52.492999999999995</v>
      </c>
      <c r="H4520" s="9">
        <v>74.989999999999995</v>
      </c>
      <c r="I4520" s="9">
        <f>H4520-G4520</f>
        <v>22.497</v>
      </c>
    </row>
    <row r="4521" ht="14.25">
      <c r="A4521" s="5">
        <v>93310</v>
      </c>
      <c r="B4521" s="7" t="s">
        <v>4616</v>
      </c>
      <c r="C4521" s="7" t="s">
        <v>3265</v>
      </c>
      <c r="D4521" s="7" t="s">
        <v>110</v>
      </c>
      <c r="E4521" s="5" t="s">
        <v>26</v>
      </c>
      <c r="F4521" s="8"/>
      <c r="G4521" s="9">
        <f>H4521*(1-30%)*(1-F4521)</f>
        <v>52.492999999999995</v>
      </c>
      <c r="H4521" s="9">
        <v>74.989999999999995</v>
      </c>
      <c r="I4521" s="9">
        <f>H4521-G4521</f>
        <v>22.497</v>
      </c>
    </row>
    <row r="4522" ht="14.25">
      <c r="A4522" s="5">
        <v>93311</v>
      </c>
      <c r="B4522" s="7" t="s">
        <v>4617</v>
      </c>
      <c r="C4522" s="7" t="s">
        <v>3265</v>
      </c>
      <c r="D4522" s="7" t="s">
        <v>110</v>
      </c>
      <c r="E4522" s="5" t="s">
        <v>26</v>
      </c>
      <c r="F4522" s="8"/>
      <c r="G4522" s="9">
        <f>H4522*(1-30%)*(1-F4522)</f>
        <v>52.492999999999995</v>
      </c>
      <c r="H4522" s="9">
        <v>74.989999999999995</v>
      </c>
      <c r="I4522" s="9">
        <f>H4522-G4522</f>
        <v>22.497</v>
      </c>
    </row>
    <row r="4523" ht="14.25">
      <c r="A4523" s="5">
        <v>93312</v>
      </c>
      <c r="B4523" s="7" t="s">
        <v>4618</v>
      </c>
      <c r="C4523" s="7" t="s">
        <v>3265</v>
      </c>
      <c r="D4523" s="7" t="s">
        <v>110</v>
      </c>
      <c r="E4523" s="5" t="s">
        <v>26</v>
      </c>
      <c r="F4523" s="8"/>
      <c r="G4523" s="9">
        <f>H4523*(1-30%)*(1-F4523)</f>
        <v>52.492999999999995</v>
      </c>
      <c r="H4523" s="9">
        <v>74.989999999999995</v>
      </c>
      <c r="I4523" s="9">
        <f>H4523-G4523</f>
        <v>22.497</v>
      </c>
    </row>
    <row r="4524" ht="14.25">
      <c r="A4524" s="5">
        <v>93313</v>
      </c>
      <c r="B4524" s="7" t="s">
        <v>4619</v>
      </c>
      <c r="C4524" s="7" t="s">
        <v>3265</v>
      </c>
      <c r="D4524" s="7" t="s">
        <v>110</v>
      </c>
      <c r="E4524" s="5" t="s">
        <v>26</v>
      </c>
      <c r="F4524" s="8"/>
      <c r="G4524" s="9">
        <f>H4524*(1-30%)*(1-F4524)</f>
        <v>52.492999999999995</v>
      </c>
      <c r="H4524" s="9">
        <v>74.989999999999995</v>
      </c>
      <c r="I4524" s="9">
        <f>H4524-G4524</f>
        <v>22.497</v>
      </c>
    </row>
    <row r="4525" ht="14.25">
      <c r="A4525" s="5">
        <v>93314</v>
      </c>
      <c r="B4525" s="7" t="s">
        <v>4620</v>
      </c>
      <c r="C4525" s="7" t="s">
        <v>3265</v>
      </c>
      <c r="D4525" s="7" t="s">
        <v>110</v>
      </c>
      <c r="E4525" s="5" t="s">
        <v>26</v>
      </c>
      <c r="F4525" s="8"/>
      <c r="G4525" s="9">
        <f>H4525*(1-30%)*(1-F4525)</f>
        <v>52.492999999999995</v>
      </c>
      <c r="H4525" s="9">
        <v>74.989999999999995</v>
      </c>
      <c r="I4525" s="9">
        <f>H4525-G4525</f>
        <v>22.497</v>
      </c>
    </row>
    <row r="4526" ht="14.25">
      <c r="A4526" s="5">
        <v>93315</v>
      </c>
      <c r="B4526" s="7" t="s">
        <v>4621</v>
      </c>
      <c r="C4526" s="7" t="s">
        <v>3265</v>
      </c>
      <c r="D4526" s="7" t="s">
        <v>110</v>
      </c>
      <c r="E4526" s="5" t="s">
        <v>26</v>
      </c>
      <c r="F4526" s="8"/>
      <c r="G4526" s="9">
        <f>H4526*(1-30%)*(1-F4526)</f>
        <v>52.492999999999995</v>
      </c>
      <c r="H4526" s="9">
        <v>74.989999999999995</v>
      </c>
      <c r="I4526" s="9">
        <f>H4526-G4526</f>
        <v>22.497</v>
      </c>
    </row>
    <row r="4527" ht="14.25">
      <c r="A4527" s="5">
        <v>93316</v>
      </c>
      <c r="B4527" s="7" t="s">
        <v>4622</v>
      </c>
      <c r="C4527" s="7" t="s">
        <v>3265</v>
      </c>
      <c r="D4527" s="7" t="s">
        <v>110</v>
      </c>
      <c r="E4527" s="5" t="s">
        <v>26</v>
      </c>
      <c r="F4527" s="8"/>
      <c r="G4527" s="9">
        <f>H4527*(1-30%)*(1-F4527)</f>
        <v>52.492999999999995</v>
      </c>
      <c r="H4527" s="9">
        <v>74.989999999999995</v>
      </c>
      <c r="I4527" s="9">
        <f>H4527-G4527</f>
        <v>22.497</v>
      </c>
    </row>
    <row r="4528" ht="14.25">
      <c r="A4528" s="5">
        <v>93317</v>
      </c>
      <c r="B4528" s="7" t="s">
        <v>4623</v>
      </c>
      <c r="C4528" s="7" t="s">
        <v>3265</v>
      </c>
      <c r="D4528" s="7" t="s">
        <v>110</v>
      </c>
      <c r="E4528" s="5" t="s">
        <v>26</v>
      </c>
      <c r="F4528" s="8"/>
      <c r="G4528" s="9">
        <f>H4528*(1-30%)*(1-F4528)</f>
        <v>52.492999999999995</v>
      </c>
      <c r="H4528" s="9">
        <v>74.989999999999995</v>
      </c>
      <c r="I4528" s="9">
        <f>H4528-G4528</f>
        <v>22.497</v>
      </c>
    </row>
    <row r="4529" ht="14.25">
      <c r="A4529" s="5">
        <v>93318</v>
      </c>
      <c r="B4529" s="7" t="s">
        <v>4624</v>
      </c>
      <c r="C4529" s="7" t="s">
        <v>3265</v>
      </c>
      <c r="D4529" s="7" t="s">
        <v>110</v>
      </c>
      <c r="E4529" s="5" t="s">
        <v>26</v>
      </c>
      <c r="F4529" s="8"/>
      <c r="G4529" s="9">
        <f>H4529*(1-30%)*(1-F4529)</f>
        <v>52.492999999999995</v>
      </c>
      <c r="H4529" s="9">
        <v>74.989999999999995</v>
      </c>
      <c r="I4529" s="9">
        <f>H4529-G4529</f>
        <v>22.497</v>
      </c>
    </row>
    <row r="4530" ht="14.25">
      <c r="A4530" s="5">
        <v>93320</v>
      </c>
      <c r="B4530" s="7" t="s">
        <v>4625</v>
      </c>
      <c r="C4530" s="7" t="s">
        <v>3290</v>
      </c>
      <c r="D4530" s="7" t="s">
        <v>1447</v>
      </c>
      <c r="E4530" s="5" t="s">
        <v>15</v>
      </c>
      <c r="F4530" s="8"/>
      <c r="G4530" s="9">
        <f>H4530*(1-30%)*(1-F4530)</f>
        <v>2.093</v>
      </c>
      <c r="H4530" s="9">
        <v>2.9900000000000002</v>
      </c>
      <c r="I4530" s="9">
        <f>H4530-G4530</f>
        <v>0.89700000000000024</v>
      </c>
    </row>
    <row r="4531" ht="14.25">
      <c r="A4531" s="5">
        <v>93321</v>
      </c>
      <c r="B4531" s="7" t="s">
        <v>4626</v>
      </c>
      <c r="C4531" s="7" t="s">
        <v>3290</v>
      </c>
      <c r="D4531" s="7" t="s">
        <v>183</v>
      </c>
      <c r="E4531" s="5" t="s">
        <v>15</v>
      </c>
      <c r="F4531" s="8"/>
      <c r="G4531" s="9">
        <f>H4531*(1-30%)*(1-F4531)</f>
        <v>174.93000000000001</v>
      </c>
      <c r="H4531" s="9">
        <v>249.90000000000001</v>
      </c>
      <c r="I4531" s="9">
        <f>H4531-G4531</f>
        <v>74.969999999999999</v>
      </c>
    </row>
    <row r="4532" ht="14.25">
      <c r="A4532" s="5">
        <v>93350</v>
      </c>
      <c r="B4532" s="7" t="s">
        <v>4627</v>
      </c>
      <c r="C4532" s="7" t="s">
        <v>3265</v>
      </c>
      <c r="D4532" s="7" t="s">
        <v>110</v>
      </c>
      <c r="E4532" s="5" t="s">
        <v>43</v>
      </c>
      <c r="F4532" s="8"/>
      <c r="G4532" s="9">
        <f>H4532*(1-30%)*(1-F4532)</f>
        <v>37.092999999999996</v>
      </c>
      <c r="H4532" s="9">
        <v>52.990000000000002</v>
      </c>
      <c r="I4532" s="9">
        <f>H4532-G4532</f>
        <v>15.897000000000006</v>
      </c>
    </row>
    <row r="4533" ht="14.25">
      <c r="A4533" s="5">
        <v>93351</v>
      </c>
      <c r="B4533" s="7" t="s">
        <v>4628</v>
      </c>
      <c r="C4533" s="7" t="s">
        <v>3265</v>
      </c>
      <c r="D4533" s="7" t="s">
        <v>110</v>
      </c>
      <c r="E4533" s="5" t="s">
        <v>43</v>
      </c>
      <c r="F4533" s="8"/>
      <c r="G4533" s="9">
        <f>H4533*(1-30%)*(1-F4533)</f>
        <v>37.092999999999996</v>
      </c>
      <c r="H4533" s="9">
        <v>52.990000000000002</v>
      </c>
      <c r="I4533" s="9">
        <f>H4533-G4533</f>
        <v>15.897000000000006</v>
      </c>
    </row>
    <row r="4534" ht="14.25">
      <c r="A4534" s="5">
        <v>93398</v>
      </c>
      <c r="B4534" s="7" t="s">
        <v>4629</v>
      </c>
      <c r="C4534" s="7" t="s">
        <v>4630</v>
      </c>
      <c r="D4534" s="7" t="s">
        <v>52</v>
      </c>
      <c r="E4534" s="5" t="s">
        <v>15</v>
      </c>
      <c r="F4534" s="8"/>
      <c r="G4534" s="9">
        <f>H4534*(1-30%)*(1-F4534)</f>
        <v>54.592999999999996</v>
      </c>
      <c r="H4534" s="9">
        <v>77.989999999999995</v>
      </c>
      <c r="I4534" s="9">
        <f>H4534-G4534</f>
        <v>23.396999999999998</v>
      </c>
    </row>
    <row r="4535" ht="14.25">
      <c r="A4535" s="5">
        <v>93399</v>
      </c>
      <c r="B4535" s="7" t="s">
        <v>4631</v>
      </c>
      <c r="C4535" s="7" t="s">
        <v>4630</v>
      </c>
      <c r="D4535" s="7" t="s">
        <v>52</v>
      </c>
      <c r="E4535" s="5" t="s">
        <v>15</v>
      </c>
      <c r="F4535" s="8"/>
      <c r="G4535" s="9">
        <f>H4535*(1-30%)*(1-F4535)</f>
        <v>23.093</v>
      </c>
      <c r="H4535" s="9">
        <v>32.990000000000002</v>
      </c>
      <c r="I4535" s="9">
        <f>H4535-G4535</f>
        <v>9.897000000000002</v>
      </c>
    </row>
    <row r="4536" ht="14.25">
      <c r="A4536" s="5">
        <v>93403</v>
      </c>
      <c r="B4536" s="7" t="s">
        <v>4632</v>
      </c>
      <c r="C4536" s="7" t="s">
        <v>4630</v>
      </c>
      <c r="D4536" s="7" t="s">
        <v>52</v>
      </c>
      <c r="E4536" s="5" t="s">
        <v>15</v>
      </c>
      <c r="F4536" s="8"/>
      <c r="G4536" s="9">
        <f>H4536*(1-30%)*(1-F4536)</f>
        <v>54.592999999999996</v>
      </c>
      <c r="H4536" s="9">
        <v>77.989999999999995</v>
      </c>
      <c r="I4536" s="9">
        <f>H4536-G4536</f>
        <v>23.396999999999998</v>
      </c>
    </row>
    <row r="4537" ht="14.25">
      <c r="A4537" s="5">
        <v>93405</v>
      </c>
      <c r="B4537" s="7" t="s">
        <v>4633</v>
      </c>
      <c r="C4537" s="7" t="s">
        <v>4630</v>
      </c>
      <c r="D4537" s="7" t="s">
        <v>52</v>
      </c>
      <c r="E4537" s="5" t="s">
        <v>15</v>
      </c>
      <c r="F4537" s="8"/>
      <c r="G4537" s="9">
        <f>H4537*(1-30%)*(1-F4537)</f>
        <v>26.593</v>
      </c>
      <c r="H4537" s="9">
        <v>37.990000000000002</v>
      </c>
      <c r="I4537" s="9">
        <f>H4537-G4537</f>
        <v>11.397000000000002</v>
      </c>
    </row>
    <row r="4538" ht="14.25">
      <c r="A4538" s="5">
        <v>93407</v>
      </c>
      <c r="B4538" s="7" t="s">
        <v>4634</v>
      </c>
      <c r="C4538" s="7" t="s">
        <v>4630</v>
      </c>
      <c r="D4538" s="7" t="s">
        <v>52</v>
      </c>
      <c r="E4538" s="5" t="s">
        <v>43</v>
      </c>
      <c r="F4538" s="8"/>
      <c r="G4538" s="9">
        <f>H4538*(1-30%)*(1-F4538)</f>
        <v>24.492999999999999</v>
      </c>
      <c r="H4538" s="9">
        <v>34.990000000000002</v>
      </c>
      <c r="I4538" s="9">
        <f>H4538-G4538</f>
        <v>10.497000000000003</v>
      </c>
    </row>
    <row r="4539" ht="14.25">
      <c r="A4539" s="5">
        <v>93450</v>
      </c>
      <c r="B4539" s="7" t="s">
        <v>4635</v>
      </c>
      <c r="C4539" s="7" t="s">
        <v>3705</v>
      </c>
      <c r="D4539" s="7" t="s">
        <v>11</v>
      </c>
      <c r="E4539" s="5" t="s">
        <v>43</v>
      </c>
      <c r="F4539" s="8"/>
      <c r="G4539" s="9">
        <f>H4539*(1-30%)*(1-F4539)</f>
        <v>62.992999999999995</v>
      </c>
      <c r="H4539" s="9">
        <v>89.989999999999995</v>
      </c>
      <c r="I4539" s="9">
        <f>H4539-G4539</f>
        <v>26.997</v>
      </c>
    </row>
    <row r="4540" ht="14.25">
      <c r="A4540" s="5">
        <v>93459</v>
      </c>
      <c r="B4540" s="7" t="s">
        <v>4636</v>
      </c>
      <c r="C4540" s="7" t="s">
        <v>3331</v>
      </c>
      <c r="D4540" s="7" t="s">
        <v>103</v>
      </c>
      <c r="E4540" s="5" t="s">
        <v>15</v>
      </c>
      <c r="F4540" s="8"/>
      <c r="G4540" s="9">
        <f>H4540*(1-30%)*(1-F4540)</f>
        <v>30.093</v>
      </c>
      <c r="H4540" s="9">
        <v>42.990000000000002</v>
      </c>
      <c r="I4540" s="9">
        <f>H4540-G4540</f>
        <v>12.897000000000002</v>
      </c>
    </row>
    <row r="4541" ht="14.25">
      <c r="A4541" s="5">
        <v>93493</v>
      </c>
      <c r="B4541" s="7" t="s">
        <v>4637</v>
      </c>
      <c r="C4541" s="7" t="s">
        <v>3262</v>
      </c>
      <c r="D4541" s="7" t="s">
        <v>183</v>
      </c>
      <c r="E4541" s="5" t="s">
        <v>43</v>
      </c>
      <c r="F4541" s="8"/>
      <c r="G4541" s="9">
        <f>H4541*(1-30%)*(1-F4541)</f>
        <v>26.593</v>
      </c>
      <c r="H4541" s="9">
        <v>37.990000000000002</v>
      </c>
      <c r="I4541" s="9">
        <f>H4541-G4541</f>
        <v>11.397000000000002</v>
      </c>
    </row>
    <row r="4542" ht="14.25">
      <c r="A4542" s="5">
        <v>93495</v>
      </c>
      <c r="B4542" s="7" t="s">
        <v>4638</v>
      </c>
      <c r="C4542" s="7" t="s">
        <v>3290</v>
      </c>
      <c r="D4542" s="7" t="s">
        <v>183</v>
      </c>
      <c r="E4542" s="5" t="s">
        <v>15</v>
      </c>
      <c r="F4542" s="8"/>
      <c r="G4542" s="9">
        <f>H4542*(1-30%)*(1-F4542)</f>
        <v>27.992999999999999</v>
      </c>
      <c r="H4542" s="9">
        <v>39.990000000000002</v>
      </c>
      <c r="I4542" s="9">
        <f>H4542-G4542</f>
        <v>11.997000000000003</v>
      </c>
    </row>
    <row r="4543" ht="14.25">
      <c r="A4543" s="5">
        <v>93498</v>
      </c>
      <c r="B4543" s="7" t="s">
        <v>4639</v>
      </c>
      <c r="C4543" s="7" t="s">
        <v>3262</v>
      </c>
      <c r="D4543" s="7" t="s">
        <v>110</v>
      </c>
      <c r="E4543" s="5" t="s">
        <v>43</v>
      </c>
      <c r="F4543" s="8"/>
      <c r="G4543" s="9">
        <f>H4543*(1-30%)*(1-F4543)</f>
        <v>66.492999999999995</v>
      </c>
      <c r="H4543" s="9">
        <v>94.989999999999995</v>
      </c>
      <c r="I4543" s="9">
        <f>H4543-G4543</f>
        <v>28.497</v>
      </c>
    </row>
    <row r="4544" ht="14.25">
      <c r="A4544" s="5">
        <v>93499</v>
      </c>
      <c r="B4544" s="7" t="s">
        <v>4640</v>
      </c>
      <c r="C4544" s="7" t="s">
        <v>3262</v>
      </c>
      <c r="D4544" s="7" t="s">
        <v>110</v>
      </c>
      <c r="E4544" s="5" t="s">
        <v>43</v>
      </c>
      <c r="F4544" s="8"/>
      <c r="G4544" s="9">
        <f>H4544*(1-30%)*(1-F4544)</f>
        <v>66.492999999999995</v>
      </c>
      <c r="H4544" s="9">
        <v>94.989999999999995</v>
      </c>
      <c r="I4544" s="9">
        <f>H4544-G4544</f>
        <v>28.497</v>
      </c>
    </row>
    <row r="4545" ht="14.25">
      <c r="A4545" s="5">
        <v>93504</v>
      </c>
      <c r="B4545" s="7" t="s">
        <v>4641</v>
      </c>
      <c r="C4545" s="7" t="s">
        <v>3492</v>
      </c>
      <c r="D4545" s="7" t="s">
        <v>11</v>
      </c>
      <c r="E4545" s="5" t="s">
        <v>43</v>
      </c>
      <c r="F4545" s="8"/>
      <c r="G4545" s="9">
        <f>H4545*(1-30%)*(1-F4545)</f>
        <v>108.42999999999999</v>
      </c>
      <c r="H4545" s="9">
        <v>154.90000000000001</v>
      </c>
      <c r="I4545" s="9">
        <f>H4545-G4545</f>
        <v>46.470000000000013</v>
      </c>
    </row>
    <row r="4546" ht="14.25">
      <c r="A4546" s="5">
        <v>93512</v>
      </c>
      <c r="B4546" s="7" t="s">
        <v>4642</v>
      </c>
      <c r="C4546" s="7" t="s">
        <v>3522</v>
      </c>
      <c r="D4546" s="7" t="s">
        <v>11</v>
      </c>
      <c r="E4546" s="5" t="s">
        <v>43</v>
      </c>
      <c r="F4546" s="8"/>
      <c r="G4546" s="9">
        <f>H4546*(1-30%)*(1-F4546)</f>
        <v>80.429999999999993</v>
      </c>
      <c r="H4546" s="9">
        <v>114.90000000000001</v>
      </c>
      <c r="I4546" s="9">
        <f>H4546-G4546</f>
        <v>34.470000000000013</v>
      </c>
    </row>
    <row r="4547" ht="14.25">
      <c r="A4547" s="5">
        <v>93541</v>
      </c>
      <c r="B4547" s="7" t="s">
        <v>4643</v>
      </c>
      <c r="C4547" s="7" t="s">
        <v>3448</v>
      </c>
      <c r="D4547" s="7" t="s">
        <v>11</v>
      </c>
      <c r="E4547" s="5" t="s">
        <v>3513</v>
      </c>
      <c r="F4547" s="8"/>
      <c r="G4547" s="9">
        <f>H4547*(1-30%)*(1-F4547)</f>
        <v>101.42999999999999</v>
      </c>
      <c r="H4547" s="9">
        <v>144.90000000000001</v>
      </c>
      <c r="I4547" s="9">
        <f>H4547-G4547</f>
        <v>43.470000000000013</v>
      </c>
    </row>
    <row r="4548" ht="14.25">
      <c r="A4548" s="5">
        <v>93542</v>
      </c>
      <c r="B4548" s="7" t="s">
        <v>4644</v>
      </c>
      <c r="C4548" s="7" t="s">
        <v>3448</v>
      </c>
      <c r="D4548" s="7" t="s">
        <v>45</v>
      </c>
      <c r="E4548" s="5" t="s">
        <v>43</v>
      </c>
      <c r="F4548" s="8"/>
      <c r="G4548" s="9">
        <f>H4548*(1-30%)*(1-F4548)</f>
        <v>38.493000000000002</v>
      </c>
      <c r="H4548" s="9">
        <v>54.990000000000002</v>
      </c>
      <c r="I4548" s="9">
        <f>H4548-G4548</f>
        <v>16.497</v>
      </c>
    </row>
    <row r="4549" ht="14.25">
      <c r="A4549" s="5">
        <v>93544</v>
      </c>
      <c r="B4549" s="7" t="s">
        <v>4645</v>
      </c>
      <c r="C4549" s="7" t="s">
        <v>3448</v>
      </c>
      <c r="D4549" s="7" t="s">
        <v>11</v>
      </c>
      <c r="E4549" s="5" t="s">
        <v>3513</v>
      </c>
      <c r="F4549" s="8"/>
      <c r="G4549" s="9">
        <f>H4549*(1-30%)*(1-F4549)</f>
        <v>101.42999999999999</v>
      </c>
      <c r="H4549" s="9">
        <v>144.90000000000001</v>
      </c>
      <c r="I4549" s="9">
        <f>H4549-G4549</f>
        <v>43.470000000000013</v>
      </c>
    </row>
    <row r="4550" ht="14.25">
      <c r="A4550" s="5">
        <v>93545</v>
      </c>
      <c r="B4550" s="7" t="s">
        <v>4646</v>
      </c>
      <c r="C4550" s="7" t="s">
        <v>3448</v>
      </c>
      <c r="D4550" s="7" t="s">
        <v>11</v>
      </c>
      <c r="E4550" s="5" t="s">
        <v>43</v>
      </c>
      <c r="F4550" s="8"/>
      <c r="G4550" s="9">
        <f>H4550*(1-30%)*(1-F4550)</f>
        <v>101.42999999999999</v>
      </c>
      <c r="H4550" s="9">
        <v>144.90000000000001</v>
      </c>
      <c r="I4550" s="9">
        <f>H4550-G4550</f>
        <v>43.470000000000013</v>
      </c>
    </row>
    <row r="4551" ht="14.25">
      <c r="A4551" s="5">
        <v>93546</v>
      </c>
      <c r="B4551" s="7" t="s">
        <v>4647</v>
      </c>
      <c r="C4551" s="7" t="s">
        <v>3448</v>
      </c>
      <c r="D4551" s="7" t="s">
        <v>45</v>
      </c>
      <c r="E4551" s="5" t="s">
        <v>43</v>
      </c>
      <c r="F4551" s="8"/>
      <c r="G4551" s="9">
        <f>H4551*(1-30%)*(1-F4551)</f>
        <v>38.493000000000002</v>
      </c>
      <c r="H4551" s="9">
        <v>54.990000000000002</v>
      </c>
      <c r="I4551" s="9">
        <f>H4551-G4551</f>
        <v>16.497</v>
      </c>
    </row>
    <row r="4552" ht="14.25">
      <c r="A4552" s="5">
        <v>93547</v>
      </c>
      <c r="B4552" s="7" t="s">
        <v>4648</v>
      </c>
      <c r="C4552" s="7" t="s">
        <v>3448</v>
      </c>
      <c r="D4552" s="7" t="s">
        <v>45</v>
      </c>
      <c r="E4552" s="5" t="s">
        <v>15</v>
      </c>
      <c r="F4552" s="8"/>
      <c r="G4552" s="9">
        <f>H4552*(1-30%)*(1-F4552)</f>
        <v>38.493000000000002</v>
      </c>
      <c r="H4552" s="9">
        <v>54.990000000000002</v>
      </c>
      <c r="I4552" s="9">
        <f>H4552-G4552</f>
        <v>16.497</v>
      </c>
    </row>
    <row r="4553" ht="14.25">
      <c r="A4553" s="5">
        <v>93548</v>
      </c>
      <c r="B4553" s="7" t="s">
        <v>4649</v>
      </c>
      <c r="C4553" s="7" t="s">
        <v>3329</v>
      </c>
      <c r="D4553" s="7" t="s">
        <v>11</v>
      </c>
      <c r="E4553" s="5" t="s">
        <v>3513</v>
      </c>
      <c r="F4553" s="8"/>
      <c r="G4553" s="9">
        <f>H4553*(1-30%)*(1-F4553)</f>
        <v>174.93000000000001</v>
      </c>
      <c r="H4553" s="9">
        <v>249.90000000000001</v>
      </c>
      <c r="I4553" s="9">
        <f>H4553-G4553</f>
        <v>74.969999999999999</v>
      </c>
    </row>
    <row r="4554" ht="14.25">
      <c r="A4554" s="5">
        <v>93549</v>
      </c>
      <c r="B4554" s="7" t="s">
        <v>4650</v>
      </c>
      <c r="C4554" s="7" t="s">
        <v>3329</v>
      </c>
      <c r="D4554" s="7" t="s">
        <v>45</v>
      </c>
      <c r="E4554" s="5" t="s">
        <v>43</v>
      </c>
      <c r="F4554" s="8"/>
      <c r="G4554" s="9">
        <f>H4554*(1-30%)*(1-F4554)</f>
        <v>38.493000000000002</v>
      </c>
      <c r="H4554" s="9">
        <v>54.990000000000002</v>
      </c>
      <c r="I4554" s="9">
        <f>H4554-G4554</f>
        <v>16.497</v>
      </c>
    </row>
    <row r="4555" ht="14.25">
      <c r="A4555" s="5">
        <v>93550</v>
      </c>
      <c r="B4555" s="7" t="s">
        <v>4651</v>
      </c>
      <c r="C4555" s="7" t="s">
        <v>3329</v>
      </c>
      <c r="D4555" s="7" t="s">
        <v>103</v>
      </c>
      <c r="E4555" s="5" t="s">
        <v>15</v>
      </c>
      <c r="F4555" s="8"/>
      <c r="G4555" s="9">
        <f>H4555*(1-30%)*(1-F4555)</f>
        <v>33.592999999999996</v>
      </c>
      <c r="H4555" s="9">
        <v>47.990000000000002</v>
      </c>
      <c r="I4555" s="9">
        <f>H4555-G4555</f>
        <v>14.397000000000006</v>
      </c>
    </row>
    <row r="4556" ht="14.25">
      <c r="A4556" s="5">
        <v>93584</v>
      </c>
      <c r="B4556" s="7" t="s">
        <v>4652</v>
      </c>
      <c r="C4556" s="7" t="s">
        <v>3265</v>
      </c>
      <c r="D4556" s="7" t="s">
        <v>110</v>
      </c>
      <c r="E4556" s="5" t="s">
        <v>26</v>
      </c>
      <c r="F4556" s="8"/>
      <c r="G4556" s="9">
        <f>H4556*(1-30%)*(1-F4556)</f>
        <v>37.092999999999996</v>
      </c>
      <c r="H4556" s="9">
        <v>52.990000000000002</v>
      </c>
      <c r="I4556" s="9">
        <f>H4556-G4556</f>
        <v>15.897000000000006</v>
      </c>
    </row>
    <row r="4557" ht="14.25">
      <c r="A4557" s="5">
        <v>93593</v>
      </c>
      <c r="B4557" s="7" t="s">
        <v>4653</v>
      </c>
      <c r="C4557" s="7" t="s">
        <v>3265</v>
      </c>
      <c r="D4557" s="7" t="s">
        <v>110</v>
      </c>
      <c r="E4557" s="5" t="s">
        <v>26</v>
      </c>
      <c r="F4557" s="8"/>
      <c r="G4557" s="9">
        <f>H4557*(1-30%)*(1-F4557)</f>
        <v>61.592999999999989</v>
      </c>
      <c r="H4557" s="9">
        <v>87.989999999999995</v>
      </c>
      <c r="I4557" s="9">
        <f>H4557-G4557</f>
        <v>26.397000000000006</v>
      </c>
    </row>
    <row r="4558" ht="14.25">
      <c r="A4558" s="5">
        <v>93594</v>
      </c>
      <c r="B4558" s="7" t="s">
        <v>4654</v>
      </c>
      <c r="C4558" s="7" t="s">
        <v>3265</v>
      </c>
      <c r="D4558" s="7" t="s">
        <v>110</v>
      </c>
      <c r="E4558" s="5" t="s">
        <v>26</v>
      </c>
      <c r="F4558" s="8"/>
      <c r="G4558" s="9">
        <f>H4558*(1-30%)*(1-F4558)</f>
        <v>61.592999999999989</v>
      </c>
      <c r="H4558" s="9">
        <v>87.989999999999995</v>
      </c>
      <c r="I4558" s="9">
        <f>H4558-G4558</f>
        <v>26.397000000000006</v>
      </c>
    </row>
    <row r="4559" ht="14.25">
      <c r="A4559" s="5">
        <v>93595</v>
      </c>
      <c r="B4559" s="7" t="s">
        <v>4655</v>
      </c>
      <c r="C4559" s="7" t="s">
        <v>3265</v>
      </c>
      <c r="D4559" s="7" t="s">
        <v>110</v>
      </c>
      <c r="E4559" s="5" t="s">
        <v>26</v>
      </c>
      <c r="F4559" s="8"/>
      <c r="G4559" s="9">
        <f>H4559*(1-30%)*(1-F4559)</f>
        <v>61.592999999999989</v>
      </c>
      <c r="H4559" s="9">
        <v>87.989999999999995</v>
      </c>
      <c r="I4559" s="9">
        <f>H4559-G4559</f>
        <v>26.397000000000006</v>
      </c>
    </row>
    <row r="4560" ht="14.25">
      <c r="A4560" s="5">
        <v>93596</v>
      </c>
      <c r="B4560" s="7" t="s">
        <v>4656</v>
      </c>
      <c r="C4560" s="7" t="s">
        <v>3265</v>
      </c>
      <c r="D4560" s="7" t="s">
        <v>110</v>
      </c>
      <c r="E4560" s="5" t="s">
        <v>26</v>
      </c>
      <c r="F4560" s="8"/>
      <c r="G4560" s="9">
        <f>H4560*(1-30%)*(1-F4560)</f>
        <v>61.592999999999989</v>
      </c>
      <c r="H4560" s="9">
        <v>87.989999999999995</v>
      </c>
      <c r="I4560" s="9">
        <f>H4560-G4560</f>
        <v>26.397000000000006</v>
      </c>
    </row>
    <row r="4561" ht="14.25">
      <c r="A4561" s="5">
        <v>93597</v>
      </c>
      <c r="B4561" s="7" t="s">
        <v>4657</v>
      </c>
      <c r="C4561" s="7" t="s">
        <v>3265</v>
      </c>
      <c r="D4561" s="7" t="s">
        <v>110</v>
      </c>
      <c r="E4561" s="5" t="s">
        <v>26</v>
      </c>
      <c r="F4561" s="8"/>
      <c r="G4561" s="9">
        <f>H4561*(1-30%)*(1-F4561)</f>
        <v>61.592999999999989</v>
      </c>
      <c r="H4561" s="9">
        <v>87.989999999999995</v>
      </c>
      <c r="I4561" s="9">
        <f>H4561-G4561</f>
        <v>26.397000000000006</v>
      </c>
    </row>
    <row r="4562" ht="14.25">
      <c r="A4562" s="5">
        <v>93598</v>
      </c>
      <c r="B4562" s="7" t="s">
        <v>4658</v>
      </c>
      <c r="C4562" s="7" t="s">
        <v>3265</v>
      </c>
      <c r="D4562" s="7" t="s">
        <v>110</v>
      </c>
      <c r="E4562" s="5" t="s">
        <v>26</v>
      </c>
      <c r="F4562" s="8"/>
      <c r="G4562" s="9">
        <f>H4562*(1-30%)*(1-F4562)</f>
        <v>61.592999999999989</v>
      </c>
      <c r="H4562" s="9">
        <v>87.989999999999995</v>
      </c>
      <c r="I4562" s="9">
        <f>H4562-G4562</f>
        <v>26.397000000000006</v>
      </c>
    </row>
    <row r="4563" ht="14.25">
      <c r="A4563" s="5">
        <v>93610</v>
      </c>
      <c r="B4563" s="7" t="s">
        <v>4659</v>
      </c>
      <c r="C4563" s="7" t="s">
        <v>3265</v>
      </c>
      <c r="D4563" s="7" t="s">
        <v>470</v>
      </c>
      <c r="E4563" s="5" t="s">
        <v>15</v>
      </c>
      <c r="F4563" s="8"/>
      <c r="G4563" s="9">
        <f>H4563*(1-30%)*(1-F4563)</f>
        <v>13.992999999999999</v>
      </c>
      <c r="H4563" s="9">
        <v>19.989999999999998</v>
      </c>
      <c r="I4563" s="9">
        <f>H4563-G4563</f>
        <v>5.9969999999999999</v>
      </c>
    </row>
    <row r="4564" ht="14.25">
      <c r="A4564" s="5">
        <v>93611</v>
      </c>
      <c r="B4564" s="7" t="s">
        <v>4660</v>
      </c>
      <c r="C4564" s="7" t="s">
        <v>3265</v>
      </c>
      <c r="D4564" s="7" t="s">
        <v>470</v>
      </c>
      <c r="E4564" s="5" t="s">
        <v>15</v>
      </c>
      <c r="F4564" s="8"/>
      <c r="G4564" s="9">
        <f>H4564*(1-30%)*(1-F4564)</f>
        <v>13.992999999999999</v>
      </c>
      <c r="H4564" s="9">
        <v>19.989999999999998</v>
      </c>
      <c r="I4564" s="9">
        <f>H4564-G4564</f>
        <v>5.9969999999999999</v>
      </c>
    </row>
    <row r="4565" ht="14.25">
      <c r="A4565" s="5">
        <v>93622</v>
      </c>
      <c r="B4565" s="7" t="s">
        <v>4661</v>
      </c>
      <c r="C4565" s="7" t="s">
        <v>3265</v>
      </c>
      <c r="D4565" s="7" t="s">
        <v>110</v>
      </c>
      <c r="E4565" s="5" t="s">
        <v>26</v>
      </c>
      <c r="F4565" s="8"/>
      <c r="G4565" s="9">
        <f>H4565*(1-30%)*(1-F4565)</f>
        <v>87.492999999999995</v>
      </c>
      <c r="H4565" s="9">
        <v>124.98999999999999</v>
      </c>
      <c r="I4565" s="9">
        <f>H4565-G4565</f>
        <v>37.497</v>
      </c>
    </row>
    <row r="4566" ht="14.25">
      <c r="A4566" s="5">
        <v>93626</v>
      </c>
      <c r="B4566" s="7" t="s">
        <v>4662</v>
      </c>
      <c r="C4566" s="7" t="s">
        <v>3324</v>
      </c>
      <c r="D4566" s="7" t="s">
        <v>110</v>
      </c>
      <c r="E4566" s="5" t="s">
        <v>26</v>
      </c>
      <c r="F4566" s="8"/>
      <c r="G4566" s="9">
        <f>H4566*(1-30%)*(1-F4566)</f>
        <v>15.392999999999997</v>
      </c>
      <c r="H4566" s="9">
        <v>21.989999999999998</v>
      </c>
      <c r="I4566" s="9">
        <f>H4566-G4566</f>
        <v>6.5970000000000013</v>
      </c>
    </row>
    <row r="4567" ht="14.25">
      <c r="A4567" s="5">
        <v>93627</v>
      </c>
      <c r="B4567" s="7" t="s">
        <v>4663</v>
      </c>
      <c r="C4567" s="7" t="s">
        <v>3324</v>
      </c>
      <c r="D4567" s="7" t="s">
        <v>110</v>
      </c>
      <c r="E4567" s="5" t="s">
        <v>15</v>
      </c>
      <c r="F4567" s="8"/>
      <c r="G4567" s="9">
        <f>H4567*(1-30%)*(1-F4567)</f>
        <v>15.392999999999997</v>
      </c>
      <c r="H4567" s="9">
        <v>21.989999999999998</v>
      </c>
      <c r="I4567" s="9">
        <f>H4567-G4567</f>
        <v>6.5970000000000013</v>
      </c>
    </row>
    <row r="4568" ht="14.25">
      <c r="A4568" s="5">
        <v>93629</v>
      </c>
      <c r="B4568" s="7" t="s">
        <v>4664</v>
      </c>
      <c r="C4568" s="7" t="s">
        <v>3324</v>
      </c>
      <c r="D4568" s="7" t="s">
        <v>110</v>
      </c>
      <c r="E4568" s="5" t="s">
        <v>26</v>
      </c>
      <c r="F4568" s="8"/>
      <c r="G4568" s="9">
        <f>H4568*(1-30%)*(1-F4568)</f>
        <v>15.392999999999997</v>
      </c>
      <c r="H4568" s="9">
        <v>21.989999999999998</v>
      </c>
      <c r="I4568" s="9">
        <f>H4568-G4568</f>
        <v>6.5970000000000013</v>
      </c>
    </row>
    <row r="4569" ht="14.25">
      <c r="A4569" s="5">
        <v>93630</v>
      </c>
      <c r="B4569" s="7" t="s">
        <v>4665</v>
      </c>
      <c r="C4569" s="7" t="s">
        <v>3324</v>
      </c>
      <c r="D4569" s="7" t="s">
        <v>110</v>
      </c>
      <c r="E4569" s="5" t="s">
        <v>26</v>
      </c>
      <c r="F4569" s="8"/>
      <c r="G4569" s="9">
        <f>H4569*(1-30%)*(1-F4569)</f>
        <v>15.392999999999997</v>
      </c>
      <c r="H4569" s="9">
        <v>21.989999999999998</v>
      </c>
      <c r="I4569" s="9">
        <f>H4569-G4569</f>
        <v>6.5970000000000013</v>
      </c>
    </row>
    <row r="4570" ht="14.25">
      <c r="A4570" s="5">
        <v>93644</v>
      </c>
      <c r="B4570" s="7" t="s">
        <v>4666</v>
      </c>
      <c r="C4570" s="7" t="s">
        <v>4630</v>
      </c>
      <c r="D4570" s="7" t="s">
        <v>52</v>
      </c>
      <c r="E4570" s="5" t="s">
        <v>15</v>
      </c>
      <c r="F4570" s="8"/>
      <c r="G4570" s="9">
        <f>H4570*(1-30%)*(1-F4570)</f>
        <v>46.192999999999991</v>
      </c>
      <c r="H4570" s="9">
        <v>65.989999999999995</v>
      </c>
      <c r="I4570" s="9">
        <f>H4570-G4570</f>
        <v>19.797000000000004</v>
      </c>
    </row>
    <row r="4571" ht="14.25">
      <c r="A4571" s="5">
        <v>93699</v>
      </c>
      <c r="B4571" s="7" t="s">
        <v>4667</v>
      </c>
      <c r="C4571" s="7" t="s">
        <v>3262</v>
      </c>
      <c r="D4571" s="7" t="s">
        <v>110</v>
      </c>
      <c r="E4571" s="5" t="s">
        <v>26</v>
      </c>
      <c r="F4571" s="8"/>
      <c r="G4571" s="9">
        <f>H4571*(1-30%)*(1-F4571)</f>
        <v>62.992999999999995</v>
      </c>
      <c r="H4571" s="9">
        <v>89.989999999999995</v>
      </c>
      <c r="I4571" s="9">
        <f>H4571-G4571</f>
        <v>26.997</v>
      </c>
    </row>
    <row r="4572" ht="14.25">
      <c r="A4572" s="5">
        <v>93700</v>
      </c>
      <c r="B4572" s="7" t="s">
        <v>4668</v>
      </c>
      <c r="C4572" s="7" t="s">
        <v>3262</v>
      </c>
      <c r="D4572" s="7" t="s">
        <v>110</v>
      </c>
      <c r="E4572" s="5" t="s">
        <v>43</v>
      </c>
      <c r="F4572" s="8"/>
      <c r="G4572" s="9">
        <f>H4572*(1-30%)*(1-F4572)</f>
        <v>52.492999999999995</v>
      </c>
      <c r="H4572" s="9">
        <v>74.989999999999995</v>
      </c>
      <c r="I4572" s="9">
        <f>H4572-G4572</f>
        <v>22.497</v>
      </c>
    </row>
    <row r="4573" ht="14.25">
      <c r="A4573" s="5">
        <v>93701</v>
      </c>
      <c r="B4573" s="7" t="s">
        <v>4669</v>
      </c>
      <c r="C4573" s="7" t="s">
        <v>3262</v>
      </c>
      <c r="D4573" s="7" t="s">
        <v>110</v>
      </c>
      <c r="E4573" s="5" t="s">
        <v>43</v>
      </c>
      <c r="F4573" s="8"/>
      <c r="G4573" s="9">
        <f>H4573*(1-30%)*(1-F4573)</f>
        <v>46.192999999999991</v>
      </c>
      <c r="H4573" s="9">
        <v>65.989999999999995</v>
      </c>
      <c r="I4573" s="9">
        <f>H4573-G4573</f>
        <v>19.797000000000004</v>
      </c>
    </row>
    <row r="4574" ht="14.25">
      <c r="A4574" s="5">
        <v>93702</v>
      </c>
      <c r="B4574" s="7" t="s">
        <v>4670</v>
      </c>
      <c r="C4574" s="7" t="s">
        <v>3262</v>
      </c>
      <c r="D4574" s="7" t="s">
        <v>110</v>
      </c>
      <c r="E4574" s="5" t="s">
        <v>26</v>
      </c>
      <c r="F4574" s="8"/>
      <c r="G4574" s="9">
        <f>H4574*(1-30%)*(1-F4574)</f>
        <v>40.592999999999996</v>
      </c>
      <c r="H4574" s="9">
        <v>57.990000000000002</v>
      </c>
      <c r="I4574" s="9">
        <f>H4574-G4574</f>
        <v>17.397000000000006</v>
      </c>
    </row>
    <row r="4575" ht="14.25">
      <c r="A4575" s="5">
        <v>93703</v>
      </c>
      <c r="B4575" s="7" t="s">
        <v>4671</v>
      </c>
      <c r="C4575" s="7" t="s">
        <v>3262</v>
      </c>
      <c r="D4575" s="7" t="s">
        <v>110</v>
      </c>
      <c r="E4575" s="5" t="s">
        <v>26</v>
      </c>
      <c r="F4575" s="8"/>
      <c r="G4575" s="9">
        <f>H4575*(1-30%)*(1-F4575)</f>
        <v>40.592999999999996</v>
      </c>
      <c r="H4575" s="9">
        <v>57.990000000000002</v>
      </c>
      <c r="I4575" s="9">
        <f>H4575-G4575</f>
        <v>17.397000000000006</v>
      </c>
    </row>
    <row r="4576" ht="14.25">
      <c r="A4576" s="5">
        <v>93716</v>
      </c>
      <c r="B4576" s="7" t="s">
        <v>4672</v>
      </c>
      <c r="C4576" s="7" t="s">
        <v>3280</v>
      </c>
      <c r="D4576" s="7" t="s">
        <v>183</v>
      </c>
      <c r="E4576" s="5" t="s">
        <v>15</v>
      </c>
      <c r="F4576" s="8"/>
      <c r="G4576" s="9">
        <f>H4576*(1-30%)*(1-F4576)</f>
        <v>19.592999999999996</v>
      </c>
      <c r="H4576" s="9">
        <v>27.989999999999998</v>
      </c>
      <c r="I4576" s="9">
        <f>H4576-G4576</f>
        <v>8.397000000000002</v>
      </c>
    </row>
    <row r="4577" ht="14.25">
      <c r="A4577" s="5">
        <v>93718</v>
      </c>
      <c r="B4577" s="7" t="s">
        <v>4673</v>
      </c>
      <c r="C4577" s="7" t="s">
        <v>4630</v>
      </c>
      <c r="D4577" s="7" t="s">
        <v>183</v>
      </c>
      <c r="E4577" s="5" t="s">
        <v>15</v>
      </c>
      <c r="F4577" s="8"/>
      <c r="G4577" s="9">
        <f>H4577*(1-30%)*(1-F4577)</f>
        <v>76.929999999999993</v>
      </c>
      <c r="H4577" s="9">
        <v>109.90000000000001</v>
      </c>
      <c r="I4577" s="9">
        <f>H4577-G4577</f>
        <v>32.970000000000013</v>
      </c>
    </row>
    <row r="4578" ht="14.25">
      <c r="A4578" s="5">
        <v>93723</v>
      </c>
      <c r="B4578" s="7" t="s">
        <v>4674</v>
      </c>
      <c r="C4578" s="7" t="s">
        <v>3324</v>
      </c>
      <c r="D4578" s="7" t="s">
        <v>183</v>
      </c>
      <c r="E4578" s="5" t="s">
        <v>15</v>
      </c>
      <c r="F4578" s="8"/>
      <c r="G4578" s="9">
        <f>H4578*(1-30%)*(1-F4578)</f>
        <v>20.992999999999999</v>
      </c>
      <c r="H4578" s="9">
        <v>29.989999999999998</v>
      </c>
      <c r="I4578" s="9">
        <f>H4578-G4578</f>
        <v>8.9969999999999999</v>
      </c>
    </row>
    <row r="4579" ht="14.25">
      <c r="A4579" s="5">
        <v>93729</v>
      </c>
      <c r="B4579" s="7" t="s">
        <v>4675</v>
      </c>
      <c r="C4579" s="7" t="s">
        <v>3477</v>
      </c>
      <c r="D4579" s="7" t="s">
        <v>183</v>
      </c>
      <c r="E4579" s="5" t="s">
        <v>43</v>
      </c>
      <c r="F4579" s="8"/>
      <c r="G4579" s="9">
        <f>H4579*(1-30%)*(1-F4579)</f>
        <v>80.429999999999993</v>
      </c>
      <c r="H4579" s="9">
        <v>114.90000000000001</v>
      </c>
      <c r="I4579" s="9">
        <f>H4579-G4579</f>
        <v>34.470000000000013</v>
      </c>
    </row>
    <row r="4580" ht="14.25">
      <c r="A4580" s="5">
        <v>93737</v>
      </c>
      <c r="B4580" s="7" t="s">
        <v>4676</v>
      </c>
      <c r="C4580" s="7" t="s">
        <v>3435</v>
      </c>
      <c r="D4580" s="7" t="s">
        <v>103</v>
      </c>
      <c r="E4580" s="5" t="s">
        <v>15</v>
      </c>
      <c r="F4580" s="8"/>
      <c r="G4580" s="9">
        <f>H4580*(1-30%)*(1-F4580)</f>
        <v>33.592999999999996</v>
      </c>
      <c r="H4580" s="9">
        <v>47.990000000000002</v>
      </c>
      <c r="I4580" s="9">
        <f>H4580-G4580</f>
        <v>14.397000000000006</v>
      </c>
    </row>
    <row r="4581" ht="14.25">
      <c r="A4581" s="5">
        <v>93738</v>
      </c>
      <c r="B4581" s="7" t="s">
        <v>4677</v>
      </c>
      <c r="C4581" s="7" t="s">
        <v>3435</v>
      </c>
      <c r="D4581" s="7" t="s">
        <v>45</v>
      </c>
      <c r="E4581" s="5" t="s">
        <v>43</v>
      </c>
      <c r="F4581" s="8"/>
      <c r="G4581" s="9">
        <f>H4581*(1-30%)*(1-F4581)</f>
        <v>40.592999999999996</v>
      </c>
      <c r="H4581" s="9">
        <v>57.990000000000002</v>
      </c>
      <c r="I4581" s="9">
        <f>H4581-G4581</f>
        <v>17.397000000000006</v>
      </c>
    </row>
    <row r="4582" ht="14.25">
      <c r="A4582" s="5">
        <v>93741</v>
      </c>
      <c r="B4582" s="7" t="s">
        <v>4678</v>
      </c>
      <c r="C4582" s="7" t="s">
        <v>3435</v>
      </c>
      <c r="D4582" s="7" t="s">
        <v>11</v>
      </c>
      <c r="E4582" s="5" t="s">
        <v>15</v>
      </c>
      <c r="F4582" s="8"/>
      <c r="G4582" s="9">
        <f>H4582*(1-30%)*(1-F4582)</f>
        <v>55.992999999999995</v>
      </c>
      <c r="H4582" s="9">
        <v>79.989999999999995</v>
      </c>
      <c r="I4582" s="9">
        <f>H4582-G4582</f>
        <v>23.997</v>
      </c>
    </row>
    <row r="4583" ht="14.25">
      <c r="A4583" s="5">
        <v>93742</v>
      </c>
      <c r="B4583" s="7" t="s">
        <v>4679</v>
      </c>
      <c r="C4583" s="7" t="s">
        <v>3435</v>
      </c>
      <c r="D4583" s="7" t="s">
        <v>45</v>
      </c>
      <c r="E4583" s="5" t="s">
        <v>43</v>
      </c>
      <c r="F4583" s="8"/>
      <c r="G4583" s="9">
        <f>H4583*(1-30%)*(1-F4583)</f>
        <v>45.492999999999995</v>
      </c>
      <c r="H4583" s="9">
        <v>64.989999999999995</v>
      </c>
      <c r="I4583" s="9">
        <f>H4583-G4583</f>
        <v>19.497</v>
      </c>
    </row>
    <row r="4584" ht="14.25">
      <c r="A4584" s="5">
        <v>93744</v>
      </c>
      <c r="B4584" s="7" t="s">
        <v>4680</v>
      </c>
      <c r="C4584" s="7" t="s">
        <v>3435</v>
      </c>
      <c r="D4584" s="7" t="s">
        <v>583</v>
      </c>
      <c r="E4584" s="5" t="s">
        <v>15</v>
      </c>
      <c r="F4584" s="8"/>
      <c r="G4584" s="9">
        <f>H4584*(1-30%)*(1-F4584)</f>
        <v>54.592999999999996</v>
      </c>
      <c r="H4584" s="9">
        <v>77.989999999999995</v>
      </c>
      <c r="I4584" s="9">
        <f>H4584-G4584</f>
        <v>23.396999999999998</v>
      </c>
    </row>
    <row r="4585" ht="14.25">
      <c r="A4585" s="5">
        <v>93745</v>
      </c>
      <c r="B4585" s="7" t="s">
        <v>4681</v>
      </c>
      <c r="C4585" s="7" t="s">
        <v>3435</v>
      </c>
      <c r="D4585" s="7" t="s">
        <v>11</v>
      </c>
      <c r="E4585" s="5" t="s">
        <v>15</v>
      </c>
      <c r="F4585" s="8"/>
      <c r="G4585" s="9">
        <f>H4585*(1-30%)*(1-F4585)</f>
        <v>55.992999999999995</v>
      </c>
      <c r="H4585" s="9">
        <v>79.989999999999995</v>
      </c>
      <c r="I4585" s="9">
        <f>H4585-G4585</f>
        <v>23.997</v>
      </c>
    </row>
    <row r="4586" ht="14.25">
      <c r="A4586" s="5">
        <v>93747</v>
      </c>
      <c r="B4586" s="7" t="s">
        <v>4682</v>
      </c>
      <c r="C4586" s="7" t="s">
        <v>3435</v>
      </c>
      <c r="D4586" s="7" t="s">
        <v>583</v>
      </c>
      <c r="E4586" s="5" t="s">
        <v>43</v>
      </c>
      <c r="F4586" s="8"/>
      <c r="G4586" s="9">
        <f>H4586*(1-30%)*(1-F4586)</f>
        <v>54.592999999999996</v>
      </c>
      <c r="H4586" s="9">
        <v>77.989999999999995</v>
      </c>
      <c r="I4586" s="9">
        <f>H4586-G4586</f>
        <v>23.396999999999998</v>
      </c>
    </row>
    <row r="4587" ht="14.25">
      <c r="A4587" s="5">
        <v>93749</v>
      </c>
      <c r="B4587" s="7" t="s">
        <v>4683</v>
      </c>
      <c r="C4587" s="7" t="s">
        <v>3435</v>
      </c>
      <c r="D4587" s="7" t="s">
        <v>45</v>
      </c>
      <c r="E4587" s="5" t="s">
        <v>43</v>
      </c>
      <c r="F4587" s="8"/>
      <c r="G4587" s="9">
        <f>H4587*(1-30%)*(1-F4587)</f>
        <v>58.092999999999989</v>
      </c>
      <c r="H4587" s="9">
        <v>82.989999999999995</v>
      </c>
      <c r="I4587" s="9">
        <f>H4587-G4587</f>
        <v>24.897000000000006</v>
      </c>
    </row>
    <row r="4588" ht="14.25">
      <c r="A4588" s="5">
        <v>93751</v>
      </c>
      <c r="B4588" s="7" t="s">
        <v>4684</v>
      </c>
      <c r="C4588" s="7" t="s">
        <v>3435</v>
      </c>
      <c r="D4588" s="7" t="s">
        <v>45</v>
      </c>
      <c r="E4588" s="5" t="s">
        <v>43</v>
      </c>
      <c r="F4588" s="8"/>
      <c r="G4588" s="9">
        <f>H4588*(1-30%)*(1-F4588)</f>
        <v>24.492999999999999</v>
      </c>
      <c r="H4588" s="9">
        <v>34.990000000000002</v>
      </c>
      <c r="I4588" s="9">
        <f>H4588-G4588</f>
        <v>10.497000000000003</v>
      </c>
    </row>
    <row r="4589" ht="14.25">
      <c r="A4589" s="5">
        <v>93770</v>
      </c>
      <c r="B4589" s="7" t="s">
        <v>4685</v>
      </c>
      <c r="C4589" s="7" t="s">
        <v>3276</v>
      </c>
      <c r="D4589" s="7" t="s">
        <v>45</v>
      </c>
      <c r="E4589" s="5" t="s">
        <v>15</v>
      </c>
      <c r="F4589" s="8"/>
      <c r="G4589" s="9">
        <f>H4589*(1-30%)*(1-F4589)</f>
        <v>13.992999999999999</v>
      </c>
      <c r="H4589" s="9">
        <v>19.989999999999998</v>
      </c>
      <c r="I4589" s="9">
        <f>H4589-G4589</f>
        <v>5.9969999999999999</v>
      </c>
    </row>
    <row r="4590" ht="14.25">
      <c r="A4590" s="5">
        <v>93773</v>
      </c>
      <c r="B4590" s="7" t="s">
        <v>4686</v>
      </c>
      <c r="C4590" s="7" t="s">
        <v>3452</v>
      </c>
      <c r="D4590" s="7" t="s">
        <v>11</v>
      </c>
      <c r="E4590" s="5" t="s">
        <v>15</v>
      </c>
      <c r="F4590" s="8"/>
      <c r="G4590" s="9">
        <f>H4590*(1-30%)*(1-F4590)</f>
        <v>174.93000000000001</v>
      </c>
      <c r="H4590" s="9">
        <v>249.90000000000001</v>
      </c>
      <c r="I4590" s="9">
        <f>H4590-G4590</f>
        <v>74.969999999999999</v>
      </c>
    </row>
    <row r="4591" ht="14.25">
      <c r="A4591" s="5">
        <v>93776</v>
      </c>
      <c r="B4591" s="7" t="s">
        <v>4687</v>
      </c>
      <c r="C4591" s="7" t="s">
        <v>3290</v>
      </c>
      <c r="D4591" s="7" t="s">
        <v>11</v>
      </c>
      <c r="E4591" s="5" t="s">
        <v>43</v>
      </c>
      <c r="F4591" s="8"/>
      <c r="G4591" s="9">
        <f>H4591*(1-30%)*(1-F4591)</f>
        <v>76.992999999999995</v>
      </c>
      <c r="H4591" s="9">
        <v>109.98999999999999</v>
      </c>
      <c r="I4591" s="9">
        <f>H4591-G4591</f>
        <v>32.997</v>
      </c>
    </row>
    <row r="4592" ht="14.25">
      <c r="A4592" s="5">
        <v>93779</v>
      </c>
      <c r="B4592" s="7" t="s">
        <v>4688</v>
      </c>
      <c r="C4592" s="7" t="s">
        <v>3290</v>
      </c>
      <c r="D4592" s="7" t="s">
        <v>11</v>
      </c>
      <c r="E4592" s="5" t="s">
        <v>43</v>
      </c>
      <c r="F4592" s="8"/>
      <c r="G4592" s="9">
        <f>H4592*(1-30%)*(1-F4592)</f>
        <v>76.992999999999995</v>
      </c>
      <c r="H4592" s="9">
        <v>109.98999999999999</v>
      </c>
      <c r="I4592" s="9">
        <f>H4592-G4592</f>
        <v>32.997</v>
      </c>
    </row>
    <row r="4593" ht="14.25">
      <c r="A4593" s="5">
        <v>93782</v>
      </c>
      <c r="B4593" s="7" t="s">
        <v>4689</v>
      </c>
      <c r="C4593" s="7" t="s">
        <v>3290</v>
      </c>
      <c r="D4593" s="7" t="s">
        <v>45</v>
      </c>
      <c r="E4593" s="5" t="s">
        <v>43</v>
      </c>
      <c r="F4593" s="8"/>
      <c r="G4593" s="9">
        <f>H4593*(1-30%)*(1-F4593)</f>
        <v>24.492999999999999</v>
      </c>
      <c r="H4593" s="9">
        <v>34.990000000000002</v>
      </c>
      <c r="I4593" s="9">
        <f>H4593-G4593</f>
        <v>10.497000000000003</v>
      </c>
    </row>
    <row r="4594" ht="14.25">
      <c r="A4594" s="5">
        <v>93809</v>
      </c>
      <c r="B4594" s="7" t="s">
        <v>4690</v>
      </c>
      <c r="C4594" s="7" t="s">
        <v>3280</v>
      </c>
      <c r="D4594" s="7" t="s">
        <v>183</v>
      </c>
      <c r="E4594" s="5" t="s">
        <v>15</v>
      </c>
      <c r="F4594" s="8"/>
      <c r="G4594" s="9">
        <f>H4594*(1-30%)*(1-F4594)</f>
        <v>26.593</v>
      </c>
      <c r="H4594" s="9">
        <v>37.990000000000002</v>
      </c>
      <c r="I4594" s="9">
        <f>H4594-G4594</f>
        <v>11.397000000000002</v>
      </c>
    </row>
    <row r="4595" ht="14.25">
      <c r="A4595" s="5">
        <v>93845</v>
      </c>
      <c r="B4595" s="7" t="s">
        <v>4691</v>
      </c>
      <c r="C4595" s="7" t="s">
        <v>3324</v>
      </c>
      <c r="D4595" s="7" t="s">
        <v>110</v>
      </c>
      <c r="E4595" s="5" t="s">
        <v>43</v>
      </c>
      <c r="F4595" s="8"/>
      <c r="G4595" s="9">
        <f>H4595*(1-30%)*(1-F4595)</f>
        <v>38.493000000000002</v>
      </c>
      <c r="H4595" s="9">
        <v>54.990000000000002</v>
      </c>
      <c r="I4595" s="9">
        <f>H4595-G4595</f>
        <v>16.497</v>
      </c>
    </row>
    <row r="4596" ht="14.25">
      <c r="A4596" s="5">
        <v>93897</v>
      </c>
      <c r="B4596" s="7" t="s">
        <v>4692</v>
      </c>
      <c r="C4596" s="7" t="s">
        <v>3276</v>
      </c>
      <c r="D4596" s="7" t="s">
        <v>103</v>
      </c>
      <c r="E4596" s="5" t="s">
        <v>15</v>
      </c>
      <c r="F4596" s="8"/>
      <c r="G4596" s="9">
        <f>H4596*(1-30%)*(1-F4596)</f>
        <v>27.992999999999999</v>
      </c>
      <c r="H4596" s="9">
        <v>39.990000000000002</v>
      </c>
      <c r="I4596" s="9">
        <f>H4596-G4596</f>
        <v>11.997000000000003</v>
      </c>
    </row>
    <row r="4597" ht="14.25">
      <c r="A4597" s="5">
        <v>93900</v>
      </c>
      <c r="B4597" s="7" t="s">
        <v>4693</v>
      </c>
      <c r="C4597" s="7" t="s">
        <v>3324</v>
      </c>
      <c r="D4597" s="7" t="s">
        <v>110</v>
      </c>
      <c r="E4597" s="5" t="s">
        <v>43</v>
      </c>
      <c r="F4597" s="8"/>
      <c r="G4597" s="9">
        <f>H4597*(1-30%)*(1-F4597)</f>
        <v>24.492999999999999</v>
      </c>
      <c r="H4597" s="9">
        <v>34.990000000000002</v>
      </c>
      <c r="I4597" s="9">
        <f>H4597-G4597</f>
        <v>10.497000000000003</v>
      </c>
    </row>
    <row r="4598" ht="14.25">
      <c r="A4598" s="5">
        <v>93901</v>
      </c>
      <c r="B4598" s="7" t="s">
        <v>4694</v>
      </c>
      <c r="C4598" s="7" t="s">
        <v>3324</v>
      </c>
      <c r="D4598" s="7" t="s">
        <v>110</v>
      </c>
      <c r="E4598" s="5" t="s">
        <v>43</v>
      </c>
      <c r="F4598" s="8"/>
      <c r="G4598" s="9">
        <f>H4598*(1-30%)*(1-F4598)</f>
        <v>24.492999999999999</v>
      </c>
      <c r="H4598" s="9">
        <v>34.990000000000002</v>
      </c>
      <c r="I4598" s="9">
        <f>H4598-G4598</f>
        <v>10.497000000000003</v>
      </c>
    </row>
    <row r="4599" ht="14.25">
      <c r="A4599" s="5">
        <v>93902</v>
      </c>
      <c r="B4599" s="7" t="s">
        <v>4695</v>
      </c>
      <c r="C4599" s="7" t="s">
        <v>3324</v>
      </c>
      <c r="D4599" s="7" t="s">
        <v>110</v>
      </c>
      <c r="E4599" s="5" t="s">
        <v>43</v>
      </c>
      <c r="F4599" s="8"/>
      <c r="G4599" s="9">
        <f>H4599*(1-30%)*(1-F4599)</f>
        <v>24.492999999999999</v>
      </c>
      <c r="H4599" s="9">
        <v>34.990000000000002</v>
      </c>
      <c r="I4599" s="9">
        <f>H4599-G4599</f>
        <v>10.497000000000003</v>
      </c>
    </row>
    <row r="4600" ht="14.25">
      <c r="A4600" s="5">
        <v>93910</v>
      </c>
      <c r="B4600" s="7" t="s">
        <v>4696</v>
      </c>
      <c r="C4600" s="7" t="s">
        <v>3522</v>
      </c>
      <c r="D4600" s="7" t="s">
        <v>174</v>
      </c>
      <c r="E4600" s="5" t="s">
        <v>43</v>
      </c>
      <c r="F4600" s="8"/>
      <c r="G4600" s="9">
        <f>H4600*(1-30%)*(1-F4600)</f>
        <v>37.792999999999999</v>
      </c>
      <c r="H4600" s="9">
        <v>53.990000000000002</v>
      </c>
      <c r="I4600" s="9">
        <f>H4600-G4600</f>
        <v>16.197000000000003</v>
      </c>
    </row>
    <row r="4601" ht="14.25">
      <c r="A4601" s="5">
        <v>93919</v>
      </c>
      <c r="B4601" s="7" t="s">
        <v>4697</v>
      </c>
      <c r="C4601" s="7" t="s">
        <v>3324</v>
      </c>
      <c r="D4601" s="7" t="s">
        <v>110</v>
      </c>
      <c r="E4601" s="5" t="s">
        <v>26</v>
      </c>
      <c r="F4601" s="8"/>
      <c r="G4601" s="9">
        <f>H4601*(1-30%)*(1-F4601)</f>
        <v>41.993000000000002</v>
      </c>
      <c r="H4601" s="9">
        <v>59.990000000000002</v>
      </c>
      <c r="I4601" s="9">
        <f>H4601-G4601</f>
        <v>17.997</v>
      </c>
    </row>
    <row r="4602" ht="14.25">
      <c r="A4602" s="5">
        <v>93920</v>
      </c>
      <c r="B4602" s="7" t="s">
        <v>4698</v>
      </c>
      <c r="C4602" s="7" t="s">
        <v>3324</v>
      </c>
      <c r="D4602" s="7" t="s">
        <v>110</v>
      </c>
      <c r="E4602" s="5" t="s">
        <v>26</v>
      </c>
      <c r="F4602" s="8"/>
      <c r="G4602" s="9">
        <f>H4602*(1-30%)*(1-F4602)</f>
        <v>41.993000000000002</v>
      </c>
      <c r="H4602" s="9">
        <v>59.990000000000002</v>
      </c>
      <c r="I4602" s="9">
        <f>H4602-G4602</f>
        <v>17.997</v>
      </c>
    </row>
    <row r="4603" ht="14.25">
      <c r="A4603" s="5">
        <v>93931</v>
      </c>
      <c r="B4603" s="7" t="s">
        <v>4699</v>
      </c>
      <c r="C4603" s="7" t="s">
        <v>3276</v>
      </c>
      <c r="D4603" s="7" t="s">
        <v>45</v>
      </c>
      <c r="E4603" s="5" t="s">
        <v>15</v>
      </c>
      <c r="F4603" s="8"/>
      <c r="G4603" s="9">
        <f>H4603*(1-30%)*(1-F4603)</f>
        <v>13.992999999999999</v>
      </c>
      <c r="H4603" s="9">
        <v>19.989999999999998</v>
      </c>
      <c r="I4603" s="9">
        <f>H4603-G4603</f>
        <v>5.9969999999999999</v>
      </c>
    </row>
    <row r="4604" ht="14.25">
      <c r="A4604" s="5">
        <v>93932</v>
      </c>
      <c r="B4604" s="7" t="s">
        <v>4700</v>
      </c>
      <c r="C4604" s="7" t="s">
        <v>3265</v>
      </c>
      <c r="D4604" s="7" t="s">
        <v>470</v>
      </c>
      <c r="E4604" s="5" t="s">
        <v>15</v>
      </c>
      <c r="F4604" s="8"/>
      <c r="G4604" s="9">
        <f>H4604*(1-30%)*(1-F4604)</f>
        <v>13.992999999999999</v>
      </c>
      <c r="H4604" s="9">
        <v>19.989999999999998</v>
      </c>
      <c r="I4604" s="9">
        <f>H4604-G4604</f>
        <v>5.9969999999999999</v>
      </c>
    </row>
    <row r="4605" ht="14.25">
      <c r="A4605" s="5">
        <v>93933</v>
      </c>
      <c r="B4605" s="7" t="s">
        <v>4701</v>
      </c>
      <c r="C4605" s="7" t="s">
        <v>3265</v>
      </c>
      <c r="D4605" s="7" t="s">
        <v>470</v>
      </c>
      <c r="E4605" s="5" t="s">
        <v>15</v>
      </c>
      <c r="F4605" s="8"/>
      <c r="G4605" s="9">
        <f>H4605*(1-30%)*(1-F4605)</f>
        <v>13.992999999999999</v>
      </c>
      <c r="H4605" s="9">
        <v>19.989999999999998</v>
      </c>
      <c r="I4605" s="9">
        <f>H4605-G4605</f>
        <v>5.9969999999999999</v>
      </c>
    </row>
    <row r="4606" ht="14.25">
      <c r="A4606" s="5">
        <v>93985</v>
      </c>
      <c r="B4606" s="7" t="s">
        <v>4702</v>
      </c>
      <c r="C4606" s="7" t="s">
        <v>3262</v>
      </c>
      <c r="D4606" s="7" t="s">
        <v>110</v>
      </c>
      <c r="E4606" s="5" t="s">
        <v>26</v>
      </c>
      <c r="F4606" s="8"/>
      <c r="G4606" s="9">
        <f>H4606*(1-30%)*(1-F4606)</f>
        <v>62.992999999999995</v>
      </c>
      <c r="H4606" s="9">
        <v>89.989999999999995</v>
      </c>
      <c r="I4606" s="9">
        <f>H4606-G4606</f>
        <v>26.997</v>
      </c>
    </row>
    <row r="4607" ht="14.25">
      <c r="A4607" s="5">
        <v>94051</v>
      </c>
      <c r="B4607" s="7" t="s">
        <v>4703</v>
      </c>
      <c r="C4607" s="7" t="s">
        <v>3522</v>
      </c>
      <c r="D4607" s="7" t="s">
        <v>11</v>
      </c>
      <c r="E4607" s="5" t="s">
        <v>43</v>
      </c>
      <c r="F4607" s="8"/>
      <c r="G4607" s="9">
        <f>H4607*(1-30%)*(1-F4607)</f>
        <v>80.429999999999993</v>
      </c>
      <c r="H4607" s="9">
        <v>114.90000000000001</v>
      </c>
      <c r="I4607" s="9">
        <f>H4607-G4607</f>
        <v>34.470000000000013</v>
      </c>
    </row>
    <row r="4608" ht="14.25">
      <c r="A4608" s="5">
        <v>94052</v>
      </c>
      <c r="B4608" s="7" t="s">
        <v>4704</v>
      </c>
      <c r="C4608" s="7" t="s">
        <v>3522</v>
      </c>
      <c r="D4608" s="7" t="s">
        <v>11</v>
      </c>
      <c r="E4608" s="5" t="s">
        <v>43</v>
      </c>
      <c r="F4608" s="8"/>
      <c r="G4608" s="9">
        <f>H4608*(1-30%)*(1-F4608)</f>
        <v>80.429999999999993</v>
      </c>
      <c r="H4608" s="9">
        <v>114.90000000000001</v>
      </c>
      <c r="I4608" s="9">
        <f>H4608-G4608</f>
        <v>34.470000000000013</v>
      </c>
    </row>
    <row r="4609" ht="14.25">
      <c r="A4609" s="5">
        <v>94053</v>
      </c>
      <c r="B4609" s="7" t="s">
        <v>4705</v>
      </c>
      <c r="C4609" s="7" t="s">
        <v>3522</v>
      </c>
      <c r="D4609" s="7" t="s">
        <v>11</v>
      </c>
      <c r="E4609" s="5" t="s">
        <v>43</v>
      </c>
      <c r="F4609" s="8"/>
      <c r="G4609" s="9">
        <f>H4609*(1-30%)*(1-F4609)</f>
        <v>80.429999999999993</v>
      </c>
      <c r="H4609" s="9">
        <v>114.90000000000001</v>
      </c>
      <c r="I4609" s="9">
        <f>H4609-G4609</f>
        <v>34.470000000000013</v>
      </c>
    </row>
    <row r="4610" ht="14.25">
      <c r="A4610" s="5">
        <v>94054</v>
      </c>
      <c r="B4610" s="7" t="s">
        <v>4706</v>
      </c>
      <c r="C4610" s="7" t="s">
        <v>3522</v>
      </c>
      <c r="D4610" s="7" t="s">
        <v>11</v>
      </c>
      <c r="E4610" s="5" t="s">
        <v>43</v>
      </c>
      <c r="F4610" s="8"/>
      <c r="G4610" s="9">
        <f>H4610*(1-30%)*(1-F4610)</f>
        <v>80.429999999999993</v>
      </c>
      <c r="H4610" s="9">
        <v>114.90000000000001</v>
      </c>
      <c r="I4610" s="9">
        <f>H4610-G4610</f>
        <v>34.470000000000013</v>
      </c>
    </row>
    <row r="4611" ht="14.25">
      <c r="A4611" s="5">
        <v>94057</v>
      </c>
      <c r="B4611" s="7" t="s">
        <v>4707</v>
      </c>
      <c r="C4611" s="7" t="s">
        <v>3290</v>
      </c>
      <c r="D4611" s="7" t="s">
        <v>11</v>
      </c>
      <c r="E4611" s="5" t="s">
        <v>43</v>
      </c>
      <c r="F4611" s="8"/>
      <c r="G4611" s="9">
        <f>H4611*(1-30%)*(1-F4611)</f>
        <v>87.429999999999993</v>
      </c>
      <c r="H4611" s="9">
        <v>124.90000000000001</v>
      </c>
      <c r="I4611" s="9">
        <f>H4611-G4611</f>
        <v>37.470000000000013</v>
      </c>
    </row>
    <row r="4612" ht="14.25">
      <c r="A4612" s="5">
        <v>94058</v>
      </c>
      <c r="B4612" s="7" t="s">
        <v>4708</v>
      </c>
      <c r="C4612" s="7" t="s">
        <v>3290</v>
      </c>
      <c r="D4612" s="7" t="s">
        <v>45</v>
      </c>
      <c r="E4612" s="5" t="s">
        <v>43</v>
      </c>
      <c r="F4612" s="8"/>
      <c r="G4612" s="9">
        <f>H4612*(1-30%)*(1-F4612)</f>
        <v>33.592999999999996</v>
      </c>
      <c r="H4612" s="9">
        <v>47.990000000000002</v>
      </c>
      <c r="I4612" s="9">
        <f>H4612-G4612</f>
        <v>14.397000000000006</v>
      </c>
    </row>
    <row r="4613" ht="14.25">
      <c r="A4613" s="5">
        <v>94059</v>
      </c>
      <c r="B4613" s="7" t="s">
        <v>4709</v>
      </c>
      <c r="C4613" s="7" t="s">
        <v>3290</v>
      </c>
      <c r="D4613" s="7" t="s">
        <v>11</v>
      </c>
      <c r="E4613" s="5" t="s">
        <v>43</v>
      </c>
      <c r="F4613" s="8"/>
      <c r="G4613" s="9">
        <f>H4613*(1-30%)*(1-F4613)</f>
        <v>87.429999999999993</v>
      </c>
      <c r="H4613" s="9">
        <v>124.90000000000001</v>
      </c>
      <c r="I4613" s="9">
        <f>H4613-G4613</f>
        <v>37.470000000000013</v>
      </c>
    </row>
    <row r="4614" ht="14.25">
      <c r="A4614" s="5">
        <v>94060</v>
      </c>
      <c r="B4614" s="7" t="s">
        <v>4710</v>
      </c>
      <c r="C4614" s="7" t="s">
        <v>3290</v>
      </c>
      <c r="D4614" s="7" t="s">
        <v>11</v>
      </c>
      <c r="E4614" s="5" t="s">
        <v>43</v>
      </c>
      <c r="F4614" s="8"/>
      <c r="G4614" s="9">
        <f>H4614*(1-30%)*(1-F4614)</f>
        <v>87.429999999999993</v>
      </c>
      <c r="H4614" s="9">
        <v>124.90000000000001</v>
      </c>
      <c r="I4614" s="9">
        <f>H4614-G4614</f>
        <v>37.470000000000013</v>
      </c>
    </row>
    <row r="4615" ht="14.25">
      <c r="A4615" s="5">
        <v>94061</v>
      </c>
      <c r="B4615" s="7" t="s">
        <v>4711</v>
      </c>
      <c r="C4615" s="7" t="s">
        <v>3290</v>
      </c>
      <c r="D4615" s="7" t="s">
        <v>45</v>
      </c>
      <c r="E4615" s="5" t="s">
        <v>43</v>
      </c>
      <c r="F4615" s="8"/>
      <c r="G4615" s="9">
        <f>H4615*(1-30%)*(1-F4615)</f>
        <v>33.592999999999996</v>
      </c>
      <c r="H4615" s="9">
        <v>47.990000000000002</v>
      </c>
      <c r="I4615" s="9">
        <f>H4615-G4615</f>
        <v>14.397000000000006</v>
      </c>
    </row>
    <row r="4616" ht="14.25">
      <c r="A4616" s="5">
        <v>94062</v>
      </c>
      <c r="B4616" s="7" t="s">
        <v>4712</v>
      </c>
      <c r="C4616" s="7" t="s">
        <v>3290</v>
      </c>
      <c r="D4616" s="7" t="s">
        <v>45</v>
      </c>
      <c r="E4616" s="5" t="s">
        <v>43</v>
      </c>
      <c r="F4616" s="8"/>
      <c r="G4616" s="9">
        <f>H4616*(1-30%)*(1-F4616)</f>
        <v>33.592999999999996</v>
      </c>
      <c r="H4616" s="9">
        <v>47.990000000000002</v>
      </c>
      <c r="I4616" s="9">
        <f>H4616-G4616</f>
        <v>14.397000000000006</v>
      </c>
    </row>
    <row r="4617" ht="14.25">
      <c r="A4617" s="5">
        <v>94091</v>
      </c>
      <c r="B4617" s="7" t="s">
        <v>4713</v>
      </c>
      <c r="C4617" s="7" t="s">
        <v>3331</v>
      </c>
      <c r="D4617" s="7" t="s">
        <v>11</v>
      </c>
      <c r="E4617" s="5" t="s">
        <v>43</v>
      </c>
      <c r="F4617" s="8"/>
      <c r="G4617" s="9">
        <f>H4617*(1-30%)*(1-F4617)</f>
        <v>101.42999999999999</v>
      </c>
      <c r="H4617" s="9">
        <v>144.90000000000001</v>
      </c>
      <c r="I4617" s="9">
        <f>H4617-G4617</f>
        <v>43.470000000000013</v>
      </c>
    </row>
    <row r="4618" ht="14.25">
      <c r="A4618" s="5">
        <v>94092</v>
      </c>
      <c r="B4618" s="7" t="s">
        <v>4714</v>
      </c>
      <c r="C4618" s="7" t="s">
        <v>3331</v>
      </c>
      <c r="D4618" s="7" t="s">
        <v>11</v>
      </c>
      <c r="E4618" s="5" t="s">
        <v>43</v>
      </c>
      <c r="F4618" s="8"/>
      <c r="G4618" s="9">
        <f>H4618*(1-30%)*(1-F4618)</f>
        <v>101.42999999999999</v>
      </c>
      <c r="H4618" s="9">
        <v>144.90000000000001</v>
      </c>
      <c r="I4618" s="9">
        <f>H4618-G4618</f>
        <v>43.470000000000013</v>
      </c>
    </row>
    <row r="4619" ht="14.25">
      <c r="A4619" s="5">
        <v>94093</v>
      </c>
      <c r="B4619" s="7" t="s">
        <v>4715</v>
      </c>
      <c r="C4619" s="7" t="s">
        <v>3331</v>
      </c>
      <c r="D4619" s="7" t="s">
        <v>11</v>
      </c>
      <c r="E4619" s="5" t="s">
        <v>43</v>
      </c>
      <c r="F4619" s="8"/>
      <c r="G4619" s="9">
        <f>H4619*(1-30%)*(1-F4619)</f>
        <v>101.42999999999999</v>
      </c>
      <c r="H4619" s="9">
        <v>144.90000000000001</v>
      </c>
      <c r="I4619" s="9">
        <f>H4619-G4619</f>
        <v>43.470000000000013</v>
      </c>
    </row>
    <row r="4620" ht="14.25">
      <c r="A4620" s="5">
        <v>94094</v>
      </c>
      <c r="B4620" s="7" t="s">
        <v>4716</v>
      </c>
      <c r="C4620" s="7" t="s">
        <v>3331</v>
      </c>
      <c r="D4620" s="7" t="s">
        <v>11</v>
      </c>
      <c r="E4620" s="5" t="s">
        <v>43</v>
      </c>
      <c r="F4620" s="8"/>
      <c r="G4620" s="9">
        <f>H4620*(1-30%)*(1-F4620)</f>
        <v>101.42999999999999</v>
      </c>
      <c r="H4620" s="9">
        <v>144.90000000000001</v>
      </c>
      <c r="I4620" s="9">
        <f>H4620-G4620</f>
        <v>43.470000000000013</v>
      </c>
    </row>
    <row r="4621" ht="14.25">
      <c r="A4621" s="5">
        <v>94096</v>
      </c>
      <c r="B4621" s="7" t="s">
        <v>4717</v>
      </c>
      <c r="C4621" s="7" t="s">
        <v>3508</v>
      </c>
      <c r="D4621" s="7" t="s">
        <v>45</v>
      </c>
      <c r="E4621" s="5" t="s">
        <v>43</v>
      </c>
      <c r="F4621" s="8"/>
      <c r="G4621" s="9">
        <f>H4621*(1-30%)*(1-F4621)</f>
        <v>38.493000000000002</v>
      </c>
      <c r="H4621" s="9">
        <v>54.990000000000002</v>
      </c>
      <c r="I4621" s="9">
        <f>H4621-G4621</f>
        <v>16.497</v>
      </c>
    </row>
    <row r="4622" ht="14.25">
      <c r="A4622" s="5">
        <v>94097</v>
      </c>
      <c r="B4622" s="7" t="s">
        <v>4718</v>
      </c>
      <c r="C4622" s="7" t="s">
        <v>3508</v>
      </c>
      <c r="D4622" s="7" t="s">
        <v>11</v>
      </c>
      <c r="E4622" s="5" t="s">
        <v>43</v>
      </c>
      <c r="F4622" s="8"/>
      <c r="G4622" s="9">
        <f>H4622*(1-30%)*(1-F4622)</f>
        <v>108.42999999999999</v>
      </c>
      <c r="H4622" s="9">
        <v>154.90000000000001</v>
      </c>
      <c r="I4622" s="9">
        <f>H4622-G4622</f>
        <v>46.470000000000013</v>
      </c>
    </row>
    <row r="4623" ht="14.25">
      <c r="A4623" s="5">
        <v>94099</v>
      </c>
      <c r="B4623" s="7" t="s">
        <v>4719</v>
      </c>
      <c r="C4623" s="7" t="s">
        <v>3290</v>
      </c>
      <c r="D4623" s="7" t="s">
        <v>11</v>
      </c>
      <c r="E4623" s="5" t="s">
        <v>43</v>
      </c>
      <c r="F4623" s="8"/>
      <c r="G4623" s="9">
        <f>H4623*(1-30%)*(1-F4623)</f>
        <v>87.429999999999993</v>
      </c>
      <c r="H4623" s="9">
        <v>124.90000000000001</v>
      </c>
      <c r="I4623" s="9">
        <f>H4623-G4623</f>
        <v>37.470000000000013</v>
      </c>
    </row>
    <row r="4624" ht="14.25">
      <c r="A4624" s="5">
        <v>94101</v>
      </c>
      <c r="B4624" s="7" t="s">
        <v>4720</v>
      </c>
      <c r="C4624" s="7" t="s">
        <v>3290</v>
      </c>
      <c r="D4624" s="7" t="s">
        <v>103</v>
      </c>
      <c r="E4624" s="5" t="s">
        <v>15</v>
      </c>
      <c r="F4624" s="8"/>
      <c r="G4624" s="9">
        <f>H4624*(1-30%)*(1-F4624)</f>
        <v>25.893000000000001</v>
      </c>
      <c r="H4624" s="9">
        <v>36.990000000000002</v>
      </c>
      <c r="I4624" s="9">
        <f>H4624-G4624</f>
        <v>11.097000000000001</v>
      </c>
    </row>
    <row r="4625" ht="14.25">
      <c r="A4625" s="5">
        <v>94122</v>
      </c>
      <c r="B4625" s="7" t="s">
        <v>4721</v>
      </c>
      <c r="C4625" s="7" t="s">
        <v>3280</v>
      </c>
      <c r="D4625" s="7" t="s">
        <v>183</v>
      </c>
      <c r="E4625" s="5" t="s">
        <v>15</v>
      </c>
      <c r="F4625" s="8"/>
      <c r="G4625" s="9">
        <f>H4625*(1-30%)*(1-F4625)</f>
        <v>31.492999999999999</v>
      </c>
      <c r="H4625" s="9">
        <v>44.990000000000002</v>
      </c>
      <c r="I4625" s="9">
        <f>H4625-G4625</f>
        <v>13.497000000000003</v>
      </c>
    </row>
    <row r="4626" ht="14.25">
      <c r="A4626" s="5">
        <v>80835</v>
      </c>
      <c r="B4626" s="7" t="s">
        <v>4722</v>
      </c>
      <c r="C4626" s="7" t="s">
        <v>4303</v>
      </c>
      <c r="D4626" s="7" t="s">
        <v>183</v>
      </c>
      <c r="E4626" s="5" t="s">
        <v>43</v>
      </c>
      <c r="F4626" s="8"/>
      <c r="G4626" s="9">
        <f>H4626*(1-30%)*(1-F4626)</f>
        <v>26.529999999999998</v>
      </c>
      <c r="H4626" s="9">
        <v>37.899999999999999</v>
      </c>
      <c r="I4626" s="9">
        <f>H4626-G4626</f>
        <v>11.370000000000001</v>
      </c>
    </row>
    <row r="4627" ht="14.25">
      <c r="A4627" s="5">
        <v>84878</v>
      </c>
      <c r="B4627" s="7" t="s">
        <v>4723</v>
      </c>
      <c r="C4627" s="7" t="s">
        <v>4303</v>
      </c>
      <c r="D4627" s="7" t="s">
        <v>110</v>
      </c>
      <c r="E4627" s="5" t="s">
        <v>43</v>
      </c>
      <c r="F4627" s="8"/>
      <c r="G4627" s="9">
        <f>H4627*(1-30%)*(1-F4627)</f>
        <v>45.492999999999995</v>
      </c>
      <c r="H4627" s="9">
        <v>64.989999999999995</v>
      </c>
      <c r="I4627" s="9">
        <f>H4627-G4627</f>
        <v>19.497</v>
      </c>
    </row>
    <row r="4628" ht="14.25">
      <c r="A4628" s="5">
        <v>84879</v>
      </c>
      <c r="B4628" s="7" t="s">
        <v>4724</v>
      </c>
      <c r="C4628" s="7" t="s">
        <v>4303</v>
      </c>
      <c r="D4628" s="7" t="s">
        <v>110</v>
      </c>
      <c r="E4628" s="5" t="s">
        <v>43</v>
      </c>
      <c r="F4628" s="8"/>
      <c r="G4628" s="9">
        <f>H4628*(1-30%)*(1-F4628)</f>
        <v>45.492999999999995</v>
      </c>
      <c r="H4628" s="9">
        <v>64.989999999999995</v>
      </c>
      <c r="I4628" s="9">
        <f>H4628-G4628</f>
        <v>19.497</v>
      </c>
    </row>
    <row r="4629" ht="14.25">
      <c r="A4629" s="5">
        <v>84880</v>
      </c>
      <c r="B4629" s="7" t="s">
        <v>4725</v>
      </c>
      <c r="C4629" s="7" t="s">
        <v>4303</v>
      </c>
      <c r="D4629" s="7" t="s">
        <v>110</v>
      </c>
      <c r="E4629" s="5" t="s">
        <v>43</v>
      </c>
      <c r="F4629" s="8"/>
      <c r="G4629" s="9">
        <f>H4629*(1-30%)*(1-F4629)</f>
        <v>45.492999999999995</v>
      </c>
      <c r="H4629" s="9">
        <v>64.989999999999995</v>
      </c>
      <c r="I4629" s="9">
        <f>H4629-G4629</f>
        <v>19.497</v>
      </c>
    </row>
    <row r="4630" ht="14.25">
      <c r="A4630" s="5">
        <v>84881</v>
      </c>
      <c r="B4630" s="7" t="s">
        <v>4726</v>
      </c>
      <c r="C4630" s="7" t="s">
        <v>4303</v>
      </c>
      <c r="D4630" s="7" t="s">
        <v>110</v>
      </c>
      <c r="E4630" s="5" t="s">
        <v>43</v>
      </c>
      <c r="F4630" s="8"/>
      <c r="G4630" s="9">
        <f>H4630*(1-30%)*(1-F4630)</f>
        <v>45.492999999999995</v>
      </c>
      <c r="H4630" s="9">
        <v>64.989999999999995</v>
      </c>
      <c r="I4630" s="9">
        <f>H4630-G4630</f>
        <v>19.497</v>
      </c>
    </row>
    <row r="4631" ht="14.25">
      <c r="A4631" s="5">
        <v>84882</v>
      </c>
      <c r="B4631" s="7" t="s">
        <v>4727</v>
      </c>
      <c r="C4631" s="7" t="s">
        <v>4303</v>
      </c>
      <c r="D4631" s="7" t="s">
        <v>110</v>
      </c>
      <c r="E4631" s="5" t="s">
        <v>43</v>
      </c>
      <c r="F4631" s="8"/>
      <c r="G4631" s="9">
        <f>H4631*(1-30%)*(1-F4631)</f>
        <v>45.492999999999995</v>
      </c>
      <c r="H4631" s="9">
        <v>64.989999999999995</v>
      </c>
      <c r="I4631" s="9">
        <f>H4631-G4631</f>
        <v>19.497</v>
      </c>
    </row>
    <row r="4632" ht="14.25">
      <c r="A4632" s="5">
        <v>84907</v>
      </c>
      <c r="B4632" s="7" t="s">
        <v>4728</v>
      </c>
      <c r="C4632" s="7" t="s">
        <v>4303</v>
      </c>
      <c r="D4632" s="7" t="s">
        <v>110</v>
      </c>
      <c r="E4632" s="5" t="s">
        <v>43</v>
      </c>
      <c r="F4632" s="8"/>
      <c r="G4632" s="9">
        <f>H4632*(1-30%)*(1-F4632)</f>
        <v>24.492999999999999</v>
      </c>
      <c r="H4632" s="9">
        <v>34.990000000000002</v>
      </c>
      <c r="I4632" s="9">
        <f>H4632-G4632</f>
        <v>10.497000000000003</v>
      </c>
    </row>
    <row r="4633" ht="14.25">
      <c r="A4633" s="5">
        <v>84908</v>
      </c>
      <c r="B4633" s="7" t="s">
        <v>4729</v>
      </c>
      <c r="C4633" s="7" t="s">
        <v>4303</v>
      </c>
      <c r="D4633" s="7" t="s">
        <v>110</v>
      </c>
      <c r="E4633" s="5" t="s">
        <v>43</v>
      </c>
      <c r="F4633" s="8"/>
      <c r="G4633" s="9">
        <f>H4633*(1-30%)*(1-F4633)</f>
        <v>24.492999999999999</v>
      </c>
      <c r="H4633" s="9">
        <v>34.990000000000002</v>
      </c>
      <c r="I4633" s="9">
        <f>H4633-G4633</f>
        <v>10.497000000000003</v>
      </c>
    </row>
    <row r="4634" ht="14.25">
      <c r="A4634" s="5">
        <v>84915</v>
      </c>
      <c r="B4634" s="7" t="s">
        <v>4730</v>
      </c>
      <c r="C4634" s="7" t="s">
        <v>4303</v>
      </c>
      <c r="D4634" s="7" t="s">
        <v>110</v>
      </c>
      <c r="E4634" s="5" t="s">
        <v>43</v>
      </c>
      <c r="F4634" s="8"/>
      <c r="G4634" s="9">
        <f>H4634*(1-30%)*(1-F4634)</f>
        <v>30.093</v>
      </c>
      <c r="H4634" s="9">
        <v>42.990000000000002</v>
      </c>
      <c r="I4634" s="9">
        <f>H4634-G4634</f>
        <v>12.897000000000002</v>
      </c>
    </row>
    <row r="4635" ht="14.25">
      <c r="A4635" s="5">
        <v>84926</v>
      </c>
      <c r="B4635" s="7" t="s">
        <v>4731</v>
      </c>
      <c r="C4635" s="7" t="s">
        <v>4303</v>
      </c>
      <c r="D4635" s="7" t="s">
        <v>110</v>
      </c>
      <c r="E4635" s="5" t="s">
        <v>43</v>
      </c>
      <c r="F4635" s="8"/>
      <c r="G4635" s="9">
        <f>H4635*(1-30%)*(1-F4635)</f>
        <v>27.992999999999999</v>
      </c>
      <c r="H4635" s="9">
        <v>39.990000000000002</v>
      </c>
      <c r="I4635" s="9">
        <f>H4635-G4635</f>
        <v>11.997000000000003</v>
      </c>
    </row>
    <row r="4636" ht="14.25">
      <c r="A4636" s="5">
        <v>84928</v>
      </c>
      <c r="B4636" s="7" t="s">
        <v>4732</v>
      </c>
      <c r="C4636" s="7" t="s">
        <v>4303</v>
      </c>
      <c r="D4636" s="7" t="s">
        <v>110</v>
      </c>
      <c r="E4636" s="5" t="s">
        <v>43</v>
      </c>
      <c r="F4636" s="8"/>
      <c r="G4636" s="9">
        <f>H4636*(1-30%)*(1-F4636)</f>
        <v>27.992999999999999</v>
      </c>
      <c r="H4636" s="9">
        <v>39.990000000000002</v>
      </c>
      <c r="I4636" s="9">
        <f>H4636-G4636</f>
        <v>11.997000000000003</v>
      </c>
    </row>
    <row r="4637" ht="14.25">
      <c r="A4637" s="5">
        <v>85006</v>
      </c>
      <c r="B4637" s="7" t="s">
        <v>4733</v>
      </c>
      <c r="C4637" s="7" t="s">
        <v>4303</v>
      </c>
      <c r="D4637" s="7" t="s">
        <v>110</v>
      </c>
      <c r="E4637" s="5" t="s">
        <v>43</v>
      </c>
      <c r="F4637" s="8"/>
      <c r="G4637" s="9">
        <f>H4637*(1-30%)*(1-F4637)</f>
        <v>24.492999999999999</v>
      </c>
      <c r="H4637" s="9">
        <v>34.990000000000002</v>
      </c>
      <c r="I4637" s="9">
        <f>H4637-G4637</f>
        <v>10.497000000000003</v>
      </c>
    </row>
    <row r="4638" ht="14.25">
      <c r="A4638" s="5">
        <v>86555</v>
      </c>
      <c r="B4638" s="7" t="s">
        <v>4734</v>
      </c>
      <c r="C4638" s="7" t="s">
        <v>4303</v>
      </c>
      <c r="D4638" s="7" t="s">
        <v>110</v>
      </c>
      <c r="E4638" s="5" t="s">
        <v>43</v>
      </c>
      <c r="F4638" s="8"/>
      <c r="G4638" s="9">
        <f>H4638*(1-30%)*(1-F4638)</f>
        <v>24.492999999999999</v>
      </c>
      <c r="H4638" s="9">
        <v>34.990000000000002</v>
      </c>
      <c r="I4638" s="9">
        <f>H4638-G4638</f>
        <v>10.497000000000003</v>
      </c>
    </row>
    <row r="4639" ht="14.25">
      <c r="A4639" s="5">
        <v>86605</v>
      </c>
      <c r="B4639" s="7" t="s">
        <v>4735</v>
      </c>
      <c r="C4639" s="7" t="s">
        <v>4303</v>
      </c>
      <c r="D4639" s="7" t="s">
        <v>110</v>
      </c>
      <c r="E4639" s="5" t="s">
        <v>43</v>
      </c>
      <c r="F4639" s="8"/>
      <c r="G4639" s="9">
        <f>H4639*(1-30%)*(1-F4639)</f>
        <v>24.492999999999999</v>
      </c>
      <c r="H4639" s="9">
        <v>34.990000000000002</v>
      </c>
      <c r="I4639" s="9">
        <f>H4639-G4639</f>
        <v>10.497000000000003</v>
      </c>
    </row>
    <row r="4640" ht="14.25">
      <c r="A4640" s="5">
        <v>86611</v>
      </c>
      <c r="B4640" s="7" t="s">
        <v>4736</v>
      </c>
      <c r="C4640" s="7" t="s">
        <v>4303</v>
      </c>
      <c r="D4640" s="7" t="s">
        <v>110</v>
      </c>
      <c r="E4640" s="5" t="s">
        <v>43</v>
      </c>
      <c r="F4640" s="8"/>
      <c r="G4640" s="9">
        <f>H4640*(1-30%)*(1-F4640)</f>
        <v>24.492999999999999</v>
      </c>
      <c r="H4640" s="9">
        <v>34.990000000000002</v>
      </c>
      <c r="I4640" s="9">
        <f>H4640-G4640</f>
        <v>10.497000000000003</v>
      </c>
    </row>
    <row r="4641" ht="14.25">
      <c r="A4641" s="5">
        <v>86749</v>
      </c>
      <c r="B4641" s="14" t="s">
        <v>4737</v>
      </c>
      <c r="C4641" s="7" t="s">
        <v>3290</v>
      </c>
      <c r="D4641" s="7" t="s">
        <v>45</v>
      </c>
      <c r="E4641" s="5" t="s">
        <v>43</v>
      </c>
      <c r="F4641" s="8"/>
      <c r="G4641" s="9">
        <f>H4641*(1-30%)*(1-F4641)</f>
        <v>76.992999999999995</v>
      </c>
      <c r="H4641" s="9">
        <v>109.98999999999999</v>
      </c>
      <c r="I4641" s="9">
        <f>H4641-G4641</f>
        <v>32.997</v>
      </c>
    </row>
    <row r="4642" ht="14.25">
      <c r="A4642" s="5">
        <v>87403</v>
      </c>
      <c r="B4642" s="7" t="s">
        <v>4738</v>
      </c>
      <c r="C4642" s="7" t="s">
        <v>4303</v>
      </c>
      <c r="D4642" s="7" t="s">
        <v>110</v>
      </c>
      <c r="E4642" s="5" t="s">
        <v>43</v>
      </c>
      <c r="F4642" s="8"/>
      <c r="G4642" s="9">
        <f>H4642*(1-30%)*(1-F4642)</f>
        <v>44.092999999999996</v>
      </c>
      <c r="H4642" s="9">
        <v>62.990000000000002</v>
      </c>
      <c r="I4642" s="9">
        <f>H4642-G4642</f>
        <v>18.897000000000006</v>
      </c>
    </row>
    <row r="4643" ht="14.25">
      <c r="A4643" s="5">
        <v>87404</v>
      </c>
      <c r="B4643" s="7" t="s">
        <v>4739</v>
      </c>
      <c r="C4643" s="7" t="s">
        <v>4303</v>
      </c>
      <c r="D4643" s="7" t="s">
        <v>110</v>
      </c>
      <c r="E4643" s="5" t="s">
        <v>43</v>
      </c>
      <c r="F4643" s="8"/>
      <c r="G4643" s="9">
        <f>H4643*(1-30%)*(1-F4643)</f>
        <v>44.092999999999996</v>
      </c>
      <c r="H4643" s="9">
        <v>62.990000000000002</v>
      </c>
      <c r="I4643" s="9">
        <f>H4643-G4643</f>
        <v>18.897000000000006</v>
      </c>
    </row>
    <row r="4644" ht="14.25">
      <c r="A4644" s="5">
        <v>87434</v>
      </c>
      <c r="B4644" s="7" t="s">
        <v>4740</v>
      </c>
      <c r="C4644" s="7" t="s">
        <v>4303</v>
      </c>
      <c r="D4644" s="7" t="s">
        <v>110</v>
      </c>
      <c r="E4644" s="5" t="s">
        <v>43</v>
      </c>
      <c r="F4644" s="8"/>
      <c r="G4644" s="9">
        <f>H4644*(1-30%)*(1-F4644)</f>
        <v>37.092999999999996</v>
      </c>
      <c r="H4644" s="9">
        <v>52.990000000000002</v>
      </c>
      <c r="I4644" s="9">
        <f>H4644-G4644</f>
        <v>15.897000000000006</v>
      </c>
    </row>
    <row r="4645" ht="14.25">
      <c r="A4645" s="5">
        <v>87435</v>
      </c>
      <c r="B4645" s="7" t="s">
        <v>4741</v>
      </c>
      <c r="C4645" s="7" t="s">
        <v>4303</v>
      </c>
      <c r="D4645" s="7" t="s">
        <v>110</v>
      </c>
      <c r="E4645" s="5" t="s">
        <v>43</v>
      </c>
      <c r="F4645" s="8"/>
      <c r="G4645" s="9">
        <f>H4645*(1-30%)*(1-F4645)</f>
        <v>40.592999999999996</v>
      </c>
      <c r="H4645" s="9">
        <v>57.990000000000002</v>
      </c>
      <c r="I4645" s="9">
        <f>H4645-G4645</f>
        <v>17.397000000000006</v>
      </c>
    </row>
    <row r="4646" ht="14.25">
      <c r="A4646" s="5">
        <v>87436</v>
      </c>
      <c r="B4646" s="7" t="s">
        <v>4742</v>
      </c>
      <c r="C4646" s="7" t="s">
        <v>4303</v>
      </c>
      <c r="D4646" s="7" t="s">
        <v>110</v>
      </c>
      <c r="E4646" s="5" t="s">
        <v>43</v>
      </c>
      <c r="F4646" s="8"/>
      <c r="G4646" s="9">
        <f>H4646*(1-30%)*(1-F4646)</f>
        <v>40.592999999999996</v>
      </c>
      <c r="H4646" s="9">
        <v>57.990000000000002</v>
      </c>
      <c r="I4646" s="9">
        <f>H4646-G4646</f>
        <v>17.397000000000006</v>
      </c>
    </row>
    <row r="4647" ht="14.25">
      <c r="A4647" s="5">
        <v>87437</v>
      </c>
      <c r="B4647" s="7" t="s">
        <v>4743</v>
      </c>
      <c r="C4647" s="7" t="s">
        <v>4303</v>
      </c>
      <c r="D4647" s="7" t="s">
        <v>110</v>
      </c>
      <c r="E4647" s="5" t="s">
        <v>43</v>
      </c>
      <c r="F4647" s="8"/>
      <c r="G4647" s="9">
        <f>H4647*(1-30%)*(1-F4647)</f>
        <v>40.592999999999996</v>
      </c>
      <c r="H4647" s="9">
        <v>57.990000000000002</v>
      </c>
      <c r="I4647" s="9">
        <f>H4647-G4647</f>
        <v>17.397000000000006</v>
      </c>
    </row>
    <row r="4648" ht="14.25">
      <c r="A4648" s="5">
        <v>87444</v>
      </c>
      <c r="B4648" s="7" t="s">
        <v>4744</v>
      </c>
      <c r="C4648" s="7" t="s">
        <v>4303</v>
      </c>
      <c r="D4648" s="7" t="s">
        <v>110</v>
      </c>
      <c r="E4648" s="5" t="s">
        <v>43</v>
      </c>
      <c r="F4648" s="8"/>
      <c r="G4648" s="9">
        <f>H4648*(1-30%)*(1-F4648)</f>
        <v>40.592999999999996</v>
      </c>
      <c r="H4648" s="9">
        <v>57.990000000000002</v>
      </c>
      <c r="I4648" s="9">
        <f>H4648-G4648</f>
        <v>17.397000000000006</v>
      </c>
    </row>
    <row r="4649" ht="14.25">
      <c r="A4649" s="5">
        <v>87446</v>
      </c>
      <c r="B4649" s="7" t="s">
        <v>4745</v>
      </c>
      <c r="C4649" s="7" t="s">
        <v>4303</v>
      </c>
      <c r="D4649" s="7" t="s">
        <v>110</v>
      </c>
      <c r="E4649" s="5" t="s">
        <v>43</v>
      </c>
      <c r="F4649" s="8"/>
      <c r="G4649" s="9">
        <f>H4649*(1-30%)*(1-F4649)</f>
        <v>40.592999999999996</v>
      </c>
      <c r="H4649" s="9">
        <v>57.990000000000002</v>
      </c>
      <c r="I4649" s="9">
        <f>H4649-G4649</f>
        <v>17.397000000000006</v>
      </c>
    </row>
    <row r="4650" ht="14.25">
      <c r="A4650" s="5">
        <v>88164</v>
      </c>
      <c r="B4650" s="7" t="s">
        <v>4746</v>
      </c>
      <c r="C4650" s="7" t="s">
        <v>4303</v>
      </c>
      <c r="D4650" s="7" t="s">
        <v>110</v>
      </c>
      <c r="E4650" s="5" t="s">
        <v>43</v>
      </c>
      <c r="F4650" s="8"/>
      <c r="G4650" s="9">
        <f>H4650*(1-30%)*(1-F4650)</f>
        <v>40.592999999999996</v>
      </c>
      <c r="H4650" s="9">
        <v>57.990000000000002</v>
      </c>
      <c r="I4650" s="9">
        <f>H4650-G4650</f>
        <v>17.397000000000006</v>
      </c>
    </row>
    <row r="4651" ht="14.25">
      <c r="A4651" s="5">
        <v>88165</v>
      </c>
      <c r="B4651" s="7" t="s">
        <v>4747</v>
      </c>
      <c r="C4651" s="7" t="s">
        <v>4303</v>
      </c>
      <c r="D4651" s="7" t="s">
        <v>110</v>
      </c>
      <c r="E4651" s="5" t="s">
        <v>15</v>
      </c>
      <c r="F4651" s="8"/>
      <c r="G4651" s="9">
        <f>H4651*(1-30%)*(1-F4651)</f>
        <v>40.592999999999996</v>
      </c>
      <c r="H4651" s="9">
        <v>57.990000000000002</v>
      </c>
      <c r="I4651" s="9">
        <f>H4651-G4651</f>
        <v>17.397000000000006</v>
      </c>
    </row>
    <row r="4652" ht="14.25">
      <c r="A4652" s="5">
        <v>58815</v>
      </c>
      <c r="B4652" s="7" t="s">
        <v>4748</v>
      </c>
      <c r="C4652" s="7" t="s">
        <v>4303</v>
      </c>
      <c r="D4652" s="7" t="s">
        <v>110</v>
      </c>
      <c r="E4652" s="5" t="s">
        <v>43</v>
      </c>
      <c r="F4652" s="8"/>
      <c r="G4652" s="9">
        <f>H4652*(1-30%)*(1-F4652)</f>
        <v>30.792999999999999</v>
      </c>
      <c r="H4652" s="9">
        <v>43.990000000000002</v>
      </c>
      <c r="I4652" s="9">
        <f>H4652-G4652</f>
        <v>13.197000000000003</v>
      </c>
    </row>
    <row r="4653" ht="14.25">
      <c r="A4653" s="5">
        <v>58816</v>
      </c>
      <c r="B4653" s="7" t="s">
        <v>4749</v>
      </c>
      <c r="C4653" s="7" t="s">
        <v>4303</v>
      </c>
      <c r="D4653" s="7" t="s">
        <v>110</v>
      </c>
      <c r="E4653" s="5" t="s">
        <v>43</v>
      </c>
      <c r="F4653" s="8"/>
      <c r="G4653" s="9">
        <f>H4653*(1-30%)*(1-F4653)</f>
        <v>30.792999999999999</v>
      </c>
      <c r="H4653" s="9">
        <v>43.990000000000002</v>
      </c>
      <c r="I4653" s="9">
        <f>H4653-G4653</f>
        <v>13.197000000000003</v>
      </c>
    </row>
    <row r="4654" ht="14.25">
      <c r="A4654" s="5">
        <v>58819</v>
      </c>
      <c r="B4654" s="7" t="s">
        <v>4750</v>
      </c>
      <c r="C4654" s="7" t="s">
        <v>4303</v>
      </c>
      <c r="D4654" s="7" t="s">
        <v>110</v>
      </c>
      <c r="E4654" s="5" t="s">
        <v>3268</v>
      </c>
      <c r="F4654" s="8"/>
      <c r="G4654" s="9">
        <f>H4654*(1-30%)*(1-F4654)</f>
        <v>30.792999999999999</v>
      </c>
      <c r="H4654" s="9">
        <v>43.990000000000002</v>
      </c>
      <c r="I4654" s="9">
        <f>H4654-G4654</f>
        <v>13.197000000000003</v>
      </c>
    </row>
    <row r="4655" ht="14.25">
      <c r="A4655" s="5">
        <v>80837</v>
      </c>
      <c r="B4655" s="7" t="s">
        <v>4751</v>
      </c>
      <c r="C4655" s="7" t="s">
        <v>3290</v>
      </c>
      <c r="D4655" s="7" t="s">
        <v>183</v>
      </c>
      <c r="E4655" s="5" t="s">
        <v>43</v>
      </c>
      <c r="F4655" s="8"/>
      <c r="G4655" s="9">
        <f>H4655*(1-30%)*(1-F4655)</f>
        <v>55.992999999999995</v>
      </c>
      <c r="H4655" s="9">
        <v>79.989999999999995</v>
      </c>
      <c r="I4655" s="9">
        <f>H4655-G4655</f>
        <v>23.997</v>
      </c>
    </row>
    <row r="4656" ht="14.25">
      <c r="A4656" s="5">
        <v>80877</v>
      </c>
      <c r="B4656" s="7" t="s">
        <v>4752</v>
      </c>
      <c r="C4656" s="7" t="s">
        <v>3290</v>
      </c>
      <c r="D4656" s="7" t="s">
        <v>183</v>
      </c>
      <c r="E4656" s="5" t="s">
        <v>43</v>
      </c>
      <c r="F4656" s="8"/>
      <c r="G4656" s="9">
        <f>H4656*(1-30%)*(1-F4656)</f>
        <v>48.992999999999995</v>
      </c>
      <c r="H4656" s="9">
        <v>69.989999999999995</v>
      </c>
      <c r="I4656" s="9">
        <f>H4656-G4656</f>
        <v>20.997</v>
      </c>
    </row>
    <row r="4657" ht="14.25">
      <c r="A4657" s="5">
        <v>81132</v>
      </c>
      <c r="B4657" s="7" t="s">
        <v>4753</v>
      </c>
      <c r="C4657" s="7" t="s">
        <v>3290</v>
      </c>
      <c r="D4657" s="7" t="s">
        <v>183</v>
      </c>
      <c r="E4657" s="5" t="s">
        <v>43</v>
      </c>
      <c r="F4657" s="8"/>
      <c r="G4657" s="9">
        <f>H4657*(1-30%)*(1-F4657)</f>
        <v>62.992999999999995</v>
      </c>
      <c r="H4657" s="9">
        <v>89.989999999999995</v>
      </c>
      <c r="I4657" s="9">
        <f>H4657-G4657</f>
        <v>26.997</v>
      </c>
    </row>
    <row r="4658" ht="14.25">
      <c r="A4658" s="5">
        <v>84691</v>
      </c>
      <c r="B4658" s="7" t="s">
        <v>4754</v>
      </c>
      <c r="C4658" s="7" t="s">
        <v>3290</v>
      </c>
      <c r="D4658" s="7" t="s">
        <v>103</v>
      </c>
      <c r="E4658" s="5" t="s">
        <v>43</v>
      </c>
      <c r="F4658" s="8"/>
      <c r="G4658" s="9">
        <f>H4658*(1-30%)*(1-F4658)</f>
        <v>41.993000000000002</v>
      </c>
      <c r="H4658" s="9">
        <v>59.990000000000002</v>
      </c>
      <c r="I4658" s="9">
        <f>H4658-G4658</f>
        <v>17.997</v>
      </c>
    </row>
    <row r="4659" ht="14.25">
      <c r="A4659" s="5">
        <v>85285</v>
      </c>
      <c r="B4659" s="7" t="s">
        <v>4755</v>
      </c>
      <c r="C4659" s="7" t="s">
        <v>3276</v>
      </c>
      <c r="D4659" s="7" t="s">
        <v>103</v>
      </c>
      <c r="E4659" s="5" t="s">
        <v>43</v>
      </c>
      <c r="F4659" s="8"/>
      <c r="G4659" s="9">
        <f>H4659*(1-30%)*(1-F4659)</f>
        <v>31.492999999999999</v>
      </c>
      <c r="H4659" s="9">
        <v>44.990000000000002</v>
      </c>
      <c r="I4659" s="9">
        <f>H4659-G4659</f>
        <v>13.497000000000003</v>
      </c>
    </row>
    <row r="4660" ht="14.25">
      <c r="A4660" s="5">
        <v>85306</v>
      </c>
      <c r="B4660" s="7" t="s">
        <v>4756</v>
      </c>
      <c r="C4660" s="7" t="s">
        <v>3276</v>
      </c>
      <c r="D4660" s="7" t="s">
        <v>103</v>
      </c>
      <c r="E4660" s="5" t="s">
        <v>43</v>
      </c>
      <c r="F4660" s="8"/>
      <c r="G4660" s="9">
        <f>H4660*(1-30%)*(1-F4660)</f>
        <v>31.492999999999999</v>
      </c>
      <c r="H4660" s="9">
        <v>44.990000000000002</v>
      </c>
      <c r="I4660" s="9">
        <f>H4660-G4660</f>
        <v>13.497000000000003</v>
      </c>
    </row>
    <row r="4661" ht="14.25">
      <c r="A4661" s="5">
        <v>85369</v>
      </c>
      <c r="B4661" s="7" t="s">
        <v>4757</v>
      </c>
      <c r="C4661" s="7" t="s">
        <v>3276</v>
      </c>
      <c r="D4661" s="7" t="s">
        <v>103</v>
      </c>
      <c r="E4661" s="5" t="s">
        <v>43</v>
      </c>
      <c r="F4661" s="8"/>
      <c r="G4661" s="9">
        <f>H4661*(1-30%)*(1-F4661)</f>
        <v>23.093</v>
      </c>
      <c r="H4661" s="9">
        <v>32.990000000000002</v>
      </c>
      <c r="I4661" s="9">
        <f>H4661-G4661</f>
        <v>9.897000000000002</v>
      </c>
    </row>
    <row r="4662" ht="14.25">
      <c r="A4662" s="5">
        <v>85608</v>
      </c>
      <c r="B4662" s="7" t="s">
        <v>4758</v>
      </c>
      <c r="C4662" s="7" t="s">
        <v>3276</v>
      </c>
      <c r="D4662" s="7" t="s">
        <v>45</v>
      </c>
      <c r="E4662" s="5" t="s">
        <v>43</v>
      </c>
      <c r="F4662" s="8"/>
      <c r="G4662" s="9">
        <f>H4662*(1-30%)*(1-F4662)</f>
        <v>45.492999999999995</v>
      </c>
      <c r="H4662" s="9">
        <v>64.989999999999995</v>
      </c>
      <c r="I4662" s="9">
        <f>H4662-G4662</f>
        <v>19.497</v>
      </c>
    </row>
    <row r="4663" ht="14.25">
      <c r="A4663" s="5">
        <v>85609</v>
      </c>
      <c r="B4663" s="7" t="s">
        <v>4759</v>
      </c>
      <c r="C4663" s="7" t="s">
        <v>3276</v>
      </c>
      <c r="D4663" s="7" t="s">
        <v>103</v>
      </c>
      <c r="E4663" s="5" t="s">
        <v>43</v>
      </c>
      <c r="F4663" s="8"/>
      <c r="G4663" s="9">
        <f>H4663*(1-30%)*(1-F4663)</f>
        <v>24.492999999999999</v>
      </c>
      <c r="H4663" s="9">
        <v>34.990000000000002</v>
      </c>
      <c r="I4663" s="9">
        <f>H4663-G4663</f>
        <v>10.497000000000003</v>
      </c>
    </row>
    <row r="4664" ht="14.25">
      <c r="A4664" s="5">
        <v>85995</v>
      </c>
      <c r="B4664" s="7" t="s">
        <v>4760</v>
      </c>
      <c r="C4664" s="7" t="s">
        <v>3280</v>
      </c>
      <c r="D4664" s="7" t="s">
        <v>95</v>
      </c>
      <c r="E4664" s="5" t="s">
        <v>43</v>
      </c>
      <c r="F4664" s="8"/>
      <c r="G4664" s="9">
        <f>H4664*(1-30%)*(1-F4664)</f>
        <v>55.992999999999995</v>
      </c>
      <c r="H4664" s="9">
        <v>79.989999999999995</v>
      </c>
      <c r="I4664" s="9">
        <f>H4664-G4664</f>
        <v>23.997</v>
      </c>
    </row>
    <row r="4665" ht="14.25">
      <c r="A4665" s="5">
        <v>86030</v>
      </c>
      <c r="B4665" s="7" t="s">
        <v>4761</v>
      </c>
      <c r="C4665" s="7" t="s">
        <v>3276</v>
      </c>
      <c r="D4665" s="7" t="s">
        <v>71</v>
      </c>
      <c r="E4665" s="5" t="s">
        <v>43</v>
      </c>
      <c r="F4665" s="8"/>
      <c r="G4665" s="9">
        <f>H4665*(1-30%)*(1-F4665)</f>
        <v>18.892999999999997</v>
      </c>
      <c r="H4665" s="9">
        <v>26.989999999999998</v>
      </c>
      <c r="I4665" s="9">
        <f>H4665-G4665</f>
        <v>8.0970000000000013</v>
      </c>
    </row>
    <row r="4666" ht="14.25">
      <c r="A4666" s="5">
        <v>86031</v>
      </c>
      <c r="B4666" s="7" t="s">
        <v>4762</v>
      </c>
      <c r="C4666" s="7" t="s">
        <v>3276</v>
      </c>
      <c r="D4666" s="7" t="s">
        <v>71</v>
      </c>
      <c r="E4666" s="5" t="s">
        <v>43</v>
      </c>
      <c r="F4666" s="8"/>
      <c r="G4666" s="9">
        <f>H4666*(1-30%)*(1-F4666)</f>
        <v>16.792999999999999</v>
      </c>
      <c r="H4666" s="9">
        <v>23.989999999999998</v>
      </c>
      <c r="I4666" s="9">
        <f>H4666-G4666</f>
        <v>7.1969999999999992</v>
      </c>
    </row>
    <row r="4667" ht="14.25">
      <c r="A4667" s="5">
        <v>86035</v>
      </c>
      <c r="B4667" s="7" t="s">
        <v>4763</v>
      </c>
      <c r="C4667" s="7" t="s">
        <v>3276</v>
      </c>
      <c r="D4667" s="7" t="s">
        <v>71</v>
      </c>
      <c r="E4667" s="5" t="s">
        <v>43</v>
      </c>
      <c r="F4667" s="8"/>
      <c r="G4667" s="9">
        <f>H4667*(1-30%)*(1-F4667)</f>
        <v>24.492999999999999</v>
      </c>
      <c r="H4667" s="9">
        <v>34.990000000000002</v>
      </c>
      <c r="I4667" s="9">
        <f>H4667-G4667</f>
        <v>10.497000000000003</v>
      </c>
    </row>
    <row r="4668" ht="14.25">
      <c r="A4668" s="5">
        <v>86042</v>
      </c>
      <c r="B4668" s="7" t="s">
        <v>4764</v>
      </c>
      <c r="C4668" s="7" t="s">
        <v>3276</v>
      </c>
      <c r="D4668" s="7" t="s">
        <v>71</v>
      </c>
      <c r="E4668" s="5" t="s">
        <v>43</v>
      </c>
      <c r="F4668" s="8"/>
      <c r="G4668" s="9">
        <f>H4668*(1-30%)*(1-F4668)</f>
        <v>18.892999999999997</v>
      </c>
      <c r="H4668" s="9">
        <v>26.989999999999998</v>
      </c>
      <c r="I4668" s="9">
        <f>H4668-G4668</f>
        <v>8.0970000000000013</v>
      </c>
    </row>
    <row r="4669" ht="14.25">
      <c r="A4669" s="5">
        <v>86258</v>
      </c>
      <c r="B4669" s="7" t="s">
        <v>4765</v>
      </c>
      <c r="C4669" s="7" t="s">
        <v>3276</v>
      </c>
      <c r="D4669" s="7" t="s">
        <v>11</v>
      </c>
      <c r="E4669" s="5" t="s">
        <v>43</v>
      </c>
      <c r="F4669" s="8"/>
      <c r="G4669" s="9">
        <f>H4669*(1-30%)*(1-F4669)</f>
        <v>51.092999999999996</v>
      </c>
      <c r="H4669" s="9">
        <v>72.989999999999995</v>
      </c>
      <c r="I4669" s="9">
        <f>H4669-G4669</f>
        <v>21.896999999999998</v>
      </c>
    </row>
    <row r="4670" ht="14.25">
      <c r="A4670" s="5">
        <v>86312</v>
      </c>
      <c r="B4670" s="7" t="s">
        <v>4766</v>
      </c>
      <c r="C4670" s="7" t="s">
        <v>3448</v>
      </c>
      <c r="D4670" s="7" t="s">
        <v>45</v>
      </c>
      <c r="E4670" s="5" t="s">
        <v>43</v>
      </c>
      <c r="F4670" s="8"/>
      <c r="G4670" s="9">
        <f>H4670*(1-30%)*(1-F4670)</f>
        <v>24.492999999999999</v>
      </c>
      <c r="H4670" s="9">
        <v>34.990000000000002</v>
      </c>
      <c r="I4670" s="9">
        <f>H4670-G4670</f>
        <v>10.497000000000003</v>
      </c>
    </row>
    <row r="4671" ht="14.25">
      <c r="A4671" s="5">
        <v>86750</v>
      </c>
      <c r="B4671" s="7" t="s">
        <v>4767</v>
      </c>
      <c r="C4671" s="7" t="s">
        <v>3290</v>
      </c>
      <c r="D4671" s="7" t="s">
        <v>45</v>
      </c>
      <c r="E4671" s="5" t="s">
        <v>43</v>
      </c>
      <c r="F4671" s="8"/>
      <c r="G4671" s="9">
        <f>H4671*(1-30%)*(1-F4671)</f>
        <v>76.992999999999995</v>
      </c>
      <c r="H4671" s="9">
        <v>109.98999999999999</v>
      </c>
      <c r="I4671" s="9">
        <f>H4671-G4671</f>
        <v>32.997</v>
      </c>
    </row>
    <row r="4672" ht="14.25">
      <c r="A4672" s="5">
        <v>86751</v>
      </c>
      <c r="B4672" s="7" t="s">
        <v>4768</v>
      </c>
      <c r="C4672" s="7" t="s">
        <v>3290</v>
      </c>
      <c r="D4672" s="7" t="s">
        <v>45</v>
      </c>
      <c r="E4672" s="5" t="s">
        <v>43</v>
      </c>
      <c r="F4672" s="8"/>
      <c r="G4672" s="9">
        <f>H4672*(1-30%)*(1-F4672)</f>
        <v>76.992999999999995</v>
      </c>
      <c r="H4672" s="9">
        <v>109.98999999999999</v>
      </c>
      <c r="I4672" s="9">
        <f>H4672-G4672</f>
        <v>32.997</v>
      </c>
    </row>
    <row r="4673" ht="14.25">
      <c r="A4673" s="5">
        <v>86875</v>
      </c>
      <c r="B4673" s="7" t="s">
        <v>4769</v>
      </c>
      <c r="C4673" s="7" t="s">
        <v>3280</v>
      </c>
      <c r="D4673" s="7" t="s">
        <v>95</v>
      </c>
      <c r="E4673" s="5" t="s">
        <v>43</v>
      </c>
      <c r="F4673" s="8"/>
      <c r="G4673" s="9">
        <f>H4673*(1-30%)*(1-F4673)</f>
        <v>55.992999999999995</v>
      </c>
      <c r="H4673" s="9">
        <v>79.989999999999995</v>
      </c>
      <c r="I4673" s="9">
        <f>H4673-G4673</f>
        <v>23.997</v>
      </c>
    </row>
    <row r="4674" ht="14.25">
      <c r="A4674" s="5">
        <v>86893</v>
      </c>
      <c r="B4674" s="7" t="s">
        <v>4770</v>
      </c>
      <c r="C4674" s="7" t="s">
        <v>3280</v>
      </c>
      <c r="D4674" s="7" t="s">
        <v>61</v>
      </c>
      <c r="E4674" s="5" t="s">
        <v>26</v>
      </c>
      <c r="F4674" s="8"/>
      <c r="G4674" s="9">
        <f>H4674*(1-30%)*(1-F4674)</f>
        <v>51.092999999999996</v>
      </c>
      <c r="H4674" s="9">
        <v>72.989999999999995</v>
      </c>
      <c r="I4674" s="9">
        <f>H4674-G4674</f>
        <v>21.896999999999998</v>
      </c>
    </row>
    <row r="4675" ht="14.25">
      <c r="A4675" s="5">
        <v>87128</v>
      </c>
      <c r="B4675" s="7" t="s">
        <v>4771</v>
      </c>
      <c r="C4675" s="7" t="s">
        <v>3276</v>
      </c>
      <c r="D4675" s="7" t="s">
        <v>45</v>
      </c>
      <c r="E4675" s="5" t="s">
        <v>43</v>
      </c>
      <c r="F4675" s="8"/>
      <c r="G4675" s="9">
        <f>H4675*(1-30%)*(1-F4675)</f>
        <v>26.593</v>
      </c>
      <c r="H4675" s="9">
        <v>37.990000000000002</v>
      </c>
      <c r="I4675" s="9">
        <f>H4675-G4675</f>
        <v>11.397000000000002</v>
      </c>
    </row>
    <row r="4676" ht="14.25">
      <c r="A4676" s="5">
        <v>87137</v>
      </c>
      <c r="B4676" s="7" t="s">
        <v>4772</v>
      </c>
      <c r="C4676" s="7" t="s">
        <v>3276</v>
      </c>
      <c r="D4676" s="7" t="s">
        <v>45</v>
      </c>
      <c r="E4676" s="5" t="s">
        <v>43</v>
      </c>
      <c r="F4676" s="8"/>
      <c r="G4676" s="9">
        <f>H4676*(1-30%)*(1-F4676)</f>
        <v>26.593</v>
      </c>
      <c r="H4676" s="9">
        <v>37.990000000000002</v>
      </c>
      <c r="I4676" s="9">
        <f>H4676-G4676</f>
        <v>11.397000000000002</v>
      </c>
    </row>
    <row r="4677" ht="14.25">
      <c r="A4677" s="5">
        <v>87253</v>
      </c>
      <c r="B4677" s="7" t="s">
        <v>4773</v>
      </c>
      <c r="C4677" s="7" t="s">
        <v>3276</v>
      </c>
      <c r="D4677" s="7" t="s">
        <v>45</v>
      </c>
      <c r="E4677" s="5" t="s">
        <v>43</v>
      </c>
      <c r="F4677" s="8"/>
      <c r="G4677" s="9">
        <f>H4677*(1-30%)*(1-F4677)</f>
        <v>13.992999999999999</v>
      </c>
      <c r="H4677" s="9">
        <v>19.989999999999998</v>
      </c>
      <c r="I4677" s="9">
        <f>H4677-G4677</f>
        <v>5.9969999999999999</v>
      </c>
    </row>
    <row r="4678" ht="14.25">
      <c r="A4678" s="5">
        <v>87256</v>
      </c>
      <c r="B4678" s="7" t="s">
        <v>4774</v>
      </c>
      <c r="C4678" s="7" t="s">
        <v>3276</v>
      </c>
      <c r="D4678" s="7" t="s">
        <v>103</v>
      </c>
      <c r="E4678" s="5" t="s">
        <v>43</v>
      </c>
      <c r="F4678" s="8"/>
      <c r="G4678" s="9">
        <f>H4678*(1-30%)*(1-F4678)</f>
        <v>34.993000000000002</v>
      </c>
      <c r="H4678" s="9">
        <v>49.990000000000002</v>
      </c>
      <c r="I4678" s="9">
        <f>H4678-G4678</f>
        <v>14.997</v>
      </c>
    </row>
    <row r="4679" ht="14.25">
      <c r="A4679" s="5">
        <v>87257</v>
      </c>
      <c r="B4679" s="7" t="s">
        <v>4775</v>
      </c>
      <c r="C4679" s="7" t="s">
        <v>3276</v>
      </c>
      <c r="D4679" s="7" t="s">
        <v>103</v>
      </c>
      <c r="E4679" s="5" t="s">
        <v>43</v>
      </c>
      <c r="F4679" s="8"/>
      <c r="G4679" s="9">
        <f>H4679*(1-30%)*(1-F4679)</f>
        <v>34.993000000000002</v>
      </c>
      <c r="H4679" s="9">
        <v>49.990000000000002</v>
      </c>
      <c r="I4679" s="9">
        <f>H4679-G4679</f>
        <v>14.997</v>
      </c>
    </row>
    <row r="4680" ht="14.25">
      <c r="A4680" s="5">
        <v>87380</v>
      </c>
      <c r="B4680" s="7" t="s">
        <v>4776</v>
      </c>
      <c r="C4680" s="7" t="s">
        <v>3581</v>
      </c>
      <c r="D4680" s="7" t="s">
        <v>11</v>
      </c>
      <c r="E4680" s="5" t="s">
        <v>43</v>
      </c>
      <c r="F4680" s="8"/>
      <c r="G4680" s="9">
        <f>H4680*(1-30%)*(1-F4680)</f>
        <v>118.92999999999999</v>
      </c>
      <c r="H4680" s="9">
        <v>169.90000000000001</v>
      </c>
      <c r="I4680" s="9">
        <f>H4680-G4680</f>
        <v>50.970000000000013</v>
      </c>
    </row>
    <row r="4681" ht="14.25">
      <c r="A4681" s="5">
        <v>87453</v>
      </c>
      <c r="B4681" s="7" t="s">
        <v>4777</v>
      </c>
      <c r="C4681" s="7" t="s">
        <v>3581</v>
      </c>
      <c r="D4681" s="7" t="s">
        <v>11</v>
      </c>
      <c r="E4681" s="5" t="s">
        <v>3513</v>
      </c>
      <c r="F4681" s="8"/>
      <c r="G4681" s="9">
        <f>H4681*(1-30%)*(1-F4681)</f>
        <v>118.92999999999999</v>
      </c>
      <c r="H4681" s="9">
        <v>169.90000000000001</v>
      </c>
      <c r="I4681" s="9">
        <f>H4681-G4681</f>
        <v>50.970000000000013</v>
      </c>
    </row>
    <row r="4682" ht="14.25">
      <c r="A4682" s="5">
        <v>87537</v>
      </c>
      <c r="B4682" s="7" t="s">
        <v>4778</v>
      </c>
      <c r="C4682" s="7" t="s">
        <v>4303</v>
      </c>
      <c r="D4682" s="7" t="s">
        <v>110</v>
      </c>
      <c r="E4682" s="5" t="s">
        <v>3268</v>
      </c>
      <c r="F4682" s="8"/>
      <c r="G4682" s="9">
        <f>H4682*(1-30%)*(1-F4682)</f>
        <v>24.492999999999999</v>
      </c>
      <c r="H4682" s="9">
        <v>34.990000000000002</v>
      </c>
      <c r="I4682" s="9">
        <f>H4682-G4682</f>
        <v>10.497000000000003</v>
      </c>
    </row>
    <row r="4683" ht="14.25">
      <c r="A4683" s="5">
        <v>87745</v>
      </c>
      <c r="B4683" s="7" t="s">
        <v>4779</v>
      </c>
      <c r="C4683" s="7" t="s">
        <v>4303</v>
      </c>
      <c r="D4683" s="7" t="s">
        <v>110</v>
      </c>
      <c r="E4683" s="5" t="s">
        <v>43</v>
      </c>
      <c r="F4683" s="8"/>
      <c r="G4683" s="9">
        <f>H4683*(1-30%)*(1-F4683)</f>
        <v>24.492999999999999</v>
      </c>
      <c r="H4683" s="9">
        <v>34.990000000000002</v>
      </c>
      <c r="I4683" s="9">
        <f>H4683-G4683</f>
        <v>10.497000000000003</v>
      </c>
    </row>
    <row r="4684" ht="14.25">
      <c r="A4684" s="5">
        <v>87759</v>
      </c>
      <c r="B4684" s="7" t="s">
        <v>4780</v>
      </c>
      <c r="C4684" s="7" t="s">
        <v>3276</v>
      </c>
      <c r="D4684" s="7" t="s">
        <v>11</v>
      </c>
      <c r="E4684" s="5" t="s">
        <v>43</v>
      </c>
      <c r="F4684" s="8"/>
      <c r="G4684" s="9">
        <f>H4684*(1-30%)*(1-F4684)</f>
        <v>51.092999999999996</v>
      </c>
      <c r="H4684" s="9">
        <v>72.989999999999995</v>
      </c>
      <c r="I4684" s="9">
        <f>H4684-G4684</f>
        <v>21.896999999999998</v>
      </c>
    </row>
    <row r="4685" ht="14.25">
      <c r="A4685" s="5">
        <v>87765</v>
      </c>
      <c r="B4685" s="7" t="s">
        <v>4781</v>
      </c>
      <c r="C4685" s="7" t="s">
        <v>3276</v>
      </c>
      <c r="D4685" s="7" t="s">
        <v>11</v>
      </c>
      <c r="E4685" s="5" t="s">
        <v>43</v>
      </c>
      <c r="F4685" s="8"/>
      <c r="G4685" s="9">
        <f>H4685*(1-30%)*(1-F4685)</f>
        <v>51.092999999999996</v>
      </c>
      <c r="H4685" s="9">
        <v>72.989999999999995</v>
      </c>
      <c r="I4685" s="9">
        <f>H4685-G4685</f>
        <v>21.896999999999998</v>
      </c>
    </row>
    <row r="4686" ht="14.25">
      <c r="A4686" s="5">
        <v>88058</v>
      </c>
      <c r="B4686" s="7" t="s">
        <v>4782</v>
      </c>
      <c r="C4686" s="7" t="s">
        <v>3290</v>
      </c>
      <c r="D4686" s="7" t="s">
        <v>183</v>
      </c>
      <c r="E4686" s="5" t="s">
        <v>43</v>
      </c>
      <c r="F4686" s="8"/>
      <c r="G4686" s="9">
        <f>H4686*(1-30%)*(1-F4686)</f>
        <v>16.792999999999999</v>
      </c>
      <c r="H4686" s="9">
        <v>23.989999999999998</v>
      </c>
      <c r="I4686" s="9">
        <f>H4686-G4686</f>
        <v>7.1969999999999992</v>
      </c>
    </row>
    <row r="4687" ht="14.25">
      <c r="A4687" s="5">
        <v>88987</v>
      </c>
      <c r="B4687" s="7" t="s">
        <v>4783</v>
      </c>
      <c r="C4687" s="7" t="s">
        <v>3276</v>
      </c>
      <c r="D4687" s="7" t="s">
        <v>45</v>
      </c>
      <c r="E4687" s="5" t="s">
        <v>43</v>
      </c>
      <c r="F4687" s="8"/>
      <c r="G4687" s="9">
        <f>H4687*(1-30%)*(1-F4687)</f>
        <v>41.993000000000002</v>
      </c>
      <c r="H4687" s="9">
        <v>59.990000000000002</v>
      </c>
      <c r="I4687" s="9">
        <f>H4687-G4687</f>
        <v>17.997</v>
      </c>
    </row>
    <row r="4688" ht="14.25">
      <c r="A4688" s="5">
        <v>89038</v>
      </c>
      <c r="B4688" s="7" t="s">
        <v>4784</v>
      </c>
      <c r="C4688" s="7" t="s">
        <v>3276</v>
      </c>
      <c r="D4688" s="7" t="s">
        <v>45</v>
      </c>
      <c r="E4688" s="5" t="s">
        <v>133</v>
      </c>
      <c r="F4688" s="8"/>
      <c r="G4688" s="9">
        <f>H4688*(1-30%)*(1-F4688)</f>
        <v>41.993000000000002</v>
      </c>
      <c r="H4688" s="9">
        <v>59.990000000000002</v>
      </c>
      <c r="I4688" s="9">
        <f>H4688-G4688</f>
        <v>17.997</v>
      </c>
    </row>
    <row r="4689" ht="14.25">
      <c r="A4689" s="5">
        <v>89080</v>
      </c>
      <c r="B4689" s="7" t="s">
        <v>4785</v>
      </c>
      <c r="C4689" s="7" t="s">
        <v>3276</v>
      </c>
      <c r="D4689" s="7" t="s">
        <v>103</v>
      </c>
      <c r="E4689" s="5" t="s">
        <v>133</v>
      </c>
      <c r="F4689" s="8"/>
      <c r="G4689" s="9">
        <f>H4689*(1-30%)*(1-F4689)</f>
        <v>30.093</v>
      </c>
      <c r="H4689" s="9">
        <v>42.990000000000002</v>
      </c>
      <c r="I4689" s="9">
        <f>H4689-G4689</f>
        <v>12.897000000000002</v>
      </c>
    </row>
    <row r="4690" ht="14.25">
      <c r="A4690" s="5">
        <v>56462</v>
      </c>
      <c r="B4690" s="7" t="s">
        <v>4786</v>
      </c>
      <c r="C4690" s="7" t="s">
        <v>3709</v>
      </c>
      <c r="D4690" s="7" t="s">
        <v>199</v>
      </c>
      <c r="E4690" s="5" t="s">
        <v>43</v>
      </c>
      <c r="F4690" s="8"/>
      <c r="G4690" s="9">
        <f>H4690*(1-30%)*(1-F4690)</f>
        <v>62.992999999999995</v>
      </c>
      <c r="H4690" s="9">
        <v>89.989999999999995</v>
      </c>
      <c r="I4690" s="9">
        <f>H4690-G4690</f>
        <v>26.997</v>
      </c>
    </row>
    <row r="4691" ht="14.25">
      <c r="A4691" s="5">
        <v>56463</v>
      </c>
      <c r="B4691" s="7" t="s">
        <v>4787</v>
      </c>
      <c r="C4691" s="7" t="s">
        <v>3709</v>
      </c>
      <c r="D4691" s="7" t="s">
        <v>199</v>
      </c>
      <c r="E4691" s="5" t="s">
        <v>43</v>
      </c>
      <c r="F4691" s="8"/>
      <c r="G4691" s="9">
        <f>H4691*(1-30%)*(1-F4691)</f>
        <v>62.992999999999995</v>
      </c>
      <c r="H4691" s="9">
        <v>89.989999999999995</v>
      </c>
      <c r="I4691" s="9">
        <f>H4691-G4691</f>
        <v>26.997</v>
      </c>
    </row>
    <row r="4692" ht="14.25">
      <c r="A4692" s="5">
        <v>56464</v>
      </c>
      <c r="B4692" s="7" t="s">
        <v>4788</v>
      </c>
      <c r="C4692" s="7" t="s">
        <v>3709</v>
      </c>
      <c r="D4692" s="7" t="s">
        <v>199</v>
      </c>
      <c r="E4692" s="5" t="s">
        <v>43</v>
      </c>
      <c r="F4692" s="8"/>
      <c r="G4692" s="9">
        <f>H4692*(1-30%)*(1-F4692)</f>
        <v>62.992999999999995</v>
      </c>
      <c r="H4692" s="9">
        <v>89.989999999999995</v>
      </c>
      <c r="I4692" s="9">
        <f>H4692-G4692</f>
        <v>26.997</v>
      </c>
    </row>
    <row r="4693" ht="14.25">
      <c r="A4693" s="5">
        <v>56465</v>
      </c>
      <c r="B4693" s="7" t="s">
        <v>4789</v>
      </c>
      <c r="C4693" s="7" t="s">
        <v>3709</v>
      </c>
      <c r="D4693" s="7" t="s">
        <v>199</v>
      </c>
      <c r="E4693" s="5" t="s">
        <v>43</v>
      </c>
      <c r="F4693" s="8"/>
      <c r="G4693" s="9">
        <f>H4693*(1-30%)*(1-F4693)</f>
        <v>62.992999999999995</v>
      </c>
      <c r="H4693" s="9">
        <v>89.989999999999995</v>
      </c>
      <c r="I4693" s="9">
        <f>H4693-G4693</f>
        <v>26.997</v>
      </c>
    </row>
    <row r="4694" ht="14.25">
      <c r="A4694" s="5">
        <v>57025</v>
      </c>
      <c r="B4694" s="7" t="s">
        <v>4790</v>
      </c>
      <c r="C4694" s="7" t="s">
        <v>3262</v>
      </c>
      <c r="D4694" s="7" t="s">
        <v>45</v>
      </c>
      <c r="E4694" s="5" t="s">
        <v>43</v>
      </c>
      <c r="F4694" s="8"/>
      <c r="G4694" s="9">
        <f>H4694*(1-30%)*(1-F4694)</f>
        <v>30.093</v>
      </c>
      <c r="H4694" s="9">
        <v>42.990000000000002</v>
      </c>
      <c r="I4694" s="9">
        <f>H4694-G4694</f>
        <v>12.897000000000002</v>
      </c>
    </row>
    <row r="4695" ht="14.25">
      <c r="A4695" s="5">
        <v>79374</v>
      </c>
      <c r="B4695" s="7" t="s">
        <v>4791</v>
      </c>
      <c r="C4695" s="7" t="s">
        <v>3290</v>
      </c>
      <c r="D4695" s="7" t="s">
        <v>61</v>
      </c>
      <c r="E4695" s="5" t="s">
        <v>43</v>
      </c>
      <c r="F4695" s="8"/>
      <c r="G4695" s="9">
        <f>H4695*(1-30%)*(1-F4695)</f>
        <v>115.42999999999999</v>
      </c>
      <c r="H4695" s="9">
        <v>164.90000000000001</v>
      </c>
      <c r="I4695" s="9">
        <f>H4695-G4695</f>
        <v>49.470000000000013</v>
      </c>
    </row>
    <row r="4696" ht="14.25">
      <c r="A4696" s="5">
        <v>79375</v>
      </c>
      <c r="B4696" s="7" t="s">
        <v>4792</v>
      </c>
      <c r="C4696" s="7" t="s">
        <v>3508</v>
      </c>
      <c r="D4696" s="7" t="s">
        <v>61</v>
      </c>
      <c r="E4696" s="5" t="s">
        <v>43</v>
      </c>
      <c r="F4696" s="8"/>
      <c r="G4696" s="9">
        <f>H4696*(1-30%)*(1-F4696)</f>
        <v>121.03</v>
      </c>
      <c r="H4696" s="9">
        <v>172.90000000000001</v>
      </c>
      <c r="I4696" s="9">
        <f>H4696-G4696</f>
        <v>51.870000000000005</v>
      </c>
    </row>
    <row r="4697" ht="14.25">
      <c r="A4697" s="5">
        <v>84672</v>
      </c>
      <c r="B4697" s="7" t="s">
        <v>4793</v>
      </c>
      <c r="C4697" s="7" t="s">
        <v>3276</v>
      </c>
      <c r="D4697" s="7" t="s">
        <v>61</v>
      </c>
      <c r="E4697" s="5" t="s">
        <v>43</v>
      </c>
      <c r="F4697" s="8"/>
      <c r="G4697" s="9">
        <f>H4697*(1-30%)*(1-F4697)</f>
        <v>76.929999999999993</v>
      </c>
      <c r="H4697" s="9">
        <v>109.90000000000001</v>
      </c>
      <c r="I4697" s="9">
        <f>H4697-G4697</f>
        <v>32.970000000000013</v>
      </c>
    </row>
    <row r="4698" ht="14.25">
      <c r="A4698" s="5">
        <v>85313</v>
      </c>
      <c r="B4698" s="7" t="s">
        <v>4794</v>
      </c>
      <c r="C4698" s="7" t="s">
        <v>3276</v>
      </c>
      <c r="D4698" s="7" t="s">
        <v>103</v>
      </c>
      <c r="E4698" s="5" t="s">
        <v>43</v>
      </c>
      <c r="F4698" s="8"/>
      <c r="G4698" s="9">
        <f>H4698*(1-30%)*(1-F4698)</f>
        <v>23.093</v>
      </c>
      <c r="H4698" s="9">
        <v>32.990000000000002</v>
      </c>
      <c r="I4698" s="9">
        <f>H4698-G4698</f>
        <v>9.897000000000002</v>
      </c>
    </row>
    <row r="4699" ht="14.25">
      <c r="A4699" s="5">
        <v>85314</v>
      </c>
      <c r="B4699" s="7" t="s">
        <v>4795</v>
      </c>
      <c r="C4699" s="7" t="s">
        <v>3276</v>
      </c>
      <c r="D4699" s="7" t="s">
        <v>583</v>
      </c>
      <c r="E4699" s="5" t="s">
        <v>43</v>
      </c>
      <c r="F4699" s="8"/>
      <c r="G4699" s="9">
        <f>H4699*(1-30%)*(1-F4699)</f>
        <v>44.092999999999996</v>
      </c>
      <c r="H4699" s="9">
        <v>62.990000000000002</v>
      </c>
      <c r="I4699" s="9">
        <f>H4699-G4699</f>
        <v>18.897000000000006</v>
      </c>
    </row>
    <row r="4700" ht="14.25">
      <c r="A4700" s="5">
        <v>85315</v>
      </c>
      <c r="B4700" s="7" t="s">
        <v>4796</v>
      </c>
      <c r="C4700" s="7" t="s">
        <v>3276</v>
      </c>
      <c r="D4700" s="7" t="s">
        <v>45</v>
      </c>
      <c r="E4700" s="5" t="s">
        <v>43</v>
      </c>
      <c r="F4700" s="8"/>
      <c r="G4700" s="9">
        <f>H4700*(1-30%)*(1-F4700)</f>
        <v>13.992999999999999</v>
      </c>
      <c r="H4700" s="9">
        <v>19.989999999999998</v>
      </c>
      <c r="I4700" s="9">
        <f>H4700-G4700</f>
        <v>5.9969999999999999</v>
      </c>
    </row>
    <row r="4701" ht="14.25">
      <c r="A4701" s="5">
        <v>85318</v>
      </c>
      <c r="B4701" s="7" t="s">
        <v>4797</v>
      </c>
      <c r="C4701" s="7" t="s">
        <v>3276</v>
      </c>
      <c r="D4701" s="7" t="s">
        <v>45</v>
      </c>
      <c r="E4701" s="5" t="s">
        <v>43</v>
      </c>
      <c r="F4701" s="8"/>
      <c r="G4701" s="9">
        <f>H4701*(1-30%)*(1-F4701)</f>
        <v>13.992999999999999</v>
      </c>
      <c r="H4701" s="9">
        <v>19.989999999999998</v>
      </c>
      <c r="I4701" s="9">
        <f>H4701-G4701</f>
        <v>5.9969999999999999</v>
      </c>
    </row>
    <row r="4702" ht="14.25">
      <c r="A4702" s="5">
        <v>85353</v>
      </c>
      <c r="B4702" s="7" t="s">
        <v>4798</v>
      </c>
      <c r="C4702" s="7" t="s">
        <v>3276</v>
      </c>
      <c r="D4702" s="7" t="s">
        <v>103</v>
      </c>
      <c r="E4702" s="5" t="s">
        <v>43</v>
      </c>
      <c r="F4702" s="8"/>
      <c r="G4702" s="9">
        <f>H4702*(1-30%)*(1-F4702)</f>
        <v>23.093</v>
      </c>
      <c r="H4702" s="9">
        <v>32.990000000000002</v>
      </c>
      <c r="I4702" s="9">
        <f>H4702-G4702</f>
        <v>9.897000000000002</v>
      </c>
    </row>
    <row r="4703" ht="14.25">
      <c r="A4703" s="5">
        <v>85706</v>
      </c>
      <c r="B4703" s="7" t="s">
        <v>4799</v>
      </c>
      <c r="C4703" s="7" t="s">
        <v>3290</v>
      </c>
      <c r="D4703" s="7" t="s">
        <v>1447</v>
      </c>
      <c r="E4703" s="5" t="s">
        <v>3192</v>
      </c>
      <c r="F4703" s="8"/>
      <c r="G4703" s="9">
        <f>H4703*(1-30%)*(1-F4703)</f>
        <v>2.73</v>
      </c>
      <c r="H4703" s="9">
        <v>3.8999999999999999</v>
      </c>
      <c r="I4703" s="9">
        <f>H4703-G4703</f>
        <v>1.1699999999999999</v>
      </c>
    </row>
    <row r="4704" ht="14.25">
      <c r="A4704" s="5">
        <v>85995</v>
      </c>
      <c r="B4704" s="7" t="s">
        <v>4760</v>
      </c>
      <c r="C4704" s="7" t="s">
        <v>3280</v>
      </c>
      <c r="D4704" s="7" t="s">
        <v>95</v>
      </c>
      <c r="E4704" s="5" t="s">
        <v>43</v>
      </c>
      <c r="F4704" s="8"/>
      <c r="G4704" s="9">
        <f>H4704*(1-30%)*(1-F4704)</f>
        <v>55.992999999999995</v>
      </c>
      <c r="H4704" s="9">
        <v>79.989999999999995</v>
      </c>
      <c r="I4704" s="9">
        <f>H4704-G4704</f>
        <v>23.997</v>
      </c>
    </row>
    <row r="4705" ht="14.25">
      <c r="A4705" s="5">
        <v>86259</v>
      </c>
      <c r="B4705" s="7" t="s">
        <v>4800</v>
      </c>
      <c r="C4705" s="7" t="s">
        <v>3290</v>
      </c>
      <c r="D4705" s="7" t="s">
        <v>11</v>
      </c>
      <c r="E4705" s="5" t="s">
        <v>43</v>
      </c>
      <c r="F4705" s="8"/>
      <c r="G4705" s="9">
        <f>H4705*(1-30%)*(1-F4705)</f>
        <v>87.429999999999993</v>
      </c>
      <c r="H4705" s="9">
        <v>124.90000000000001</v>
      </c>
      <c r="I4705" s="9">
        <f>H4705-G4705</f>
        <v>37.470000000000013</v>
      </c>
    </row>
    <row r="4706" ht="14.25">
      <c r="A4706" s="5">
        <v>86282</v>
      </c>
      <c r="B4706" s="7" t="s">
        <v>4801</v>
      </c>
      <c r="C4706" s="7" t="s">
        <v>3448</v>
      </c>
      <c r="D4706" s="7" t="s">
        <v>61</v>
      </c>
      <c r="E4706" s="5" t="s">
        <v>43</v>
      </c>
      <c r="F4706" s="8"/>
      <c r="G4706" s="9">
        <f>H4706*(1-30%)*(1-F4706)</f>
        <v>90.929999999999993</v>
      </c>
      <c r="H4706" s="9">
        <v>129.90000000000001</v>
      </c>
      <c r="I4706" s="9">
        <f>H4706-G4706</f>
        <v>38.970000000000013</v>
      </c>
    </row>
    <row r="4707" ht="14.25">
      <c r="A4707" s="5">
        <v>86283</v>
      </c>
      <c r="B4707" s="7" t="s">
        <v>4802</v>
      </c>
      <c r="C4707" s="7" t="s">
        <v>3290</v>
      </c>
      <c r="D4707" s="7" t="s">
        <v>61</v>
      </c>
      <c r="E4707" s="5" t="s">
        <v>43</v>
      </c>
      <c r="F4707" s="8"/>
      <c r="G4707" s="9">
        <f>H4707*(1-30%)*(1-F4707)</f>
        <v>69.929999999999993</v>
      </c>
      <c r="H4707" s="9">
        <v>99.900000000000006</v>
      </c>
      <c r="I4707" s="9">
        <f>H4707-G4707</f>
        <v>29.970000000000013</v>
      </c>
    </row>
    <row r="4708" ht="14.25">
      <c r="A4708" s="5">
        <v>86285</v>
      </c>
      <c r="B4708" s="7" t="s">
        <v>4803</v>
      </c>
      <c r="C4708" s="7" t="s">
        <v>3324</v>
      </c>
      <c r="D4708" s="7" t="s">
        <v>61</v>
      </c>
      <c r="E4708" s="5" t="s">
        <v>43</v>
      </c>
      <c r="F4708" s="8"/>
      <c r="G4708" s="9">
        <f>H4708*(1-30%)*(1-F4708)</f>
        <v>45.43</v>
      </c>
      <c r="H4708" s="9">
        <v>64.900000000000006</v>
      </c>
      <c r="I4708" s="9">
        <f>H4708-G4708</f>
        <v>19.470000000000006</v>
      </c>
    </row>
    <row r="4709" ht="14.25">
      <c r="A4709" s="5">
        <v>86286</v>
      </c>
      <c r="B4709" s="7" t="s">
        <v>4804</v>
      </c>
      <c r="C4709" s="7" t="s">
        <v>3276</v>
      </c>
      <c r="D4709" s="7" t="s">
        <v>61</v>
      </c>
      <c r="E4709" s="5" t="s">
        <v>43</v>
      </c>
      <c r="F4709" s="8"/>
      <c r="G4709" s="9">
        <f>H4709*(1-30%)*(1-F4709)</f>
        <v>27.929999999999996</v>
      </c>
      <c r="H4709" s="9">
        <v>39.899999999999999</v>
      </c>
      <c r="I4709" s="9">
        <f>H4709-G4709</f>
        <v>11.970000000000002</v>
      </c>
    </row>
    <row r="4710" ht="14.25">
      <c r="A4710" s="5">
        <v>86290</v>
      </c>
      <c r="B4710" s="7" t="s">
        <v>4805</v>
      </c>
      <c r="C4710" s="7" t="s">
        <v>3290</v>
      </c>
      <c r="D4710" s="7" t="s">
        <v>61</v>
      </c>
      <c r="E4710" s="5" t="s">
        <v>43</v>
      </c>
      <c r="F4710" s="8"/>
      <c r="G4710" s="9">
        <f>H4710*(1-30%)*(1-F4710)</f>
        <v>45.43</v>
      </c>
      <c r="H4710" s="9">
        <v>64.900000000000006</v>
      </c>
      <c r="I4710" s="9">
        <f>H4710-G4710</f>
        <v>19.470000000000006</v>
      </c>
    </row>
    <row r="4711" ht="14.25">
      <c r="A4711" s="5">
        <v>86294</v>
      </c>
      <c r="B4711" s="7" t="s">
        <v>4806</v>
      </c>
      <c r="C4711" s="7" t="s">
        <v>3331</v>
      </c>
      <c r="D4711" s="7" t="s">
        <v>61</v>
      </c>
      <c r="E4711" s="5" t="s">
        <v>43</v>
      </c>
      <c r="F4711" s="8"/>
      <c r="G4711" s="9">
        <f>H4711*(1-30%)*(1-F4711)</f>
        <v>45.43</v>
      </c>
      <c r="H4711" s="9">
        <v>64.900000000000006</v>
      </c>
      <c r="I4711" s="9">
        <f>H4711-G4711</f>
        <v>19.470000000000006</v>
      </c>
    </row>
    <row r="4712" ht="14.25">
      <c r="A4712" s="5">
        <v>86434</v>
      </c>
      <c r="B4712" s="7" t="s">
        <v>4807</v>
      </c>
      <c r="C4712" s="7" t="s">
        <v>4303</v>
      </c>
      <c r="D4712" s="7" t="s">
        <v>110</v>
      </c>
      <c r="E4712" s="5" t="s">
        <v>3192</v>
      </c>
      <c r="F4712" s="8"/>
      <c r="G4712" s="9">
        <f>H4712*(1-30%)*(1-F4712)</f>
        <v>41.993000000000002</v>
      </c>
      <c r="H4712" s="9">
        <v>59.990000000000002</v>
      </c>
      <c r="I4712" s="9">
        <f>H4712-G4712</f>
        <v>17.997</v>
      </c>
    </row>
    <row r="4713" ht="14.25">
      <c r="A4713" s="5">
        <v>86822</v>
      </c>
      <c r="B4713" s="7" t="s">
        <v>4808</v>
      </c>
      <c r="C4713" s="7" t="s">
        <v>4303</v>
      </c>
      <c r="D4713" s="7" t="s">
        <v>110</v>
      </c>
      <c r="E4713" s="5" t="s">
        <v>3192</v>
      </c>
      <c r="F4713" s="8"/>
      <c r="G4713" s="9">
        <f>H4713*(1-30%)*(1-F4713)</f>
        <v>65.092999999999989</v>
      </c>
      <c r="H4713" s="9">
        <v>92.989999999999995</v>
      </c>
      <c r="I4713" s="9">
        <f>H4713-G4713</f>
        <v>27.897000000000006</v>
      </c>
    </row>
    <row r="4714" ht="14.25">
      <c r="A4714" s="5">
        <v>86875</v>
      </c>
      <c r="B4714" s="7" t="s">
        <v>4769</v>
      </c>
      <c r="C4714" s="7" t="s">
        <v>3280</v>
      </c>
      <c r="D4714" s="7" t="s">
        <v>95</v>
      </c>
      <c r="E4714" s="5" t="s">
        <v>43</v>
      </c>
      <c r="F4714" s="8"/>
      <c r="G4714" s="9">
        <f>H4714*(1-30%)*(1-F4714)</f>
        <v>55.992999999999995</v>
      </c>
      <c r="H4714" s="9">
        <v>79.989999999999995</v>
      </c>
      <c r="I4714" s="9">
        <f>H4714-G4714</f>
        <v>23.997</v>
      </c>
    </row>
    <row r="4715" ht="14.25">
      <c r="A4715" s="5">
        <v>87152</v>
      </c>
      <c r="B4715" s="7" t="s">
        <v>4809</v>
      </c>
      <c r="C4715" s="7" t="s">
        <v>3276</v>
      </c>
      <c r="D4715" s="7" t="s">
        <v>45</v>
      </c>
      <c r="E4715" s="5" t="s">
        <v>43</v>
      </c>
      <c r="F4715" s="8"/>
      <c r="G4715" s="9">
        <f>H4715*(1-30%)*(1-F4715)</f>
        <v>41.292999999999999</v>
      </c>
      <c r="H4715" s="9">
        <v>58.990000000000002</v>
      </c>
      <c r="I4715" s="9">
        <f>H4715-G4715</f>
        <v>17.697000000000003</v>
      </c>
    </row>
    <row r="4716" ht="14.25">
      <c r="A4716" s="5">
        <v>87153</v>
      </c>
      <c r="B4716" s="7" t="s">
        <v>4810</v>
      </c>
      <c r="C4716" s="7" t="s">
        <v>3276</v>
      </c>
      <c r="D4716" s="7" t="s">
        <v>45</v>
      </c>
      <c r="E4716" s="5" t="s">
        <v>43</v>
      </c>
      <c r="F4716" s="8"/>
      <c r="G4716" s="9">
        <f>H4716*(1-30%)*(1-F4716)</f>
        <v>34.993000000000002</v>
      </c>
      <c r="H4716" s="9">
        <v>49.990000000000002</v>
      </c>
      <c r="I4716" s="9">
        <f>H4716-G4716</f>
        <v>14.997</v>
      </c>
    </row>
    <row r="4717" ht="14.25">
      <c r="A4717" s="5">
        <v>87157</v>
      </c>
      <c r="B4717" s="7" t="s">
        <v>4811</v>
      </c>
      <c r="C4717" s="7" t="s">
        <v>3276</v>
      </c>
      <c r="D4717" s="7" t="s">
        <v>45</v>
      </c>
      <c r="E4717" s="5" t="s">
        <v>43</v>
      </c>
      <c r="F4717" s="8"/>
      <c r="G4717" s="9">
        <f>H4717*(1-30%)*(1-F4717)</f>
        <v>41.292999999999999</v>
      </c>
      <c r="H4717" s="9">
        <v>58.990000000000002</v>
      </c>
      <c r="I4717" s="9">
        <f>H4717-G4717</f>
        <v>17.697000000000003</v>
      </c>
    </row>
    <row r="4718" ht="14.25">
      <c r="A4718" s="5">
        <v>87262</v>
      </c>
      <c r="B4718" s="7" t="s">
        <v>4812</v>
      </c>
      <c r="C4718" s="7" t="s">
        <v>3276</v>
      </c>
      <c r="D4718" s="7" t="s">
        <v>45</v>
      </c>
      <c r="E4718" s="5" t="s">
        <v>43</v>
      </c>
      <c r="F4718" s="8"/>
      <c r="G4718" s="9">
        <f>H4718*(1-30%)*(1-F4718)</f>
        <v>34.993000000000002</v>
      </c>
      <c r="H4718" s="9">
        <v>49.990000000000002</v>
      </c>
      <c r="I4718" s="9">
        <f>H4718-G4718</f>
        <v>14.997</v>
      </c>
    </row>
    <row r="4719" ht="14.25">
      <c r="A4719" s="5">
        <v>87761</v>
      </c>
      <c r="B4719" s="7" t="s">
        <v>4813</v>
      </c>
      <c r="C4719" s="7" t="s">
        <v>3276</v>
      </c>
      <c r="D4719" s="7" t="s">
        <v>11</v>
      </c>
      <c r="E4719" s="5" t="s">
        <v>43</v>
      </c>
      <c r="F4719" s="8"/>
      <c r="G4719" s="9">
        <f>H4719*(1-30%)*(1-F4719)</f>
        <v>51.092999999999996</v>
      </c>
      <c r="H4719" s="9">
        <v>72.989999999999995</v>
      </c>
      <c r="I4719" s="9">
        <f>H4719-G4719</f>
        <v>21.896999999999998</v>
      </c>
    </row>
    <row r="4720" ht="14.25">
      <c r="A4720" s="5">
        <v>87766</v>
      </c>
      <c r="B4720" s="7" t="s">
        <v>4814</v>
      </c>
      <c r="C4720" s="7" t="s">
        <v>3276</v>
      </c>
      <c r="D4720" s="7" t="s">
        <v>11</v>
      </c>
      <c r="E4720" s="5" t="s">
        <v>43</v>
      </c>
      <c r="F4720" s="8"/>
      <c r="G4720" s="9">
        <f>H4720*(1-30%)*(1-F4720)</f>
        <v>51.092999999999996</v>
      </c>
      <c r="H4720" s="9">
        <v>72.989999999999995</v>
      </c>
      <c r="I4720" s="9">
        <f>H4720-G4720</f>
        <v>21.896999999999998</v>
      </c>
    </row>
    <row r="4721" ht="14.25">
      <c r="A4721" s="5">
        <v>88204</v>
      </c>
      <c r="B4721" s="7" t="s">
        <v>4815</v>
      </c>
      <c r="C4721" s="7" t="s">
        <v>4303</v>
      </c>
      <c r="D4721" s="7" t="s">
        <v>110</v>
      </c>
      <c r="E4721" s="5" t="s">
        <v>3192</v>
      </c>
      <c r="F4721" s="8"/>
      <c r="G4721" s="9">
        <f>H4721*(1-30%)*(1-F4721)</f>
        <v>41.993000000000002</v>
      </c>
      <c r="H4721" s="9">
        <v>59.990000000000002</v>
      </c>
      <c r="I4721" s="9">
        <f>H4721-G4721</f>
        <v>17.997</v>
      </c>
    </row>
    <row r="4722" ht="14.25">
      <c r="A4722" s="5">
        <v>88969</v>
      </c>
      <c r="B4722" s="7" t="s">
        <v>4816</v>
      </c>
      <c r="C4722" s="7" t="s">
        <v>4303</v>
      </c>
      <c r="D4722" s="7" t="s">
        <v>110</v>
      </c>
      <c r="E4722" s="5" t="s">
        <v>3192</v>
      </c>
      <c r="F4722" s="8"/>
      <c r="G4722" s="9">
        <f>H4722*(1-30%)*(1-F4722)</f>
        <v>101.49299999999999</v>
      </c>
      <c r="H4722" s="9">
        <v>144.99000000000001</v>
      </c>
      <c r="I4722" s="9">
        <f>H4722-G4722</f>
        <v>43.497000000000014</v>
      </c>
    </row>
    <row r="4723" ht="14.25">
      <c r="A4723" s="5">
        <v>89287</v>
      </c>
      <c r="B4723" s="7" t="s">
        <v>4817</v>
      </c>
      <c r="C4723" s="7" t="s">
        <v>4303</v>
      </c>
      <c r="D4723" s="7" t="s">
        <v>110</v>
      </c>
      <c r="E4723" s="5" t="s">
        <v>43</v>
      </c>
      <c r="F4723" s="8"/>
      <c r="G4723" s="9">
        <f>H4723*(1-30%)*(1-F4723)</f>
        <v>65.092999999999989</v>
      </c>
      <c r="H4723" s="9">
        <v>92.989999999999995</v>
      </c>
      <c r="I4723" s="9">
        <f>H4723-G4723</f>
        <v>27.897000000000006</v>
      </c>
    </row>
    <row r="4724" ht="14.25">
      <c r="A4724" s="15">
        <v>59743</v>
      </c>
      <c r="B4724" s="7" t="s">
        <v>4818</v>
      </c>
      <c r="C4724" s="7" t="s">
        <v>3709</v>
      </c>
      <c r="D4724" s="7" t="s">
        <v>219</v>
      </c>
      <c r="E4724" s="5" t="s">
        <v>43</v>
      </c>
      <c r="F4724" s="8"/>
      <c r="G4724" s="9">
        <f>H4724*(1-30%)*(1-F4724)</f>
        <v>73.492999999999995</v>
      </c>
      <c r="H4724" s="9">
        <v>104.98999999999999</v>
      </c>
      <c r="I4724" s="9">
        <f>H4724-G4724</f>
        <v>31.497</v>
      </c>
    </row>
    <row r="4725" ht="14.25">
      <c r="A4725" s="15">
        <v>84946</v>
      </c>
      <c r="B4725" s="7" t="s">
        <v>4819</v>
      </c>
      <c r="C4725" s="7" t="s">
        <v>4303</v>
      </c>
      <c r="D4725" s="7" t="s">
        <v>110</v>
      </c>
      <c r="E4725" s="5" t="s">
        <v>43</v>
      </c>
      <c r="F4725" s="8"/>
      <c r="G4725" s="9">
        <f>H4725*(1-30%)*(1-F4725)</f>
        <v>38.493000000000002</v>
      </c>
      <c r="H4725" s="9">
        <v>54.990000000000002</v>
      </c>
      <c r="I4725" s="9">
        <f>H4725-G4725</f>
        <v>16.497</v>
      </c>
    </row>
    <row r="4726" ht="14.25">
      <c r="A4726" s="15">
        <v>85308</v>
      </c>
      <c r="B4726" s="7" t="s">
        <v>4820</v>
      </c>
      <c r="C4726" s="7" t="s">
        <v>3276</v>
      </c>
      <c r="D4726" s="7" t="s">
        <v>103</v>
      </c>
      <c r="E4726" s="5" t="s">
        <v>43</v>
      </c>
      <c r="F4726" s="8"/>
      <c r="G4726" s="9">
        <f>H4726*(1-30%)*(1-F4726)</f>
        <v>23.093</v>
      </c>
      <c r="H4726" s="9">
        <v>32.990000000000002</v>
      </c>
      <c r="I4726" s="9">
        <f>H4726-G4726</f>
        <v>9.897000000000002</v>
      </c>
    </row>
    <row r="4727" ht="14.25">
      <c r="A4727" s="15">
        <v>85311</v>
      </c>
      <c r="B4727" s="7" t="s">
        <v>4821</v>
      </c>
      <c r="C4727" s="7" t="s">
        <v>3276</v>
      </c>
      <c r="D4727" s="7" t="s">
        <v>583</v>
      </c>
      <c r="E4727" s="5" t="s">
        <v>43</v>
      </c>
      <c r="F4727" s="8"/>
      <c r="G4727" s="9">
        <f>H4727*(1-30%)*(1-F4727)</f>
        <v>44.092999999999996</v>
      </c>
      <c r="H4727" s="9">
        <v>62.990000000000002</v>
      </c>
      <c r="I4727" s="9">
        <f>H4727-G4727</f>
        <v>18.897000000000006</v>
      </c>
    </row>
    <row r="4728" ht="14.25">
      <c r="A4728" s="15">
        <v>85312</v>
      </c>
      <c r="B4728" s="7" t="s">
        <v>4822</v>
      </c>
      <c r="C4728" s="7" t="s">
        <v>3276</v>
      </c>
      <c r="D4728" s="7" t="s">
        <v>103</v>
      </c>
      <c r="E4728" s="5" t="s">
        <v>43</v>
      </c>
      <c r="F4728" s="8"/>
      <c r="G4728" s="9">
        <f>H4728*(1-30%)*(1-F4728)</f>
        <v>23.093</v>
      </c>
      <c r="H4728" s="9">
        <v>32.990000000000002</v>
      </c>
      <c r="I4728" s="9">
        <f>H4728-G4728</f>
        <v>9.897000000000002</v>
      </c>
    </row>
    <row r="4729" ht="14.25">
      <c r="A4729" s="15">
        <v>85316</v>
      </c>
      <c r="B4729" s="7" t="s">
        <v>4823</v>
      </c>
      <c r="C4729" s="7" t="s">
        <v>3276</v>
      </c>
      <c r="D4729" s="7" t="s">
        <v>45</v>
      </c>
      <c r="E4729" s="5" t="s">
        <v>43</v>
      </c>
      <c r="F4729" s="8"/>
      <c r="G4729" s="9">
        <f>H4729*(1-30%)*(1-F4729)</f>
        <v>13.992999999999999</v>
      </c>
      <c r="H4729" s="9">
        <v>19.989999999999998</v>
      </c>
      <c r="I4729" s="9">
        <f>H4729-G4729</f>
        <v>5.9969999999999999</v>
      </c>
    </row>
    <row r="4730" ht="14.25">
      <c r="A4730" s="15">
        <v>85317</v>
      </c>
      <c r="B4730" s="7" t="s">
        <v>4824</v>
      </c>
      <c r="C4730" s="7" t="s">
        <v>3276</v>
      </c>
      <c r="D4730" s="7" t="s">
        <v>45</v>
      </c>
      <c r="E4730" s="5" t="s">
        <v>43</v>
      </c>
      <c r="F4730" s="8"/>
      <c r="G4730" s="9">
        <f>H4730*(1-30%)*(1-F4730)</f>
        <v>13.992999999999999</v>
      </c>
      <c r="H4730" s="9">
        <v>19.989999999999998</v>
      </c>
      <c r="I4730" s="9">
        <f>H4730-G4730</f>
        <v>5.9969999999999999</v>
      </c>
    </row>
    <row r="4731" ht="14.25">
      <c r="A4731" s="15">
        <v>85395</v>
      </c>
      <c r="B4731" s="7" t="s">
        <v>4825</v>
      </c>
      <c r="C4731" s="7" t="s">
        <v>3276</v>
      </c>
      <c r="D4731" s="7" t="s">
        <v>103</v>
      </c>
      <c r="E4731" s="5" t="s">
        <v>43</v>
      </c>
      <c r="F4731" s="8"/>
      <c r="G4731" s="9">
        <f>H4731*(1-30%)*(1-F4731)</f>
        <v>23.093</v>
      </c>
      <c r="H4731" s="9">
        <v>32.990000000000002</v>
      </c>
      <c r="I4731" s="9">
        <f>H4731-G4731</f>
        <v>9.897000000000002</v>
      </c>
    </row>
    <row r="4732" ht="14.25">
      <c r="A4732" s="15">
        <v>85396</v>
      </c>
      <c r="B4732" s="7" t="s">
        <v>4826</v>
      </c>
      <c r="C4732" s="7" t="s">
        <v>3276</v>
      </c>
      <c r="D4732" s="7" t="s">
        <v>45</v>
      </c>
      <c r="E4732" s="5" t="s">
        <v>43</v>
      </c>
      <c r="F4732" s="8"/>
      <c r="G4732" s="9">
        <f>H4732*(1-30%)*(1-F4732)</f>
        <v>13.992999999999999</v>
      </c>
      <c r="H4732" s="9">
        <v>19.989999999999998</v>
      </c>
      <c r="I4732" s="9">
        <f>H4732-G4732</f>
        <v>5.9969999999999999</v>
      </c>
    </row>
    <row r="4733" ht="14.25">
      <c r="A4733" s="15">
        <v>85398</v>
      </c>
      <c r="B4733" s="7" t="s">
        <v>4827</v>
      </c>
      <c r="C4733" s="7" t="s">
        <v>3262</v>
      </c>
      <c r="D4733" s="7" t="s">
        <v>110</v>
      </c>
      <c r="E4733" s="5" t="s">
        <v>43</v>
      </c>
      <c r="F4733" s="8"/>
      <c r="G4733" s="9">
        <f>H4733*(1-30%)*(1-F4733)</f>
        <v>62.992999999999995</v>
      </c>
      <c r="H4733" s="9">
        <v>89.989999999999995</v>
      </c>
      <c r="I4733" s="9">
        <f>H4733-G4733</f>
        <v>26.997</v>
      </c>
    </row>
    <row r="4734" ht="14.25">
      <c r="A4734" s="15">
        <v>85955</v>
      </c>
      <c r="B4734" s="7" t="s">
        <v>4828</v>
      </c>
      <c r="C4734" s="7" t="s">
        <v>3276</v>
      </c>
      <c r="D4734" s="7" t="s">
        <v>103</v>
      </c>
      <c r="E4734" s="5" t="s">
        <v>43</v>
      </c>
      <c r="F4734" s="8"/>
      <c r="G4734" s="9">
        <f>H4734*(1-30%)*(1-F4734)</f>
        <v>31.492999999999999</v>
      </c>
      <c r="H4734" s="9">
        <v>44.990000000000002</v>
      </c>
      <c r="I4734" s="9">
        <f>H4734-G4734</f>
        <v>13.497000000000003</v>
      </c>
    </row>
    <row r="4735" ht="14.25">
      <c r="A4735" s="15">
        <v>86278</v>
      </c>
      <c r="B4735" s="7" t="s">
        <v>4829</v>
      </c>
      <c r="C4735" s="7" t="s">
        <v>3448</v>
      </c>
      <c r="D4735" s="7" t="s">
        <v>61</v>
      </c>
      <c r="E4735" s="5" t="s">
        <v>43</v>
      </c>
      <c r="F4735" s="8"/>
      <c r="G4735" s="9">
        <f>H4735*(1-30%)*(1-F4735)</f>
        <v>104.92999999999999</v>
      </c>
      <c r="H4735" s="9">
        <v>149.90000000000001</v>
      </c>
      <c r="I4735" s="9">
        <f>H4735-G4735</f>
        <v>44.970000000000013</v>
      </c>
    </row>
    <row r="4736" ht="14.25">
      <c r="A4736" s="15">
        <v>86279</v>
      </c>
      <c r="B4736" s="7" t="s">
        <v>4830</v>
      </c>
      <c r="C4736" s="7" t="s">
        <v>3290</v>
      </c>
      <c r="D4736" s="7" t="s">
        <v>61</v>
      </c>
      <c r="E4736" s="5" t="s">
        <v>43</v>
      </c>
      <c r="F4736" s="8"/>
      <c r="G4736" s="9">
        <f>H4736*(1-30%)*(1-F4736)</f>
        <v>97.929999999999993</v>
      </c>
      <c r="H4736" s="9">
        <v>139.90000000000001</v>
      </c>
      <c r="I4736" s="9">
        <f>H4736-G4736</f>
        <v>41.970000000000013</v>
      </c>
    </row>
    <row r="4737" ht="14.25">
      <c r="A4737" s="15">
        <v>86311</v>
      </c>
      <c r="B4737" s="7" t="s">
        <v>4831</v>
      </c>
      <c r="C4737" s="7" t="s">
        <v>3290</v>
      </c>
      <c r="D4737" s="7" t="s">
        <v>45</v>
      </c>
      <c r="E4737" s="5" t="s">
        <v>43</v>
      </c>
      <c r="F4737" s="8"/>
      <c r="G4737" s="9">
        <f>H4737*(1-30%)*(1-F4737)</f>
        <v>30.093</v>
      </c>
      <c r="H4737" s="9">
        <v>42.990000000000002</v>
      </c>
      <c r="I4737" s="9">
        <f>H4737-G4737</f>
        <v>12.897000000000002</v>
      </c>
    </row>
    <row r="4738" ht="14.25">
      <c r="A4738" s="15">
        <v>86538</v>
      </c>
      <c r="B4738" s="7" t="s">
        <v>4832</v>
      </c>
      <c r="C4738" s="7" t="s">
        <v>4303</v>
      </c>
      <c r="D4738" s="7" t="s">
        <v>110</v>
      </c>
      <c r="E4738" s="5" t="s">
        <v>43</v>
      </c>
      <c r="F4738" s="8"/>
      <c r="G4738" s="9">
        <f>H4738*(1-30%)*(1-F4738)</f>
        <v>30.093</v>
      </c>
      <c r="H4738" s="9">
        <v>42.990000000000002</v>
      </c>
      <c r="I4738" s="9">
        <f>H4738-G4738</f>
        <v>12.897000000000002</v>
      </c>
    </row>
    <row r="4739" ht="14.25">
      <c r="A4739" s="15">
        <v>87259</v>
      </c>
      <c r="B4739" s="7" t="s">
        <v>4833</v>
      </c>
      <c r="C4739" s="7" t="s">
        <v>3276</v>
      </c>
      <c r="D4739" s="7" t="s">
        <v>103</v>
      </c>
      <c r="E4739" s="5" t="s">
        <v>43</v>
      </c>
      <c r="F4739" s="8"/>
      <c r="G4739" s="9">
        <f>H4739*(1-30%)*(1-F4739)</f>
        <v>34.993000000000002</v>
      </c>
      <c r="H4739" s="9">
        <v>49.990000000000002</v>
      </c>
      <c r="I4739" s="9">
        <f>H4739-G4739</f>
        <v>14.997</v>
      </c>
    </row>
    <row r="4740" ht="14.25">
      <c r="A4740" s="15">
        <v>87307</v>
      </c>
      <c r="B4740" s="7" t="s">
        <v>4834</v>
      </c>
      <c r="C4740" s="7" t="s">
        <v>3262</v>
      </c>
      <c r="D4740" s="7" t="s">
        <v>183</v>
      </c>
      <c r="E4740" s="5" t="s">
        <v>43</v>
      </c>
      <c r="F4740" s="8"/>
      <c r="G4740" s="9">
        <f>H4740*(1-30%)*(1-F4740)</f>
        <v>122.42999999999999</v>
      </c>
      <c r="H4740" s="9">
        <v>174.90000000000001</v>
      </c>
      <c r="I4740" s="9">
        <f>H4740-G4740</f>
        <v>52.470000000000013</v>
      </c>
    </row>
    <row r="4741" ht="14.25">
      <c r="A4741" s="15">
        <v>88065</v>
      </c>
      <c r="B4741" s="7" t="s">
        <v>4835</v>
      </c>
      <c r="C4741" s="7" t="s">
        <v>3276</v>
      </c>
      <c r="D4741" s="7" t="s">
        <v>103</v>
      </c>
      <c r="E4741" s="5" t="s">
        <v>43</v>
      </c>
      <c r="F4741" s="8"/>
      <c r="G4741" s="9">
        <f>H4741*(1-30%)*(1-F4741)</f>
        <v>23.093</v>
      </c>
      <c r="H4741" s="9">
        <v>32.990000000000002</v>
      </c>
      <c r="I4741" s="9">
        <f>H4741-G4741</f>
        <v>9.897000000000002</v>
      </c>
    </row>
    <row r="4742" ht="14.25">
      <c r="A4742" s="5">
        <v>48590</v>
      </c>
      <c r="B4742" s="7" t="s">
        <v>4836</v>
      </c>
      <c r="C4742" s="7" t="s">
        <v>3585</v>
      </c>
      <c r="D4742" s="7" t="s">
        <v>11</v>
      </c>
      <c r="E4742" s="5" t="s">
        <v>43</v>
      </c>
      <c r="F4742" s="8"/>
      <c r="G4742" s="9">
        <f>H4742*(1-30%)*(1-F4742)</f>
        <v>1.393</v>
      </c>
      <c r="H4742" s="9">
        <v>1.99</v>
      </c>
      <c r="I4742" s="9">
        <f>H4742-G4742</f>
        <v>0.59699999999999998</v>
      </c>
    </row>
    <row r="4743" ht="14.25">
      <c r="A4743" s="5">
        <v>51549</v>
      </c>
      <c r="B4743" s="7" t="s">
        <v>4837</v>
      </c>
      <c r="C4743" s="7" t="s">
        <v>3280</v>
      </c>
      <c r="D4743" s="7" t="s">
        <v>95</v>
      </c>
      <c r="E4743" s="5" t="s">
        <v>43</v>
      </c>
      <c r="F4743" s="8"/>
      <c r="G4743" s="9">
        <f>H4743*(1-30%)*(1-F4743)</f>
        <v>20.992999999999999</v>
      </c>
      <c r="H4743" s="9">
        <v>29.989999999999998</v>
      </c>
      <c r="I4743" s="9">
        <f>H4743-G4743</f>
        <v>8.9969999999999999</v>
      </c>
    </row>
    <row r="4744" ht="14.25">
      <c r="A4744" s="5">
        <v>51550</v>
      </c>
      <c r="B4744" s="7" t="s">
        <v>4838</v>
      </c>
      <c r="C4744" s="7" t="s">
        <v>3280</v>
      </c>
      <c r="D4744" s="7" t="s">
        <v>95</v>
      </c>
      <c r="E4744" s="5" t="s">
        <v>43</v>
      </c>
      <c r="F4744" s="8"/>
      <c r="G4744" s="9">
        <f>H4744*(1-30%)*(1-F4744)</f>
        <v>20.992999999999999</v>
      </c>
      <c r="H4744" s="9">
        <v>29.989999999999998</v>
      </c>
      <c r="I4744" s="9">
        <f>H4744-G4744</f>
        <v>8.9969999999999999</v>
      </c>
    </row>
    <row r="4745" ht="14.25">
      <c r="A4745" s="5">
        <v>51551</v>
      </c>
      <c r="B4745" s="7" t="s">
        <v>4839</v>
      </c>
      <c r="C4745" s="7" t="s">
        <v>3280</v>
      </c>
      <c r="D4745" s="7" t="s">
        <v>95</v>
      </c>
      <c r="E4745" s="5" t="s">
        <v>3192</v>
      </c>
      <c r="F4745" s="8"/>
      <c r="G4745" s="9">
        <f>H4745*(1-30%)*(1-F4745)</f>
        <v>20.992999999999999</v>
      </c>
      <c r="H4745" s="9">
        <v>29.989999999999998</v>
      </c>
      <c r="I4745" s="9">
        <f>H4745-G4745</f>
        <v>8.9969999999999999</v>
      </c>
    </row>
    <row r="4746" ht="14.25">
      <c r="A4746" s="5">
        <v>53429</v>
      </c>
      <c r="B4746" s="7" t="s">
        <v>4840</v>
      </c>
      <c r="C4746" s="7" t="s">
        <v>3294</v>
      </c>
      <c r="D4746" s="7" t="s">
        <v>71</v>
      </c>
      <c r="E4746" s="5" t="s">
        <v>43</v>
      </c>
      <c r="F4746" s="8"/>
      <c r="G4746" s="9">
        <f>H4746*(1-30%)*(1-F4746)</f>
        <v>27.292999999999999</v>
      </c>
      <c r="H4746" s="9">
        <v>38.990000000000002</v>
      </c>
      <c r="I4746" s="9">
        <f>H4746-G4746</f>
        <v>11.697000000000003</v>
      </c>
    </row>
    <row r="4747" ht="14.25">
      <c r="A4747" s="5">
        <v>57371</v>
      </c>
      <c r="B4747" s="7" t="s">
        <v>4841</v>
      </c>
      <c r="C4747" s="7" t="s">
        <v>3581</v>
      </c>
      <c r="D4747" s="7" t="s">
        <v>11</v>
      </c>
      <c r="E4747" s="5" t="s">
        <v>43</v>
      </c>
      <c r="F4747" s="8"/>
      <c r="G4747" s="9">
        <f>H4747*(1-30%)*(1-F4747)</f>
        <v>1.393</v>
      </c>
      <c r="H4747" s="9">
        <v>1.99</v>
      </c>
      <c r="I4747" s="9">
        <f>H4747-G4747</f>
        <v>0.59699999999999998</v>
      </c>
    </row>
    <row r="4748" ht="14.25">
      <c r="A4748" s="5">
        <v>78620</v>
      </c>
      <c r="B4748" s="7" t="s">
        <v>4842</v>
      </c>
      <c r="C4748" s="7" t="s">
        <v>3705</v>
      </c>
      <c r="D4748" s="7" t="s">
        <v>11</v>
      </c>
      <c r="E4748" s="5" t="s">
        <v>43</v>
      </c>
      <c r="F4748" s="8"/>
      <c r="G4748" s="9">
        <f>H4748*(1-30%)*(1-F4748)</f>
        <v>62.992999999999995</v>
      </c>
      <c r="H4748" s="9">
        <v>89.989999999999995</v>
      </c>
      <c r="I4748" s="9">
        <f>H4748-G4748</f>
        <v>26.997</v>
      </c>
    </row>
    <row r="4749" ht="14.25">
      <c r="A4749" s="5">
        <v>84921</v>
      </c>
      <c r="B4749" s="7" t="s">
        <v>4843</v>
      </c>
      <c r="C4749" s="7" t="s">
        <v>4303</v>
      </c>
      <c r="D4749" s="7" t="s">
        <v>110</v>
      </c>
      <c r="E4749" s="5" t="s">
        <v>43</v>
      </c>
      <c r="F4749" s="8"/>
      <c r="G4749" s="9">
        <f>H4749*(1-30%)*(1-F4749)</f>
        <v>26.593</v>
      </c>
      <c r="H4749" s="9">
        <v>37.990000000000002</v>
      </c>
      <c r="I4749" s="9">
        <f>H4749-G4749</f>
        <v>11.397000000000002</v>
      </c>
    </row>
    <row r="4750" ht="14.25">
      <c r="A4750" s="5">
        <v>84922</v>
      </c>
      <c r="B4750" s="7" t="s">
        <v>4844</v>
      </c>
      <c r="C4750" s="7" t="s">
        <v>4303</v>
      </c>
      <c r="D4750" s="7" t="s">
        <v>110</v>
      </c>
      <c r="E4750" s="5" t="s">
        <v>43</v>
      </c>
      <c r="F4750" s="8"/>
      <c r="G4750" s="9">
        <f>H4750*(1-30%)*(1-F4750)</f>
        <v>26.593</v>
      </c>
      <c r="H4750" s="9">
        <v>37.990000000000002</v>
      </c>
      <c r="I4750" s="9">
        <f>H4750-G4750</f>
        <v>11.397000000000002</v>
      </c>
    </row>
    <row r="4751" ht="14.25">
      <c r="A4751" s="5">
        <v>84959</v>
      </c>
      <c r="B4751" s="7" t="s">
        <v>4845</v>
      </c>
      <c r="C4751" s="7" t="s">
        <v>4303</v>
      </c>
      <c r="D4751" s="7" t="s">
        <v>110</v>
      </c>
      <c r="E4751" s="5" t="s">
        <v>43</v>
      </c>
      <c r="F4751" s="8"/>
      <c r="G4751" s="9">
        <f>H4751*(1-30%)*(1-F4751)</f>
        <v>51.092999999999996</v>
      </c>
      <c r="H4751" s="9">
        <v>72.989999999999995</v>
      </c>
      <c r="I4751" s="9">
        <f>H4751-G4751</f>
        <v>21.896999999999998</v>
      </c>
    </row>
    <row r="4752" ht="14.25">
      <c r="A4752" s="5">
        <v>84960</v>
      </c>
      <c r="B4752" s="7" t="s">
        <v>4846</v>
      </c>
      <c r="C4752" s="7" t="s">
        <v>4303</v>
      </c>
      <c r="D4752" s="7" t="s">
        <v>110</v>
      </c>
      <c r="E4752" s="5" t="s">
        <v>43</v>
      </c>
      <c r="F4752" s="8"/>
      <c r="G4752" s="9">
        <f>H4752*(1-30%)*(1-F4752)</f>
        <v>51.092999999999996</v>
      </c>
      <c r="H4752" s="9">
        <v>72.989999999999995</v>
      </c>
      <c r="I4752" s="9">
        <f>H4752-G4752</f>
        <v>21.896999999999998</v>
      </c>
    </row>
    <row r="4753" ht="14.25">
      <c r="A4753" s="5">
        <v>84961</v>
      </c>
      <c r="B4753" s="7" t="s">
        <v>4847</v>
      </c>
      <c r="C4753" s="7" t="s">
        <v>4303</v>
      </c>
      <c r="D4753" s="7" t="s">
        <v>110</v>
      </c>
      <c r="E4753" s="5" t="s">
        <v>43</v>
      </c>
      <c r="F4753" s="8"/>
      <c r="G4753" s="9">
        <f>H4753*(1-30%)*(1-F4753)</f>
        <v>51.092999999999996</v>
      </c>
      <c r="H4753" s="9">
        <v>72.989999999999995</v>
      </c>
      <c r="I4753" s="9">
        <f>H4753-G4753</f>
        <v>21.896999999999998</v>
      </c>
    </row>
    <row r="4754" ht="14.25">
      <c r="A4754" s="5">
        <v>84962</v>
      </c>
      <c r="B4754" s="7" t="s">
        <v>4848</v>
      </c>
      <c r="C4754" s="7" t="s">
        <v>4303</v>
      </c>
      <c r="D4754" s="7" t="s">
        <v>110</v>
      </c>
      <c r="E4754" s="5" t="s">
        <v>43</v>
      </c>
      <c r="F4754" s="8"/>
      <c r="G4754" s="9">
        <f>H4754*(1-30%)*(1-F4754)</f>
        <v>51.092999999999996</v>
      </c>
      <c r="H4754" s="9">
        <v>72.989999999999995</v>
      </c>
      <c r="I4754" s="9">
        <f>H4754-G4754</f>
        <v>21.896999999999998</v>
      </c>
    </row>
    <row r="4755" ht="14.25">
      <c r="A4755" s="5">
        <v>84963</v>
      </c>
      <c r="B4755" s="7" t="s">
        <v>4849</v>
      </c>
      <c r="C4755" s="7" t="s">
        <v>4303</v>
      </c>
      <c r="D4755" s="7" t="s">
        <v>110</v>
      </c>
      <c r="E4755" s="5" t="s">
        <v>43</v>
      </c>
      <c r="F4755" s="8"/>
      <c r="G4755" s="9">
        <f>H4755*(1-30%)*(1-F4755)</f>
        <v>51.092999999999996</v>
      </c>
      <c r="H4755" s="9">
        <v>72.989999999999995</v>
      </c>
      <c r="I4755" s="9">
        <f>H4755-G4755</f>
        <v>21.896999999999998</v>
      </c>
    </row>
    <row r="4756" ht="14.25">
      <c r="A4756" s="5">
        <v>84964</v>
      </c>
      <c r="B4756" s="7" t="s">
        <v>4850</v>
      </c>
      <c r="C4756" s="7" t="s">
        <v>4303</v>
      </c>
      <c r="D4756" s="7" t="s">
        <v>110</v>
      </c>
      <c r="E4756" s="5" t="s">
        <v>43</v>
      </c>
      <c r="F4756" s="8"/>
      <c r="G4756" s="9">
        <f>H4756*(1-30%)*(1-F4756)</f>
        <v>51.092999999999996</v>
      </c>
      <c r="H4756" s="9">
        <v>72.989999999999995</v>
      </c>
      <c r="I4756" s="9">
        <f>H4756-G4756</f>
        <v>21.896999999999998</v>
      </c>
    </row>
    <row r="4757" ht="14.25">
      <c r="A4757" s="5">
        <v>84965</v>
      </c>
      <c r="B4757" s="7" t="s">
        <v>4851</v>
      </c>
      <c r="C4757" s="7" t="s">
        <v>4303</v>
      </c>
      <c r="D4757" s="7" t="s">
        <v>110</v>
      </c>
      <c r="E4757" s="5" t="s">
        <v>43</v>
      </c>
      <c r="F4757" s="8"/>
      <c r="G4757" s="9">
        <f>H4757*(1-30%)*(1-F4757)</f>
        <v>51.092999999999996</v>
      </c>
      <c r="H4757" s="9">
        <v>72.989999999999995</v>
      </c>
      <c r="I4757" s="9">
        <f>H4757-G4757</f>
        <v>21.896999999999998</v>
      </c>
    </row>
    <row r="4758" ht="14.25">
      <c r="A4758" s="5">
        <v>84966</v>
      </c>
      <c r="B4758" s="7" t="s">
        <v>4852</v>
      </c>
      <c r="C4758" s="7" t="s">
        <v>4303</v>
      </c>
      <c r="D4758" s="7" t="s">
        <v>110</v>
      </c>
      <c r="E4758" s="5" t="s">
        <v>43</v>
      </c>
      <c r="F4758" s="8"/>
      <c r="G4758" s="9">
        <f>H4758*(1-30%)*(1-F4758)</f>
        <v>51.092999999999996</v>
      </c>
      <c r="H4758" s="9">
        <v>72.989999999999995</v>
      </c>
      <c r="I4758" s="9">
        <f>H4758-G4758</f>
        <v>21.896999999999998</v>
      </c>
    </row>
    <row r="4759" ht="14.25">
      <c r="A4759" s="5">
        <v>84967</v>
      </c>
      <c r="B4759" s="7" t="s">
        <v>4853</v>
      </c>
      <c r="C4759" s="7" t="s">
        <v>4303</v>
      </c>
      <c r="D4759" s="7" t="s">
        <v>110</v>
      </c>
      <c r="E4759" s="5" t="s">
        <v>43</v>
      </c>
      <c r="F4759" s="8"/>
      <c r="G4759" s="9">
        <f>H4759*(1-30%)*(1-F4759)</f>
        <v>51.092999999999996</v>
      </c>
      <c r="H4759" s="9">
        <v>72.989999999999995</v>
      </c>
      <c r="I4759" s="9">
        <f>H4759-G4759</f>
        <v>21.896999999999998</v>
      </c>
    </row>
    <row r="4760" ht="14.25">
      <c r="A4760" s="5">
        <v>84968</v>
      </c>
      <c r="B4760" s="7" t="s">
        <v>4854</v>
      </c>
      <c r="C4760" s="7" t="s">
        <v>4303</v>
      </c>
      <c r="D4760" s="7" t="s">
        <v>110</v>
      </c>
      <c r="E4760" s="5" t="s">
        <v>43</v>
      </c>
      <c r="F4760" s="8"/>
      <c r="G4760" s="9">
        <f>H4760*(1-30%)*(1-F4760)</f>
        <v>51.092999999999996</v>
      </c>
      <c r="H4760" s="9">
        <v>72.989999999999995</v>
      </c>
      <c r="I4760" s="9">
        <f>H4760-G4760</f>
        <v>21.896999999999998</v>
      </c>
    </row>
    <row r="4761" ht="14.25">
      <c r="A4761" s="5">
        <v>84969</v>
      </c>
      <c r="B4761" s="7" t="s">
        <v>4855</v>
      </c>
      <c r="C4761" s="7" t="s">
        <v>4303</v>
      </c>
      <c r="D4761" s="7" t="s">
        <v>110</v>
      </c>
      <c r="E4761" s="5" t="s">
        <v>43</v>
      </c>
      <c r="F4761" s="8"/>
      <c r="G4761" s="9">
        <f>H4761*(1-30%)*(1-F4761)</f>
        <v>51.092999999999996</v>
      </c>
      <c r="H4761" s="9">
        <v>72.989999999999995</v>
      </c>
      <c r="I4761" s="9">
        <f>H4761-G4761</f>
        <v>21.896999999999998</v>
      </c>
    </row>
    <row r="4762" ht="14.25">
      <c r="A4762" s="5">
        <v>84970</v>
      </c>
      <c r="B4762" s="7" t="s">
        <v>4856</v>
      </c>
      <c r="C4762" s="7" t="s">
        <v>4303</v>
      </c>
      <c r="D4762" s="7" t="s">
        <v>110</v>
      </c>
      <c r="E4762" s="5" t="s">
        <v>43</v>
      </c>
      <c r="F4762" s="8"/>
      <c r="G4762" s="9">
        <f>H4762*(1-30%)*(1-F4762)</f>
        <v>51.092999999999996</v>
      </c>
      <c r="H4762" s="9">
        <v>72.989999999999995</v>
      </c>
      <c r="I4762" s="9">
        <f>H4762-G4762</f>
        <v>21.896999999999998</v>
      </c>
    </row>
    <row r="4763" ht="14.25">
      <c r="A4763" s="5">
        <v>84971</v>
      </c>
      <c r="B4763" s="7" t="s">
        <v>4857</v>
      </c>
      <c r="C4763" s="7" t="s">
        <v>4303</v>
      </c>
      <c r="D4763" s="7" t="s">
        <v>110</v>
      </c>
      <c r="E4763" s="5" t="s">
        <v>43</v>
      </c>
      <c r="F4763" s="8"/>
      <c r="G4763" s="9">
        <f>H4763*(1-30%)*(1-F4763)</f>
        <v>51.092999999999996</v>
      </c>
      <c r="H4763" s="9">
        <v>72.989999999999995</v>
      </c>
      <c r="I4763" s="9">
        <f>H4763-G4763</f>
        <v>21.896999999999998</v>
      </c>
    </row>
    <row r="4764" ht="14.25">
      <c r="A4764" s="5">
        <v>84972</v>
      </c>
      <c r="B4764" s="7" t="s">
        <v>4858</v>
      </c>
      <c r="C4764" s="7" t="s">
        <v>4303</v>
      </c>
      <c r="D4764" s="7" t="s">
        <v>110</v>
      </c>
      <c r="E4764" s="5" t="s">
        <v>43</v>
      </c>
      <c r="F4764" s="8"/>
      <c r="G4764" s="9">
        <f>H4764*(1-30%)*(1-F4764)</f>
        <v>51.092999999999996</v>
      </c>
      <c r="H4764" s="9">
        <v>72.989999999999995</v>
      </c>
      <c r="I4764" s="9">
        <f>H4764-G4764</f>
        <v>21.896999999999998</v>
      </c>
    </row>
    <row r="4765" ht="14.25">
      <c r="A4765" s="5">
        <v>84973</v>
      </c>
      <c r="B4765" s="7" t="s">
        <v>4859</v>
      </c>
      <c r="C4765" s="7" t="s">
        <v>4303</v>
      </c>
      <c r="D4765" s="7" t="s">
        <v>110</v>
      </c>
      <c r="E4765" s="5" t="s">
        <v>43</v>
      </c>
      <c r="F4765" s="8"/>
      <c r="G4765" s="9">
        <f>H4765*(1-30%)*(1-F4765)</f>
        <v>51.092999999999996</v>
      </c>
      <c r="H4765" s="9">
        <v>72.989999999999995</v>
      </c>
      <c r="I4765" s="9">
        <f>H4765-G4765</f>
        <v>21.896999999999998</v>
      </c>
    </row>
    <row r="4766" ht="14.25">
      <c r="A4766" s="5">
        <v>85321</v>
      </c>
      <c r="B4766" s="7" t="s">
        <v>4860</v>
      </c>
      <c r="C4766" s="7" t="s">
        <v>3522</v>
      </c>
      <c r="D4766" s="7" t="s">
        <v>174</v>
      </c>
      <c r="E4766" s="5" t="s">
        <v>43</v>
      </c>
      <c r="F4766" s="8"/>
      <c r="G4766" s="9">
        <f>H4766*(1-30%)*(1-F4766)</f>
        <v>40.592999999999996</v>
      </c>
      <c r="H4766" s="9">
        <v>57.990000000000002</v>
      </c>
      <c r="I4766" s="9">
        <f>H4766-G4766</f>
        <v>17.397000000000006</v>
      </c>
    </row>
    <row r="4767" ht="14.25">
      <c r="A4767" s="5">
        <v>85413</v>
      </c>
      <c r="B4767" s="7" t="s">
        <v>4861</v>
      </c>
      <c r="C4767" s="7" t="s">
        <v>3290</v>
      </c>
      <c r="D4767" s="7" t="s">
        <v>110</v>
      </c>
      <c r="E4767" s="5" t="s">
        <v>3192</v>
      </c>
      <c r="F4767" s="8"/>
      <c r="G4767" s="9">
        <f>H4767*(1-30%)*(1-F4767)</f>
        <v>27.929999999999996</v>
      </c>
      <c r="H4767" s="9">
        <v>39.899999999999999</v>
      </c>
      <c r="I4767" s="9">
        <f>H4767-G4767</f>
        <v>11.970000000000002</v>
      </c>
    </row>
    <row r="4768" ht="14.25">
      <c r="A4768" s="5">
        <v>86041</v>
      </c>
      <c r="B4768" s="7" t="s">
        <v>4862</v>
      </c>
      <c r="C4768" s="7" t="s">
        <v>3276</v>
      </c>
      <c r="D4768" s="7" t="s">
        <v>71</v>
      </c>
      <c r="E4768" s="5" t="s">
        <v>43</v>
      </c>
      <c r="F4768" s="8"/>
      <c r="G4768" s="9">
        <f>H4768*(1-30%)*(1-F4768)</f>
        <v>16.792999999999999</v>
      </c>
      <c r="H4768" s="9">
        <v>23.989999999999998</v>
      </c>
      <c r="I4768" s="9">
        <f>H4768-G4768</f>
        <v>7.1969999999999992</v>
      </c>
    </row>
    <row r="4769" ht="14.25">
      <c r="A4769" s="5">
        <v>87292</v>
      </c>
      <c r="B4769" s="7" t="s">
        <v>4863</v>
      </c>
      <c r="C4769" s="7" t="s">
        <v>3331</v>
      </c>
      <c r="D4769" s="7" t="s">
        <v>11</v>
      </c>
      <c r="E4769" s="5" t="s">
        <v>43</v>
      </c>
      <c r="F4769" s="8"/>
      <c r="G4769" s="9">
        <f>H4769*(1-30%)*(1-F4769)</f>
        <v>101.42999999999999</v>
      </c>
      <c r="H4769" s="9">
        <v>144.90000000000001</v>
      </c>
      <c r="I4769" s="9">
        <f>H4769-G4769</f>
        <v>43.470000000000013</v>
      </c>
    </row>
    <row r="4770" ht="14.25">
      <c r="A4770" s="5">
        <v>87293</v>
      </c>
      <c r="B4770" s="7" t="s">
        <v>4864</v>
      </c>
      <c r="C4770" s="7" t="s">
        <v>3331</v>
      </c>
      <c r="D4770" s="7" t="s">
        <v>11</v>
      </c>
      <c r="E4770" s="5" t="s">
        <v>43</v>
      </c>
      <c r="F4770" s="8"/>
      <c r="G4770" s="9">
        <f>H4770*(1-30%)*(1-F4770)</f>
        <v>101.42999999999999</v>
      </c>
      <c r="H4770" s="9">
        <v>144.90000000000001</v>
      </c>
      <c r="I4770" s="9">
        <f>H4770-G4770</f>
        <v>43.470000000000013</v>
      </c>
    </row>
    <row r="4771" ht="14.25">
      <c r="A4771" s="5">
        <v>87299</v>
      </c>
      <c r="B4771" s="7" t="s">
        <v>4865</v>
      </c>
      <c r="C4771" s="7" t="s">
        <v>3331</v>
      </c>
      <c r="D4771" s="7" t="s">
        <v>11</v>
      </c>
      <c r="E4771" s="5" t="s">
        <v>43</v>
      </c>
      <c r="F4771" s="8"/>
      <c r="G4771" s="9">
        <f>H4771*(1-30%)*(1-F4771)</f>
        <v>108.42999999999999</v>
      </c>
      <c r="H4771" s="9">
        <v>154.90000000000001</v>
      </c>
      <c r="I4771" s="9">
        <f>H4771-G4771</f>
        <v>46.470000000000013</v>
      </c>
    </row>
    <row r="4772" ht="14.25">
      <c r="A4772" s="5">
        <v>87300</v>
      </c>
      <c r="B4772" s="7" t="s">
        <v>4866</v>
      </c>
      <c r="C4772" s="7" t="s">
        <v>3331</v>
      </c>
      <c r="D4772" s="7" t="s">
        <v>11</v>
      </c>
      <c r="E4772" s="5" t="s">
        <v>43</v>
      </c>
      <c r="F4772" s="8"/>
      <c r="G4772" s="9">
        <f>H4772*(1-30%)*(1-F4772)</f>
        <v>101.42999999999999</v>
      </c>
      <c r="H4772" s="9">
        <v>144.90000000000001</v>
      </c>
      <c r="I4772" s="9">
        <f>H4772-G4772</f>
        <v>43.470000000000013</v>
      </c>
    </row>
    <row r="4773" ht="14.25">
      <c r="A4773" s="5">
        <v>87325</v>
      </c>
      <c r="B4773" s="7" t="s">
        <v>4867</v>
      </c>
      <c r="C4773" s="7" t="s">
        <v>3331</v>
      </c>
      <c r="D4773" s="7" t="s">
        <v>11</v>
      </c>
      <c r="E4773" s="5" t="s">
        <v>43</v>
      </c>
      <c r="F4773" s="8"/>
      <c r="G4773" s="9">
        <f>H4773*(1-30%)*(1-F4773)</f>
        <v>101.42999999999999</v>
      </c>
      <c r="H4773" s="9">
        <v>144.90000000000001</v>
      </c>
      <c r="I4773" s="9">
        <f>H4773-G4773</f>
        <v>43.470000000000013</v>
      </c>
    </row>
    <row r="4774" ht="14.25">
      <c r="A4774" s="5">
        <v>87328</v>
      </c>
      <c r="B4774" s="7" t="s">
        <v>4868</v>
      </c>
      <c r="C4774" s="7" t="s">
        <v>3331</v>
      </c>
      <c r="D4774" s="7" t="s">
        <v>11</v>
      </c>
      <c r="E4774" s="5" t="s">
        <v>43</v>
      </c>
      <c r="F4774" s="8"/>
      <c r="G4774" s="9">
        <f>H4774*(1-30%)*(1-F4774)</f>
        <v>101.42999999999999</v>
      </c>
      <c r="H4774" s="9">
        <v>144.90000000000001</v>
      </c>
      <c r="I4774" s="9">
        <f>H4774-G4774</f>
        <v>43.470000000000013</v>
      </c>
    </row>
    <row r="4775" ht="14.25">
      <c r="A4775" s="5">
        <v>87338</v>
      </c>
      <c r="B4775" s="7" t="s">
        <v>4869</v>
      </c>
      <c r="C4775" s="7" t="s">
        <v>3705</v>
      </c>
      <c r="D4775" s="7" t="s">
        <v>11</v>
      </c>
      <c r="E4775" s="5" t="s">
        <v>43</v>
      </c>
      <c r="F4775" s="8"/>
      <c r="G4775" s="9">
        <f>H4775*(1-30%)*(1-F4775)</f>
        <v>62.992999999999995</v>
      </c>
      <c r="H4775" s="9">
        <v>89.989999999999995</v>
      </c>
      <c r="I4775" s="9">
        <f>H4775-G4775</f>
        <v>26.997</v>
      </c>
    </row>
    <row r="4776" ht="14.25">
      <c r="A4776" s="5">
        <v>87340</v>
      </c>
      <c r="B4776" s="7" t="s">
        <v>4870</v>
      </c>
      <c r="C4776" s="7" t="s">
        <v>3705</v>
      </c>
      <c r="D4776" s="7" t="s">
        <v>11</v>
      </c>
      <c r="E4776" s="5" t="s">
        <v>43</v>
      </c>
      <c r="F4776" s="8"/>
      <c r="G4776" s="9">
        <f>H4776*(1-30%)*(1-F4776)</f>
        <v>62.992999999999995</v>
      </c>
      <c r="H4776" s="9">
        <v>89.989999999999995</v>
      </c>
      <c r="I4776" s="9">
        <f>H4776-G4776</f>
        <v>26.997</v>
      </c>
    </row>
    <row r="4777" ht="14.25">
      <c r="A4777" s="5">
        <v>87517</v>
      </c>
      <c r="B4777" s="7" t="s">
        <v>4871</v>
      </c>
      <c r="C4777" s="7" t="s">
        <v>3290</v>
      </c>
      <c r="D4777" s="7" t="s">
        <v>11</v>
      </c>
      <c r="E4777" s="5" t="s">
        <v>43</v>
      </c>
      <c r="F4777" s="8"/>
      <c r="G4777" s="9">
        <f>H4777*(1-30%)*(1-F4777)</f>
        <v>87.429999999999993</v>
      </c>
      <c r="H4777" s="9">
        <v>124.90000000000001</v>
      </c>
      <c r="I4777" s="9">
        <f>H4777-G4777</f>
        <v>37.470000000000013</v>
      </c>
    </row>
    <row r="4778" ht="14.25">
      <c r="A4778" s="5">
        <v>87518</v>
      </c>
      <c r="B4778" s="7" t="s">
        <v>4872</v>
      </c>
      <c r="C4778" s="7" t="s">
        <v>3290</v>
      </c>
      <c r="D4778" s="7" t="s">
        <v>11</v>
      </c>
      <c r="E4778" s="5" t="s">
        <v>43</v>
      </c>
      <c r="F4778" s="8"/>
      <c r="G4778" s="9">
        <f>H4778*(1-30%)*(1-F4778)</f>
        <v>87.429999999999993</v>
      </c>
      <c r="H4778" s="9">
        <v>124.90000000000001</v>
      </c>
      <c r="I4778" s="9">
        <f>H4778-G4778</f>
        <v>37.470000000000013</v>
      </c>
    </row>
    <row r="4779" ht="14.25">
      <c r="A4779" s="5">
        <v>89059</v>
      </c>
      <c r="B4779" s="7" t="s">
        <v>4873</v>
      </c>
      <c r="C4779" s="7" t="s">
        <v>4303</v>
      </c>
      <c r="D4779" s="7" t="s">
        <v>110</v>
      </c>
      <c r="E4779" s="5" t="s">
        <v>43</v>
      </c>
      <c r="F4779" s="8"/>
      <c r="G4779" s="9">
        <f>H4779*(1-30%)*(1-F4779)</f>
        <v>51.092999999999996</v>
      </c>
      <c r="H4779" s="9">
        <v>72.989999999999995</v>
      </c>
      <c r="I4779" s="9">
        <f>H4779-G4779</f>
        <v>21.896999999999998</v>
      </c>
    </row>
    <row r="4780" ht="14.25">
      <c r="A4780" s="5">
        <v>89060</v>
      </c>
      <c r="B4780" s="7" t="s">
        <v>4874</v>
      </c>
      <c r="C4780" s="7" t="s">
        <v>4303</v>
      </c>
      <c r="D4780" s="7" t="s">
        <v>110</v>
      </c>
      <c r="E4780" s="5" t="s">
        <v>43</v>
      </c>
      <c r="F4780" s="8"/>
      <c r="G4780" s="9">
        <f>H4780*(1-30%)*(1-F4780)</f>
        <v>51.092999999999996</v>
      </c>
      <c r="H4780" s="9">
        <v>72.989999999999995</v>
      </c>
      <c r="I4780" s="9">
        <f>H4780-G4780</f>
        <v>21.896999999999998</v>
      </c>
    </row>
    <row r="4781" ht="14.25">
      <c r="A4781" s="5">
        <v>89061</v>
      </c>
      <c r="B4781" s="7" t="s">
        <v>4875</v>
      </c>
      <c r="C4781" s="7" t="s">
        <v>4303</v>
      </c>
      <c r="D4781" s="7" t="s">
        <v>110</v>
      </c>
      <c r="E4781" s="5" t="s">
        <v>43</v>
      </c>
      <c r="F4781" s="8"/>
      <c r="G4781" s="9">
        <f>H4781*(1-30%)*(1-F4781)</f>
        <v>51.092999999999996</v>
      </c>
      <c r="H4781" s="9">
        <v>72.989999999999995</v>
      </c>
      <c r="I4781" s="9">
        <f>H4781-G4781</f>
        <v>21.896999999999998</v>
      </c>
    </row>
    <row r="4782" ht="14.25">
      <c r="A4782" s="5">
        <v>89062</v>
      </c>
      <c r="B4782" s="7" t="s">
        <v>4876</v>
      </c>
      <c r="C4782" s="7" t="s">
        <v>4303</v>
      </c>
      <c r="D4782" s="7" t="s">
        <v>110</v>
      </c>
      <c r="E4782" s="5" t="s">
        <v>43</v>
      </c>
      <c r="F4782" s="8"/>
      <c r="G4782" s="9">
        <f>H4782*(1-30%)*(1-F4782)</f>
        <v>51.092999999999996</v>
      </c>
      <c r="H4782" s="9">
        <v>72.989999999999995</v>
      </c>
      <c r="I4782" s="9">
        <f>H4782-G4782</f>
        <v>21.896999999999998</v>
      </c>
    </row>
    <row r="4783" ht="14.25">
      <c r="A4783" s="5">
        <v>89063</v>
      </c>
      <c r="B4783" s="7" t="s">
        <v>4877</v>
      </c>
      <c r="C4783" s="7" t="s">
        <v>4303</v>
      </c>
      <c r="D4783" s="7" t="s">
        <v>110</v>
      </c>
      <c r="E4783" s="5" t="s">
        <v>43</v>
      </c>
      <c r="F4783" s="8"/>
      <c r="G4783" s="9">
        <f>H4783*(1-30%)*(1-F4783)</f>
        <v>51.092999999999996</v>
      </c>
      <c r="H4783" s="9">
        <v>72.989999999999995</v>
      </c>
      <c r="I4783" s="9">
        <f>H4783-G4783</f>
        <v>21.896999999999998</v>
      </c>
    </row>
    <row r="4784" ht="14.25">
      <c r="A4784" s="5">
        <v>89267</v>
      </c>
      <c r="B4784" s="7" t="s">
        <v>4878</v>
      </c>
      <c r="C4784" s="7" t="s">
        <v>3448</v>
      </c>
      <c r="D4784" s="7" t="s">
        <v>45</v>
      </c>
      <c r="E4784" s="5" t="s">
        <v>43</v>
      </c>
      <c r="F4784" s="8"/>
      <c r="G4784" s="9">
        <f>H4784*(1-30%)*(1-F4784)</f>
        <v>38.493000000000002</v>
      </c>
      <c r="H4784" s="9">
        <v>54.990000000000002</v>
      </c>
      <c r="I4784" s="9">
        <f>H4784-G4784</f>
        <v>16.497</v>
      </c>
    </row>
    <row r="4785" ht="14.25">
      <c r="A4785" s="5">
        <v>90297</v>
      </c>
      <c r="B4785" s="7" t="s">
        <v>4879</v>
      </c>
      <c r="C4785" s="7" t="s">
        <v>3280</v>
      </c>
      <c r="D4785" s="7" t="s">
        <v>95</v>
      </c>
      <c r="E4785" s="5" t="s">
        <v>43</v>
      </c>
      <c r="F4785" s="8"/>
      <c r="G4785" s="9">
        <f>H4785*(1-30%)*(1-F4785)</f>
        <v>48.992999999999995</v>
      </c>
      <c r="H4785" s="9">
        <v>69.989999999999995</v>
      </c>
      <c r="I4785" s="9">
        <f>H4785-G4785</f>
        <v>20.997</v>
      </c>
    </row>
    <row r="4786" ht="14.25">
      <c r="A4786" s="5">
        <v>94505</v>
      </c>
      <c r="B4786" s="7" t="s">
        <v>4880</v>
      </c>
      <c r="C4786" s="7" t="s">
        <v>3262</v>
      </c>
      <c r="D4786" s="7" t="s">
        <v>110</v>
      </c>
      <c r="E4786" s="5" t="s">
        <v>43</v>
      </c>
      <c r="F4786" s="8"/>
      <c r="G4786" s="9">
        <f>H4786*(1-30%)*(1-F4786)</f>
        <v>37.092999999999996</v>
      </c>
      <c r="H4786" s="9">
        <v>52.990000000000002</v>
      </c>
      <c r="I4786" s="9">
        <f>H4786-G4786</f>
        <v>15.897000000000006</v>
      </c>
    </row>
    <row r="4787" ht="14.25">
      <c r="A4787" s="5">
        <v>94506</v>
      </c>
      <c r="B4787" s="7" t="s">
        <v>4881</v>
      </c>
      <c r="C4787" s="7" t="s">
        <v>3262</v>
      </c>
      <c r="D4787" s="7" t="s">
        <v>110</v>
      </c>
      <c r="E4787" s="5" t="s">
        <v>43</v>
      </c>
      <c r="F4787" s="8"/>
      <c r="G4787" s="9">
        <f>H4787*(1-30%)*(1-F4787)</f>
        <v>37.092999999999996</v>
      </c>
      <c r="H4787" s="9">
        <v>52.990000000000002</v>
      </c>
      <c r="I4787" s="9">
        <f>H4787-G4787</f>
        <v>15.897000000000006</v>
      </c>
    </row>
    <row r="4788" ht="14.25">
      <c r="A4788" s="5">
        <v>94507</v>
      </c>
      <c r="B4788" s="7" t="s">
        <v>4882</v>
      </c>
      <c r="C4788" s="7" t="s">
        <v>3262</v>
      </c>
      <c r="D4788" s="7" t="s">
        <v>110</v>
      </c>
      <c r="E4788" s="5" t="s">
        <v>43</v>
      </c>
      <c r="F4788" s="8"/>
      <c r="G4788" s="9">
        <f>H4788*(1-30%)*(1-F4788)</f>
        <v>37.092999999999996</v>
      </c>
      <c r="H4788" s="9">
        <v>52.990000000000002</v>
      </c>
      <c r="I4788" s="9">
        <f>H4788-G4788</f>
        <v>15.897000000000006</v>
      </c>
    </row>
    <row r="4789" ht="14.25">
      <c r="A4789" s="5">
        <v>94516</v>
      </c>
      <c r="B4789" s="7" t="s">
        <v>4883</v>
      </c>
      <c r="C4789" s="7" t="s">
        <v>4303</v>
      </c>
      <c r="D4789" s="7" t="s">
        <v>110</v>
      </c>
      <c r="E4789" s="5" t="s">
        <v>43</v>
      </c>
      <c r="F4789" s="8"/>
      <c r="G4789" s="9">
        <f>H4789*(1-30%)*(1-F4789)</f>
        <v>39.192999999999998</v>
      </c>
      <c r="H4789" s="9">
        <v>55.990000000000002</v>
      </c>
      <c r="I4789" s="9">
        <f>H4789-G4789</f>
        <v>16.797000000000004</v>
      </c>
    </row>
    <row r="4790" ht="14.25">
      <c r="A4790" s="5">
        <v>94517</v>
      </c>
      <c r="B4790" s="7" t="s">
        <v>4884</v>
      </c>
      <c r="C4790" s="7" t="s">
        <v>4303</v>
      </c>
      <c r="D4790" s="7" t="s">
        <v>110</v>
      </c>
      <c r="E4790" s="5" t="s">
        <v>43</v>
      </c>
      <c r="F4790" s="8"/>
      <c r="G4790" s="9">
        <f>H4790*(1-30%)*(1-F4790)</f>
        <v>39.192999999999998</v>
      </c>
      <c r="H4790" s="9">
        <v>55.990000000000002</v>
      </c>
      <c r="I4790" s="9">
        <f>H4790-G4790</f>
        <v>16.797000000000004</v>
      </c>
    </row>
    <row r="4791" ht="14.25">
      <c r="A4791" s="5">
        <v>94518</v>
      </c>
      <c r="B4791" s="7" t="s">
        <v>4885</v>
      </c>
      <c r="C4791" s="7" t="s">
        <v>4303</v>
      </c>
      <c r="D4791" s="7" t="s">
        <v>110</v>
      </c>
      <c r="E4791" s="5" t="s">
        <v>43</v>
      </c>
      <c r="F4791" s="8"/>
      <c r="G4791" s="9">
        <f>H4791*(1-30%)*(1-F4791)</f>
        <v>39.192999999999998</v>
      </c>
      <c r="H4791" s="9">
        <v>55.990000000000002</v>
      </c>
      <c r="I4791" s="9">
        <f>H4791-G4791</f>
        <v>16.797000000000004</v>
      </c>
    </row>
    <row r="4792" ht="14.25">
      <c r="A4792" s="5">
        <v>94519</v>
      </c>
      <c r="B4792" s="7" t="s">
        <v>4886</v>
      </c>
      <c r="C4792" s="7" t="s">
        <v>4303</v>
      </c>
      <c r="D4792" s="7" t="s">
        <v>110</v>
      </c>
      <c r="E4792" s="5" t="s">
        <v>43</v>
      </c>
      <c r="F4792" s="8"/>
      <c r="G4792" s="9">
        <f>H4792*(1-30%)*(1-F4792)</f>
        <v>39.192999999999998</v>
      </c>
      <c r="H4792" s="9">
        <v>55.990000000000002</v>
      </c>
      <c r="I4792" s="9">
        <f>H4792-G4792</f>
        <v>16.797000000000004</v>
      </c>
    </row>
    <row r="4793" ht="14.25">
      <c r="A4793" s="5">
        <v>94520</v>
      </c>
      <c r="B4793" s="7" t="s">
        <v>4887</v>
      </c>
      <c r="C4793" s="7" t="s">
        <v>4303</v>
      </c>
      <c r="D4793" s="7" t="s">
        <v>110</v>
      </c>
      <c r="E4793" s="5" t="s">
        <v>43</v>
      </c>
      <c r="F4793" s="8"/>
      <c r="G4793" s="9">
        <f>H4793*(1-30%)*(1-F4793)</f>
        <v>39.192999999999998</v>
      </c>
      <c r="H4793" s="9">
        <v>55.990000000000002</v>
      </c>
      <c r="I4793" s="9">
        <f>H4793-G4793</f>
        <v>16.797000000000004</v>
      </c>
    </row>
    <row r="4794" ht="14.25">
      <c r="A4794" s="5">
        <v>94521</v>
      </c>
      <c r="B4794" s="7" t="s">
        <v>4888</v>
      </c>
      <c r="C4794" s="7" t="s">
        <v>4303</v>
      </c>
      <c r="D4794" s="7" t="s">
        <v>110</v>
      </c>
      <c r="E4794" s="5" t="s">
        <v>43</v>
      </c>
      <c r="F4794" s="8"/>
      <c r="G4794" s="9">
        <f>H4794*(1-30%)*(1-F4794)</f>
        <v>39.192999999999998</v>
      </c>
      <c r="H4794" s="9">
        <v>55.990000000000002</v>
      </c>
      <c r="I4794" s="9">
        <f>H4794-G4794</f>
        <v>16.797000000000004</v>
      </c>
    </row>
    <row r="4795" ht="14.25">
      <c r="A4795" s="5">
        <v>95162</v>
      </c>
      <c r="B4795" s="7" t="s">
        <v>4889</v>
      </c>
      <c r="C4795" s="7" t="s">
        <v>3290</v>
      </c>
      <c r="D4795" s="7" t="s">
        <v>1447</v>
      </c>
      <c r="E4795" s="5" t="s">
        <v>3192</v>
      </c>
      <c r="F4795" s="8"/>
      <c r="G4795" s="9">
        <f>H4795*(1-30%)*(1-F4795)</f>
        <v>3.6399999999999997</v>
      </c>
      <c r="H4795" s="9">
        <v>5.2000000000000002</v>
      </c>
      <c r="I4795" s="9">
        <f>H4795-G4795</f>
        <v>1.5600000000000005</v>
      </c>
    </row>
    <row r="4796" ht="14.25">
      <c r="A4796" s="5">
        <v>76964</v>
      </c>
      <c r="B4796" s="7" t="s">
        <v>4890</v>
      </c>
      <c r="C4796" s="7" t="s">
        <v>4891</v>
      </c>
      <c r="D4796" s="7" t="s">
        <v>110</v>
      </c>
      <c r="E4796" s="5" t="s">
        <v>26</v>
      </c>
      <c r="F4796" s="5"/>
      <c r="G4796" s="9">
        <f>H4796*(1-15%)*(1-F4796)</f>
        <v>79.814999999999998</v>
      </c>
      <c r="H4796" s="9">
        <v>93.900000000000006</v>
      </c>
      <c r="I4796" s="9">
        <f>H4796-G4796</f>
        <v>14.085000000000008</v>
      </c>
    </row>
    <row r="4797" ht="14.25">
      <c r="A4797" s="5">
        <v>76971</v>
      </c>
      <c r="B4797" s="7" t="s">
        <v>4892</v>
      </c>
      <c r="C4797" s="7" t="s">
        <v>4891</v>
      </c>
      <c r="D4797" s="7" t="s">
        <v>110</v>
      </c>
      <c r="E4797" s="5" t="s">
        <v>26</v>
      </c>
      <c r="F4797" s="5"/>
      <c r="G4797" s="9">
        <f>H4797*(1-15%)*(1-F4797)</f>
        <v>79.814999999999998</v>
      </c>
      <c r="H4797" s="9">
        <v>93.900000000000006</v>
      </c>
      <c r="I4797" s="9">
        <f>H4797-G4797</f>
        <v>14.085000000000008</v>
      </c>
    </row>
    <row r="4798" ht="14.25">
      <c r="A4798" s="5">
        <v>76966</v>
      </c>
      <c r="B4798" s="7" t="s">
        <v>4893</v>
      </c>
      <c r="C4798" s="7" t="s">
        <v>4891</v>
      </c>
      <c r="D4798" s="7" t="s">
        <v>110</v>
      </c>
      <c r="E4798" s="5" t="s">
        <v>26</v>
      </c>
      <c r="F4798" s="5"/>
      <c r="G4798" s="9">
        <f>H4798*(1-15%)*(1-F4798)</f>
        <v>79.814999999999998</v>
      </c>
      <c r="H4798" s="9">
        <v>93.900000000000006</v>
      </c>
      <c r="I4798" s="9">
        <f>H4798-G4798</f>
        <v>14.085000000000008</v>
      </c>
    </row>
    <row r="4799" ht="14.25">
      <c r="A4799" s="5">
        <v>76967</v>
      </c>
      <c r="B4799" s="7" t="s">
        <v>4894</v>
      </c>
      <c r="C4799" s="7" t="s">
        <v>4891</v>
      </c>
      <c r="D4799" s="7" t="s">
        <v>110</v>
      </c>
      <c r="E4799" s="5" t="s">
        <v>26</v>
      </c>
      <c r="F4799" s="5"/>
      <c r="G4799" s="9">
        <f>H4799*(1-15%)*(1-F4799)</f>
        <v>79.814999999999998</v>
      </c>
      <c r="H4799" s="9">
        <v>93.900000000000006</v>
      </c>
      <c r="I4799" s="9">
        <f>H4799-G4799</f>
        <v>14.085000000000008</v>
      </c>
    </row>
    <row r="4800" ht="14.25">
      <c r="A4800" s="5">
        <v>76968</v>
      </c>
      <c r="B4800" s="7" t="s">
        <v>4895</v>
      </c>
      <c r="C4800" s="7" t="s">
        <v>4891</v>
      </c>
      <c r="D4800" s="7" t="s">
        <v>110</v>
      </c>
      <c r="E4800" s="5" t="s">
        <v>26</v>
      </c>
      <c r="F4800" s="5"/>
      <c r="G4800" s="9">
        <f>H4800*(1-15%)*(1-F4800)</f>
        <v>79.814999999999998</v>
      </c>
      <c r="H4800" s="9">
        <v>93.900000000000006</v>
      </c>
      <c r="I4800" s="9">
        <f>H4800-G4800</f>
        <v>14.085000000000008</v>
      </c>
    </row>
    <row r="4801" ht="14.25">
      <c r="A4801" s="5">
        <v>76969</v>
      </c>
      <c r="B4801" s="7" t="s">
        <v>4896</v>
      </c>
      <c r="C4801" s="7" t="s">
        <v>4891</v>
      </c>
      <c r="D4801" s="7" t="s">
        <v>110</v>
      </c>
      <c r="E4801" s="5" t="s">
        <v>26</v>
      </c>
      <c r="F4801" s="5"/>
      <c r="G4801" s="9">
        <f>H4801*(1-15%)*(1-F4801)</f>
        <v>79.814999999999998</v>
      </c>
      <c r="H4801" s="9">
        <v>93.900000000000006</v>
      </c>
      <c r="I4801" s="9">
        <f>H4801-G4801</f>
        <v>14.085000000000008</v>
      </c>
    </row>
    <row r="4802" ht="14.25">
      <c r="A4802" s="5">
        <v>76970</v>
      </c>
      <c r="B4802" s="7" t="s">
        <v>4897</v>
      </c>
      <c r="C4802" s="7" t="s">
        <v>4891</v>
      </c>
      <c r="D4802" s="7" t="s">
        <v>110</v>
      </c>
      <c r="E4802" s="5" t="s">
        <v>26</v>
      </c>
      <c r="F4802" s="5"/>
      <c r="G4802" s="9">
        <f>H4802*(1-15%)*(1-F4802)</f>
        <v>79.814999999999998</v>
      </c>
      <c r="H4802" s="9">
        <v>93.900000000000006</v>
      </c>
      <c r="I4802" s="9">
        <f>H4802-G4802</f>
        <v>14.085000000000008</v>
      </c>
    </row>
    <row r="4803" ht="14.25">
      <c r="A4803" s="5">
        <v>77349</v>
      </c>
      <c r="B4803" s="7" t="s">
        <v>4898</v>
      </c>
      <c r="C4803" s="7" t="s">
        <v>4891</v>
      </c>
      <c r="D4803" s="7" t="s">
        <v>110</v>
      </c>
      <c r="E4803" s="5" t="s">
        <v>26</v>
      </c>
      <c r="F4803" s="5"/>
      <c r="G4803" s="9">
        <f>H4803*(1-15%)*(1-F4803)</f>
        <v>79.814999999999998</v>
      </c>
      <c r="H4803" s="9">
        <v>93.900000000000006</v>
      </c>
      <c r="I4803" s="9">
        <f>H4803-G4803</f>
        <v>14.085000000000008</v>
      </c>
    </row>
    <row r="4804" ht="14.25">
      <c r="A4804" s="5">
        <v>77339</v>
      </c>
      <c r="B4804" s="7" t="s">
        <v>4899</v>
      </c>
      <c r="C4804" s="7" t="s">
        <v>4891</v>
      </c>
      <c r="D4804" s="7" t="s">
        <v>110</v>
      </c>
      <c r="E4804" s="5" t="s">
        <v>26</v>
      </c>
      <c r="F4804" s="5"/>
      <c r="G4804" s="9">
        <f>H4804*(1-15%)*(1-F4804)</f>
        <v>79.814999999999998</v>
      </c>
      <c r="H4804" s="9">
        <v>93.900000000000006</v>
      </c>
      <c r="I4804" s="9">
        <f>H4804-G4804</f>
        <v>14.085000000000008</v>
      </c>
    </row>
    <row r="4805" ht="14.25">
      <c r="A4805" s="5">
        <v>77340</v>
      </c>
      <c r="B4805" s="7" t="s">
        <v>4900</v>
      </c>
      <c r="C4805" s="7" t="s">
        <v>4891</v>
      </c>
      <c r="D4805" s="7" t="s">
        <v>110</v>
      </c>
      <c r="E4805" s="5" t="s">
        <v>26</v>
      </c>
      <c r="F4805" s="5"/>
      <c r="G4805" s="9">
        <f>H4805*(1-15%)*(1-F4805)</f>
        <v>79.814999999999998</v>
      </c>
      <c r="H4805" s="9">
        <v>93.900000000000006</v>
      </c>
      <c r="I4805" s="9">
        <f>H4805-G4805</f>
        <v>14.085000000000008</v>
      </c>
    </row>
    <row r="4806" ht="14.25">
      <c r="A4806" s="5">
        <v>77341</v>
      </c>
      <c r="B4806" s="7" t="s">
        <v>4901</v>
      </c>
      <c r="C4806" s="7" t="s">
        <v>4891</v>
      </c>
      <c r="D4806" s="7" t="s">
        <v>110</v>
      </c>
      <c r="E4806" s="5" t="s">
        <v>26</v>
      </c>
      <c r="F4806" s="5"/>
      <c r="G4806" s="9">
        <f>H4806*(1-15%)*(1-F4806)</f>
        <v>79.814999999999998</v>
      </c>
      <c r="H4806" s="9">
        <v>93.900000000000006</v>
      </c>
      <c r="I4806" s="9">
        <f>H4806-G4806</f>
        <v>14.085000000000008</v>
      </c>
    </row>
    <row r="4807" ht="14.25">
      <c r="A4807" s="5">
        <v>77344</v>
      </c>
      <c r="B4807" s="7" t="s">
        <v>4902</v>
      </c>
      <c r="C4807" s="7" t="s">
        <v>4891</v>
      </c>
      <c r="D4807" s="7" t="s">
        <v>110</v>
      </c>
      <c r="E4807" s="5" t="s">
        <v>26</v>
      </c>
      <c r="F4807" s="5"/>
      <c r="G4807" s="9">
        <f>H4807*(1-15%)*(1-F4807)</f>
        <v>79.814999999999998</v>
      </c>
      <c r="H4807" s="9">
        <v>93.900000000000006</v>
      </c>
      <c r="I4807" s="9">
        <f>H4807-G4807</f>
        <v>14.085000000000008</v>
      </c>
    </row>
    <row r="4808" ht="14.25">
      <c r="A4808" s="5">
        <v>75353</v>
      </c>
      <c r="B4808" s="7" t="s">
        <v>4903</v>
      </c>
      <c r="C4808" s="7" t="s">
        <v>4891</v>
      </c>
      <c r="D4808" s="7" t="s">
        <v>110</v>
      </c>
      <c r="E4808" s="5" t="s">
        <v>43</v>
      </c>
      <c r="F4808" s="5"/>
      <c r="G4808" s="9">
        <f>H4808*(1-15%)*(1-F4808)</f>
        <v>50.064999999999998</v>
      </c>
      <c r="H4808" s="9">
        <v>58.899999999999999</v>
      </c>
      <c r="I4808" s="9">
        <f>H4808-G4808</f>
        <v>8.8350000000000009</v>
      </c>
    </row>
    <row r="4809" ht="14.25">
      <c r="A4809" s="5">
        <v>79909</v>
      </c>
      <c r="B4809" s="7" t="s">
        <v>4904</v>
      </c>
      <c r="C4809" s="7" t="s">
        <v>4891</v>
      </c>
      <c r="D4809" s="7" t="s">
        <v>110</v>
      </c>
      <c r="E4809" s="5" t="s">
        <v>43</v>
      </c>
      <c r="F4809" s="5"/>
      <c r="G4809" s="9">
        <f>H4809*(1-15%)*(1-F4809)</f>
        <v>50.064999999999998</v>
      </c>
      <c r="H4809" s="9">
        <v>58.899999999999999</v>
      </c>
      <c r="I4809" s="9">
        <f>H4809-G4809</f>
        <v>8.8350000000000009</v>
      </c>
    </row>
    <row r="4810" ht="14.25">
      <c r="A4810" s="5">
        <v>81155</v>
      </c>
      <c r="B4810" s="7" t="s">
        <v>4905</v>
      </c>
      <c r="C4810" s="7" t="s">
        <v>4891</v>
      </c>
      <c r="D4810" s="7" t="s">
        <v>110</v>
      </c>
      <c r="E4810" s="5" t="s">
        <v>43</v>
      </c>
      <c r="F4810" s="5"/>
      <c r="G4810" s="9">
        <f>H4810*(1-15%)*(1-F4810)</f>
        <v>50.064999999999998</v>
      </c>
      <c r="H4810" s="9">
        <v>58.899999999999999</v>
      </c>
      <c r="I4810" s="9">
        <f>H4810-G4810</f>
        <v>8.8350000000000009</v>
      </c>
    </row>
    <row r="4811" ht="14.25">
      <c r="A4811" s="5">
        <v>81156</v>
      </c>
      <c r="B4811" s="7" t="s">
        <v>4906</v>
      </c>
      <c r="C4811" s="7" t="s">
        <v>4891</v>
      </c>
      <c r="D4811" s="7" t="s">
        <v>110</v>
      </c>
      <c r="E4811" s="5" t="s">
        <v>43</v>
      </c>
      <c r="F4811" s="5"/>
      <c r="G4811" s="9">
        <f>H4811*(1-15%)*(1-F4811)</f>
        <v>50.064999999999998</v>
      </c>
      <c r="H4811" s="9">
        <v>58.899999999999999</v>
      </c>
      <c r="I4811" s="9">
        <f>H4811-G4811</f>
        <v>8.8350000000000009</v>
      </c>
    </row>
    <row r="4812" ht="14.25">
      <c r="A4812" s="5">
        <v>75355</v>
      </c>
      <c r="B4812" s="7" t="s">
        <v>4907</v>
      </c>
      <c r="C4812" s="7" t="s">
        <v>4891</v>
      </c>
      <c r="D4812" s="7" t="s">
        <v>110</v>
      </c>
      <c r="E4812" s="5" t="s">
        <v>43</v>
      </c>
      <c r="F4812" s="5"/>
      <c r="G4812" s="9">
        <f>H4812*(1-15%)*(1-F4812)</f>
        <v>50.064999999999998</v>
      </c>
      <c r="H4812" s="9">
        <v>58.899999999999999</v>
      </c>
      <c r="I4812" s="9">
        <f>H4812-G4812</f>
        <v>8.8350000000000009</v>
      </c>
    </row>
    <row r="4813" ht="14.25">
      <c r="A4813" s="5">
        <v>75356</v>
      </c>
      <c r="B4813" s="7" t="s">
        <v>4908</v>
      </c>
      <c r="C4813" s="7" t="s">
        <v>4891</v>
      </c>
      <c r="D4813" s="7" t="s">
        <v>110</v>
      </c>
      <c r="E4813" s="5" t="s">
        <v>43</v>
      </c>
      <c r="F4813" s="5"/>
      <c r="G4813" s="9">
        <f>H4813*(1-15%)*(1-F4813)</f>
        <v>50.064999999999998</v>
      </c>
      <c r="H4813" s="9">
        <v>58.899999999999999</v>
      </c>
      <c r="I4813" s="9">
        <f>H4813-G4813</f>
        <v>8.8350000000000009</v>
      </c>
    </row>
    <row r="4814" ht="14.25">
      <c r="A4814" s="5">
        <v>75357</v>
      </c>
      <c r="B4814" s="7" t="s">
        <v>4909</v>
      </c>
      <c r="C4814" s="7" t="s">
        <v>4891</v>
      </c>
      <c r="D4814" s="7" t="s">
        <v>110</v>
      </c>
      <c r="E4814" s="5" t="s">
        <v>43</v>
      </c>
      <c r="F4814" s="5"/>
      <c r="G4814" s="9">
        <f>H4814*(1-15%)*(1-F4814)</f>
        <v>50.064999999999998</v>
      </c>
      <c r="H4814" s="9">
        <v>58.899999999999999</v>
      </c>
      <c r="I4814" s="9">
        <f>H4814-G4814</f>
        <v>8.8350000000000009</v>
      </c>
    </row>
    <row r="4815" ht="14.25">
      <c r="A4815" s="5">
        <v>75358</v>
      </c>
      <c r="B4815" s="7" t="s">
        <v>4910</v>
      </c>
      <c r="C4815" s="7" t="s">
        <v>4891</v>
      </c>
      <c r="D4815" s="7" t="s">
        <v>110</v>
      </c>
      <c r="E4815" s="5" t="s">
        <v>43</v>
      </c>
      <c r="F4815" s="5"/>
      <c r="G4815" s="9">
        <f>H4815*(1-15%)*(1-F4815)</f>
        <v>50.064999999999998</v>
      </c>
      <c r="H4815" s="9">
        <v>58.899999999999999</v>
      </c>
      <c r="I4815" s="9">
        <f>H4815-G4815</f>
        <v>8.8350000000000009</v>
      </c>
    </row>
    <row r="4816" ht="14.25">
      <c r="A4816" s="5">
        <v>79906</v>
      </c>
      <c r="B4816" s="7" t="s">
        <v>4911</v>
      </c>
      <c r="C4816" s="7" t="s">
        <v>4891</v>
      </c>
      <c r="D4816" s="7" t="s">
        <v>110</v>
      </c>
      <c r="E4816" s="5" t="s">
        <v>43</v>
      </c>
      <c r="F4816" s="5"/>
      <c r="G4816" s="9">
        <f>H4816*(1-15%)*(1-F4816)</f>
        <v>50.064999999999998</v>
      </c>
      <c r="H4816" s="9">
        <v>58.899999999999999</v>
      </c>
      <c r="I4816" s="9">
        <f>H4816-G4816</f>
        <v>8.8350000000000009</v>
      </c>
    </row>
    <row r="4817" ht="14.25">
      <c r="A4817" s="5">
        <v>79907</v>
      </c>
      <c r="B4817" s="7" t="s">
        <v>4912</v>
      </c>
      <c r="C4817" s="7" t="s">
        <v>4891</v>
      </c>
      <c r="D4817" s="7" t="s">
        <v>110</v>
      </c>
      <c r="E4817" s="5" t="s">
        <v>43</v>
      </c>
      <c r="F4817" s="5"/>
      <c r="G4817" s="9">
        <f>H4817*(1-15%)*(1-F4817)</f>
        <v>50.064999999999998</v>
      </c>
      <c r="H4817" s="9">
        <v>58.899999999999999</v>
      </c>
      <c r="I4817" s="9">
        <f>H4817-G4817</f>
        <v>8.8350000000000009</v>
      </c>
    </row>
    <row r="4818" ht="14.25">
      <c r="A4818" s="5">
        <v>79908</v>
      </c>
      <c r="B4818" s="7" t="s">
        <v>4913</v>
      </c>
      <c r="C4818" s="7" t="s">
        <v>4891</v>
      </c>
      <c r="D4818" s="7" t="s">
        <v>110</v>
      </c>
      <c r="E4818" s="5" t="s">
        <v>43</v>
      </c>
      <c r="F4818" s="5"/>
      <c r="G4818" s="9">
        <f>H4818*(1-15%)*(1-F4818)</f>
        <v>50.064999999999998</v>
      </c>
      <c r="H4818" s="9">
        <v>58.899999999999999</v>
      </c>
      <c r="I4818" s="9">
        <f>H4818-G4818</f>
        <v>8.8350000000000009</v>
      </c>
    </row>
    <row r="4819" ht="14.25">
      <c r="A4819" s="5">
        <v>79536</v>
      </c>
      <c r="B4819" s="7" t="s">
        <v>4914</v>
      </c>
      <c r="C4819" s="7" t="s">
        <v>4891</v>
      </c>
      <c r="D4819" s="7" t="s">
        <v>110</v>
      </c>
      <c r="E4819" s="5" t="s">
        <v>26</v>
      </c>
      <c r="F4819" s="5"/>
      <c r="G4819" s="9">
        <f>H4819*(1-15%)*(1-F4819)</f>
        <v>52.614999999999995</v>
      </c>
      <c r="H4819" s="9">
        <v>61.899999999999999</v>
      </c>
      <c r="I4819" s="9">
        <f>H4819-G4819</f>
        <v>9.2850000000000037</v>
      </c>
    </row>
    <row r="4820" ht="14.25">
      <c r="A4820" s="5">
        <v>79537</v>
      </c>
      <c r="B4820" s="7" t="s">
        <v>4915</v>
      </c>
      <c r="C4820" s="7" t="s">
        <v>4891</v>
      </c>
      <c r="D4820" s="7" t="s">
        <v>110</v>
      </c>
      <c r="E4820" s="5" t="s">
        <v>26</v>
      </c>
      <c r="F4820" s="5"/>
      <c r="G4820" s="9">
        <f>H4820*(1-15%)*(1-F4820)</f>
        <v>52.614999999999995</v>
      </c>
      <c r="H4820" s="9">
        <v>61.899999999999999</v>
      </c>
      <c r="I4820" s="9">
        <f>H4820-G4820</f>
        <v>9.2850000000000037</v>
      </c>
    </row>
    <row r="4821" ht="14.25">
      <c r="A4821" s="5">
        <v>79538</v>
      </c>
      <c r="B4821" s="7" t="s">
        <v>4916</v>
      </c>
      <c r="C4821" s="7" t="s">
        <v>4891</v>
      </c>
      <c r="D4821" s="7" t="s">
        <v>110</v>
      </c>
      <c r="E4821" s="5" t="s">
        <v>26</v>
      </c>
      <c r="F4821" s="5"/>
      <c r="G4821" s="9">
        <f>H4821*(1-15%)*(1-F4821)</f>
        <v>52.614999999999995</v>
      </c>
      <c r="H4821" s="9">
        <v>61.899999999999999</v>
      </c>
      <c r="I4821" s="9">
        <f>H4821-G4821</f>
        <v>9.2850000000000037</v>
      </c>
    </row>
    <row r="4822" ht="14.25">
      <c r="A4822" s="5">
        <v>79459</v>
      </c>
      <c r="B4822" s="7" t="s">
        <v>4917</v>
      </c>
      <c r="C4822" s="7" t="s">
        <v>4891</v>
      </c>
      <c r="D4822" s="7" t="s">
        <v>219</v>
      </c>
      <c r="E4822" s="5" t="s">
        <v>26</v>
      </c>
      <c r="F4822" s="5"/>
      <c r="G4822" s="9">
        <f>H4822*(1-15%)*(1-F4822)</f>
        <v>100.215</v>
      </c>
      <c r="H4822" s="9">
        <v>117.90000000000001</v>
      </c>
      <c r="I4822" s="9">
        <f>H4822-G4822</f>
        <v>17.685000000000002</v>
      </c>
    </row>
    <row r="4823" ht="14.25">
      <c r="A4823" s="5">
        <v>80448</v>
      </c>
      <c r="B4823" s="7" t="s">
        <v>4918</v>
      </c>
      <c r="C4823" s="7" t="s">
        <v>4891</v>
      </c>
      <c r="D4823" s="7" t="s">
        <v>219</v>
      </c>
      <c r="E4823" s="5" t="s">
        <v>26</v>
      </c>
      <c r="F4823" s="5"/>
      <c r="G4823" s="9">
        <f>H4823*(1-15%)*(1-F4823)</f>
        <v>131.66499999999999</v>
      </c>
      <c r="H4823" s="9">
        <v>154.90000000000001</v>
      </c>
      <c r="I4823" s="9">
        <f>H4823-G4823</f>
        <v>23.235000000000014</v>
      </c>
    </row>
    <row r="4824" ht="14.25">
      <c r="A4824" s="5">
        <v>75245</v>
      </c>
      <c r="B4824" s="7" t="s">
        <v>4919</v>
      </c>
      <c r="C4824" s="7" t="s">
        <v>4891</v>
      </c>
      <c r="D4824" s="7" t="s">
        <v>110</v>
      </c>
      <c r="E4824" s="5" t="s">
        <v>26</v>
      </c>
      <c r="F4824" s="5"/>
      <c r="G4824" s="9">
        <f>H4824*(1-15%)*(1-F4824)</f>
        <v>50.064999999999998</v>
      </c>
      <c r="H4824" s="9">
        <v>58.899999999999999</v>
      </c>
      <c r="I4824" s="9">
        <f>H4824-G4824</f>
        <v>8.8350000000000009</v>
      </c>
    </row>
    <row r="4825" ht="14.25">
      <c r="A4825" s="5">
        <v>42109</v>
      </c>
      <c r="B4825" s="7" t="s">
        <v>4920</v>
      </c>
      <c r="C4825" s="7" t="s">
        <v>4891</v>
      </c>
      <c r="D4825" s="7" t="s">
        <v>183</v>
      </c>
      <c r="E4825" s="5" t="s">
        <v>15</v>
      </c>
      <c r="F4825" s="5"/>
      <c r="G4825" s="9">
        <f>H4825*(1-15%)*(1-F4825)</f>
        <v>48.364999999999995</v>
      </c>
      <c r="H4825" s="9">
        <v>56.899999999999999</v>
      </c>
      <c r="I4825" s="9">
        <f>H4825-G4825</f>
        <v>8.5350000000000037</v>
      </c>
    </row>
    <row r="4826" ht="14.25">
      <c r="A4826" s="5">
        <v>37476</v>
      </c>
      <c r="B4826" s="7" t="s">
        <v>4921</v>
      </c>
      <c r="C4826" s="7" t="s">
        <v>4891</v>
      </c>
      <c r="D4826" s="7" t="s">
        <v>183</v>
      </c>
      <c r="E4826" s="5" t="s">
        <v>15</v>
      </c>
      <c r="F4826" s="5"/>
      <c r="G4826" s="9">
        <f>H4826*(1-15%)*(1-F4826)</f>
        <v>42.414999999999999</v>
      </c>
      <c r="H4826" s="9">
        <v>49.899999999999999</v>
      </c>
      <c r="I4826" s="9">
        <f>H4826-G4826</f>
        <v>7.4849999999999994</v>
      </c>
    </row>
    <row r="4827" ht="14.25">
      <c r="A4827" s="5">
        <v>28955</v>
      </c>
      <c r="B4827" s="7" t="s">
        <v>4922</v>
      </c>
      <c r="C4827" s="7" t="s">
        <v>4891</v>
      </c>
      <c r="D4827" s="7" t="s">
        <v>110</v>
      </c>
      <c r="E4827" s="5" t="s">
        <v>26</v>
      </c>
      <c r="F4827" s="5"/>
      <c r="G4827" s="9">
        <f>H4827*(1-15%)*(1-F4827)</f>
        <v>28.814999999999998</v>
      </c>
      <c r="H4827" s="9">
        <v>33.899999999999999</v>
      </c>
      <c r="I4827" s="9">
        <f>H4827-G4827</f>
        <v>5.0850000000000009</v>
      </c>
    </row>
    <row r="4828" ht="14.25">
      <c r="A4828" s="5">
        <v>81324</v>
      </c>
      <c r="B4828" s="7" t="s">
        <v>4923</v>
      </c>
      <c r="C4828" s="7" t="s">
        <v>4891</v>
      </c>
      <c r="D4828" s="7" t="s">
        <v>110</v>
      </c>
      <c r="E4828" s="5" t="s">
        <v>26</v>
      </c>
      <c r="F4828" s="5"/>
      <c r="G4828" s="9">
        <f>H4828*(1-15%)*(1-F4828)</f>
        <v>97.665000000000006</v>
      </c>
      <c r="H4828" s="9">
        <v>114.90000000000001</v>
      </c>
      <c r="I4828" s="9">
        <f>H4828-G4828</f>
        <v>17.234999999999999</v>
      </c>
    </row>
    <row r="4829" ht="14.25">
      <c r="A4829" s="5">
        <v>81325</v>
      </c>
      <c r="B4829" s="7" t="s">
        <v>4924</v>
      </c>
      <c r="C4829" s="7" t="s">
        <v>4891</v>
      </c>
      <c r="D4829" s="7" t="s">
        <v>110</v>
      </c>
      <c r="E4829" s="5" t="s">
        <v>26</v>
      </c>
      <c r="F4829" s="5"/>
      <c r="G4829" s="9">
        <f>H4829*(1-15%)*(1-F4829)</f>
        <v>97.665000000000006</v>
      </c>
      <c r="H4829" s="9">
        <v>114.90000000000001</v>
      </c>
      <c r="I4829" s="9">
        <f>H4829-G4829</f>
        <v>17.234999999999999</v>
      </c>
    </row>
    <row r="4830" ht="14.25">
      <c r="A4830" s="5">
        <v>81326</v>
      </c>
      <c r="B4830" s="7" t="s">
        <v>4925</v>
      </c>
      <c r="C4830" s="7" t="s">
        <v>4891</v>
      </c>
      <c r="D4830" s="7" t="s">
        <v>110</v>
      </c>
      <c r="E4830" s="5" t="s">
        <v>26</v>
      </c>
      <c r="F4830" s="5"/>
      <c r="G4830" s="9">
        <f>H4830*(1-15%)*(1-F4830)</f>
        <v>97.665000000000006</v>
      </c>
      <c r="H4830" s="9">
        <v>114.90000000000001</v>
      </c>
      <c r="I4830" s="9">
        <f>H4830-G4830</f>
        <v>17.234999999999999</v>
      </c>
    </row>
    <row r="4831" ht="14.25">
      <c r="A4831" s="5">
        <v>42115</v>
      </c>
      <c r="B4831" s="7" t="s">
        <v>4926</v>
      </c>
      <c r="C4831" s="7" t="s">
        <v>4891</v>
      </c>
      <c r="D4831" s="7" t="s">
        <v>183</v>
      </c>
      <c r="E4831" s="5" t="s">
        <v>15</v>
      </c>
      <c r="F4831" s="5"/>
      <c r="G4831" s="9">
        <f>H4831*(1-15%)*(1-F4831)</f>
        <v>46.664999999999999</v>
      </c>
      <c r="H4831" s="9">
        <v>54.899999999999999</v>
      </c>
      <c r="I4831" s="9">
        <f>H4831-G4831</f>
        <v>8.2349999999999994</v>
      </c>
    </row>
    <row r="4832" ht="14.25">
      <c r="A4832" s="5">
        <v>77541</v>
      </c>
      <c r="B4832" s="7" t="s">
        <v>4927</v>
      </c>
      <c r="C4832" s="7" t="s">
        <v>4891</v>
      </c>
      <c r="D4832" s="7" t="s">
        <v>110</v>
      </c>
      <c r="E4832" s="5" t="s">
        <v>26</v>
      </c>
      <c r="F4832" s="5"/>
      <c r="G4832" s="9">
        <f>H4832*(1-15%)*(1-F4832)</f>
        <v>38.164999999999999</v>
      </c>
      <c r="H4832" s="9">
        <v>44.899999999999999</v>
      </c>
      <c r="I4832" s="9">
        <f>H4832-G4832</f>
        <v>6.7349999999999994</v>
      </c>
    </row>
    <row r="4833" ht="14.25">
      <c r="A4833" s="5">
        <v>79490</v>
      </c>
      <c r="B4833" s="7" t="s">
        <v>4928</v>
      </c>
      <c r="C4833" s="7" t="s">
        <v>4891</v>
      </c>
      <c r="D4833" s="7" t="s">
        <v>110</v>
      </c>
      <c r="E4833" s="5" t="s">
        <v>26</v>
      </c>
      <c r="F4833" s="5"/>
      <c r="G4833" s="9">
        <f>H4833*(1-15%)*(1-F4833)</f>
        <v>38.164999999999999</v>
      </c>
      <c r="H4833" s="9">
        <v>44.899999999999999</v>
      </c>
      <c r="I4833" s="9">
        <f>H4833-G4833</f>
        <v>6.7349999999999994</v>
      </c>
    </row>
    <row r="4834" ht="14.25">
      <c r="A4834" s="5">
        <v>77545</v>
      </c>
      <c r="B4834" s="7" t="s">
        <v>4929</v>
      </c>
      <c r="C4834" s="7" t="s">
        <v>4891</v>
      </c>
      <c r="D4834" s="7" t="s">
        <v>110</v>
      </c>
      <c r="E4834" s="5" t="s">
        <v>26</v>
      </c>
      <c r="F4834" s="5"/>
      <c r="G4834" s="9">
        <f>H4834*(1-15%)*(1-F4834)</f>
        <v>65.365000000000009</v>
      </c>
      <c r="H4834" s="9">
        <v>76.900000000000006</v>
      </c>
      <c r="I4834" s="9">
        <f>H4834-G4834</f>
        <v>11.534999999999997</v>
      </c>
    </row>
    <row r="4835" ht="14.25">
      <c r="A4835" s="5">
        <v>79515</v>
      </c>
      <c r="B4835" s="7" t="s">
        <v>4930</v>
      </c>
      <c r="C4835" s="7" t="s">
        <v>4891</v>
      </c>
      <c r="D4835" s="7" t="s">
        <v>110</v>
      </c>
      <c r="E4835" s="5" t="s">
        <v>26</v>
      </c>
      <c r="F4835" s="5"/>
      <c r="G4835" s="9">
        <f>H4835*(1-15%)*(1-F4835)</f>
        <v>42.414999999999999</v>
      </c>
      <c r="H4835" s="9">
        <v>49.899999999999999</v>
      </c>
      <c r="I4835" s="9">
        <f>H4835-G4835</f>
        <v>7.4849999999999994</v>
      </c>
    </row>
    <row r="4836" ht="14.25">
      <c r="A4836" s="5">
        <v>79526</v>
      </c>
      <c r="B4836" s="7" t="s">
        <v>4931</v>
      </c>
      <c r="C4836" s="7" t="s">
        <v>4891</v>
      </c>
      <c r="D4836" s="7" t="s">
        <v>110</v>
      </c>
      <c r="E4836" s="5" t="s">
        <v>26</v>
      </c>
      <c r="F4836" s="5"/>
      <c r="G4836" s="9">
        <f>H4836*(1-15%)*(1-F4836)</f>
        <v>42.414999999999999</v>
      </c>
      <c r="H4836" s="9">
        <v>49.899999999999999</v>
      </c>
      <c r="I4836" s="9">
        <f>H4836-G4836</f>
        <v>7.4849999999999994</v>
      </c>
    </row>
    <row r="4837" ht="14.25">
      <c r="A4837" s="5">
        <v>79516</v>
      </c>
      <c r="B4837" s="7" t="s">
        <v>4932</v>
      </c>
      <c r="C4837" s="7" t="s">
        <v>4891</v>
      </c>
      <c r="D4837" s="7" t="s">
        <v>110</v>
      </c>
      <c r="E4837" s="5" t="s">
        <v>26</v>
      </c>
      <c r="F4837" s="5"/>
      <c r="G4837" s="9">
        <f>H4837*(1-15%)*(1-F4837)</f>
        <v>42.414999999999999</v>
      </c>
      <c r="H4837" s="9">
        <v>49.899999999999999</v>
      </c>
      <c r="I4837" s="9">
        <f>H4837-G4837</f>
        <v>7.4849999999999994</v>
      </c>
    </row>
    <row r="4838" ht="14.25">
      <c r="A4838" s="5">
        <v>79519</v>
      </c>
      <c r="B4838" s="7" t="s">
        <v>4933</v>
      </c>
      <c r="C4838" s="7" t="s">
        <v>4891</v>
      </c>
      <c r="D4838" s="7" t="s">
        <v>110</v>
      </c>
      <c r="E4838" s="5" t="s">
        <v>26</v>
      </c>
      <c r="F4838" s="5"/>
      <c r="G4838" s="9">
        <f>H4838*(1-15%)*(1-F4838)</f>
        <v>42.414999999999999</v>
      </c>
      <c r="H4838" s="9">
        <v>49.899999999999999</v>
      </c>
      <c r="I4838" s="9">
        <f>H4838-G4838</f>
        <v>7.4849999999999994</v>
      </c>
    </row>
    <row r="4839" ht="14.25">
      <c r="A4839" s="5">
        <v>79520</v>
      </c>
      <c r="B4839" s="7" t="s">
        <v>4934</v>
      </c>
      <c r="C4839" s="7" t="s">
        <v>4891</v>
      </c>
      <c r="D4839" s="7" t="s">
        <v>110</v>
      </c>
      <c r="E4839" s="5" t="s">
        <v>26</v>
      </c>
      <c r="F4839" s="5"/>
      <c r="G4839" s="9">
        <f>H4839*(1-15%)*(1-F4839)</f>
        <v>42.414999999999999</v>
      </c>
      <c r="H4839" s="9">
        <v>49.899999999999999</v>
      </c>
      <c r="I4839" s="9">
        <f>H4839-G4839</f>
        <v>7.4849999999999994</v>
      </c>
    </row>
    <row r="4840" ht="14.25">
      <c r="A4840" s="5">
        <v>77546</v>
      </c>
      <c r="B4840" s="7" t="s">
        <v>4935</v>
      </c>
      <c r="C4840" s="7" t="s">
        <v>4891</v>
      </c>
      <c r="D4840" s="7" t="s">
        <v>110</v>
      </c>
      <c r="E4840" s="5" t="s">
        <v>26</v>
      </c>
      <c r="F4840" s="5"/>
      <c r="G4840" s="9">
        <f>H4840*(1-15%)*(1-F4840)</f>
        <v>65.365000000000009</v>
      </c>
      <c r="H4840" s="9">
        <v>76.900000000000006</v>
      </c>
      <c r="I4840" s="9">
        <f>H4840-G4840</f>
        <v>11.534999999999997</v>
      </c>
    </row>
    <row r="4841" ht="14.25">
      <c r="A4841" s="5">
        <v>77548</v>
      </c>
      <c r="B4841" s="7" t="s">
        <v>4936</v>
      </c>
      <c r="C4841" s="7" t="s">
        <v>4891</v>
      </c>
      <c r="D4841" s="7" t="s">
        <v>110</v>
      </c>
      <c r="E4841" s="5" t="s">
        <v>26</v>
      </c>
      <c r="F4841" s="5"/>
      <c r="G4841" s="9">
        <f>H4841*(1-15%)*(1-F4841)</f>
        <v>65.365000000000009</v>
      </c>
      <c r="H4841" s="9">
        <v>76.900000000000006</v>
      </c>
      <c r="I4841" s="9">
        <f>H4841-G4841</f>
        <v>11.534999999999997</v>
      </c>
    </row>
    <row r="4842" ht="14.25">
      <c r="A4842" s="5">
        <v>77551</v>
      </c>
      <c r="B4842" s="7" t="s">
        <v>4937</v>
      </c>
      <c r="C4842" s="7" t="s">
        <v>4891</v>
      </c>
      <c r="D4842" s="7" t="s">
        <v>110</v>
      </c>
      <c r="E4842" s="5" t="s">
        <v>26</v>
      </c>
      <c r="F4842" s="5"/>
      <c r="G4842" s="9">
        <f>H4842*(1-15%)*(1-F4842)</f>
        <v>53.464999999999996</v>
      </c>
      <c r="H4842" s="9">
        <v>62.899999999999999</v>
      </c>
      <c r="I4842" s="9">
        <f>H4842-G4842</f>
        <v>9.4350000000000023</v>
      </c>
    </row>
    <row r="4843" ht="14.25">
      <c r="A4843" s="5">
        <v>77554</v>
      </c>
      <c r="B4843" s="7" t="s">
        <v>4938</v>
      </c>
      <c r="C4843" s="7" t="s">
        <v>4891</v>
      </c>
      <c r="D4843" s="7" t="s">
        <v>110</v>
      </c>
      <c r="E4843" s="5" t="s">
        <v>26</v>
      </c>
      <c r="F4843" s="5"/>
      <c r="G4843" s="9">
        <f>H4843*(1-15%)*(1-F4843)</f>
        <v>65.365000000000009</v>
      </c>
      <c r="H4843" s="9">
        <v>76.900000000000006</v>
      </c>
      <c r="I4843" s="9">
        <f>H4843-G4843</f>
        <v>11.534999999999997</v>
      </c>
    </row>
    <row r="4844" ht="14.25">
      <c r="A4844" s="5">
        <v>77553</v>
      </c>
      <c r="B4844" s="7" t="s">
        <v>4939</v>
      </c>
      <c r="C4844" s="7" t="s">
        <v>4891</v>
      </c>
      <c r="D4844" s="7" t="s">
        <v>110</v>
      </c>
      <c r="E4844" s="5" t="s">
        <v>26</v>
      </c>
      <c r="F4844" s="5"/>
      <c r="G4844" s="9">
        <f>H4844*(1-15%)*(1-F4844)</f>
        <v>65.365000000000009</v>
      </c>
      <c r="H4844" s="9">
        <v>76.900000000000006</v>
      </c>
      <c r="I4844" s="9">
        <f>H4844-G4844</f>
        <v>11.534999999999997</v>
      </c>
    </row>
    <row r="4845" ht="14.25">
      <c r="A4845" s="5">
        <v>77555</v>
      </c>
      <c r="B4845" s="7" t="s">
        <v>4940</v>
      </c>
      <c r="C4845" s="7" t="s">
        <v>4891</v>
      </c>
      <c r="D4845" s="7" t="s">
        <v>110</v>
      </c>
      <c r="E4845" s="5" t="s">
        <v>26</v>
      </c>
      <c r="F4845" s="5"/>
      <c r="G4845" s="9">
        <f>H4845*(1-15%)*(1-F4845)</f>
        <v>65.365000000000009</v>
      </c>
      <c r="H4845" s="9">
        <v>76.900000000000006</v>
      </c>
      <c r="I4845" s="9">
        <f>H4845-G4845</f>
        <v>11.534999999999997</v>
      </c>
    </row>
    <row r="4846" ht="14.25">
      <c r="A4846" s="5">
        <v>77556</v>
      </c>
      <c r="B4846" s="7" t="s">
        <v>4941</v>
      </c>
      <c r="C4846" s="7" t="s">
        <v>4891</v>
      </c>
      <c r="D4846" s="7" t="s">
        <v>110</v>
      </c>
      <c r="E4846" s="5" t="s">
        <v>26</v>
      </c>
      <c r="F4846" s="5"/>
      <c r="G4846" s="9">
        <f>H4846*(1-15%)*(1-F4846)</f>
        <v>65.365000000000009</v>
      </c>
      <c r="H4846" s="9">
        <v>76.900000000000006</v>
      </c>
      <c r="I4846" s="9">
        <f>H4846-G4846</f>
        <v>11.534999999999997</v>
      </c>
    </row>
    <row r="4847" ht="14.25">
      <c r="A4847" s="5">
        <v>77557</v>
      </c>
      <c r="B4847" s="7" t="s">
        <v>4942</v>
      </c>
      <c r="C4847" s="7" t="s">
        <v>4891</v>
      </c>
      <c r="D4847" s="7" t="s">
        <v>110</v>
      </c>
      <c r="E4847" s="5" t="s">
        <v>26</v>
      </c>
      <c r="F4847" s="5"/>
      <c r="G4847" s="9">
        <f>H4847*(1-15%)*(1-F4847)</f>
        <v>65.365000000000009</v>
      </c>
      <c r="H4847" s="9">
        <v>76.900000000000006</v>
      </c>
      <c r="I4847" s="9">
        <f>H4847-G4847</f>
        <v>11.534999999999997</v>
      </c>
    </row>
    <row r="4848" ht="14.25">
      <c r="A4848" s="5">
        <v>77558</v>
      </c>
      <c r="B4848" s="7" t="s">
        <v>4943</v>
      </c>
      <c r="C4848" s="7" t="s">
        <v>4891</v>
      </c>
      <c r="D4848" s="7" t="s">
        <v>110</v>
      </c>
      <c r="E4848" s="5" t="s">
        <v>26</v>
      </c>
      <c r="F4848" s="5"/>
      <c r="G4848" s="9">
        <f>H4848*(1-15%)*(1-F4848)</f>
        <v>65.365000000000009</v>
      </c>
      <c r="H4848" s="9">
        <v>76.900000000000006</v>
      </c>
      <c r="I4848" s="9">
        <f>H4848-G4848</f>
        <v>11.534999999999997</v>
      </c>
    </row>
    <row r="4849" ht="14.25">
      <c r="A4849" s="5">
        <v>77559</v>
      </c>
      <c r="B4849" s="7" t="s">
        <v>4944</v>
      </c>
      <c r="C4849" s="7" t="s">
        <v>4891</v>
      </c>
      <c r="D4849" s="7" t="s">
        <v>110</v>
      </c>
      <c r="E4849" s="5" t="s">
        <v>26</v>
      </c>
      <c r="F4849" s="5"/>
      <c r="G4849" s="9">
        <f>H4849*(1-15%)*(1-F4849)</f>
        <v>65.365000000000009</v>
      </c>
      <c r="H4849" s="9">
        <v>76.900000000000006</v>
      </c>
      <c r="I4849" s="9">
        <f>H4849-G4849</f>
        <v>11.534999999999997</v>
      </c>
    </row>
    <row r="4850" ht="14.25">
      <c r="A4850" s="5">
        <v>77561</v>
      </c>
      <c r="B4850" s="7" t="s">
        <v>4945</v>
      </c>
      <c r="C4850" s="7" t="s">
        <v>4891</v>
      </c>
      <c r="D4850" s="7" t="s">
        <v>110</v>
      </c>
      <c r="E4850" s="5" t="s">
        <v>26</v>
      </c>
      <c r="F4850" s="5"/>
      <c r="G4850" s="9">
        <f>H4850*(1-15%)*(1-F4850)</f>
        <v>65.365000000000009</v>
      </c>
      <c r="H4850" s="9">
        <v>76.900000000000006</v>
      </c>
      <c r="I4850" s="9">
        <f>H4850-G4850</f>
        <v>11.534999999999997</v>
      </c>
    </row>
    <row r="4851" ht="14.25">
      <c r="A4851" s="5">
        <v>77562</v>
      </c>
      <c r="B4851" s="7" t="s">
        <v>4946</v>
      </c>
      <c r="C4851" s="7" t="s">
        <v>4891</v>
      </c>
      <c r="D4851" s="7" t="s">
        <v>110</v>
      </c>
      <c r="E4851" s="5" t="s">
        <v>26</v>
      </c>
      <c r="F4851" s="5"/>
      <c r="G4851" s="9">
        <f>H4851*(1-15%)*(1-F4851)</f>
        <v>65.365000000000009</v>
      </c>
      <c r="H4851" s="9">
        <v>76.900000000000006</v>
      </c>
      <c r="I4851" s="9">
        <f>H4851-G4851</f>
        <v>11.534999999999997</v>
      </c>
    </row>
    <row r="4852" ht="14.25">
      <c r="A4852" s="5">
        <v>79495</v>
      </c>
      <c r="B4852" s="7" t="s">
        <v>4947</v>
      </c>
      <c r="C4852" s="7" t="s">
        <v>4891</v>
      </c>
      <c r="D4852" s="7" t="s">
        <v>110</v>
      </c>
      <c r="E4852" s="5" t="s">
        <v>26</v>
      </c>
      <c r="F4852" s="5"/>
      <c r="G4852" s="9">
        <f>H4852*(1-15%)*(1-F4852)</f>
        <v>65.365000000000009</v>
      </c>
      <c r="H4852" s="9">
        <v>76.900000000000006</v>
      </c>
      <c r="I4852" s="9">
        <f>H4852-G4852</f>
        <v>11.534999999999997</v>
      </c>
    </row>
    <row r="4853" ht="14.25">
      <c r="A4853" s="5">
        <v>79496</v>
      </c>
      <c r="B4853" s="7" t="s">
        <v>4948</v>
      </c>
      <c r="C4853" s="7" t="s">
        <v>4891</v>
      </c>
      <c r="D4853" s="7" t="s">
        <v>110</v>
      </c>
      <c r="E4853" s="5" t="s">
        <v>26</v>
      </c>
      <c r="F4853" s="5"/>
      <c r="G4853" s="9">
        <f>H4853*(1-15%)*(1-F4853)</f>
        <v>65.365000000000009</v>
      </c>
      <c r="H4853" s="9">
        <v>76.900000000000006</v>
      </c>
      <c r="I4853" s="9">
        <f>H4853-G4853</f>
        <v>11.534999999999997</v>
      </c>
    </row>
    <row r="4854" ht="14.25">
      <c r="A4854" s="5">
        <v>79497</v>
      </c>
      <c r="B4854" s="7" t="s">
        <v>4949</v>
      </c>
      <c r="C4854" s="7" t="s">
        <v>4891</v>
      </c>
      <c r="D4854" s="7" t="s">
        <v>110</v>
      </c>
      <c r="E4854" s="5" t="s">
        <v>26</v>
      </c>
      <c r="F4854" s="5"/>
      <c r="G4854" s="9">
        <f>H4854*(1-15%)*(1-F4854)</f>
        <v>65.365000000000009</v>
      </c>
      <c r="H4854" s="9">
        <v>76.900000000000006</v>
      </c>
      <c r="I4854" s="9">
        <f>H4854-G4854</f>
        <v>11.534999999999997</v>
      </c>
    </row>
    <row r="4855" ht="14.25">
      <c r="A4855" s="5">
        <v>79499</v>
      </c>
      <c r="B4855" s="7" t="s">
        <v>4950</v>
      </c>
      <c r="C4855" s="7" t="s">
        <v>4891</v>
      </c>
      <c r="D4855" s="7" t="s">
        <v>110</v>
      </c>
      <c r="E4855" s="5" t="s">
        <v>26</v>
      </c>
      <c r="F4855" s="5"/>
      <c r="G4855" s="9">
        <f>H4855*(1-15%)*(1-F4855)</f>
        <v>65.365000000000009</v>
      </c>
      <c r="H4855" s="9">
        <v>76.900000000000006</v>
      </c>
      <c r="I4855" s="9">
        <f>H4855-G4855</f>
        <v>11.534999999999997</v>
      </c>
    </row>
    <row r="4856" ht="14.25">
      <c r="A4856" s="5">
        <v>79498</v>
      </c>
      <c r="B4856" s="7" t="s">
        <v>4951</v>
      </c>
      <c r="C4856" s="7" t="s">
        <v>4891</v>
      </c>
      <c r="D4856" s="7" t="s">
        <v>110</v>
      </c>
      <c r="E4856" s="5" t="s">
        <v>26</v>
      </c>
      <c r="F4856" s="5"/>
      <c r="G4856" s="9">
        <f>H4856*(1-15%)*(1-F4856)</f>
        <v>65.365000000000009</v>
      </c>
      <c r="H4856" s="9">
        <v>76.900000000000006</v>
      </c>
      <c r="I4856" s="9">
        <f>H4856-G4856</f>
        <v>11.534999999999997</v>
      </c>
    </row>
    <row r="4857" ht="14.25">
      <c r="A4857" s="5">
        <v>79500</v>
      </c>
      <c r="B4857" s="7" t="s">
        <v>4952</v>
      </c>
      <c r="C4857" s="7" t="s">
        <v>4891</v>
      </c>
      <c r="D4857" s="7" t="s">
        <v>110</v>
      </c>
      <c r="E4857" s="5" t="s">
        <v>26</v>
      </c>
      <c r="F4857" s="5"/>
      <c r="G4857" s="9">
        <f>H4857*(1-15%)*(1-F4857)</f>
        <v>65.365000000000009</v>
      </c>
      <c r="H4857" s="9">
        <v>76.900000000000006</v>
      </c>
      <c r="I4857" s="9">
        <f>H4857-G4857</f>
        <v>11.534999999999997</v>
      </c>
    </row>
    <row r="4858" ht="14.25">
      <c r="A4858" s="5">
        <v>79501</v>
      </c>
      <c r="B4858" s="7" t="s">
        <v>4953</v>
      </c>
      <c r="C4858" s="7" t="s">
        <v>4891</v>
      </c>
      <c r="D4858" s="7" t="s">
        <v>110</v>
      </c>
      <c r="E4858" s="5" t="s">
        <v>26</v>
      </c>
      <c r="F4858" s="5"/>
      <c r="G4858" s="9">
        <f>H4858*(1-15%)*(1-F4858)</f>
        <v>65.365000000000009</v>
      </c>
      <c r="H4858" s="9">
        <v>76.900000000000006</v>
      </c>
      <c r="I4858" s="9">
        <f>H4858-G4858</f>
        <v>11.534999999999997</v>
      </c>
    </row>
    <row r="4859" ht="14.25">
      <c r="A4859" s="5">
        <v>79480</v>
      </c>
      <c r="B4859" s="7" t="s">
        <v>4954</v>
      </c>
      <c r="C4859" s="7" t="s">
        <v>4891</v>
      </c>
      <c r="D4859" s="7" t="s">
        <v>219</v>
      </c>
      <c r="E4859" s="5" t="s">
        <v>26</v>
      </c>
      <c r="F4859" s="5"/>
      <c r="G4859" s="9">
        <f>H4859*(1-15%)*(1-F4859)</f>
        <v>67.915000000000006</v>
      </c>
      <c r="H4859" s="9">
        <v>79.900000000000006</v>
      </c>
      <c r="I4859" s="9">
        <f>H4859-G4859</f>
        <v>11.984999999999999</v>
      </c>
    </row>
    <row r="4860" ht="14.25">
      <c r="A4860" s="5">
        <v>81496</v>
      </c>
      <c r="B4860" s="7" t="s">
        <v>4955</v>
      </c>
      <c r="C4860" s="7" t="s">
        <v>4891</v>
      </c>
      <c r="D4860" s="7" t="s">
        <v>219</v>
      </c>
      <c r="E4860" s="5" t="s">
        <v>26</v>
      </c>
      <c r="F4860" s="5"/>
      <c r="G4860" s="9">
        <f>H4860*(1-15%)*(1-F4860)</f>
        <v>110.41500000000001</v>
      </c>
      <c r="H4860" s="9">
        <v>129.90000000000001</v>
      </c>
      <c r="I4860" s="9">
        <f>H4860-G4860</f>
        <v>19.484999999999999</v>
      </c>
    </row>
    <row r="4861" ht="14.25">
      <c r="A4861" s="5">
        <v>75225</v>
      </c>
      <c r="B4861" s="7" t="s">
        <v>4956</v>
      </c>
      <c r="C4861" s="7" t="s">
        <v>4891</v>
      </c>
      <c r="D4861" s="7" t="s">
        <v>110</v>
      </c>
      <c r="E4861" s="5" t="s">
        <v>26</v>
      </c>
      <c r="F4861" s="5"/>
      <c r="G4861" s="9">
        <f>H4861*(1-15%)*(1-F4861)</f>
        <v>50.064999999999998</v>
      </c>
      <c r="H4861" s="9">
        <v>58.899999999999999</v>
      </c>
      <c r="I4861" s="9">
        <f>H4861-G4861</f>
        <v>8.8350000000000009</v>
      </c>
    </row>
    <row r="4862" ht="14.25">
      <c r="A4862" s="5">
        <v>79451</v>
      </c>
      <c r="B4862" s="7" t="s">
        <v>4957</v>
      </c>
      <c r="C4862" s="7" t="s">
        <v>4891</v>
      </c>
      <c r="D4862" s="7" t="s">
        <v>110</v>
      </c>
      <c r="E4862" s="5" t="s">
        <v>43</v>
      </c>
      <c r="F4862" s="5"/>
      <c r="G4862" s="9">
        <f>H4862*(1-15%)*(1-F4862)</f>
        <v>44.964999999999996</v>
      </c>
      <c r="H4862" s="9">
        <v>52.899999999999999</v>
      </c>
      <c r="I4862" s="9">
        <f>H4862-G4862</f>
        <v>7.9350000000000023</v>
      </c>
    </row>
    <row r="4863" ht="14.25">
      <c r="A4863" s="5">
        <v>79440</v>
      </c>
      <c r="B4863" s="7" t="s">
        <v>4958</v>
      </c>
      <c r="C4863" s="7" t="s">
        <v>4891</v>
      </c>
      <c r="D4863" s="7" t="s">
        <v>110</v>
      </c>
      <c r="E4863" s="5" t="s">
        <v>43</v>
      </c>
      <c r="F4863" s="5"/>
      <c r="G4863" s="9">
        <f>H4863*(1-15%)*(1-F4863)</f>
        <v>59.415000000000006</v>
      </c>
      <c r="H4863" s="9">
        <v>69.900000000000006</v>
      </c>
      <c r="I4863" s="9">
        <f>H4863-G4863</f>
        <v>10.484999999999999</v>
      </c>
    </row>
    <row r="4864" ht="14.25">
      <c r="A4864" s="5">
        <v>79439</v>
      </c>
      <c r="B4864" s="7" t="s">
        <v>4959</v>
      </c>
      <c r="C4864" s="7" t="s">
        <v>4891</v>
      </c>
      <c r="D4864" s="7" t="s">
        <v>110</v>
      </c>
      <c r="E4864" s="5" t="s">
        <v>43</v>
      </c>
      <c r="F4864" s="5"/>
      <c r="G4864" s="9">
        <f>H4864*(1-15%)*(1-F4864)</f>
        <v>59.415000000000006</v>
      </c>
      <c r="H4864" s="9">
        <v>69.900000000000006</v>
      </c>
      <c r="I4864" s="9">
        <f>H4864-G4864</f>
        <v>10.484999999999999</v>
      </c>
    </row>
    <row r="4865" ht="14.25">
      <c r="A4865" s="5">
        <v>75234</v>
      </c>
      <c r="B4865" s="7" t="s">
        <v>4960</v>
      </c>
      <c r="C4865" s="7" t="s">
        <v>4891</v>
      </c>
      <c r="D4865" s="7" t="s">
        <v>110</v>
      </c>
      <c r="E4865" s="5" t="s">
        <v>26</v>
      </c>
      <c r="F4865" s="5"/>
      <c r="G4865" s="9">
        <f>H4865*(1-15%)*(1-F4865)</f>
        <v>50.064999999999998</v>
      </c>
      <c r="H4865" s="9">
        <v>58.899999999999999</v>
      </c>
      <c r="I4865" s="9">
        <f>H4865-G4865</f>
        <v>8.8350000000000009</v>
      </c>
    </row>
    <row r="4866" ht="14.25">
      <c r="A4866" s="5">
        <v>75243</v>
      </c>
      <c r="B4866" s="7" t="s">
        <v>4961</v>
      </c>
      <c r="C4866" s="7" t="s">
        <v>4891</v>
      </c>
      <c r="D4866" s="7" t="s">
        <v>110</v>
      </c>
      <c r="E4866" s="5" t="s">
        <v>26</v>
      </c>
      <c r="F4866" s="5"/>
      <c r="G4866" s="9">
        <f>H4866*(1-15%)*(1-F4866)</f>
        <v>50.064999999999998</v>
      </c>
      <c r="H4866" s="9">
        <v>58.899999999999999</v>
      </c>
      <c r="I4866" s="9">
        <f>H4866-G4866</f>
        <v>8.8350000000000009</v>
      </c>
    </row>
    <row r="4867" ht="14.25">
      <c r="A4867" s="5">
        <v>72706</v>
      </c>
      <c r="B4867" s="7" t="s">
        <v>4962</v>
      </c>
      <c r="C4867" s="7" t="s">
        <v>4891</v>
      </c>
      <c r="D4867" s="7" t="s">
        <v>110</v>
      </c>
      <c r="E4867" s="5" t="s">
        <v>26</v>
      </c>
      <c r="F4867" s="5"/>
      <c r="G4867" s="9">
        <f>H4867*(1-15%)*(1-F4867)</f>
        <v>49.214999999999996</v>
      </c>
      <c r="H4867" s="9">
        <v>57.899999999999999</v>
      </c>
      <c r="I4867" s="9">
        <f>H4867-G4867</f>
        <v>8.6850000000000023</v>
      </c>
    </row>
    <row r="4868" ht="14.25">
      <c r="A4868" s="5">
        <v>75238</v>
      </c>
      <c r="B4868" s="7" t="s">
        <v>4963</v>
      </c>
      <c r="C4868" s="7" t="s">
        <v>4891</v>
      </c>
      <c r="D4868" s="7" t="s">
        <v>110</v>
      </c>
      <c r="E4868" s="5" t="s">
        <v>26</v>
      </c>
      <c r="F4868" s="5"/>
      <c r="G4868" s="9">
        <f>H4868*(1-15%)*(1-F4868)</f>
        <v>50.064999999999998</v>
      </c>
      <c r="H4868" s="9">
        <v>58.899999999999999</v>
      </c>
      <c r="I4868" s="9">
        <f>H4868-G4868</f>
        <v>8.8350000000000009</v>
      </c>
    </row>
    <row r="4869" ht="14.25">
      <c r="A4869" s="5">
        <v>75239</v>
      </c>
      <c r="B4869" s="7" t="s">
        <v>4964</v>
      </c>
      <c r="C4869" s="7" t="s">
        <v>4891</v>
      </c>
      <c r="D4869" s="7" t="s">
        <v>110</v>
      </c>
      <c r="E4869" s="5" t="s">
        <v>26</v>
      </c>
      <c r="F4869" s="5"/>
      <c r="G4869" s="9">
        <f>H4869*(1-15%)*(1-F4869)</f>
        <v>50.064999999999998</v>
      </c>
      <c r="H4869" s="9">
        <v>58.899999999999999</v>
      </c>
      <c r="I4869" s="9">
        <f>H4869-G4869</f>
        <v>8.8350000000000009</v>
      </c>
    </row>
    <row r="4870" ht="14.25">
      <c r="A4870" s="5">
        <v>75890</v>
      </c>
      <c r="B4870" s="7" t="s">
        <v>4965</v>
      </c>
      <c r="C4870" s="7" t="s">
        <v>4891</v>
      </c>
      <c r="D4870" s="7" t="s">
        <v>110</v>
      </c>
      <c r="E4870" s="5" t="s">
        <v>26</v>
      </c>
      <c r="F4870" s="5"/>
      <c r="G4870" s="9">
        <f>H4870*(1-15%)*(1-F4870)</f>
        <v>65.365000000000009</v>
      </c>
      <c r="H4870" s="9">
        <v>76.900000000000006</v>
      </c>
      <c r="I4870" s="9">
        <f>H4870-G4870</f>
        <v>11.534999999999997</v>
      </c>
    </row>
    <row r="4871" ht="14.25">
      <c r="A4871" s="5">
        <v>75889</v>
      </c>
      <c r="B4871" s="7" t="s">
        <v>4966</v>
      </c>
      <c r="C4871" s="7" t="s">
        <v>4891</v>
      </c>
      <c r="D4871" s="7" t="s">
        <v>110</v>
      </c>
      <c r="E4871" s="5" t="s">
        <v>26</v>
      </c>
      <c r="F4871" s="5"/>
      <c r="G4871" s="9">
        <f>H4871*(1-15%)*(1-F4871)</f>
        <v>65.365000000000009</v>
      </c>
      <c r="H4871" s="9">
        <v>76.900000000000006</v>
      </c>
      <c r="I4871" s="9">
        <f>H4871-G4871</f>
        <v>11.534999999999997</v>
      </c>
    </row>
    <row r="4872" ht="14.25">
      <c r="A4872" s="5">
        <v>76661</v>
      </c>
      <c r="B4872" s="7" t="s">
        <v>4967</v>
      </c>
      <c r="C4872" s="7" t="s">
        <v>4891</v>
      </c>
      <c r="D4872" s="7" t="s">
        <v>110</v>
      </c>
      <c r="E4872" s="5" t="s">
        <v>39</v>
      </c>
      <c r="F4872" s="5"/>
      <c r="G4872" s="9">
        <f>H4872*(1-15%)*(1-F4872)</f>
        <v>48.364999999999995</v>
      </c>
      <c r="H4872" s="9">
        <v>56.899999999999999</v>
      </c>
      <c r="I4872" s="9">
        <f>H4872-G4872</f>
        <v>8.5350000000000037</v>
      </c>
    </row>
    <row r="4873" ht="14.25">
      <c r="A4873" s="5">
        <v>77835</v>
      </c>
      <c r="B4873" s="7" t="s">
        <v>4968</v>
      </c>
      <c r="C4873" s="7" t="s">
        <v>4891</v>
      </c>
      <c r="D4873" s="7" t="s">
        <v>110</v>
      </c>
      <c r="E4873" s="5" t="s">
        <v>43</v>
      </c>
      <c r="F4873" s="5"/>
      <c r="G4873" s="9">
        <f>H4873*(1-15%)*(1-F4873)</f>
        <v>46.664999999999999</v>
      </c>
      <c r="H4873" s="9">
        <v>54.899999999999999</v>
      </c>
      <c r="I4873" s="9">
        <f>H4873-G4873</f>
        <v>8.2349999999999994</v>
      </c>
    </row>
    <row r="4874" ht="14.25">
      <c r="A4874" s="5">
        <v>79452</v>
      </c>
      <c r="B4874" s="7" t="s">
        <v>4969</v>
      </c>
      <c r="C4874" s="7" t="s">
        <v>4891</v>
      </c>
      <c r="D4874" s="7" t="s">
        <v>110</v>
      </c>
      <c r="E4874" s="5" t="s">
        <v>43</v>
      </c>
      <c r="F4874" s="5"/>
      <c r="G4874" s="9">
        <f>H4874*(1-15%)*(1-F4874)</f>
        <v>44.964999999999996</v>
      </c>
      <c r="H4874" s="9">
        <v>52.899999999999999</v>
      </c>
      <c r="I4874" s="9">
        <f>H4874-G4874</f>
        <v>7.9350000000000023</v>
      </c>
    </row>
    <row r="4875" ht="14.25">
      <c r="A4875" s="5">
        <v>80444</v>
      </c>
      <c r="B4875" s="7" t="s">
        <v>4970</v>
      </c>
      <c r="C4875" s="7" t="s">
        <v>4891</v>
      </c>
      <c r="D4875" s="7" t="s">
        <v>110</v>
      </c>
      <c r="E4875" s="5" t="s">
        <v>43</v>
      </c>
      <c r="F4875" s="5"/>
      <c r="G4875" s="9">
        <f>H4875*(1-15%)*(1-F4875)</f>
        <v>49.214999999999996</v>
      </c>
      <c r="H4875" s="9">
        <v>57.899999999999999</v>
      </c>
      <c r="I4875" s="9">
        <f>H4875-G4875</f>
        <v>8.6850000000000023</v>
      </c>
    </row>
    <row r="4876" ht="14.25">
      <c r="A4876" s="5">
        <v>80479</v>
      </c>
      <c r="B4876" s="7" t="s">
        <v>4971</v>
      </c>
      <c r="C4876" s="7" t="s">
        <v>4891</v>
      </c>
      <c r="D4876" s="7" t="s">
        <v>110</v>
      </c>
      <c r="E4876" s="5" t="s">
        <v>43</v>
      </c>
      <c r="F4876" s="5"/>
      <c r="G4876" s="9">
        <f>H4876*(1-15%)*(1-F4876)</f>
        <v>49.214999999999996</v>
      </c>
      <c r="H4876" s="9">
        <v>57.899999999999999</v>
      </c>
      <c r="I4876" s="9">
        <f>H4876-G4876</f>
        <v>8.6850000000000023</v>
      </c>
    </row>
    <row r="4877" ht="14.25">
      <c r="A4877" s="5">
        <v>79434</v>
      </c>
      <c r="B4877" s="7" t="s">
        <v>4972</v>
      </c>
      <c r="C4877" s="7" t="s">
        <v>4891</v>
      </c>
      <c r="D4877" s="7" t="s">
        <v>110</v>
      </c>
      <c r="E4877" s="5" t="s">
        <v>43</v>
      </c>
      <c r="F4877" s="5"/>
      <c r="G4877" s="9">
        <f>H4877*(1-15%)*(1-F4877)</f>
        <v>46.664999999999999</v>
      </c>
      <c r="H4877" s="9">
        <v>54.899999999999999</v>
      </c>
      <c r="I4877" s="9">
        <f>H4877-G4877</f>
        <v>8.2349999999999994</v>
      </c>
    </row>
    <row r="4878" ht="14.25">
      <c r="A4878" s="5">
        <v>79437</v>
      </c>
      <c r="B4878" s="7" t="s">
        <v>4973</v>
      </c>
      <c r="C4878" s="7" t="s">
        <v>4891</v>
      </c>
      <c r="D4878" s="7" t="s">
        <v>110</v>
      </c>
      <c r="E4878" s="5" t="s">
        <v>43</v>
      </c>
      <c r="F4878" s="5"/>
      <c r="G4878" s="9">
        <f>H4878*(1-15%)*(1-F4878)</f>
        <v>46.664999999999999</v>
      </c>
      <c r="H4878" s="9">
        <v>54.899999999999999</v>
      </c>
      <c r="I4878" s="9">
        <f>H4878-G4878</f>
        <v>8.2349999999999994</v>
      </c>
    </row>
    <row r="4879" ht="14.25">
      <c r="A4879" s="5">
        <v>81727</v>
      </c>
      <c r="B4879" s="7" t="s">
        <v>4974</v>
      </c>
      <c r="C4879" s="7" t="s">
        <v>4891</v>
      </c>
      <c r="D4879" s="7" t="s">
        <v>110</v>
      </c>
      <c r="E4879" s="5" t="s">
        <v>26</v>
      </c>
      <c r="F4879" s="5"/>
      <c r="G4879" s="9">
        <f>H4879*(1-15%)*(1-F4879)</f>
        <v>55.165000000000006</v>
      </c>
      <c r="H4879" s="9">
        <v>64.900000000000006</v>
      </c>
      <c r="I4879" s="9">
        <f>H4879-G4879</f>
        <v>9.7349999999999994</v>
      </c>
    </row>
    <row r="4880" ht="14.25">
      <c r="A4880" s="5">
        <v>81728</v>
      </c>
      <c r="B4880" s="7" t="s">
        <v>4975</v>
      </c>
      <c r="C4880" s="7" t="s">
        <v>4891</v>
      </c>
      <c r="D4880" s="7" t="s">
        <v>110</v>
      </c>
      <c r="E4880" s="5" t="s">
        <v>26</v>
      </c>
      <c r="F4880" s="5"/>
      <c r="G4880" s="9">
        <f>H4880*(1-15%)*(1-F4880)</f>
        <v>65.365000000000009</v>
      </c>
      <c r="H4880" s="9">
        <v>76.900000000000006</v>
      </c>
      <c r="I4880" s="9">
        <f>H4880-G4880</f>
        <v>11.534999999999997</v>
      </c>
    </row>
    <row r="4881" ht="14.25">
      <c r="A4881" s="5">
        <v>81726</v>
      </c>
      <c r="B4881" s="7" t="s">
        <v>4976</v>
      </c>
      <c r="C4881" s="7" t="s">
        <v>4891</v>
      </c>
      <c r="D4881" s="7" t="s">
        <v>110</v>
      </c>
      <c r="E4881" s="5" t="s">
        <v>26</v>
      </c>
      <c r="F4881" s="5"/>
      <c r="G4881" s="9">
        <f>H4881*(1-15%)*(1-F4881)</f>
        <v>55.165000000000006</v>
      </c>
      <c r="H4881" s="9">
        <v>64.900000000000006</v>
      </c>
      <c r="I4881" s="9">
        <f>H4881-G4881</f>
        <v>9.7349999999999994</v>
      </c>
    </row>
    <row r="4882" ht="14.25">
      <c r="A4882" s="5">
        <v>81932</v>
      </c>
      <c r="B4882" s="7" t="s">
        <v>4977</v>
      </c>
      <c r="C4882" s="7" t="s">
        <v>4891</v>
      </c>
      <c r="D4882" s="7" t="s">
        <v>110</v>
      </c>
      <c r="E4882" s="5" t="s">
        <v>26</v>
      </c>
      <c r="F4882" s="5"/>
      <c r="G4882" s="9">
        <f>H4882*(1-15%)*(1-F4882)</f>
        <v>65.365000000000009</v>
      </c>
      <c r="H4882" s="9">
        <v>76.900000000000006</v>
      </c>
      <c r="I4882" s="9">
        <f>H4882-G4882</f>
        <v>11.534999999999997</v>
      </c>
    </row>
    <row r="4883" ht="14.25">
      <c r="A4883" s="5">
        <v>77816</v>
      </c>
      <c r="B4883" s="7" t="s">
        <v>4978</v>
      </c>
      <c r="C4883" s="7" t="s">
        <v>4891</v>
      </c>
      <c r="D4883" s="7" t="s">
        <v>110</v>
      </c>
      <c r="E4883" s="5" t="s">
        <v>43</v>
      </c>
      <c r="F4883" s="5"/>
      <c r="G4883" s="9">
        <f>H4883*(1-15%)*(1-F4883)</f>
        <v>40.714999999999996</v>
      </c>
      <c r="H4883" s="9">
        <v>47.899999999999999</v>
      </c>
      <c r="I4883" s="9">
        <f>H4883-G4883</f>
        <v>7.1850000000000023</v>
      </c>
    </row>
    <row r="4884" ht="14.25">
      <c r="A4884" s="5">
        <v>77818</v>
      </c>
      <c r="B4884" s="7" t="s">
        <v>4979</v>
      </c>
      <c r="C4884" s="7" t="s">
        <v>4891</v>
      </c>
      <c r="D4884" s="7" t="s">
        <v>110</v>
      </c>
      <c r="E4884" s="5" t="s">
        <v>43</v>
      </c>
      <c r="F4884" s="5"/>
      <c r="G4884" s="9">
        <f>H4884*(1-15%)*(1-F4884)</f>
        <v>40.714999999999996</v>
      </c>
      <c r="H4884" s="9">
        <v>47.899999999999999</v>
      </c>
      <c r="I4884" s="9">
        <f>H4884-G4884</f>
        <v>7.1850000000000023</v>
      </c>
    </row>
    <row r="4885" ht="14.25">
      <c r="A4885" s="5">
        <v>77821</v>
      </c>
      <c r="B4885" s="7" t="s">
        <v>4980</v>
      </c>
      <c r="C4885" s="7" t="s">
        <v>4891</v>
      </c>
      <c r="D4885" s="7" t="s">
        <v>110</v>
      </c>
      <c r="E4885" s="5" t="s">
        <v>43</v>
      </c>
      <c r="F4885" s="5"/>
      <c r="G4885" s="9">
        <f>H4885*(1-15%)*(1-F4885)</f>
        <v>40.714999999999996</v>
      </c>
      <c r="H4885" s="9">
        <v>47.899999999999999</v>
      </c>
      <c r="I4885" s="9">
        <f>H4885-G4885</f>
        <v>7.1850000000000023</v>
      </c>
    </row>
    <row r="4886" ht="14.25">
      <c r="A4886" s="5">
        <v>77826</v>
      </c>
      <c r="B4886" s="7" t="s">
        <v>4981</v>
      </c>
      <c r="C4886" s="7" t="s">
        <v>4891</v>
      </c>
      <c r="D4886" s="7" t="s">
        <v>110</v>
      </c>
      <c r="E4886" s="5" t="s">
        <v>43</v>
      </c>
      <c r="F4886" s="5"/>
      <c r="G4886" s="9">
        <f>H4886*(1-15%)*(1-F4886)</f>
        <v>40.714999999999996</v>
      </c>
      <c r="H4886" s="9">
        <v>47.899999999999999</v>
      </c>
      <c r="I4886" s="9">
        <f>H4886-G4886</f>
        <v>7.1850000000000023</v>
      </c>
    </row>
    <row r="4887" ht="14.25">
      <c r="A4887" s="5">
        <v>77819</v>
      </c>
      <c r="B4887" s="7" t="s">
        <v>4982</v>
      </c>
      <c r="C4887" s="7" t="s">
        <v>4891</v>
      </c>
      <c r="D4887" s="7" t="s">
        <v>110</v>
      </c>
      <c r="E4887" s="5" t="s">
        <v>43</v>
      </c>
      <c r="F4887" s="5"/>
      <c r="G4887" s="9">
        <f>H4887*(1-15%)*(1-F4887)</f>
        <v>40.714999999999996</v>
      </c>
      <c r="H4887" s="9">
        <v>47.899999999999999</v>
      </c>
      <c r="I4887" s="9">
        <f>H4887-G4887</f>
        <v>7.1850000000000023</v>
      </c>
    </row>
    <row r="4888" ht="14.25">
      <c r="A4888" s="5">
        <v>77829</v>
      </c>
      <c r="B4888" s="7" t="s">
        <v>4983</v>
      </c>
      <c r="C4888" s="7" t="s">
        <v>4891</v>
      </c>
      <c r="D4888" s="7" t="s">
        <v>110</v>
      </c>
      <c r="E4888" s="5" t="s">
        <v>43</v>
      </c>
      <c r="F4888" s="5"/>
      <c r="G4888" s="9">
        <f>H4888*(1-15%)*(1-F4888)</f>
        <v>40.714999999999996</v>
      </c>
      <c r="H4888" s="9">
        <v>47.899999999999999</v>
      </c>
      <c r="I4888" s="9">
        <f>H4888-G4888</f>
        <v>7.1850000000000023</v>
      </c>
    </row>
    <row r="4889" ht="14.25">
      <c r="A4889" s="5">
        <v>75222</v>
      </c>
      <c r="B4889" s="7" t="s">
        <v>4984</v>
      </c>
      <c r="C4889" s="7" t="s">
        <v>4891</v>
      </c>
      <c r="D4889" s="7" t="s">
        <v>110</v>
      </c>
      <c r="E4889" s="5" t="s">
        <v>26</v>
      </c>
      <c r="F4889" s="5"/>
      <c r="G4889" s="9">
        <f>H4889*(1-15%)*(1-F4889)</f>
        <v>50.064999999999998</v>
      </c>
      <c r="H4889" s="9">
        <v>58.899999999999999</v>
      </c>
      <c r="I4889" s="9">
        <f>H4889-G4889</f>
        <v>8.8350000000000009</v>
      </c>
    </row>
    <row r="4890" ht="14.25">
      <c r="A4890" s="5">
        <v>75221</v>
      </c>
      <c r="B4890" s="7" t="s">
        <v>4985</v>
      </c>
      <c r="C4890" s="7" t="s">
        <v>4891</v>
      </c>
      <c r="D4890" s="7" t="s">
        <v>110</v>
      </c>
      <c r="E4890" s="5" t="s">
        <v>26</v>
      </c>
      <c r="F4890" s="5"/>
      <c r="G4890" s="9">
        <f>H4890*(1-15%)*(1-F4890)</f>
        <v>50.064999999999998</v>
      </c>
      <c r="H4890" s="9">
        <v>58.899999999999999</v>
      </c>
      <c r="I4890" s="9">
        <f>H4890-G4890</f>
        <v>8.8350000000000009</v>
      </c>
    </row>
    <row r="4891" ht="14.25">
      <c r="A4891" s="5">
        <v>75246</v>
      </c>
      <c r="B4891" s="7" t="s">
        <v>4986</v>
      </c>
      <c r="C4891" s="7" t="s">
        <v>4891</v>
      </c>
      <c r="D4891" s="7" t="s">
        <v>110</v>
      </c>
      <c r="E4891" s="5" t="s">
        <v>26</v>
      </c>
      <c r="F4891" s="5"/>
      <c r="G4891" s="9">
        <f>H4891*(1-15%)*(1-F4891)</f>
        <v>50.064999999999998</v>
      </c>
      <c r="H4891" s="9">
        <v>58.899999999999999</v>
      </c>
      <c r="I4891" s="9">
        <f>H4891-G4891</f>
        <v>8.8350000000000009</v>
      </c>
    </row>
    <row r="4892" ht="14.25">
      <c r="A4892" s="5">
        <v>75224</v>
      </c>
      <c r="B4892" s="7" t="s">
        <v>4987</v>
      </c>
      <c r="C4892" s="7" t="s">
        <v>4891</v>
      </c>
      <c r="D4892" s="7" t="s">
        <v>110</v>
      </c>
      <c r="E4892" s="5" t="s">
        <v>26</v>
      </c>
      <c r="F4892" s="5"/>
      <c r="G4892" s="9">
        <f>H4892*(1-15%)*(1-F4892)</f>
        <v>50.064999999999998</v>
      </c>
      <c r="H4892" s="9">
        <v>58.899999999999999</v>
      </c>
      <c r="I4892" s="9">
        <f>H4892-G4892</f>
        <v>8.8350000000000009</v>
      </c>
    </row>
    <row r="4893" ht="14.25">
      <c r="A4893" s="5">
        <v>75320</v>
      </c>
      <c r="B4893" s="7" t="s">
        <v>4988</v>
      </c>
      <c r="C4893" s="7" t="s">
        <v>4891</v>
      </c>
      <c r="D4893" s="7" t="s">
        <v>110</v>
      </c>
      <c r="E4893" s="5" t="s">
        <v>43</v>
      </c>
      <c r="F4893" s="5"/>
      <c r="G4893" s="9">
        <f>H4893*(1-15%)*(1-F4893)</f>
        <v>44.964999999999996</v>
      </c>
      <c r="H4893" s="9">
        <v>52.899999999999999</v>
      </c>
      <c r="I4893" s="9">
        <f>H4893-G4893</f>
        <v>7.9350000000000023</v>
      </c>
    </row>
    <row r="4894" ht="14.25">
      <c r="A4894" s="5">
        <v>75316</v>
      </c>
      <c r="B4894" s="7" t="s">
        <v>4989</v>
      </c>
      <c r="C4894" s="7" t="s">
        <v>4891</v>
      </c>
      <c r="D4894" s="7" t="s">
        <v>110</v>
      </c>
      <c r="E4894" s="5" t="s">
        <v>43</v>
      </c>
      <c r="F4894" s="5"/>
      <c r="G4894" s="9">
        <f>H4894*(1-15%)*(1-F4894)</f>
        <v>44.964999999999996</v>
      </c>
      <c r="H4894" s="9">
        <v>52.899999999999999</v>
      </c>
      <c r="I4894" s="9">
        <f>H4894-G4894</f>
        <v>7.9350000000000023</v>
      </c>
    </row>
    <row r="4895" ht="14.25">
      <c r="A4895" s="5">
        <v>75315</v>
      </c>
      <c r="B4895" s="7" t="s">
        <v>4990</v>
      </c>
      <c r="C4895" s="7" t="s">
        <v>4891</v>
      </c>
      <c r="D4895" s="7" t="s">
        <v>110</v>
      </c>
      <c r="E4895" s="5" t="s">
        <v>43</v>
      </c>
      <c r="F4895" s="5"/>
      <c r="G4895" s="9">
        <f>H4895*(1-15%)*(1-F4895)</f>
        <v>44.964999999999996</v>
      </c>
      <c r="H4895" s="9">
        <v>52.899999999999999</v>
      </c>
      <c r="I4895" s="9">
        <f>H4895-G4895</f>
        <v>7.9350000000000023</v>
      </c>
    </row>
    <row r="4896" ht="14.25">
      <c r="A4896" s="5">
        <v>75313</v>
      </c>
      <c r="B4896" s="7" t="s">
        <v>4991</v>
      </c>
      <c r="C4896" s="7" t="s">
        <v>4891</v>
      </c>
      <c r="D4896" s="7" t="s">
        <v>110</v>
      </c>
      <c r="E4896" s="5" t="s">
        <v>43</v>
      </c>
      <c r="F4896" s="5"/>
      <c r="G4896" s="9">
        <f>H4896*(1-15%)*(1-F4896)</f>
        <v>44.964999999999996</v>
      </c>
      <c r="H4896" s="9">
        <v>52.899999999999999</v>
      </c>
      <c r="I4896" s="9">
        <f>H4896-G4896</f>
        <v>7.9350000000000023</v>
      </c>
    </row>
    <row r="4897" ht="14.25">
      <c r="A4897" s="5">
        <v>75318</v>
      </c>
      <c r="B4897" s="7" t="s">
        <v>4992</v>
      </c>
      <c r="C4897" s="7" t="s">
        <v>4891</v>
      </c>
      <c r="D4897" s="7" t="s">
        <v>110</v>
      </c>
      <c r="E4897" s="5" t="s">
        <v>43</v>
      </c>
      <c r="F4897" s="5"/>
      <c r="G4897" s="9">
        <f>H4897*(1-15%)*(1-F4897)</f>
        <v>44.964999999999996</v>
      </c>
      <c r="H4897" s="9">
        <v>52.899999999999999</v>
      </c>
      <c r="I4897" s="9">
        <f>H4897-G4897</f>
        <v>7.9350000000000023</v>
      </c>
    </row>
    <row r="4898" ht="14.25">
      <c r="A4898" s="5">
        <v>75300</v>
      </c>
      <c r="B4898" s="7" t="s">
        <v>4993</v>
      </c>
      <c r="C4898" s="7" t="s">
        <v>4891</v>
      </c>
      <c r="D4898" s="7" t="s">
        <v>110</v>
      </c>
      <c r="E4898" s="5" t="s">
        <v>43</v>
      </c>
      <c r="F4898" s="5"/>
      <c r="G4898" s="9">
        <f>H4898*(1-15%)*(1-F4898)</f>
        <v>44.964999999999996</v>
      </c>
      <c r="H4898" s="9">
        <v>52.899999999999999</v>
      </c>
      <c r="I4898" s="9">
        <f>H4898-G4898</f>
        <v>7.9350000000000023</v>
      </c>
    </row>
    <row r="4899" ht="14.25">
      <c r="A4899" s="5">
        <v>75299</v>
      </c>
      <c r="B4899" s="7" t="s">
        <v>4994</v>
      </c>
      <c r="C4899" s="7" t="s">
        <v>4891</v>
      </c>
      <c r="D4899" s="7" t="s">
        <v>110</v>
      </c>
      <c r="E4899" s="5" t="s">
        <v>43</v>
      </c>
      <c r="F4899" s="5"/>
      <c r="G4899" s="9">
        <f>H4899*(1-15%)*(1-F4899)</f>
        <v>44.964999999999996</v>
      </c>
      <c r="H4899" s="9">
        <v>52.899999999999999</v>
      </c>
      <c r="I4899" s="9">
        <f>H4899-G4899</f>
        <v>7.9350000000000023</v>
      </c>
    </row>
    <row r="4900" ht="14.25">
      <c r="A4900" s="5">
        <v>75296</v>
      </c>
      <c r="B4900" s="7" t="s">
        <v>4995</v>
      </c>
      <c r="C4900" s="7" t="s">
        <v>4891</v>
      </c>
      <c r="D4900" s="7" t="s">
        <v>110</v>
      </c>
      <c r="E4900" s="5" t="s">
        <v>43</v>
      </c>
      <c r="F4900" s="5"/>
      <c r="G4900" s="9">
        <f>H4900*(1-15%)*(1-F4900)</f>
        <v>44.964999999999996</v>
      </c>
      <c r="H4900" s="9">
        <v>52.899999999999999</v>
      </c>
      <c r="I4900" s="9">
        <f>H4900-G4900</f>
        <v>7.9350000000000023</v>
      </c>
    </row>
    <row r="4901" ht="14.25">
      <c r="A4901" s="5">
        <v>75294</v>
      </c>
      <c r="B4901" s="7" t="s">
        <v>4996</v>
      </c>
      <c r="C4901" s="7" t="s">
        <v>4891</v>
      </c>
      <c r="D4901" s="7" t="s">
        <v>110</v>
      </c>
      <c r="E4901" s="5" t="s">
        <v>43</v>
      </c>
      <c r="F4901" s="5"/>
      <c r="G4901" s="9">
        <f>H4901*(1-15%)*(1-F4901)</f>
        <v>44.964999999999996</v>
      </c>
      <c r="H4901" s="9">
        <v>52.899999999999999</v>
      </c>
      <c r="I4901" s="9">
        <f>H4901-G4901</f>
        <v>7.9350000000000023</v>
      </c>
    </row>
    <row r="4902" ht="14.25">
      <c r="A4902" s="5">
        <v>75293</v>
      </c>
      <c r="B4902" s="7" t="s">
        <v>4997</v>
      </c>
      <c r="C4902" s="7" t="s">
        <v>4891</v>
      </c>
      <c r="D4902" s="7" t="s">
        <v>110</v>
      </c>
      <c r="E4902" s="5" t="s">
        <v>43</v>
      </c>
      <c r="F4902" s="5"/>
      <c r="G4902" s="9">
        <f>H4902*(1-15%)*(1-F4902)</f>
        <v>44.964999999999996</v>
      </c>
      <c r="H4902" s="9">
        <v>52.899999999999999</v>
      </c>
      <c r="I4902" s="9">
        <f>H4902-G4902</f>
        <v>7.9350000000000023</v>
      </c>
    </row>
    <row r="4903" ht="14.25">
      <c r="A4903" s="5">
        <v>75228</v>
      </c>
      <c r="B4903" s="7" t="s">
        <v>4998</v>
      </c>
      <c r="C4903" s="7" t="s">
        <v>4891</v>
      </c>
      <c r="D4903" s="7" t="s">
        <v>110</v>
      </c>
      <c r="E4903" s="5" t="s">
        <v>26</v>
      </c>
      <c r="F4903" s="5"/>
      <c r="G4903" s="9">
        <f>H4903*(1-15%)*(1-F4903)</f>
        <v>50.064999999999998</v>
      </c>
      <c r="H4903" s="9">
        <v>58.899999999999999</v>
      </c>
      <c r="I4903" s="9">
        <f>H4903-G4903</f>
        <v>8.8350000000000009</v>
      </c>
    </row>
    <row r="4904" ht="14.25">
      <c r="A4904" s="5">
        <v>75223</v>
      </c>
      <c r="B4904" s="7" t="s">
        <v>4999</v>
      </c>
      <c r="C4904" s="7" t="s">
        <v>4891</v>
      </c>
      <c r="D4904" s="7" t="s">
        <v>110</v>
      </c>
      <c r="E4904" s="5" t="s">
        <v>26</v>
      </c>
      <c r="F4904" s="5"/>
      <c r="G4904" s="9">
        <f>H4904*(1-15%)*(1-F4904)</f>
        <v>50.064999999999998</v>
      </c>
      <c r="H4904" s="9">
        <v>58.899999999999999</v>
      </c>
      <c r="I4904" s="9">
        <f>H4904-G4904</f>
        <v>8.8350000000000009</v>
      </c>
    </row>
    <row r="4905" ht="14.25">
      <c r="A4905" s="5">
        <v>77918</v>
      </c>
      <c r="B4905" s="7" t="s">
        <v>5000</v>
      </c>
      <c r="C4905" s="7" t="s">
        <v>4891</v>
      </c>
      <c r="D4905" s="7" t="s">
        <v>110</v>
      </c>
      <c r="E4905" s="5" t="s">
        <v>43</v>
      </c>
      <c r="F4905" s="5"/>
      <c r="G4905" s="9">
        <f>H4905*(1-15%)*(1-F4905)</f>
        <v>50.064999999999998</v>
      </c>
      <c r="H4905" s="9">
        <v>58.899999999999999</v>
      </c>
      <c r="I4905" s="9">
        <f>H4905-G4905</f>
        <v>8.8350000000000009</v>
      </c>
    </row>
    <row r="4906" ht="14.25">
      <c r="A4906" s="5">
        <v>77017</v>
      </c>
      <c r="B4906" s="7" t="s">
        <v>5001</v>
      </c>
      <c r="C4906" s="7" t="s">
        <v>4891</v>
      </c>
      <c r="D4906" s="7" t="s">
        <v>110</v>
      </c>
      <c r="E4906" s="5" t="s">
        <v>43</v>
      </c>
      <c r="F4906" s="5"/>
      <c r="G4906" s="9">
        <f>H4906*(1-15%)*(1-F4906)</f>
        <v>44.964999999999996</v>
      </c>
      <c r="H4906" s="9">
        <v>52.899999999999999</v>
      </c>
      <c r="I4906" s="9">
        <f>H4906-G4906</f>
        <v>7.9350000000000023</v>
      </c>
    </row>
    <row r="4907" ht="14.25">
      <c r="A4907" s="5">
        <v>75232</v>
      </c>
      <c r="B4907" s="7" t="s">
        <v>5002</v>
      </c>
      <c r="C4907" s="7" t="s">
        <v>4891</v>
      </c>
      <c r="D4907" s="7" t="s">
        <v>110</v>
      </c>
      <c r="E4907" s="5" t="s">
        <v>26</v>
      </c>
      <c r="F4907" s="5"/>
      <c r="G4907" s="9">
        <f>H4907*(1-15%)*(1-F4907)</f>
        <v>50.064999999999998</v>
      </c>
      <c r="H4907" s="9">
        <v>58.899999999999999</v>
      </c>
      <c r="I4907" s="9">
        <f>H4907-G4907</f>
        <v>8.8350000000000009</v>
      </c>
    </row>
    <row r="4908" ht="14.25">
      <c r="A4908" s="5">
        <v>75226</v>
      </c>
      <c r="B4908" s="7" t="s">
        <v>5003</v>
      </c>
      <c r="C4908" s="7" t="s">
        <v>4891</v>
      </c>
      <c r="D4908" s="7" t="s">
        <v>110</v>
      </c>
      <c r="E4908" s="5" t="s">
        <v>26</v>
      </c>
      <c r="F4908" s="5"/>
      <c r="G4908" s="9">
        <f>H4908*(1-15%)*(1-F4908)</f>
        <v>50.064999999999998</v>
      </c>
      <c r="H4908" s="9">
        <v>58.899999999999999</v>
      </c>
      <c r="I4908" s="9">
        <f>H4908-G4908</f>
        <v>8.8350000000000009</v>
      </c>
    </row>
    <row r="4909" ht="14.25">
      <c r="A4909" s="5">
        <v>75217</v>
      </c>
      <c r="B4909" s="7" t="s">
        <v>5004</v>
      </c>
      <c r="C4909" s="7" t="s">
        <v>4891</v>
      </c>
      <c r="D4909" s="7" t="s">
        <v>110</v>
      </c>
      <c r="E4909" s="5" t="s">
        <v>15</v>
      </c>
      <c r="F4909" s="5"/>
      <c r="G4909" s="9">
        <f>H4909*(1-15%)*(1-F4909)</f>
        <v>50.064999999999998</v>
      </c>
      <c r="H4909" s="9">
        <v>58.899999999999999</v>
      </c>
      <c r="I4909" s="9">
        <f>H4909-G4909</f>
        <v>8.8350000000000009</v>
      </c>
    </row>
    <row r="4910" ht="14.25">
      <c r="A4910" s="5">
        <v>75220</v>
      </c>
      <c r="B4910" s="7" t="s">
        <v>5005</v>
      </c>
      <c r="C4910" s="7" t="s">
        <v>4891</v>
      </c>
      <c r="D4910" s="7" t="s">
        <v>110</v>
      </c>
      <c r="E4910" s="5" t="s">
        <v>26</v>
      </c>
      <c r="F4910" s="5"/>
      <c r="G4910" s="9">
        <f>H4910*(1-15%)*(1-F4910)</f>
        <v>50.064999999999998</v>
      </c>
      <c r="H4910" s="9">
        <v>58.899999999999999</v>
      </c>
      <c r="I4910" s="9">
        <f>H4910-G4910</f>
        <v>8.8350000000000009</v>
      </c>
    </row>
    <row r="4911" ht="14.25">
      <c r="A4911" s="5">
        <v>75888</v>
      </c>
      <c r="B4911" s="7" t="s">
        <v>5006</v>
      </c>
      <c r="C4911" s="7" t="s">
        <v>4891</v>
      </c>
      <c r="D4911" s="7" t="s">
        <v>110</v>
      </c>
      <c r="E4911" s="5" t="s">
        <v>26</v>
      </c>
      <c r="F4911" s="5"/>
      <c r="G4911" s="9">
        <f>H4911*(1-15%)*(1-F4911)</f>
        <v>65.365000000000009</v>
      </c>
      <c r="H4911" s="9">
        <v>76.900000000000006</v>
      </c>
      <c r="I4911" s="9">
        <f>H4911-G4911</f>
        <v>11.534999999999997</v>
      </c>
    </row>
    <row r="4912" ht="14.25">
      <c r="A4912" s="5">
        <v>76663</v>
      </c>
      <c r="B4912" s="7" t="s">
        <v>5007</v>
      </c>
      <c r="C4912" s="7" t="s">
        <v>4891</v>
      </c>
      <c r="D4912" s="7" t="s">
        <v>110</v>
      </c>
      <c r="E4912" s="5" t="s">
        <v>39</v>
      </c>
      <c r="F4912" s="5"/>
      <c r="G4912" s="9">
        <f>H4912*(1-15%)*(1-F4912)</f>
        <v>48.364999999999995</v>
      </c>
      <c r="H4912" s="9">
        <v>56.899999999999999</v>
      </c>
      <c r="I4912" s="9">
        <f>H4912-G4912</f>
        <v>8.5350000000000037</v>
      </c>
    </row>
    <row r="4913" ht="14.25">
      <c r="A4913" s="5">
        <v>77834</v>
      </c>
      <c r="B4913" s="7" t="s">
        <v>5008</v>
      </c>
      <c r="C4913" s="7" t="s">
        <v>4891</v>
      </c>
      <c r="D4913" s="7" t="s">
        <v>110</v>
      </c>
      <c r="E4913" s="5" t="s">
        <v>43</v>
      </c>
      <c r="F4913" s="5"/>
      <c r="G4913" s="9">
        <f>H4913*(1-15%)*(1-F4913)</f>
        <v>46.664999999999999</v>
      </c>
      <c r="H4913" s="9">
        <v>54.899999999999999</v>
      </c>
      <c r="I4913" s="9">
        <f>H4913-G4913</f>
        <v>8.2349999999999994</v>
      </c>
    </row>
    <row r="4914" ht="14.25">
      <c r="A4914" s="5">
        <v>77814</v>
      </c>
      <c r="B4914" s="7" t="s">
        <v>5009</v>
      </c>
      <c r="C4914" s="7" t="s">
        <v>4891</v>
      </c>
      <c r="D4914" s="7" t="s">
        <v>110</v>
      </c>
      <c r="E4914" s="5" t="s">
        <v>43</v>
      </c>
      <c r="F4914" s="5"/>
      <c r="G4914" s="9">
        <f>H4914*(1-15%)*(1-F4914)</f>
        <v>40.714999999999996</v>
      </c>
      <c r="H4914" s="9">
        <v>47.899999999999999</v>
      </c>
      <c r="I4914" s="9">
        <f>H4914-G4914</f>
        <v>7.1850000000000023</v>
      </c>
    </row>
    <row r="4915" ht="14.25">
      <c r="A4915" s="5">
        <v>75354</v>
      </c>
      <c r="B4915" s="7" t="s">
        <v>5010</v>
      </c>
      <c r="C4915" s="7" t="s">
        <v>4891</v>
      </c>
      <c r="D4915" s="7" t="s">
        <v>110</v>
      </c>
      <c r="E4915" s="5" t="s">
        <v>43</v>
      </c>
      <c r="F4915" s="5"/>
      <c r="G4915" s="9">
        <f>H4915*(1-15%)*(1-F4915)</f>
        <v>50.064999999999998</v>
      </c>
      <c r="H4915" s="9">
        <v>58.899999999999999</v>
      </c>
      <c r="I4915" s="9">
        <f>H4915-G4915</f>
        <v>8.8350000000000009</v>
      </c>
    </row>
    <row r="4916" ht="14.25">
      <c r="A4916" s="5">
        <v>75395</v>
      </c>
      <c r="B4916" s="7" t="s">
        <v>5011</v>
      </c>
      <c r="C4916" s="7" t="s">
        <v>4891</v>
      </c>
      <c r="D4916" s="7" t="s">
        <v>110</v>
      </c>
      <c r="E4916" s="5" t="s">
        <v>39</v>
      </c>
      <c r="F4916" s="5"/>
      <c r="G4916" s="9">
        <f>H4916*(1-15%)*(1-F4916)</f>
        <v>67.915000000000006</v>
      </c>
      <c r="H4916" s="9">
        <v>79.900000000000006</v>
      </c>
      <c r="I4916" s="9">
        <f>H4916-G4916</f>
        <v>11.984999999999999</v>
      </c>
    </row>
    <row r="4917" ht="14.25">
      <c r="A4917" s="5">
        <v>79484</v>
      </c>
      <c r="B4917" s="7" t="s">
        <v>5012</v>
      </c>
      <c r="C4917" s="7" t="s">
        <v>4891</v>
      </c>
      <c r="D4917" s="7" t="s">
        <v>110</v>
      </c>
      <c r="E4917" s="5" t="s">
        <v>26</v>
      </c>
      <c r="F4917" s="5"/>
      <c r="G4917" s="9">
        <f>H4917*(1-15%)*(1-F4917)</f>
        <v>54.314999999999998</v>
      </c>
      <c r="H4917" s="9">
        <v>63.899999999999999</v>
      </c>
      <c r="I4917" s="9">
        <f>H4917-G4917</f>
        <v>9.5850000000000009</v>
      </c>
    </row>
    <row r="4918" ht="14.25">
      <c r="A4918" s="5">
        <v>72576</v>
      </c>
      <c r="B4918" s="7" t="s">
        <v>5013</v>
      </c>
      <c r="C4918" s="7" t="s">
        <v>5014</v>
      </c>
      <c r="D4918" s="7" t="s">
        <v>110</v>
      </c>
      <c r="E4918" s="5" t="s">
        <v>26</v>
      </c>
      <c r="F4918" s="5"/>
      <c r="G4918" s="9">
        <f>H4918*(1-15%)*(1-F4918)</f>
        <v>67.915000000000006</v>
      </c>
      <c r="H4918" s="9">
        <v>79.900000000000006</v>
      </c>
      <c r="I4918" s="9">
        <f>H4918-G4918</f>
        <v>11.984999999999999</v>
      </c>
    </row>
    <row r="4919" ht="14.25">
      <c r="A4919" s="5">
        <v>77910</v>
      </c>
      <c r="B4919" s="7" t="s">
        <v>5015</v>
      </c>
      <c r="C4919" s="7" t="s">
        <v>4891</v>
      </c>
      <c r="D4919" s="7" t="s">
        <v>219</v>
      </c>
      <c r="E4919" s="5" t="s">
        <v>26</v>
      </c>
      <c r="F4919" s="5"/>
      <c r="G4919" s="9">
        <f>H4919*(1-15%)*(1-F4919)</f>
        <v>47.515000000000001</v>
      </c>
      <c r="H4919" s="9">
        <v>55.899999999999999</v>
      </c>
      <c r="I4919" s="9">
        <f>H4919-G4919</f>
        <v>8.384999999999998</v>
      </c>
    </row>
    <row r="4920" ht="14.25">
      <c r="A4920" s="5">
        <v>81497</v>
      </c>
      <c r="B4920" s="7" t="s">
        <v>5016</v>
      </c>
      <c r="C4920" s="7" t="s">
        <v>4891</v>
      </c>
      <c r="D4920" s="7" t="s">
        <v>219</v>
      </c>
      <c r="E4920" s="5" t="s">
        <v>26</v>
      </c>
      <c r="F4920" s="5"/>
      <c r="G4920" s="9">
        <f>H4920*(1-15%)*(1-F4920)</f>
        <v>110.41500000000001</v>
      </c>
      <c r="H4920" s="9">
        <v>129.90000000000001</v>
      </c>
      <c r="I4920" s="9">
        <f>H4920-G4920</f>
        <v>19.484999999999999</v>
      </c>
    </row>
    <row r="4921" ht="14.25">
      <c r="A4921" s="5">
        <v>24802</v>
      </c>
      <c r="B4921" s="7" t="s">
        <v>5017</v>
      </c>
      <c r="C4921" s="7" t="s">
        <v>4891</v>
      </c>
      <c r="D4921" s="7" t="s">
        <v>110</v>
      </c>
      <c r="E4921" s="5" t="s">
        <v>26</v>
      </c>
      <c r="F4921" s="5"/>
      <c r="G4921" s="9">
        <f>H4921*(1-15%)*(1-F4921)</f>
        <v>36.464999999999996</v>
      </c>
      <c r="H4921" s="9">
        <v>42.899999999999999</v>
      </c>
      <c r="I4921" s="9">
        <f>H4921-G4921</f>
        <v>6.4350000000000023</v>
      </c>
    </row>
    <row r="4922" ht="14.25">
      <c r="A4922" s="5">
        <v>42212</v>
      </c>
      <c r="B4922" s="7" t="s">
        <v>5018</v>
      </c>
      <c r="C4922" s="7" t="s">
        <v>4891</v>
      </c>
      <c r="D4922" s="7" t="s">
        <v>183</v>
      </c>
      <c r="E4922" s="5" t="s">
        <v>15</v>
      </c>
      <c r="F4922" s="5"/>
      <c r="G4922" s="9">
        <f>H4922*(1-15%)*(1-F4922)</f>
        <v>18.614999999999998</v>
      </c>
      <c r="H4922" s="9">
        <v>21.899999999999999</v>
      </c>
      <c r="I4922" s="9">
        <f>H4922-G4922</f>
        <v>3.2850000000000001</v>
      </c>
    </row>
    <row r="4923" ht="14.25">
      <c r="A4923" s="5">
        <v>42214</v>
      </c>
      <c r="B4923" s="7" t="s">
        <v>5019</v>
      </c>
      <c r="C4923" s="7" t="s">
        <v>4891</v>
      </c>
      <c r="D4923" s="7" t="s">
        <v>183</v>
      </c>
      <c r="E4923" s="5" t="s">
        <v>15</v>
      </c>
      <c r="F4923" s="5"/>
      <c r="G4923" s="9">
        <f>H4923*(1-15%)*(1-F4923)</f>
        <v>25.414999999999999</v>
      </c>
      <c r="H4923" s="9">
        <v>29.899999999999999</v>
      </c>
      <c r="I4923" s="9">
        <f>H4923-G4923</f>
        <v>4.4849999999999994</v>
      </c>
    </row>
    <row r="4924" ht="14.25">
      <c r="A4924" s="5">
        <v>42213</v>
      </c>
      <c r="B4924" s="7" t="s">
        <v>5020</v>
      </c>
      <c r="C4924" s="7" t="s">
        <v>4891</v>
      </c>
      <c r="D4924" s="7" t="s">
        <v>183</v>
      </c>
      <c r="E4924" s="5" t="s">
        <v>15</v>
      </c>
      <c r="F4924" s="5"/>
      <c r="G4924" s="9">
        <f>H4924*(1-15%)*(1-F4924)</f>
        <v>22.014999999999997</v>
      </c>
      <c r="H4924" s="9">
        <v>25.899999999999999</v>
      </c>
      <c r="I4924" s="9">
        <f>H4924-G4924</f>
        <v>3.8850000000000016</v>
      </c>
    </row>
    <row r="4925" ht="14.25">
      <c r="A4925" s="5">
        <v>39278</v>
      </c>
      <c r="B4925" s="7" t="s">
        <v>5021</v>
      </c>
      <c r="C4925" s="7" t="s">
        <v>4891</v>
      </c>
      <c r="D4925" s="7" t="s">
        <v>183</v>
      </c>
      <c r="E4925" s="5" t="s">
        <v>15</v>
      </c>
      <c r="F4925" s="5"/>
      <c r="G4925" s="9">
        <f>H4925*(1-15%)*(1-F4925)</f>
        <v>21.164999999999999</v>
      </c>
      <c r="H4925" s="9">
        <v>24.899999999999999</v>
      </c>
      <c r="I4925" s="9">
        <f>H4925-G4925</f>
        <v>3.7349999999999994</v>
      </c>
    </row>
    <row r="4926" ht="14.25">
      <c r="A4926" s="5">
        <v>40970</v>
      </c>
      <c r="B4926" s="7" t="s">
        <v>5022</v>
      </c>
      <c r="C4926" s="7" t="s">
        <v>4891</v>
      </c>
      <c r="D4926" s="7" t="s">
        <v>183</v>
      </c>
      <c r="E4926" s="5" t="s">
        <v>15</v>
      </c>
      <c r="F4926" s="5"/>
      <c r="G4926" s="9">
        <f>H4926*(1-15%)*(1-F4926)</f>
        <v>29.664999999999999</v>
      </c>
      <c r="H4926" s="9">
        <v>34.899999999999999</v>
      </c>
      <c r="I4926" s="9">
        <f>H4926-G4926</f>
        <v>5.2349999999999994</v>
      </c>
    </row>
    <row r="4927" ht="14.25">
      <c r="A4927" s="5">
        <v>20965</v>
      </c>
      <c r="B4927" s="7" t="s">
        <v>5023</v>
      </c>
      <c r="C4927" s="7" t="s">
        <v>4891</v>
      </c>
      <c r="D4927" s="7" t="s">
        <v>110</v>
      </c>
      <c r="E4927" s="5" t="s">
        <v>26</v>
      </c>
      <c r="F4927" s="5"/>
      <c r="G4927" s="9">
        <f>H4927*(1-15%)*(1-F4927)</f>
        <v>38.164999999999999</v>
      </c>
      <c r="H4927" s="9">
        <v>44.899999999999999</v>
      </c>
      <c r="I4927" s="9">
        <f>H4927-G4927</f>
        <v>6.7349999999999994</v>
      </c>
    </row>
    <row r="4928" ht="14.25">
      <c r="A4928" s="5">
        <v>73193</v>
      </c>
      <c r="B4928" s="7" t="s">
        <v>5024</v>
      </c>
      <c r="C4928" s="7" t="s">
        <v>4891</v>
      </c>
      <c r="D4928" s="7" t="s">
        <v>110</v>
      </c>
      <c r="E4928" s="5" t="s">
        <v>26</v>
      </c>
      <c r="F4928" s="5"/>
      <c r="G4928" s="9">
        <f>H4928*(1-15%)*(1-F4928)</f>
        <v>38.164999999999999</v>
      </c>
      <c r="H4928" s="9">
        <v>44.899999999999999</v>
      </c>
      <c r="I4928" s="9">
        <f>H4928-G4928</f>
        <v>6.7349999999999994</v>
      </c>
    </row>
    <row r="4929" ht="14.25">
      <c r="A4929" s="5">
        <v>20812</v>
      </c>
      <c r="B4929" s="7" t="s">
        <v>5025</v>
      </c>
      <c r="C4929" s="7" t="s">
        <v>4891</v>
      </c>
      <c r="D4929" s="7" t="s">
        <v>110</v>
      </c>
      <c r="E4929" s="5" t="s">
        <v>26</v>
      </c>
      <c r="F4929" s="5"/>
      <c r="G4929" s="9">
        <f>H4929*(1-15%)*(1-F4929)</f>
        <v>54.314999999999998</v>
      </c>
      <c r="H4929" s="9">
        <v>63.899999999999999</v>
      </c>
      <c r="I4929" s="9">
        <f>H4929-G4929</f>
        <v>9.5850000000000009</v>
      </c>
    </row>
    <row r="4930" ht="14.25">
      <c r="A4930" s="5">
        <v>27251</v>
      </c>
      <c r="B4930" s="7" t="s">
        <v>5026</v>
      </c>
      <c r="C4930" s="7" t="s">
        <v>4891</v>
      </c>
      <c r="D4930" s="7" t="s">
        <v>110</v>
      </c>
      <c r="E4930" s="5" t="s">
        <v>43</v>
      </c>
      <c r="F4930" s="5"/>
      <c r="G4930" s="9">
        <f>H4930*(1-15%)*(1-F4930)</f>
        <v>40.714999999999996</v>
      </c>
      <c r="H4930" s="9">
        <v>47.899999999999999</v>
      </c>
      <c r="I4930" s="9">
        <f>H4930-G4930</f>
        <v>7.1850000000000023</v>
      </c>
    </row>
    <row r="4931" ht="14.25">
      <c r="A4931" s="5">
        <v>42103</v>
      </c>
      <c r="B4931" s="7" t="s">
        <v>5027</v>
      </c>
      <c r="C4931" s="7" t="s">
        <v>4891</v>
      </c>
      <c r="D4931" s="7" t="s">
        <v>183</v>
      </c>
      <c r="E4931" s="5" t="s">
        <v>15</v>
      </c>
      <c r="F4931" s="5"/>
      <c r="G4931" s="9">
        <f>H4931*(1-15%)*(1-F4931)</f>
        <v>25.414999999999999</v>
      </c>
      <c r="H4931" s="9">
        <v>29.899999999999999</v>
      </c>
      <c r="I4931" s="9">
        <f>H4931-G4931</f>
        <v>4.4849999999999994</v>
      </c>
    </row>
    <row r="4932" ht="14.25">
      <c r="A4932" s="5">
        <v>37805</v>
      </c>
      <c r="B4932" s="7" t="s">
        <v>5028</v>
      </c>
      <c r="C4932" s="7" t="s">
        <v>4891</v>
      </c>
      <c r="D4932" s="7" t="s">
        <v>183</v>
      </c>
      <c r="E4932" s="5" t="s">
        <v>15</v>
      </c>
      <c r="F4932" s="5"/>
      <c r="G4932" s="9">
        <f>H4932*(1-15%)*(1-F4932)</f>
        <v>23.715</v>
      </c>
      <c r="H4932" s="9">
        <v>27.899999999999999</v>
      </c>
      <c r="I4932" s="9">
        <f>H4932-G4932</f>
        <v>4.1849999999999987</v>
      </c>
    </row>
    <row r="4933" ht="14.25">
      <c r="A4933" s="5">
        <v>28931</v>
      </c>
      <c r="B4933" s="7" t="s">
        <v>5029</v>
      </c>
      <c r="C4933" s="7" t="s">
        <v>4891</v>
      </c>
      <c r="D4933" s="7" t="s">
        <v>470</v>
      </c>
      <c r="E4933" s="5" t="s">
        <v>15</v>
      </c>
      <c r="F4933" s="5"/>
      <c r="G4933" s="9">
        <f>H4933*(1-15%)*(1-F4933)</f>
        <v>13.515000000000001</v>
      </c>
      <c r="H4933" s="9">
        <v>15.9</v>
      </c>
      <c r="I4933" s="9">
        <f>H4933-G4933</f>
        <v>2.3849999999999998</v>
      </c>
    </row>
    <row r="4934" ht="14.25">
      <c r="A4934" s="5">
        <v>22659</v>
      </c>
      <c r="B4934" s="7" t="s">
        <v>5030</v>
      </c>
      <c r="C4934" s="7" t="s">
        <v>4891</v>
      </c>
      <c r="D4934" s="7" t="s">
        <v>470</v>
      </c>
      <c r="E4934" s="5" t="s">
        <v>15</v>
      </c>
      <c r="F4934" s="5"/>
      <c r="G4934" s="9">
        <f>H4934*(1-15%)*(1-F4934)</f>
        <v>13.515000000000001</v>
      </c>
      <c r="H4934" s="9">
        <v>15.9</v>
      </c>
      <c r="I4934" s="9">
        <f>H4934-G4934</f>
        <v>2.3849999999999998</v>
      </c>
    </row>
    <row r="4935" ht="14.25">
      <c r="A4935" s="5">
        <v>40968</v>
      </c>
      <c r="B4935" s="7" t="s">
        <v>5031</v>
      </c>
      <c r="C4935" s="7" t="s">
        <v>4891</v>
      </c>
      <c r="D4935" s="7" t="s">
        <v>183</v>
      </c>
      <c r="E4935" s="5" t="s">
        <v>15</v>
      </c>
      <c r="F4935" s="5"/>
      <c r="G4935" s="9">
        <f>H4935*(1-15%)*(1-F4935)</f>
        <v>33.914999999999999</v>
      </c>
      <c r="H4935" s="9">
        <v>39.899999999999999</v>
      </c>
      <c r="I4935" s="9">
        <f>H4935-G4935</f>
        <v>5.9849999999999994</v>
      </c>
    </row>
    <row r="4936" ht="14.25">
      <c r="A4936" s="5">
        <v>42110</v>
      </c>
      <c r="B4936" s="7" t="s">
        <v>5032</v>
      </c>
      <c r="C4936" s="7" t="s">
        <v>4891</v>
      </c>
      <c r="D4936" s="7" t="s">
        <v>183</v>
      </c>
      <c r="E4936" s="5" t="s">
        <v>15</v>
      </c>
      <c r="F4936" s="5"/>
      <c r="G4936" s="9">
        <f>H4936*(1-15%)*(1-F4936)</f>
        <v>31.364999999999998</v>
      </c>
      <c r="H4936" s="9">
        <v>36.899999999999999</v>
      </c>
      <c r="I4936" s="9">
        <f>H4936-G4936</f>
        <v>5.5350000000000001</v>
      </c>
    </row>
    <row r="4937" ht="14.25">
      <c r="A4937" s="5">
        <v>37513</v>
      </c>
      <c r="B4937" s="7" t="s">
        <v>5033</v>
      </c>
      <c r="C4937" s="7" t="s">
        <v>4891</v>
      </c>
      <c r="D4937" s="7" t="s">
        <v>183</v>
      </c>
      <c r="E4937" s="5" t="s">
        <v>15</v>
      </c>
      <c r="F4937" s="5"/>
      <c r="G4937" s="9">
        <f>H4937*(1-15%)*(1-F4937)</f>
        <v>36.464999999999996</v>
      </c>
      <c r="H4937" s="9">
        <v>42.899999999999999</v>
      </c>
      <c r="I4937" s="9">
        <f>H4937-G4937</f>
        <v>6.4350000000000023</v>
      </c>
    </row>
    <row r="4938" ht="14.25">
      <c r="A4938" s="5">
        <v>40696</v>
      </c>
      <c r="B4938" s="7" t="s">
        <v>5034</v>
      </c>
      <c r="C4938" s="7" t="s">
        <v>4891</v>
      </c>
      <c r="D4938" s="7" t="s">
        <v>183</v>
      </c>
      <c r="E4938" s="5" t="s">
        <v>15</v>
      </c>
      <c r="F4938" s="5"/>
      <c r="G4938" s="9">
        <f>H4938*(1-15%)*(1-F4938)</f>
        <v>24.564999999999998</v>
      </c>
      <c r="H4938" s="9">
        <v>28.899999999999999</v>
      </c>
      <c r="I4938" s="9">
        <f>H4938-G4938</f>
        <v>4.3350000000000009</v>
      </c>
    </row>
    <row r="4939" ht="14.25">
      <c r="A4939" s="5">
        <v>37519</v>
      </c>
      <c r="B4939" s="7" t="s">
        <v>5035</v>
      </c>
      <c r="C4939" s="7" t="s">
        <v>4891</v>
      </c>
      <c r="D4939" s="7" t="s">
        <v>183</v>
      </c>
      <c r="E4939" s="5" t="s">
        <v>15</v>
      </c>
      <c r="F4939" s="5"/>
      <c r="G4939" s="9">
        <f>H4939*(1-15%)*(1-F4939)</f>
        <v>23.715</v>
      </c>
      <c r="H4939" s="9">
        <v>27.899999999999999</v>
      </c>
      <c r="I4939" s="9">
        <f>H4939-G4939</f>
        <v>4.1849999999999987</v>
      </c>
    </row>
    <row r="4940" ht="14.25">
      <c r="A4940" s="5">
        <v>37515</v>
      </c>
      <c r="B4940" s="7" t="s">
        <v>5036</v>
      </c>
      <c r="C4940" s="7" t="s">
        <v>4891</v>
      </c>
      <c r="D4940" s="7" t="s">
        <v>183</v>
      </c>
      <c r="E4940" s="5" t="s">
        <v>15</v>
      </c>
      <c r="F4940" s="5"/>
      <c r="G4940" s="9">
        <f>H4940*(1-15%)*(1-F4940)</f>
        <v>25.414999999999999</v>
      </c>
      <c r="H4940" s="9">
        <v>29.899999999999999</v>
      </c>
      <c r="I4940" s="9">
        <f>H4940-G4940</f>
        <v>4.4849999999999994</v>
      </c>
    </row>
    <row r="4941" ht="14.25">
      <c r="A4941" s="5">
        <v>72710</v>
      </c>
      <c r="B4941" s="7" t="s">
        <v>5037</v>
      </c>
      <c r="C4941" s="7" t="s">
        <v>4891</v>
      </c>
      <c r="D4941" s="7" t="s">
        <v>110</v>
      </c>
      <c r="E4941" s="5" t="s">
        <v>26</v>
      </c>
      <c r="F4941" s="5"/>
      <c r="G4941" s="9">
        <f>H4941*(1-15%)*(1-F4941)</f>
        <v>67.064999999999998</v>
      </c>
      <c r="H4941" s="9">
        <v>78.900000000000006</v>
      </c>
      <c r="I4941" s="9">
        <f>H4941-G4941</f>
        <v>11.835000000000008</v>
      </c>
    </row>
    <row r="4942" ht="14.25">
      <c r="A4942" s="5">
        <v>39437</v>
      </c>
      <c r="B4942" s="7" t="s">
        <v>5038</v>
      </c>
      <c r="C4942" s="7" t="s">
        <v>4891</v>
      </c>
      <c r="D4942" s="7" t="s">
        <v>183</v>
      </c>
      <c r="E4942" s="5" t="s">
        <v>43</v>
      </c>
      <c r="F4942" s="5"/>
      <c r="G4942" s="9">
        <f>H4942*(1-15%)*(1-F4942)</f>
        <v>32.214999999999996</v>
      </c>
      <c r="H4942" s="9">
        <v>37.899999999999999</v>
      </c>
      <c r="I4942" s="9">
        <f>H4942-G4942</f>
        <v>5.6850000000000023</v>
      </c>
    </row>
    <row r="4943" ht="14.25">
      <c r="A4943" s="5">
        <v>37514</v>
      </c>
      <c r="B4943" s="7" t="s">
        <v>5039</v>
      </c>
      <c r="C4943" s="7" t="s">
        <v>4891</v>
      </c>
      <c r="D4943" s="7" t="s">
        <v>183</v>
      </c>
      <c r="E4943" s="5" t="s">
        <v>15</v>
      </c>
      <c r="F4943" s="5"/>
      <c r="G4943" s="9">
        <f>H4943*(1-15%)*(1-F4943)</f>
        <v>32.214999999999996</v>
      </c>
      <c r="H4943" s="9">
        <v>37.899999999999999</v>
      </c>
      <c r="I4943" s="9">
        <f>H4943-G4943</f>
        <v>5.6850000000000023</v>
      </c>
    </row>
    <row r="4944" ht="14.25">
      <c r="A4944" s="5">
        <v>37516</v>
      </c>
      <c r="B4944" s="7" t="s">
        <v>5040</v>
      </c>
      <c r="C4944" s="7" t="s">
        <v>4891</v>
      </c>
      <c r="D4944" s="7" t="s">
        <v>183</v>
      </c>
      <c r="E4944" s="5" t="s">
        <v>15</v>
      </c>
      <c r="F4944" s="5"/>
      <c r="G4944" s="9">
        <f>H4944*(1-15%)*(1-F4944)</f>
        <v>32.214999999999996</v>
      </c>
      <c r="H4944" s="9">
        <v>37.899999999999999</v>
      </c>
      <c r="I4944" s="9">
        <f>H4944-G4944</f>
        <v>5.6850000000000023</v>
      </c>
    </row>
    <row r="4945" ht="14.25">
      <c r="A4945" s="5">
        <v>39533</v>
      </c>
      <c r="B4945" s="7" t="s">
        <v>5041</v>
      </c>
      <c r="C4945" s="7" t="s">
        <v>4891</v>
      </c>
      <c r="D4945" s="7" t="s">
        <v>183</v>
      </c>
      <c r="E4945" s="5" t="s">
        <v>15</v>
      </c>
      <c r="F4945" s="5"/>
      <c r="G4945" s="9">
        <f>H4945*(1-15%)*(1-F4945)</f>
        <v>32.214999999999996</v>
      </c>
      <c r="H4945" s="9">
        <v>37.899999999999999</v>
      </c>
      <c r="I4945" s="9">
        <f>H4945-G4945</f>
        <v>5.6850000000000023</v>
      </c>
    </row>
    <row r="4946" ht="14.25">
      <c r="A4946" s="5">
        <v>75312</v>
      </c>
      <c r="B4946" s="7" t="s">
        <v>5042</v>
      </c>
      <c r="C4946" s="7" t="s">
        <v>4891</v>
      </c>
      <c r="D4946" s="7" t="s">
        <v>110</v>
      </c>
      <c r="E4946" s="5" t="s">
        <v>43</v>
      </c>
      <c r="F4946" s="5"/>
      <c r="G4946" s="9">
        <f>H4946*(1-15%)*(1-F4946)</f>
        <v>44.964999999999996</v>
      </c>
      <c r="H4946" s="9">
        <v>52.899999999999999</v>
      </c>
      <c r="I4946" s="9">
        <f>H4946-G4946</f>
        <v>7.9350000000000023</v>
      </c>
    </row>
    <row r="4947" ht="14.25">
      <c r="A4947" s="5">
        <v>81558</v>
      </c>
      <c r="B4947" s="7" t="s">
        <v>5043</v>
      </c>
      <c r="C4947" s="7" t="s">
        <v>4891</v>
      </c>
      <c r="D4947" s="7" t="s">
        <v>110</v>
      </c>
      <c r="E4947" s="5" t="s">
        <v>26</v>
      </c>
      <c r="F4947" s="5"/>
      <c r="G4947" s="9">
        <f>H4947*(1-15%)*(1-F4947)</f>
        <v>44.964999999999996</v>
      </c>
      <c r="H4947" s="9">
        <v>52.899999999999999</v>
      </c>
      <c r="I4947" s="9">
        <f>H4947-G4947</f>
        <v>7.9350000000000023</v>
      </c>
    </row>
    <row r="4948" ht="14.25">
      <c r="A4948" s="5">
        <v>75302</v>
      </c>
      <c r="B4948" s="7" t="s">
        <v>5044</v>
      </c>
      <c r="C4948" s="7" t="s">
        <v>4891</v>
      </c>
      <c r="D4948" s="7" t="s">
        <v>110</v>
      </c>
      <c r="E4948" s="5" t="s">
        <v>43</v>
      </c>
      <c r="F4948" s="5"/>
      <c r="G4948" s="9">
        <f>H4948*(1-15%)*(1-F4948)</f>
        <v>44.964999999999996</v>
      </c>
      <c r="H4948" s="9">
        <v>52.899999999999999</v>
      </c>
      <c r="I4948" s="9">
        <f>H4948-G4948</f>
        <v>7.9350000000000023</v>
      </c>
    </row>
    <row r="4949" ht="14.25">
      <c r="A4949" s="5">
        <v>81557</v>
      </c>
      <c r="B4949" s="7" t="s">
        <v>5045</v>
      </c>
      <c r="C4949" s="7" t="s">
        <v>4891</v>
      </c>
      <c r="D4949" s="7" t="s">
        <v>110</v>
      </c>
      <c r="E4949" s="5" t="s">
        <v>43</v>
      </c>
      <c r="F4949" s="5"/>
      <c r="G4949" s="9">
        <f>H4949*(1-15%)*(1-F4949)</f>
        <v>44.964999999999996</v>
      </c>
      <c r="H4949" s="9">
        <v>52.899999999999999</v>
      </c>
      <c r="I4949" s="9">
        <f>H4949-G4949</f>
        <v>7.9350000000000023</v>
      </c>
    </row>
    <row r="4950" ht="14.25">
      <c r="A4950" s="5">
        <v>83733</v>
      </c>
      <c r="B4950" s="7" t="s">
        <v>5046</v>
      </c>
      <c r="C4950" s="7" t="s">
        <v>4891</v>
      </c>
      <c r="D4950" s="7" t="s">
        <v>110</v>
      </c>
      <c r="E4950" s="5" t="s">
        <v>15</v>
      </c>
      <c r="F4950" s="5"/>
      <c r="G4950" s="9">
        <f>H4950*(1-15%)*(1-F4950)</f>
        <v>44.114999999999995</v>
      </c>
      <c r="H4950" s="9">
        <v>51.899999999999999</v>
      </c>
      <c r="I4950" s="9">
        <f>H4950-G4950</f>
        <v>7.7850000000000037</v>
      </c>
    </row>
    <row r="4951" ht="14.25">
      <c r="A4951" s="5">
        <v>83735</v>
      </c>
      <c r="B4951" s="7" t="s">
        <v>5047</v>
      </c>
      <c r="C4951" s="7" t="s">
        <v>4891</v>
      </c>
      <c r="D4951" s="7" t="s">
        <v>110</v>
      </c>
      <c r="E4951" s="5" t="s">
        <v>15</v>
      </c>
      <c r="F4951" s="5"/>
      <c r="G4951" s="9">
        <f>H4951*(1-15%)*(1-F4951)</f>
        <v>47.515000000000001</v>
      </c>
      <c r="H4951" s="9">
        <v>55.899999999999999</v>
      </c>
      <c r="I4951" s="9">
        <f>H4951-G4951</f>
        <v>8.384999999999998</v>
      </c>
    </row>
    <row r="4952" ht="14.25">
      <c r="A4952" s="5">
        <v>83614</v>
      </c>
      <c r="B4952" s="7" t="s">
        <v>5048</v>
      </c>
      <c r="C4952" s="7" t="s">
        <v>4891</v>
      </c>
      <c r="D4952" s="7" t="s">
        <v>45</v>
      </c>
      <c r="E4952" s="5" t="s">
        <v>26</v>
      </c>
      <c r="F4952" s="5"/>
      <c r="G4952" s="9">
        <f>H4952*(1-15%)*(1-F4952)</f>
        <v>53.464999999999996</v>
      </c>
      <c r="H4952" s="9">
        <v>62.899999999999999</v>
      </c>
      <c r="I4952" s="9">
        <f>H4952-G4952</f>
        <v>9.4350000000000023</v>
      </c>
    </row>
    <row r="4953" ht="14.25">
      <c r="A4953" s="5">
        <v>83615</v>
      </c>
      <c r="B4953" s="7" t="s">
        <v>5049</v>
      </c>
      <c r="C4953" s="7" t="s">
        <v>4891</v>
      </c>
      <c r="D4953" s="7" t="s">
        <v>45</v>
      </c>
      <c r="E4953" s="5" t="s">
        <v>26</v>
      </c>
      <c r="F4953" s="5"/>
      <c r="G4953" s="9">
        <f>H4953*(1-15%)*(1-F4953)</f>
        <v>36.464999999999996</v>
      </c>
      <c r="H4953" s="9">
        <v>42.899999999999999</v>
      </c>
      <c r="I4953" s="9">
        <f>H4953-G4953</f>
        <v>6.4350000000000023</v>
      </c>
    </row>
    <row r="4954" ht="14.25">
      <c r="A4954" s="5">
        <v>83616</v>
      </c>
      <c r="B4954" s="7" t="s">
        <v>5050</v>
      </c>
      <c r="C4954" s="7" t="s">
        <v>4891</v>
      </c>
      <c r="D4954" s="7" t="s">
        <v>45</v>
      </c>
      <c r="E4954" s="5" t="s">
        <v>15</v>
      </c>
      <c r="F4954" s="5"/>
      <c r="G4954" s="9">
        <f>H4954*(1-15%)*(1-F4954)</f>
        <v>55.165000000000006</v>
      </c>
      <c r="H4954" s="9">
        <v>64.900000000000006</v>
      </c>
      <c r="I4954" s="9">
        <f>H4954-G4954</f>
        <v>9.7349999999999994</v>
      </c>
    </row>
    <row r="4955" ht="14.25">
      <c r="A4955" s="5">
        <v>83617</v>
      </c>
      <c r="B4955" s="7" t="s">
        <v>5051</v>
      </c>
      <c r="C4955" s="7" t="s">
        <v>4891</v>
      </c>
      <c r="D4955" s="7" t="s">
        <v>45</v>
      </c>
      <c r="E4955" s="5" t="s">
        <v>26</v>
      </c>
      <c r="F4955" s="5"/>
      <c r="G4955" s="9">
        <f>H4955*(1-15%)*(1-F4955)</f>
        <v>21.164999999999999</v>
      </c>
      <c r="H4955" s="9">
        <v>24.899999999999999</v>
      </c>
      <c r="I4955" s="9">
        <f>H4955-G4955</f>
        <v>3.7349999999999994</v>
      </c>
    </row>
    <row r="4956" ht="14.25">
      <c r="A4956" s="5">
        <v>83619</v>
      </c>
      <c r="B4956" s="7" t="s">
        <v>5052</v>
      </c>
      <c r="C4956" s="7" t="s">
        <v>4891</v>
      </c>
      <c r="D4956" s="7" t="s">
        <v>45</v>
      </c>
      <c r="E4956" s="5" t="s">
        <v>39</v>
      </c>
      <c r="F4956" s="5"/>
      <c r="G4956" s="9">
        <f>H4956*(1-15%)*(1-F4956)</f>
        <v>40.714999999999996</v>
      </c>
      <c r="H4956" s="9">
        <v>47.899999999999999</v>
      </c>
      <c r="I4956" s="9">
        <f>H4956-G4956</f>
        <v>7.1850000000000023</v>
      </c>
    </row>
    <row r="4957" ht="14.25">
      <c r="A4957" s="5">
        <v>83618</v>
      </c>
      <c r="B4957" s="7" t="s">
        <v>5053</v>
      </c>
      <c r="C4957" s="7" t="s">
        <v>4891</v>
      </c>
      <c r="D4957" s="7" t="s">
        <v>103</v>
      </c>
      <c r="E4957" s="5" t="s">
        <v>15</v>
      </c>
      <c r="F4957" s="5"/>
      <c r="G4957" s="9">
        <f>H4957*(1-15%)*(1-F4957)</f>
        <v>32.214999999999996</v>
      </c>
      <c r="H4957" s="9">
        <v>37.899999999999999</v>
      </c>
      <c r="I4957" s="9">
        <f>H4957-G4957</f>
        <v>5.6850000000000023</v>
      </c>
    </row>
    <row r="4958" ht="14.25">
      <c r="A4958" s="5">
        <v>84125</v>
      </c>
      <c r="B4958" s="7" t="s">
        <v>5054</v>
      </c>
      <c r="C4958" s="7" t="s">
        <v>4891</v>
      </c>
      <c r="D4958" s="7" t="s">
        <v>11</v>
      </c>
      <c r="E4958" s="5" t="s">
        <v>26</v>
      </c>
      <c r="F4958" s="5"/>
      <c r="G4958" s="9">
        <f>H4958*(1-15%)*(1-F4958)</f>
        <v>59.415000000000006</v>
      </c>
      <c r="H4958" s="9">
        <v>69.900000000000006</v>
      </c>
      <c r="I4958" s="9">
        <f>H4958-G4958</f>
        <v>10.484999999999999</v>
      </c>
    </row>
    <row r="4959" ht="14.25">
      <c r="A4959" s="5">
        <v>82507</v>
      </c>
      <c r="B4959" s="7" t="s">
        <v>5055</v>
      </c>
      <c r="C4959" s="7" t="s">
        <v>4891</v>
      </c>
      <c r="D4959" s="7" t="s">
        <v>110</v>
      </c>
      <c r="E4959" s="5" t="s">
        <v>26</v>
      </c>
      <c r="F4959" s="5"/>
      <c r="G4959" s="9">
        <f>H4959*(1-15%)*(1-F4959)</f>
        <v>58.565000000000005</v>
      </c>
      <c r="H4959" s="9">
        <v>68.900000000000006</v>
      </c>
      <c r="I4959" s="9">
        <f>H4959-G4959</f>
        <v>10.335000000000001</v>
      </c>
    </row>
    <row r="4960" ht="14.25">
      <c r="A4960" s="5">
        <v>82508</v>
      </c>
      <c r="B4960" s="7" t="s">
        <v>5056</v>
      </c>
      <c r="C4960" s="7" t="s">
        <v>4891</v>
      </c>
      <c r="D4960" s="7" t="s">
        <v>110</v>
      </c>
      <c r="E4960" s="5" t="s">
        <v>26</v>
      </c>
      <c r="F4960" s="5"/>
      <c r="G4960" s="9">
        <f>H4960*(1-15%)*(1-F4960)</f>
        <v>58.565000000000005</v>
      </c>
      <c r="H4960" s="9">
        <v>68.900000000000006</v>
      </c>
      <c r="I4960" s="9">
        <f>H4960-G4960</f>
        <v>10.335000000000001</v>
      </c>
    </row>
    <row r="4961" ht="14.25">
      <c r="A4961" s="5">
        <v>82509</v>
      </c>
      <c r="B4961" s="7" t="s">
        <v>5057</v>
      </c>
      <c r="C4961" s="7" t="s">
        <v>4891</v>
      </c>
      <c r="D4961" s="7" t="s">
        <v>110</v>
      </c>
      <c r="E4961" s="5" t="s">
        <v>26</v>
      </c>
      <c r="F4961" s="5"/>
      <c r="G4961" s="9">
        <f>H4961*(1-15%)*(1-F4961)</f>
        <v>58.565000000000005</v>
      </c>
      <c r="H4961" s="9">
        <v>68.900000000000006</v>
      </c>
      <c r="I4961" s="9">
        <f>H4961-G4961</f>
        <v>10.335000000000001</v>
      </c>
    </row>
    <row r="4962" ht="14.25">
      <c r="A4962" s="5">
        <v>82510</v>
      </c>
      <c r="B4962" s="7" t="s">
        <v>5058</v>
      </c>
      <c r="C4962" s="7" t="s">
        <v>4891</v>
      </c>
      <c r="D4962" s="7" t="s">
        <v>110</v>
      </c>
      <c r="E4962" s="5" t="s">
        <v>26</v>
      </c>
      <c r="F4962" s="5"/>
      <c r="G4962" s="9">
        <f>H4962*(1-15%)*(1-F4962)</f>
        <v>58.565000000000005</v>
      </c>
      <c r="H4962" s="9">
        <v>68.900000000000006</v>
      </c>
      <c r="I4962" s="9">
        <f>H4962-G4962</f>
        <v>10.335000000000001</v>
      </c>
    </row>
    <row r="4963" ht="14.25">
      <c r="A4963" s="5">
        <v>75946</v>
      </c>
      <c r="B4963" s="7" t="s">
        <v>5059</v>
      </c>
      <c r="C4963" s="7" t="s">
        <v>4891</v>
      </c>
      <c r="D4963" s="7" t="s">
        <v>45</v>
      </c>
      <c r="E4963" s="5" t="s">
        <v>15</v>
      </c>
      <c r="F4963" s="5"/>
      <c r="G4963" s="9">
        <f>H4963*(1-15%)*(1-F4963)</f>
        <v>42.414999999999999</v>
      </c>
      <c r="H4963" s="9">
        <v>49.899999999999999</v>
      </c>
      <c r="I4963" s="9">
        <f>H4963-G4963</f>
        <v>7.4849999999999994</v>
      </c>
    </row>
    <row r="4964" ht="14.25">
      <c r="A4964" s="5">
        <v>74192</v>
      </c>
      <c r="B4964" s="7" t="s">
        <v>5060</v>
      </c>
      <c r="C4964" s="7" t="s">
        <v>5061</v>
      </c>
      <c r="D4964" s="7" t="s">
        <v>45</v>
      </c>
      <c r="E4964" s="5" t="s">
        <v>15</v>
      </c>
      <c r="F4964" s="5"/>
      <c r="G4964" s="9">
        <f>H4964*(1-15%)*(1-F4964)</f>
        <v>61.965000000000003</v>
      </c>
      <c r="H4964" s="9">
        <v>72.900000000000006</v>
      </c>
      <c r="I4964" s="9">
        <f>H4964-G4964</f>
        <v>10.935000000000002</v>
      </c>
    </row>
    <row r="4965" ht="14.25">
      <c r="A4965" s="5">
        <v>76780</v>
      </c>
      <c r="B4965" s="7" t="s">
        <v>5062</v>
      </c>
      <c r="C4965" s="7" t="s">
        <v>4891</v>
      </c>
      <c r="D4965" s="7" t="s">
        <v>11</v>
      </c>
      <c r="E4965" s="5" t="s">
        <v>26</v>
      </c>
      <c r="F4965" s="5"/>
      <c r="G4965" s="9">
        <f>H4965*(1-15%)*(1-F4965)</f>
        <v>123.16500000000001</v>
      </c>
      <c r="H4965" s="9">
        <v>144.90000000000001</v>
      </c>
      <c r="I4965" s="9">
        <f>H4965-G4965</f>
        <v>21.734999999999999</v>
      </c>
    </row>
    <row r="4966" ht="14.25">
      <c r="A4966" s="5">
        <v>74236</v>
      </c>
      <c r="B4966" s="7" t="s">
        <v>5063</v>
      </c>
      <c r="C4966" s="7" t="s">
        <v>4891</v>
      </c>
      <c r="D4966" s="7" t="s">
        <v>11</v>
      </c>
      <c r="E4966" s="5" t="s">
        <v>26</v>
      </c>
      <c r="F4966" s="5"/>
      <c r="G4966" s="9">
        <f>H4966*(1-15%)*(1-F4966)</f>
        <v>123.16500000000001</v>
      </c>
      <c r="H4966" s="9">
        <v>144.90000000000001</v>
      </c>
      <c r="I4966" s="9">
        <f>H4966-G4966</f>
        <v>21.734999999999999</v>
      </c>
    </row>
    <row r="4967" ht="14.25">
      <c r="A4967" s="5">
        <v>74186</v>
      </c>
      <c r="B4967" s="7" t="s">
        <v>5064</v>
      </c>
      <c r="C4967" s="7" t="s">
        <v>4891</v>
      </c>
      <c r="D4967" s="7" t="s">
        <v>11</v>
      </c>
      <c r="E4967" s="5" t="s">
        <v>39</v>
      </c>
      <c r="F4967" s="5"/>
      <c r="G4967" s="9">
        <f>H4967*(1-15%)*(1-F4967)</f>
        <v>237.91499999999996</v>
      </c>
      <c r="H4967" s="9">
        <v>279.89999999999998</v>
      </c>
      <c r="I4967" s="9">
        <f>H4967-G4967</f>
        <v>41.985000000000014</v>
      </c>
    </row>
    <row r="4968" ht="14.25">
      <c r="A4968" s="5">
        <v>75227</v>
      </c>
      <c r="B4968" s="7" t="s">
        <v>5065</v>
      </c>
      <c r="C4968" s="7" t="s">
        <v>4891</v>
      </c>
      <c r="D4968" s="7" t="s">
        <v>110</v>
      </c>
      <c r="E4968" s="5" t="s">
        <v>26</v>
      </c>
      <c r="F4968" s="5"/>
      <c r="G4968" s="9">
        <f>H4968*(1-15%)*(1-F4968)</f>
        <v>50.064999999999998</v>
      </c>
      <c r="H4968" s="9">
        <v>58.899999999999999</v>
      </c>
      <c r="I4968" s="9">
        <f>H4968-G4968</f>
        <v>8.8350000000000009</v>
      </c>
    </row>
    <row r="4969" ht="14.25">
      <c r="A4969" s="5">
        <v>75329</v>
      </c>
      <c r="B4969" s="7" t="s">
        <v>5066</v>
      </c>
      <c r="C4969" s="7" t="s">
        <v>4891</v>
      </c>
      <c r="D4969" s="7" t="s">
        <v>110</v>
      </c>
      <c r="E4969" s="5" t="s">
        <v>26</v>
      </c>
      <c r="F4969" s="5"/>
      <c r="G4969" s="9">
        <f>H4969*(1-15%)*(1-F4969)</f>
        <v>52.614999999999995</v>
      </c>
      <c r="H4969" s="9">
        <v>61.899999999999999</v>
      </c>
      <c r="I4969" s="9">
        <f>H4969-G4969</f>
        <v>9.2850000000000037</v>
      </c>
    </row>
    <row r="4970" ht="14.25">
      <c r="A4970" s="5">
        <v>75328</v>
      </c>
      <c r="B4970" s="7" t="s">
        <v>5067</v>
      </c>
      <c r="C4970" s="7" t="s">
        <v>4891</v>
      </c>
      <c r="D4970" s="7" t="s">
        <v>110</v>
      </c>
      <c r="E4970" s="5" t="s">
        <v>26</v>
      </c>
      <c r="F4970" s="5"/>
      <c r="G4970" s="9">
        <f>H4970*(1-15%)*(1-F4970)</f>
        <v>52.614999999999995</v>
      </c>
      <c r="H4970" s="9">
        <v>61.899999999999999</v>
      </c>
      <c r="I4970" s="9">
        <f>H4970-G4970</f>
        <v>9.2850000000000037</v>
      </c>
    </row>
    <row r="4971" ht="14.25">
      <c r="A4971" s="5">
        <v>75330</v>
      </c>
      <c r="B4971" s="7" t="s">
        <v>5068</v>
      </c>
      <c r="C4971" s="7" t="s">
        <v>4891</v>
      </c>
      <c r="D4971" s="7" t="s">
        <v>110</v>
      </c>
      <c r="E4971" s="5" t="s">
        <v>26</v>
      </c>
      <c r="F4971" s="5"/>
      <c r="G4971" s="9">
        <f>H4971*(1-15%)*(1-F4971)</f>
        <v>52.614999999999995</v>
      </c>
      <c r="H4971" s="9">
        <v>61.899999999999999</v>
      </c>
      <c r="I4971" s="9">
        <f>H4971-G4971</f>
        <v>9.2850000000000037</v>
      </c>
    </row>
    <row r="4972" ht="14.25">
      <c r="A4972" s="5">
        <v>75236</v>
      </c>
      <c r="B4972" s="7" t="s">
        <v>5069</v>
      </c>
      <c r="C4972" s="7" t="s">
        <v>4891</v>
      </c>
      <c r="D4972" s="7" t="s">
        <v>110</v>
      </c>
      <c r="E4972" s="5" t="s">
        <v>26</v>
      </c>
      <c r="F4972" s="5"/>
      <c r="G4972" s="9">
        <f>H4972*(1-15%)*(1-F4972)</f>
        <v>50.064999999999998</v>
      </c>
      <c r="H4972" s="9">
        <v>58.899999999999999</v>
      </c>
      <c r="I4972" s="9">
        <f>H4972-G4972</f>
        <v>8.8350000000000009</v>
      </c>
    </row>
    <row r="4973" ht="14.25">
      <c r="A4973" s="5">
        <v>75233</v>
      </c>
      <c r="B4973" s="7" t="s">
        <v>5070</v>
      </c>
      <c r="C4973" s="7" t="s">
        <v>4891</v>
      </c>
      <c r="D4973" s="7" t="s">
        <v>110</v>
      </c>
      <c r="E4973" s="5" t="s">
        <v>26</v>
      </c>
      <c r="F4973" s="5"/>
      <c r="G4973" s="9">
        <f>H4973*(1-15%)*(1-F4973)</f>
        <v>50.064999999999998</v>
      </c>
      <c r="H4973" s="9">
        <v>58.899999999999999</v>
      </c>
      <c r="I4973" s="9">
        <f>H4973-G4973</f>
        <v>8.8350000000000009</v>
      </c>
    </row>
    <row r="4974" ht="14.25">
      <c r="A4974" s="5">
        <v>75331</v>
      </c>
      <c r="B4974" s="7" t="s">
        <v>5071</v>
      </c>
      <c r="C4974" s="7" t="s">
        <v>4891</v>
      </c>
      <c r="D4974" s="7" t="s">
        <v>110</v>
      </c>
      <c r="E4974" s="5" t="s">
        <v>26</v>
      </c>
      <c r="F4974" s="5"/>
      <c r="G4974" s="9">
        <f>H4974*(1-15%)*(1-F4974)</f>
        <v>52.614999999999995</v>
      </c>
      <c r="H4974" s="9">
        <v>61.899999999999999</v>
      </c>
      <c r="I4974" s="9">
        <f>H4974-G4974</f>
        <v>9.2850000000000037</v>
      </c>
    </row>
    <row r="4975" ht="14.25">
      <c r="A4975" s="5">
        <v>79472</v>
      </c>
      <c r="B4975" s="7" t="s">
        <v>5072</v>
      </c>
      <c r="C4975" s="7" t="s">
        <v>4891</v>
      </c>
      <c r="D4975" s="7" t="s">
        <v>110</v>
      </c>
      <c r="E4975" s="5" t="s">
        <v>39</v>
      </c>
      <c r="F4975" s="5"/>
      <c r="G4975" s="9">
        <f>H4975*(1-15%)*(1-F4975)</f>
        <v>59.415000000000006</v>
      </c>
      <c r="H4975" s="9">
        <v>69.900000000000006</v>
      </c>
      <c r="I4975" s="9">
        <f>H4975-G4975</f>
        <v>10.484999999999999</v>
      </c>
    </row>
    <row r="4976" ht="14.25">
      <c r="A4976" s="5">
        <v>75280</v>
      </c>
      <c r="B4976" s="7" t="s">
        <v>5073</v>
      </c>
      <c r="C4976" s="7" t="s">
        <v>4891</v>
      </c>
      <c r="D4976" s="7" t="s">
        <v>110</v>
      </c>
      <c r="E4976" s="5" t="s">
        <v>15</v>
      </c>
      <c r="F4976" s="5"/>
      <c r="G4976" s="9">
        <f>H4976*(1-15%)*(1-F4976)</f>
        <v>44.964999999999996</v>
      </c>
      <c r="H4976" s="9">
        <v>52.899999999999999</v>
      </c>
      <c r="I4976" s="9">
        <f>H4976-G4976</f>
        <v>7.9350000000000023</v>
      </c>
    </row>
    <row r="4977" ht="14.25">
      <c r="A4977" s="5">
        <v>75269</v>
      </c>
      <c r="B4977" s="7" t="s">
        <v>5074</v>
      </c>
      <c r="C4977" s="7" t="s">
        <v>4891</v>
      </c>
      <c r="D4977" s="7" t="s">
        <v>110</v>
      </c>
      <c r="E4977" s="5" t="s">
        <v>43</v>
      </c>
      <c r="F4977" s="5"/>
      <c r="G4977" s="9">
        <f>H4977*(1-15%)*(1-F4977)</f>
        <v>44.964999999999996</v>
      </c>
      <c r="H4977" s="9">
        <v>52.899999999999999</v>
      </c>
      <c r="I4977" s="9">
        <f>H4977-G4977</f>
        <v>7.9350000000000023</v>
      </c>
    </row>
    <row r="4978" ht="14.25">
      <c r="A4978" s="5">
        <v>75281</v>
      </c>
      <c r="B4978" s="7" t="s">
        <v>5075</v>
      </c>
      <c r="C4978" s="7" t="s">
        <v>4891</v>
      </c>
      <c r="D4978" s="7" t="s">
        <v>110</v>
      </c>
      <c r="E4978" s="5" t="s">
        <v>43</v>
      </c>
      <c r="F4978" s="5"/>
      <c r="G4978" s="9">
        <f>H4978*(1-15%)*(1-F4978)</f>
        <v>44.964999999999996</v>
      </c>
      <c r="H4978" s="9">
        <v>52.899999999999999</v>
      </c>
      <c r="I4978" s="9">
        <f>H4978-G4978</f>
        <v>7.9350000000000023</v>
      </c>
    </row>
    <row r="4979" ht="14.25">
      <c r="A4979" s="5">
        <v>81556</v>
      </c>
      <c r="B4979" s="7" t="s">
        <v>5076</v>
      </c>
      <c r="C4979" s="7" t="s">
        <v>4891</v>
      </c>
      <c r="D4979" s="7" t="s">
        <v>110</v>
      </c>
      <c r="E4979" s="5" t="s">
        <v>15</v>
      </c>
      <c r="F4979" s="5"/>
      <c r="G4979" s="9">
        <f>H4979*(1-15%)*(1-F4979)</f>
        <v>44.964999999999996</v>
      </c>
      <c r="H4979" s="9">
        <v>52.899999999999999</v>
      </c>
      <c r="I4979" s="9">
        <f>H4979-G4979</f>
        <v>7.9350000000000023</v>
      </c>
    </row>
    <row r="4980" ht="14.25">
      <c r="A4980" s="5">
        <v>79773</v>
      </c>
      <c r="B4980" s="7" t="s">
        <v>5077</v>
      </c>
      <c r="C4980" s="7" t="s">
        <v>4891</v>
      </c>
      <c r="D4980" s="7" t="s">
        <v>110</v>
      </c>
      <c r="E4980" s="5" t="s">
        <v>26</v>
      </c>
      <c r="F4980" s="5"/>
      <c r="G4980" s="9">
        <f>H4980*(1-15%)*(1-F4980)</f>
        <v>56.865000000000002</v>
      </c>
      <c r="H4980" s="9">
        <v>66.900000000000006</v>
      </c>
      <c r="I4980" s="9">
        <f>H4980-G4980</f>
        <v>10.035000000000004</v>
      </c>
    </row>
    <row r="4981" ht="14.25">
      <c r="A4981" s="5">
        <v>79774</v>
      </c>
      <c r="B4981" s="7" t="s">
        <v>5078</v>
      </c>
      <c r="C4981" s="7" t="s">
        <v>4891</v>
      </c>
      <c r="D4981" s="7" t="s">
        <v>110</v>
      </c>
      <c r="E4981" s="5" t="s">
        <v>26</v>
      </c>
      <c r="F4981" s="5"/>
      <c r="G4981" s="9">
        <f>H4981*(1-15%)*(1-F4981)</f>
        <v>56.865000000000002</v>
      </c>
      <c r="H4981" s="9">
        <v>66.900000000000006</v>
      </c>
      <c r="I4981" s="9">
        <f>H4981-G4981</f>
        <v>10.035000000000004</v>
      </c>
    </row>
    <row r="4982" ht="14.25">
      <c r="A4982" s="5">
        <v>79775</v>
      </c>
      <c r="B4982" s="7" t="s">
        <v>5079</v>
      </c>
      <c r="C4982" s="7" t="s">
        <v>4891</v>
      </c>
      <c r="D4982" s="7" t="s">
        <v>110</v>
      </c>
      <c r="E4982" s="5" t="s">
        <v>26</v>
      </c>
      <c r="F4982" s="5"/>
      <c r="G4982" s="9">
        <f>H4982*(1-15%)*(1-F4982)</f>
        <v>56.865000000000002</v>
      </c>
      <c r="H4982" s="9">
        <v>66.900000000000006</v>
      </c>
      <c r="I4982" s="9">
        <f>H4982-G4982</f>
        <v>10.035000000000004</v>
      </c>
    </row>
    <row r="4983" ht="14.25">
      <c r="A4983" s="5">
        <v>79776</v>
      </c>
      <c r="B4983" s="7" t="s">
        <v>5080</v>
      </c>
      <c r="C4983" s="7" t="s">
        <v>4891</v>
      </c>
      <c r="D4983" s="7" t="s">
        <v>110</v>
      </c>
      <c r="E4983" s="5" t="s">
        <v>26</v>
      </c>
      <c r="F4983" s="5"/>
      <c r="G4983" s="9">
        <f>H4983*(1-15%)*(1-F4983)</f>
        <v>56.865000000000002</v>
      </c>
      <c r="H4983" s="9">
        <v>66.900000000000006</v>
      </c>
      <c r="I4983" s="9">
        <f>H4983-G4983</f>
        <v>10.035000000000004</v>
      </c>
    </row>
    <row r="4984" ht="14.25">
      <c r="A4984" s="5">
        <v>79777</v>
      </c>
      <c r="B4984" s="7" t="s">
        <v>5081</v>
      </c>
      <c r="C4984" s="7" t="s">
        <v>4891</v>
      </c>
      <c r="D4984" s="7" t="s">
        <v>110</v>
      </c>
      <c r="E4984" s="5" t="s">
        <v>26</v>
      </c>
      <c r="F4984" s="5"/>
      <c r="G4984" s="9">
        <f>H4984*(1-15%)*(1-F4984)</f>
        <v>56.865000000000002</v>
      </c>
      <c r="H4984" s="9">
        <v>66.900000000000006</v>
      </c>
      <c r="I4984" s="9">
        <f>H4984-G4984</f>
        <v>10.035000000000004</v>
      </c>
    </row>
    <row r="4985" ht="14.25">
      <c r="A4985" s="5">
        <v>79778</v>
      </c>
      <c r="B4985" s="7" t="s">
        <v>5082</v>
      </c>
      <c r="C4985" s="7" t="s">
        <v>4891</v>
      </c>
      <c r="D4985" s="7" t="s">
        <v>110</v>
      </c>
      <c r="E4985" s="5" t="s">
        <v>26</v>
      </c>
      <c r="F4985" s="5"/>
      <c r="G4985" s="9">
        <f>H4985*(1-15%)*(1-F4985)</f>
        <v>56.865000000000002</v>
      </c>
      <c r="H4985" s="9">
        <v>66.900000000000006</v>
      </c>
      <c r="I4985" s="9">
        <f>H4985-G4985</f>
        <v>10.035000000000004</v>
      </c>
    </row>
    <row r="4986" ht="14.25">
      <c r="A4986" s="5">
        <v>79779</v>
      </c>
      <c r="B4986" s="7" t="s">
        <v>5083</v>
      </c>
      <c r="C4986" s="7" t="s">
        <v>4891</v>
      </c>
      <c r="D4986" s="7" t="s">
        <v>110</v>
      </c>
      <c r="E4986" s="5" t="s">
        <v>26</v>
      </c>
      <c r="F4986" s="5"/>
      <c r="G4986" s="9">
        <f>H4986*(1-15%)*(1-F4986)</f>
        <v>56.865000000000002</v>
      </c>
      <c r="H4986" s="9">
        <v>66.900000000000006</v>
      </c>
      <c r="I4986" s="9">
        <f>H4986-G4986</f>
        <v>10.035000000000004</v>
      </c>
    </row>
    <row r="4987" ht="14.25">
      <c r="A4987" s="5">
        <v>79781</v>
      </c>
      <c r="B4987" s="7" t="s">
        <v>5084</v>
      </c>
      <c r="C4987" s="7" t="s">
        <v>4891</v>
      </c>
      <c r="D4987" s="7" t="s">
        <v>110</v>
      </c>
      <c r="E4987" s="5" t="s">
        <v>26</v>
      </c>
      <c r="F4987" s="5"/>
      <c r="G4987" s="9">
        <f>H4987*(1-15%)*(1-F4987)</f>
        <v>56.865000000000002</v>
      </c>
      <c r="H4987" s="9">
        <v>66.900000000000006</v>
      </c>
      <c r="I4987" s="9">
        <f>H4987-G4987</f>
        <v>10.035000000000004</v>
      </c>
    </row>
    <row r="4988" ht="14.25">
      <c r="A4988" s="5">
        <v>79782</v>
      </c>
      <c r="B4988" s="7" t="s">
        <v>5085</v>
      </c>
      <c r="C4988" s="7" t="s">
        <v>4891</v>
      </c>
      <c r="D4988" s="7" t="s">
        <v>110</v>
      </c>
      <c r="E4988" s="5" t="s">
        <v>26</v>
      </c>
      <c r="F4988" s="5"/>
      <c r="G4988" s="9">
        <f>H4988*(1-15%)*(1-F4988)</f>
        <v>56.865000000000002</v>
      </c>
      <c r="H4988" s="9">
        <v>66.900000000000006</v>
      </c>
      <c r="I4988" s="9">
        <f>H4988-G4988</f>
        <v>10.035000000000004</v>
      </c>
    </row>
    <row r="4989" ht="14.25">
      <c r="A4989" s="5">
        <v>77846</v>
      </c>
      <c r="B4989" s="7" t="s">
        <v>5086</v>
      </c>
      <c r="C4989" s="7" t="s">
        <v>4891</v>
      </c>
      <c r="D4989" s="7" t="s">
        <v>110</v>
      </c>
      <c r="E4989" s="5" t="s">
        <v>26</v>
      </c>
      <c r="F4989" s="5"/>
      <c r="G4989" s="9">
        <f>H4989*(1-15%)*(1-F4989)</f>
        <v>41.564999999999998</v>
      </c>
      <c r="H4989" s="9">
        <v>48.899999999999999</v>
      </c>
      <c r="I4989" s="9">
        <f>H4989-G4989</f>
        <v>7.3350000000000009</v>
      </c>
    </row>
    <row r="4990" ht="14.25">
      <c r="A4990" s="5">
        <v>77852</v>
      </c>
      <c r="B4990" s="7" t="s">
        <v>5087</v>
      </c>
      <c r="C4990" s="7" t="s">
        <v>4891</v>
      </c>
      <c r="D4990" s="7" t="s">
        <v>110</v>
      </c>
      <c r="E4990" s="5" t="s">
        <v>26</v>
      </c>
      <c r="F4990" s="5"/>
      <c r="G4990" s="9">
        <f>H4990*(1-15%)*(1-F4990)</f>
        <v>41.564999999999998</v>
      </c>
      <c r="H4990" s="9">
        <v>48.899999999999999</v>
      </c>
      <c r="I4990" s="9">
        <f>H4990-G4990</f>
        <v>7.3350000000000009</v>
      </c>
    </row>
    <row r="4991" ht="14.25">
      <c r="A4991" s="5">
        <v>77863</v>
      </c>
      <c r="B4991" s="7" t="s">
        <v>5088</v>
      </c>
      <c r="C4991" s="7" t="s">
        <v>4891</v>
      </c>
      <c r="D4991" s="7" t="s">
        <v>110</v>
      </c>
      <c r="E4991" s="5" t="s">
        <v>26</v>
      </c>
      <c r="F4991" s="5"/>
      <c r="G4991" s="9">
        <f>H4991*(1-15%)*(1-F4991)</f>
        <v>41.564999999999998</v>
      </c>
      <c r="H4991" s="9">
        <v>48.899999999999999</v>
      </c>
      <c r="I4991" s="9">
        <f>H4991-G4991</f>
        <v>7.3350000000000009</v>
      </c>
    </row>
    <row r="4992" ht="14.25">
      <c r="A4992" s="5">
        <v>77850</v>
      </c>
      <c r="B4992" s="7" t="s">
        <v>5089</v>
      </c>
      <c r="C4992" s="7" t="s">
        <v>4891</v>
      </c>
      <c r="D4992" s="7" t="s">
        <v>110</v>
      </c>
      <c r="E4992" s="5" t="s">
        <v>26</v>
      </c>
      <c r="F4992" s="5"/>
      <c r="G4992" s="9">
        <f>H4992*(1-15%)*(1-F4992)</f>
        <v>41.564999999999998</v>
      </c>
      <c r="H4992" s="9">
        <v>48.899999999999999</v>
      </c>
      <c r="I4992" s="9">
        <f>H4992-G4992</f>
        <v>7.3350000000000009</v>
      </c>
    </row>
    <row r="4993" ht="14.25">
      <c r="A4993" s="5">
        <v>77840</v>
      </c>
      <c r="B4993" s="7" t="s">
        <v>5090</v>
      </c>
      <c r="C4993" s="7" t="s">
        <v>4891</v>
      </c>
      <c r="D4993" s="7" t="s">
        <v>110</v>
      </c>
      <c r="E4993" s="5" t="s">
        <v>26</v>
      </c>
      <c r="F4993" s="5"/>
      <c r="G4993" s="9">
        <f>H4993*(1-15%)*(1-F4993)</f>
        <v>41.564999999999998</v>
      </c>
      <c r="H4993" s="9">
        <v>48.899999999999999</v>
      </c>
      <c r="I4993" s="9">
        <f>H4993-G4993</f>
        <v>7.3350000000000009</v>
      </c>
    </row>
    <row r="4994" ht="14.25">
      <c r="A4994" s="5">
        <v>77854</v>
      </c>
      <c r="B4994" s="7" t="s">
        <v>5091</v>
      </c>
      <c r="C4994" s="7" t="s">
        <v>4891</v>
      </c>
      <c r="D4994" s="7" t="s">
        <v>110</v>
      </c>
      <c r="E4994" s="5" t="s">
        <v>26</v>
      </c>
      <c r="F4994" s="5"/>
      <c r="G4994" s="9">
        <f>H4994*(1-15%)*(1-F4994)</f>
        <v>41.564999999999998</v>
      </c>
      <c r="H4994" s="9">
        <v>48.899999999999999</v>
      </c>
      <c r="I4994" s="9">
        <f>H4994-G4994</f>
        <v>7.3350000000000009</v>
      </c>
    </row>
    <row r="4995" ht="14.25">
      <c r="A4995" s="5">
        <v>77843</v>
      </c>
      <c r="B4995" s="7" t="s">
        <v>5092</v>
      </c>
      <c r="C4995" s="7" t="s">
        <v>4891</v>
      </c>
      <c r="D4995" s="7" t="s">
        <v>110</v>
      </c>
      <c r="E4995" s="5" t="s">
        <v>26</v>
      </c>
      <c r="F4995" s="5"/>
      <c r="G4995" s="9">
        <f>H4995*(1-15%)*(1-F4995)</f>
        <v>41.564999999999998</v>
      </c>
      <c r="H4995" s="9">
        <v>48.899999999999999</v>
      </c>
      <c r="I4995" s="9">
        <f>H4995-G4995</f>
        <v>7.3350000000000009</v>
      </c>
    </row>
    <row r="4996" ht="14.25">
      <c r="A4996" s="5">
        <v>77849</v>
      </c>
      <c r="B4996" s="7" t="s">
        <v>5093</v>
      </c>
      <c r="C4996" s="7" t="s">
        <v>4891</v>
      </c>
      <c r="D4996" s="7" t="s">
        <v>110</v>
      </c>
      <c r="E4996" s="5" t="s">
        <v>26</v>
      </c>
      <c r="F4996" s="5"/>
      <c r="G4996" s="9">
        <f>H4996*(1-15%)*(1-F4996)</f>
        <v>41.564999999999998</v>
      </c>
      <c r="H4996" s="9">
        <v>48.899999999999999</v>
      </c>
      <c r="I4996" s="9">
        <f>H4996-G4996</f>
        <v>7.3350000000000009</v>
      </c>
    </row>
    <row r="4997" ht="14.25">
      <c r="A4997" s="5">
        <v>77867</v>
      </c>
      <c r="B4997" s="7" t="s">
        <v>5094</v>
      </c>
      <c r="C4997" s="7" t="s">
        <v>4891</v>
      </c>
      <c r="D4997" s="7" t="s">
        <v>110</v>
      </c>
      <c r="E4997" s="5" t="s">
        <v>26</v>
      </c>
      <c r="F4997" s="5"/>
      <c r="G4997" s="9">
        <f>H4997*(1-15%)*(1-F4997)</f>
        <v>41.564999999999998</v>
      </c>
      <c r="H4997" s="9">
        <v>48.899999999999999</v>
      </c>
      <c r="I4997" s="9">
        <f>H4997-G4997</f>
        <v>7.3350000000000009</v>
      </c>
    </row>
    <row r="4998" ht="14.25">
      <c r="A4998" s="5">
        <v>77842</v>
      </c>
      <c r="B4998" s="7" t="s">
        <v>5095</v>
      </c>
      <c r="C4998" s="7" t="s">
        <v>4891</v>
      </c>
      <c r="D4998" s="7" t="s">
        <v>110</v>
      </c>
      <c r="E4998" s="5" t="s">
        <v>26</v>
      </c>
      <c r="F4998" s="5"/>
      <c r="G4998" s="9">
        <f>H4998*(1-15%)*(1-F4998)</f>
        <v>41.564999999999998</v>
      </c>
      <c r="H4998" s="9">
        <v>48.899999999999999</v>
      </c>
      <c r="I4998" s="9">
        <f>H4998-G4998</f>
        <v>7.3350000000000009</v>
      </c>
    </row>
    <row r="4999" ht="14.25">
      <c r="A4999" s="5">
        <v>77858</v>
      </c>
      <c r="B4999" s="7" t="s">
        <v>5096</v>
      </c>
      <c r="C4999" s="7" t="s">
        <v>4891</v>
      </c>
      <c r="D4999" s="7" t="s">
        <v>110</v>
      </c>
      <c r="E4999" s="5" t="s">
        <v>26</v>
      </c>
      <c r="F4999" s="5"/>
      <c r="G4999" s="9">
        <f>H4999*(1-15%)*(1-F4999)</f>
        <v>41.564999999999998</v>
      </c>
      <c r="H4999" s="9">
        <v>48.899999999999999</v>
      </c>
      <c r="I4999" s="9">
        <f>H4999-G4999</f>
        <v>7.3350000000000009</v>
      </c>
    </row>
    <row r="5000" ht="14.25">
      <c r="A5000" s="5">
        <v>77837</v>
      </c>
      <c r="B5000" s="7" t="s">
        <v>5097</v>
      </c>
      <c r="C5000" s="7" t="s">
        <v>4891</v>
      </c>
      <c r="D5000" s="7" t="s">
        <v>110</v>
      </c>
      <c r="E5000" s="5" t="s">
        <v>26</v>
      </c>
      <c r="F5000" s="5"/>
      <c r="G5000" s="9">
        <f>H5000*(1-15%)*(1-F5000)</f>
        <v>41.564999999999998</v>
      </c>
      <c r="H5000" s="9">
        <v>48.899999999999999</v>
      </c>
      <c r="I5000" s="9">
        <f>H5000-G5000</f>
        <v>7.3350000000000009</v>
      </c>
    </row>
    <row r="5001" ht="14.25">
      <c r="A5001" s="5">
        <v>77855</v>
      </c>
      <c r="B5001" s="7" t="s">
        <v>5098</v>
      </c>
      <c r="C5001" s="7" t="s">
        <v>4891</v>
      </c>
      <c r="D5001" s="7" t="s">
        <v>110</v>
      </c>
      <c r="E5001" s="5" t="s">
        <v>26</v>
      </c>
      <c r="F5001" s="5"/>
      <c r="G5001" s="9">
        <f>H5001*(1-15%)*(1-F5001)</f>
        <v>41.564999999999998</v>
      </c>
      <c r="H5001" s="9">
        <v>48.899999999999999</v>
      </c>
      <c r="I5001" s="9">
        <f>H5001-G5001</f>
        <v>7.3350000000000009</v>
      </c>
    </row>
    <row r="5002" ht="14.25">
      <c r="A5002" s="5">
        <v>77838</v>
      </c>
      <c r="B5002" s="7" t="s">
        <v>5099</v>
      </c>
      <c r="C5002" s="7" t="s">
        <v>4891</v>
      </c>
      <c r="D5002" s="7" t="s">
        <v>110</v>
      </c>
      <c r="E5002" s="5" t="s">
        <v>15</v>
      </c>
      <c r="F5002" s="5"/>
      <c r="G5002" s="9">
        <f>H5002*(1-15%)*(1-F5002)</f>
        <v>41.564999999999998</v>
      </c>
      <c r="H5002" s="9">
        <v>48.899999999999999</v>
      </c>
      <c r="I5002" s="9">
        <f>H5002-G5002</f>
        <v>7.3350000000000009</v>
      </c>
    </row>
    <row r="5003" ht="14.25">
      <c r="A5003" s="5">
        <v>77839</v>
      </c>
      <c r="B5003" s="7" t="s">
        <v>5100</v>
      </c>
      <c r="C5003" s="7" t="s">
        <v>4891</v>
      </c>
      <c r="D5003" s="7" t="s">
        <v>110</v>
      </c>
      <c r="E5003" s="5" t="s">
        <v>26</v>
      </c>
      <c r="F5003" s="5"/>
      <c r="G5003" s="9">
        <f>H5003*(1-15%)*(1-F5003)</f>
        <v>41.564999999999998</v>
      </c>
      <c r="H5003" s="9">
        <v>48.899999999999999</v>
      </c>
      <c r="I5003" s="9">
        <f>H5003-G5003</f>
        <v>7.3350000000000009</v>
      </c>
    </row>
    <row r="5004" ht="14.25">
      <c r="A5004" s="5">
        <v>77845</v>
      </c>
      <c r="B5004" s="7" t="s">
        <v>5101</v>
      </c>
      <c r="C5004" s="7" t="s">
        <v>4891</v>
      </c>
      <c r="D5004" s="7" t="s">
        <v>110</v>
      </c>
      <c r="E5004" s="5" t="s">
        <v>26</v>
      </c>
      <c r="F5004" s="5"/>
      <c r="G5004" s="9">
        <f>H5004*(1-15%)*(1-F5004)</f>
        <v>41.564999999999998</v>
      </c>
      <c r="H5004" s="9">
        <v>48.899999999999999</v>
      </c>
      <c r="I5004" s="9">
        <f>H5004-G5004</f>
        <v>7.3350000000000009</v>
      </c>
    </row>
    <row r="5005" ht="14.25">
      <c r="A5005" s="5">
        <v>77820</v>
      </c>
      <c r="B5005" s="7" t="s">
        <v>5102</v>
      </c>
      <c r="C5005" s="7" t="s">
        <v>4891</v>
      </c>
      <c r="D5005" s="7" t="s">
        <v>110</v>
      </c>
      <c r="E5005" s="5" t="s">
        <v>43</v>
      </c>
      <c r="F5005" s="5"/>
      <c r="G5005" s="9">
        <f>H5005*(1-15%)*(1-F5005)</f>
        <v>40.714999999999996</v>
      </c>
      <c r="H5005" s="9">
        <v>47.899999999999999</v>
      </c>
      <c r="I5005" s="9">
        <f>H5005-G5005</f>
        <v>7.1850000000000023</v>
      </c>
    </row>
    <row r="5006" ht="14.25">
      <c r="A5006" s="5">
        <v>77917</v>
      </c>
      <c r="B5006" s="7" t="s">
        <v>5103</v>
      </c>
      <c r="C5006" s="7" t="s">
        <v>4891</v>
      </c>
      <c r="D5006" s="7" t="s">
        <v>110</v>
      </c>
      <c r="E5006" s="5" t="s">
        <v>43</v>
      </c>
      <c r="F5006" s="5"/>
      <c r="G5006" s="9">
        <f>H5006*(1-15%)*(1-F5006)</f>
        <v>44.964999999999996</v>
      </c>
      <c r="H5006" s="9">
        <v>52.899999999999999</v>
      </c>
      <c r="I5006" s="9">
        <f>H5006-G5006</f>
        <v>7.9350000000000023</v>
      </c>
    </row>
    <row r="5007" ht="14.25">
      <c r="A5007" s="5">
        <v>75231</v>
      </c>
      <c r="B5007" s="7" t="s">
        <v>5104</v>
      </c>
      <c r="C5007" s="7" t="s">
        <v>4891</v>
      </c>
      <c r="D5007" s="7" t="s">
        <v>110</v>
      </c>
      <c r="E5007" s="5" t="s">
        <v>26</v>
      </c>
      <c r="F5007" s="5"/>
      <c r="G5007" s="9">
        <f>H5007*(1-15%)*(1-F5007)</f>
        <v>50.064999999999998</v>
      </c>
      <c r="H5007" s="9">
        <v>58.899999999999999</v>
      </c>
      <c r="I5007" s="9">
        <f>H5007-G5007</f>
        <v>8.8350000000000009</v>
      </c>
    </row>
    <row r="5008" ht="14.25">
      <c r="A5008" s="5">
        <v>75237</v>
      </c>
      <c r="B5008" s="7" t="s">
        <v>5105</v>
      </c>
      <c r="C5008" s="7" t="s">
        <v>4891</v>
      </c>
      <c r="D5008" s="7" t="s">
        <v>110</v>
      </c>
      <c r="E5008" s="5" t="s">
        <v>26</v>
      </c>
      <c r="F5008" s="5"/>
      <c r="G5008" s="9">
        <f>H5008*(1-15%)*(1-F5008)</f>
        <v>50.064999999999998</v>
      </c>
      <c r="H5008" s="9">
        <v>58.899999999999999</v>
      </c>
      <c r="I5008" s="9">
        <f>H5008-G5008</f>
        <v>8.8350000000000009</v>
      </c>
    </row>
    <row r="5009" ht="14.25">
      <c r="A5009" s="5">
        <v>75286</v>
      </c>
      <c r="B5009" s="7" t="s">
        <v>5106</v>
      </c>
      <c r="C5009" s="7" t="s">
        <v>4891</v>
      </c>
      <c r="D5009" s="7" t="s">
        <v>110</v>
      </c>
      <c r="E5009" s="5" t="s">
        <v>43</v>
      </c>
      <c r="F5009" s="5"/>
      <c r="G5009" s="9">
        <f>H5009*(1-15%)*(1-F5009)</f>
        <v>44.964999999999996</v>
      </c>
      <c r="H5009" s="9">
        <v>52.899999999999999</v>
      </c>
      <c r="I5009" s="9">
        <f>H5009-G5009</f>
        <v>7.9350000000000023</v>
      </c>
    </row>
    <row r="5010" ht="14.25">
      <c r="A5010" s="5">
        <v>75291</v>
      </c>
      <c r="B5010" s="7" t="s">
        <v>5107</v>
      </c>
      <c r="C5010" s="7" t="s">
        <v>4891</v>
      </c>
      <c r="D5010" s="7" t="s">
        <v>110</v>
      </c>
      <c r="E5010" s="5" t="s">
        <v>43</v>
      </c>
      <c r="F5010" s="5"/>
      <c r="G5010" s="9">
        <f>H5010*(1-15%)*(1-F5010)</f>
        <v>44.964999999999996</v>
      </c>
      <c r="H5010" s="9">
        <v>52.899999999999999</v>
      </c>
      <c r="I5010" s="9">
        <f>H5010-G5010</f>
        <v>7.9350000000000023</v>
      </c>
    </row>
    <row r="5011" ht="14.25">
      <c r="A5011" s="5">
        <v>75292</v>
      </c>
      <c r="B5011" s="7" t="s">
        <v>5108</v>
      </c>
      <c r="C5011" s="7" t="s">
        <v>4891</v>
      </c>
      <c r="D5011" s="7" t="s">
        <v>110</v>
      </c>
      <c r="E5011" s="5" t="s">
        <v>26</v>
      </c>
      <c r="F5011" s="5"/>
      <c r="G5011" s="9">
        <f>H5011*(1-15%)*(1-F5011)</f>
        <v>44.964999999999996</v>
      </c>
      <c r="H5011" s="9">
        <v>52.899999999999999</v>
      </c>
      <c r="I5011" s="9">
        <f>H5011-G5011</f>
        <v>7.9350000000000023</v>
      </c>
    </row>
    <row r="5012" ht="14.25">
      <c r="A5012" s="5">
        <v>75295</v>
      </c>
      <c r="B5012" s="7" t="s">
        <v>5109</v>
      </c>
      <c r="C5012" s="7" t="s">
        <v>4891</v>
      </c>
      <c r="D5012" s="7" t="s">
        <v>110</v>
      </c>
      <c r="E5012" s="5" t="s">
        <v>43</v>
      </c>
      <c r="F5012" s="5"/>
      <c r="G5012" s="9">
        <f>H5012*(1-15%)*(1-F5012)</f>
        <v>44.964999999999996</v>
      </c>
      <c r="H5012" s="9">
        <v>52.899999999999999</v>
      </c>
      <c r="I5012" s="9">
        <f>H5012-G5012</f>
        <v>7.9350000000000023</v>
      </c>
    </row>
    <row r="5013" ht="14.25">
      <c r="A5013" s="5">
        <v>75298</v>
      </c>
      <c r="B5013" s="7" t="s">
        <v>5110</v>
      </c>
      <c r="C5013" s="7" t="s">
        <v>4891</v>
      </c>
      <c r="D5013" s="7" t="s">
        <v>110</v>
      </c>
      <c r="E5013" s="5" t="s">
        <v>43</v>
      </c>
      <c r="F5013" s="5"/>
      <c r="G5013" s="9">
        <f>H5013*(1-15%)*(1-F5013)</f>
        <v>44.964999999999996</v>
      </c>
      <c r="H5013" s="9">
        <v>52.899999999999999</v>
      </c>
      <c r="I5013" s="9">
        <f>H5013-G5013</f>
        <v>7.9350000000000023</v>
      </c>
    </row>
    <row r="5014" ht="14.25">
      <c r="A5014" s="5">
        <v>75308</v>
      </c>
      <c r="B5014" s="7" t="s">
        <v>5111</v>
      </c>
      <c r="C5014" s="7" t="s">
        <v>4891</v>
      </c>
      <c r="D5014" s="7" t="s">
        <v>110</v>
      </c>
      <c r="E5014" s="5" t="s">
        <v>26</v>
      </c>
      <c r="F5014" s="5"/>
      <c r="G5014" s="9">
        <f>H5014*(1-15%)*(1-F5014)</f>
        <v>44.964999999999996</v>
      </c>
      <c r="H5014" s="9">
        <v>52.899999999999999</v>
      </c>
      <c r="I5014" s="9">
        <f>H5014-G5014</f>
        <v>7.9350000000000023</v>
      </c>
    </row>
    <row r="5015" ht="14.25">
      <c r="A5015" s="5">
        <v>75309</v>
      </c>
      <c r="B5015" s="7" t="s">
        <v>5112</v>
      </c>
      <c r="C5015" s="7" t="s">
        <v>4891</v>
      </c>
      <c r="D5015" s="7" t="s">
        <v>110</v>
      </c>
      <c r="E5015" s="5" t="s">
        <v>43</v>
      </c>
      <c r="F5015" s="5"/>
      <c r="G5015" s="9">
        <f>H5015*(1-15%)*(1-F5015)</f>
        <v>44.964999999999996</v>
      </c>
      <c r="H5015" s="9">
        <v>52.899999999999999</v>
      </c>
      <c r="I5015" s="9">
        <f>H5015-G5015</f>
        <v>7.9350000000000023</v>
      </c>
    </row>
    <row r="5016" ht="14.25">
      <c r="A5016" s="5">
        <v>75314</v>
      </c>
      <c r="B5016" s="7" t="s">
        <v>5113</v>
      </c>
      <c r="C5016" s="7" t="s">
        <v>4891</v>
      </c>
      <c r="D5016" s="7" t="s">
        <v>110</v>
      </c>
      <c r="E5016" s="5" t="s">
        <v>43</v>
      </c>
      <c r="F5016" s="5"/>
      <c r="G5016" s="9">
        <f>H5016*(1-15%)*(1-F5016)</f>
        <v>44.964999999999996</v>
      </c>
      <c r="H5016" s="9">
        <v>52.899999999999999</v>
      </c>
      <c r="I5016" s="9">
        <f>H5016-G5016</f>
        <v>7.9350000000000023</v>
      </c>
    </row>
    <row r="5017" ht="14.25">
      <c r="A5017" s="5">
        <v>75317</v>
      </c>
      <c r="B5017" s="7" t="s">
        <v>5114</v>
      </c>
      <c r="C5017" s="7" t="s">
        <v>4891</v>
      </c>
      <c r="D5017" s="7" t="s">
        <v>110</v>
      </c>
      <c r="E5017" s="5" t="s">
        <v>43</v>
      </c>
      <c r="F5017" s="5"/>
      <c r="G5017" s="9">
        <f>H5017*(1-15%)*(1-F5017)</f>
        <v>44.964999999999996</v>
      </c>
      <c r="H5017" s="9">
        <v>52.899999999999999</v>
      </c>
      <c r="I5017" s="9">
        <f>H5017-G5017</f>
        <v>7.9350000000000023</v>
      </c>
    </row>
    <row r="5018" ht="14.25">
      <c r="A5018" s="5">
        <v>75319</v>
      </c>
      <c r="B5018" s="7" t="s">
        <v>5115</v>
      </c>
      <c r="C5018" s="7" t="s">
        <v>4891</v>
      </c>
      <c r="D5018" s="7" t="s">
        <v>110</v>
      </c>
      <c r="E5018" s="5" t="s">
        <v>43</v>
      </c>
      <c r="F5018" s="5"/>
      <c r="G5018" s="9">
        <f>H5018*(1-15%)*(1-F5018)</f>
        <v>44.964999999999996</v>
      </c>
      <c r="H5018" s="9">
        <v>52.899999999999999</v>
      </c>
      <c r="I5018" s="9">
        <f>H5018-G5018</f>
        <v>7.9350000000000023</v>
      </c>
    </row>
    <row r="5019" ht="14.25">
      <c r="A5019" s="5">
        <v>75369</v>
      </c>
      <c r="B5019" s="7" t="s">
        <v>5116</v>
      </c>
      <c r="C5019" s="7" t="s">
        <v>4891</v>
      </c>
      <c r="D5019" s="7" t="s">
        <v>110</v>
      </c>
      <c r="E5019" s="5" t="s">
        <v>133</v>
      </c>
      <c r="F5019" s="5"/>
      <c r="G5019" s="9">
        <f>H5019*(1-15%)*(1-F5019)</f>
        <v>59.415000000000006</v>
      </c>
      <c r="H5019" s="9">
        <v>69.900000000000006</v>
      </c>
      <c r="I5019" s="9">
        <f>H5019-G5019</f>
        <v>10.484999999999999</v>
      </c>
    </row>
    <row r="5020" ht="14.25">
      <c r="A5020" s="5">
        <v>75370</v>
      </c>
      <c r="B5020" s="7" t="s">
        <v>5117</v>
      </c>
      <c r="C5020" s="7" t="s">
        <v>4891</v>
      </c>
      <c r="D5020" s="7" t="s">
        <v>110</v>
      </c>
      <c r="E5020" s="5" t="s">
        <v>133</v>
      </c>
      <c r="F5020" s="5"/>
      <c r="G5020" s="9">
        <f>H5020*(1-15%)*(1-F5020)</f>
        <v>59.415000000000006</v>
      </c>
      <c r="H5020" s="9">
        <v>69.900000000000006</v>
      </c>
      <c r="I5020" s="9">
        <f>H5020-G5020</f>
        <v>10.484999999999999</v>
      </c>
    </row>
    <row r="5021" ht="14.25">
      <c r="A5021" s="5">
        <v>75371</v>
      </c>
      <c r="B5021" s="7" t="s">
        <v>5118</v>
      </c>
      <c r="C5021" s="7" t="s">
        <v>4891</v>
      </c>
      <c r="D5021" s="7" t="s">
        <v>110</v>
      </c>
      <c r="E5021" s="5" t="s">
        <v>133</v>
      </c>
      <c r="F5021" s="5"/>
      <c r="G5021" s="9">
        <f>H5021*(1-15%)*(1-F5021)</f>
        <v>59.415000000000006</v>
      </c>
      <c r="H5021" s="9">
        <v>69.900000000000006</v>
      </c>
      <c r="I5021" s="9">
        <f>H5021-G5021</f>
        <v>10.484999999999999</v>
      </c>
    </row>
    <row r="5022" ht="14.25">
      <c r="A5022" s="5">
        <v>75372</v>
      </c>
      <c r="B5022" s="7" t="s">
        <v>5119</v>
      </c>
      <c r="C5022" s="7" t="s">
        <v>4891</v>
      </c>
      <c r="D5022" s="7" t="s">
        <v>110</v>
      </c>
      <c r="E5022" s="5" t="s">
        <v>133</v>
      </c>
      <c r="F5022" s="5"/>
      <c r="G5022" s="9">
        <f>H5022*(1-15%)*(1-F5022)</f>
        <v>59.415000000000006</v>
      </c>
      <c r="H5022" s="9">
        <v>69.900000000000006</v>
      </c>
      <c r="I5022" s="9">
        <f>H5022-G5022</f>
        <v>10.484999999999999</v>
      </c>
    </row>
    <row r="5023" ht="14.25">
      <c r="A5023" s="5">
        <v>75373</v>
      </c>
      <c r="B5023" s="7" t="s">
        <v>5120</v>
      </c>
      <c r="C5023" s="7" t="s">
        <v>4891</v>
      </c>
      <c r="D5023" s="7" t="s">
        <v>110</v>
      </c>
      <c r="E5023" s="5" t="s">
        <v>133</v>
      </c>
      <c r="F5023" s="5"/>
      <c r="G5023" s="9">
        <f>H5023*(1-15%)*(1-F5023)</f>
        <v>59.415000000000006</v>
      </c>
      <c r="H5023" s="9">
        <v>69.900000000000006</v>
      </c>
      <c r="I5023" s="9">
        <f>H5023-G5023</f>
        <v>10.484999999999999</v>
      </c>
    </row>
    <row r="5024" ht="14.25">
      <c r="A5024" s="5">
        <v>75374</v>
      </c>
      <c r="B5024" s="7" t="s">
        <v>5121</v>
      </c>
      <c r="C5024" s="7" t="s">
        <v>4891</v>
      </c>
      <c r="D5024" s="7" t="s">
        <v>110</v>
      </c>
      <c r="E5024" s="5" t="s">
        <v>133</v>
      </c>
      <c r="F5024" s="5"/>
      <c r="G5024" s="9">
        <f>H5024*(1-15%)*(1-F5024)</f>
        <v>59.415000000000006</v>
      </c>
      <c r="H5024" s="9">
        <v>69.900000000000006</v>
      </c>
      <c r="I5024" s="9">
        <f>H5024-G5024</f>
        <v>10.484999999999999</v>
      </c>
    </row>
    <row r="5025" ht="14.25">
      <c r="A5025" s="5">
        <v>75375</v>
      </c>
      <c r="B5025" s="7" t="s">
        <v>5122</v>
      </c>
      <c r="C5025" s="7" t="s">
        <v>4891</v>
      </c>
      <c r="D5025" s="7" t="s">
        <v>110</v>
      </c>
      <c r="E5025" s="5" t="s">
        <v>133</v>
      </c>
      <c r="F5025" s="5"/>
      <c r="G5025" s="9">
        <f>H5025*(1-15%)*(1-F5025)</f>
        <v>59.415000000000006</v>
      </c>
      <c r="H5025" s="9">
        <v>69.900000000000006</v>
      </c>
      <c r="I5025" s="9">
        <f>H5025-G5025</f>
        <v>10.484999999999999</v>
      </c>
    </row>
    <row r="5026" ht="14.25">
      <c r="A5026" s="5">
        <v>75376</v>
      </c>
      <c r="B5026" s="7" t="s">
        <v>5123</v>
      </c>
      <c r="C5026" s="7" t="s">
        <v>4891</v>
      </c>
      <c r="D5026" s="7" t="s">
        <v>110</v>
      </c>
      <c r="E5026" s="5" t="s">
        <v>133</v>
      </c>
      <c r="F5026" s="5"/>
      <c r="G5026" s="9">
        <f>H5026*(1-15%)*(1-F5026)</f>
        <v>59.415000000000006</v>
      </c>
      <c r="H5026" s="9">
        <v>69.900000000000006</v>
      </c>
      <c r="I5026" s="9">
        <f>H5026-G5026</f>
        <v>10.484999999999999</v>
      </c>
    </row>
    <row r="5027" ht="14.25">
      <c r="A5027" s="5">
        <v>75377</v>
      </c>
      <c r="B5027" s="7" t="s">
        <v>5124</v>
      </c>
      <c r="C5027" s="7" t="s">
        <v>4891</v>
      </c>
      <c r="D5027" s="7" t="s">
        <v>110</v>
      </c>
      <c r="E5027" s="5" t="s">
        <v>133</v>
      </c>
      <c r="F5027" s="5"/>
      <c r="G5027" s="9">
        <f>H5027*(1-15%)*(1-F5027)</f>
        <v>59.415000000000006</v>
      </c>
      <c r="H5027" s="9">
        <v>69.900000000000006</v>
      </c>
      <c r="I5027" s="9">
        <f>H5027-G5027</f>
        <v>10.484999999999999</v>
      </c>
    </row>
    <row r="5028" ht="14.25">
      <c r="A5028" s="5">
        <v>75378</v>
      </c>
      <c r="B5028" s="7" t="s">
        <v>5125</v>
      </c>
      <c r="C5028" s="7" t="s">
        <v>4891</v>
      </c>
      <c r="D5028" s="7" t="s">
        <v>110</v>
      </c>
      <c r="E5028" s="5" t="s">
        <v>133</v>
      </c>
      <c r="F5028" s="5"/>
      <c r="G5028" s="9">
        <f>H5028*(1-15%)*(1-F5028)</f>
        <v>59.415000000000006</v>
      </c>
      <c r="H5028" s="9">
        <v>69.900000000000006</v>
      </c>
      <c r="I5028" s="9">
        <f>H5028-G5028</f>
        <v>10.484999999999999</v>
      </c>
    </row>
    <row r="5029" ht="14.25">
      <c r="A5029" s="5">
        <v>75379</v>
      </c>
      <c r="B5029" s="7" t="s">
        <v>5126</v>
      </c>
      <c r="C5029" s="7" t="s">
        <v>4891</v>
      </c>
      <c r="D5029" s="7" t="s">
        <v>110</v>
      </c>
      <c r="E5029" s="5" t="s">
        <v>133</v>
      </c>
      <c r="F5029" s="5"/>
      <c r="G5029" s="9">
        <f>H5029*(1-15%)*(1-F5029)</f>
        <v>59.415000000000006</v>
      </c>
      <c r="H5029" s="9">
        <v>69.900000000000006</v>
      </c>
      <c r="I5029" s="9">
        <f>H5029-G5029</f>
        <v>10.484999999999999</v>
      </c>
    </row>
    <row r="5030" ht="14.25">
      <c r="A5030" s="5">
        <v>75383</v>
      </c>
      <c r="B5030" s="7" t="s">
        <v>5127</v>
      </c>
      <c r="C5030" s="7" t="s">
        <v>4891</v>
      </c>
      <c r="D5030" s="7" t="s">
        <v>110</v>
      </c>
      <c r="E5030" s="5" t="s">
        <v>26</v>
      </c>
      <c r="F5030" s="5"/>
      <c r="G5030" s="9">
        <f>H5030*(1-15%)*(1-F5030)</f>
        <v>59.415000000000006</v>
      </c>
      <c r="H5030" s="9">
        <v>69.900000000000006</v>
      </c>
      <c r="I5030" s="9">
        <f>H5030-G5030</f>
        <v>10.484999999999999</v>
      </c>
    </row>
    <row r="5031" ht="14.25">
      <c r="A5031" s="5">
        <v>75386</v>
      </c>
      <c r="B5031" s="7" t="s">
        <v>5128</v>
      </c>
      <c r="C5031" s="7" t="s">
        <v>4891</v>
      </c>
      <c r="D5031" s="7" t="s">
        <v>110</v>
      </c>
      <c r="E5031" s="5" t="s">
        <v>26</v>
      </c>
      <c r="F5031" s="5"/>
      <c r="G5031" s="9">
        <f>H5031*(1-15%)*(1-F5031)</f>
        <v>59.415000000000006</v>
      </c>
      <c r="H5031" s="9">
        <v>69.900000000000006</v>
      </c>
      <c r="I5031" s="9">
        <f>H5031-G5031</f>
        <v>10.484999999999999</v>
      </c>
    </row>
    <row r="5032" ht="14.25">
      <c r="A5032" s="5">
        <v>75389</v>
      </c>
      <c r="B5032" s="7" t="s">
        <v>5129</v>
      </c>
      <c r="C5032" s="7" t="s">
        <v>4891</v>
      </c>
      <c r="D5032" s="7" t="s">
        <v>110</v>
      </c>
      <c r="E5032" s="5" t="s">
        <v>26</v>
      </c>
      <c r="F5032" s="5"/>
      <c r="G5032" s="9">
        <f>H5032*(1-15%)*(1-F5032)</f>
        <v>59.415000000000006</v>
      </c>
      <c r="H5032" s="9">
        <v>69.900000000000006</v>
      </c>
      <c r="I5032" s="9">
        <f>H5032-G5032</f>
        <v>10.484999999999999</v>
      </c>
    </row>
    <row r="5033" ht="14.25">
      <c r="A5033" s="5">
        <v>75394</v>
      </c>
      <c r="B5033" s="7" t="s">
        <v>5130</v>
      </c>
      <c r="C5033" s="7" t="s">
        <v>4891</v>
      </c>
      <c r="D5033" s="7" t="s">
        <v>110</v>
      </c>
      <c r="E5033" s="5" t="s">
        <v>26</v>
      </c>
      <c r="F5033" s="5"/>
      <c r="G5033" s="9">
        <f>H5033*(1-15%)*(1-F5033)</f>
        <v>59.415000000000006</v>
      </c>
      <c r="H5033" s="9">
        <v>69.900000000000006</v>
      </c>
      <c r="I5033" s="9">
        <f>H5033-G5033</f>
        <v>10.484999999999999</v>
      </c>
    </row>
    <row r="5034" ht="14.25">
      <c r="A5034" s="5">
        <v>77898</v>
      </c>
      <c r="B5034" s="7" t="s">
        <v>5131</v>
      </c>
      <c r="C5034" s="7" t="s">
        <v>4891</v>
      </c>
      <c r="D5034" s="7" t="s">
        <v>110</v>
      </c>
      <c r="E5034" s="5" t="s">
        <v>43</v>
      </c>
      <c r="F5034" s="5"/>
      <c r="G5034" s="9">
        <f>H5034*(1-15%)*(1-F5034)</f>
        <v>33.914999999999999</v>
      </c>
      <c r="H5034" s="9">
        <v>39.899999999999999</v>
      </c>
      <c r="I5034" s="9">
        <f>H5034-G5034</f>
        <v>5.9849999999999994</v>
      </c>
    </row>
    <row r="5035" ht="14.25">
      <c r="A5035" s="5">
        <v>77899</v>
      </c>
      <c r="B5035" s="7" t="s">
        <v>5132</v>
      </c>
      <c r="C5035" s="7" t="s">
        <v>4891</v>
      </c>
      <c r="D5035" s="7" t="s">
        <v>110</v>
      </c>
      <c r="E5035" s="5" t="s">
        <v>43</v>
      </c>
      <c r="F5035" s="5"/>
      <c r="G5035" s="9">
        <f>H5035*(1-15%)*(1-F5035)</f>
        <v>33.914999999999999</v>
      </c>
      <c r="H5035" s="9">
        <v>39.899999999999999</v>
      </c>
      <c r="I5035" s="9">
        <f>H5035-G5035</f>
        <v>5.9849999999999994</v>
      </c>
    </row>
    <row r="5036" ht="14.25">
      <c r="A5036" s="5">
        <v>77900</v>
      </c>
      <c r="B5036" s="7" t="s">
        <v>5133</v>
      </c>
      <c r="C5036" s="7" t="s">
        <v>4891</v>
      </c>
      <c r="D5036" s="7" t="s">
        <v>110</v>
      </c>
      <c r="E5036" s="5" t="s">
        <v>43</v>
      </c>
      <c r="F5036" s="5"/>
      <c r="G5036" s="9">
        <f>H5036*(1-15%)*(1-F5036)</f>
        <v>33.914999999999999</v>
      </c>
      <c r="H5036" s="9">
        <v>39.899999999999999</v>
      </c>
      <c r="I5036" s="9">
        <f>H5036-G5036</f>
        <v>5.9849999999999994</v>
      </c>
    </row>
    <row r="5037" ht="14.25">
      <c r="A5037" s="5">
        <v>77903</v>
      </c>
      <c r="B5037" s="7" t="s">
        <v>5134</v>
      </c>
      <c r="C5037" s="7" t="s">
        <v>4891</v>
      </c>
      <c r="D5037" s="7" t="s">
        <v>110</v>
      </c>
      <c r="E5037" s="5" t="s">
        <v>43</v>
      </c>
      <c r="F5037" s="5"/>
      <c r="G5037" s="9">
        <f>H5037*(1-15%)*(1-F5037)</f>
        <v>33.914999999999999</v>
      </c>
      <c r="H5037" s="9">
        <v>39.899999999999999</v>
      </c>
      <c r="I5037" s="9">
        <f>H5037-G5037</f>
        <v>5.9849999999999994</v>
      </c>
    </row>
    <row r="5038" ht="14.25">
      <c r="A5038" s="5">
        <v>75368</v>
      </c>
      <c r="B5038" s="7" t="s">
        <v>5135</v>
      </c>
      <c r="C5038" s="7" t="s">
        <v>4891</v>
      </c>
      <c r="D5038" s="7" t="s">
        <v>110</v>
      </c>
      <c r="E5038" s="5" t="s">
        <v>26</v>
      </c>
      <c r="F5038" s="5"/>
      <c r="G5038" s="9">
        <f>H5038*(1-15%)*(1-F5038)</f>
        <v>80.665000000000006</v>
      </c>
      <c r="H5038" s="9">
        <v>94.900000000000006</v>
      </c>
      <c r="I5038" s="9">
        <f>H5038-G5038</f>
        <v>14.234999999999999</v>
      </c>
    </row>
    <row r="5039" ht="14.25">
      <c r="A5039" s="5">
        <v>75361</v>
      </c>
      <c r="B5039" s="7" t="s">
        <v>5136</v>
      </c>
      <c r="C5039" s="7" t="s">
        <v>4891</v>
      </c>
      <c r="D5039" s="7" t="s">
        <v>110</v>
      </c>
      <c r="E5039" s="5" t="s">
        <v>26</v>
      </c>
      <c r="F5039" s="5"/>
      <c r="G5039" s="9">
        <f>H5039*(1-15%)*(1-F5039)</f>
        <v>80.665000000000006</v>
      </c>
      <c r="H5039" s="9">
        <v>94.900000000000006</v>
      </c>
      <c r="I5039" s="9">
        <f>H5039-G5039</f>
        <v>14.234999999999999</v>
      </c>
    </row>
    <row r="5040" ht="14.25">
      <c r="A5040" s="5">
        <v>75362</v>
      </c>
      <c r="B5040" s="7" t="s">
        <v>5137</v>
      </c>
      <c r="C5040" s="7" t="s">
        <v>4891</v>
      </c>
      <c r="D5040" s="7" t="s">
        <v>110</v>
      </c>
      <c r="E5040" s="5" t="s">
        <v>26</v>
      </c>
      <c r="F5040" s="5"/>
      <c r="G5040" s="9">
        <f>H5040*(1-15%)*(1-F5040)</f>
        <v>80.665000000000006</v>
      </c>
      <c r="H5040" s="9">
        <v>94.900000000000006</v>
      </c>
      <c r="I5040" s="9">
        <f>H5040-G5040</f>
        <v>14.234999999999999</v>
      </c>
    </row>
    <row r="5041" ht="14.25">
      <c r="A5041" s="5">
        <v>75363</v>
      </c>
      <c r="B5041" s="7" t="s">
        <v>5138</v>
      </c>
      <c r="C5041" s="7" t="s">
        <v>4891</v>
      </c>
      <c r="D5041" s="7" t="s">
        <v>110</v>
      </c>
      <c r="E5041" s="5" t="s">
        <v>26</v>
      </c>
      <c r="F5041" s="5"/>
      <c r="G5041" s="9">
        <f>H5041*(1-15%)*(1-F5041)</f>
        <v>80.665000000000006</v>
      </c>
      <c r="H5041" s="9">
        <v>94.900000000000006</v>
      </c>
      <c r="I5041" s="9">
        <f>H5041-G5041</f>
        <v>14.234999999999999</v>
      </c>
    </row>
    <row r="5042" ht="14.25">
      <c r="A5042" s="5">
        <v>75364</v>
      </c>
      <c r="B5042" s="7" t="s">
        <v>5139</v>
      </c>
      <c r="C5042" s="7" t="s">
        <v>4891</v>
      </c>
      <c r="D5042" s="7" t="s">
        <v>110</v>
      </c>
      <c r="E5042" s="5" t="s">
        <v>26</v>
      </c>
      <c r="F5042" s="5"/>
      <c r="G5042" s="9">
        <f>H5042*(1-15%)*(1-F5042)</f>
        <v>80.665000000000006</v>
      </c>
      <c r="H5042" s="9">
        <v>94.900000000000006</v>
      </c>
      <c r="I5042" s="9">
        <f>H5042-G5042</f>
        <v>14.234999999999999</v>
      </c>
    </row>
    <row r="5043" ht="14.25">
      <c r="A5043" s="5">
        <v>75365</v>
      </c>
      <c r="B5043" s="7" t="s">
        <v>5140</v>
      </c>
      <c r="C5043" s="7" t="s">
        <v>4891</v>
      </c>
      <c r="D5043" s="7" t="s">
        <v>110</v>
      </c>
      <c r="E5043" s="5" t="s">
        <v>26</v>
      </c>
      <c r="F5043" s="5"/>
      <c r="G5043" s="9">
        <f>H5043*(1-15%)*(1-F5043)</f>
        <v>80.665000000000006</v>
      </c>
      <c r="H5043" s="9">
        <v>94.900000000000006</v>
      </c>
      <c r="I5043" s="9">
        <f>H5043-G5043</f>
        <v>14.234999999999999</v>
      </c>
    </row>
    <row r="5044" ht="14.25">
      <c r="A5044" s="5">
        <v>75366</v>
      </c>
      <c r="B5044" s="7" t="s">
        <v>5141</v>
      </c>
      <c r="C5044" s="7" t="s">
        <v>4891</v>
      </c>
      <c r="D5044" s="7" t="s">
        <v>110</v>
      </c>
      <c r="E5044" s="5" t="s">
        <v>26</v>
      </c>
      <c r="F5044" s="5"/>
      <c r="G5044" s="9">
        <f>H5044*(1-15%)*(1-F5044)</f>
        <v>80.665000000000006</v>
      </c>
      <c r="H5044" s="9">
        <v>94.900000000000006</v>
      </c>
      <c r="I5044" s="9">
        <f>H5044-G5044</f>
        <v>14.234999999999999</v>
      </c>
    </row>
    <row r="5045" ht="14.25">
      <c r="A5045" s="5">
        <v>77016</v>
      </c>
      <c r="B5045" s="7" t="s">
        <v>5142</v>
      </c>
      <c r="C5045" s="7" t="s">
        <v>4891</v>
      </c>
      <c r="D5045" s="7" t="s">
        <v>110</v>
      </c>
      <c r="E5045" s="5" t="s">
        <v>26</v>
      </c>
      <c r="F5045" s="5"/>
      <c r="G5045" s="9">
        <f>H5045*(1-15%)*(1-F5045)</f>
        <v>44.964999999999996</v>
      </c>
      <c r="H5045" s="9">
        <v>52.899999999999999</v>
      </c>
      <c r="I5045" s="9">
        <f>H5045-G5045</f>
        <v>7.9350000000000023</v>
      </c>
    </row>
    <row r="5046" ht="14.25">
      <c r="A5046" s="5">
        <v>40969</v>
      </c>
      <c r="B5046" s="7" t="s">
        <v>5143</v>
      </c>
      <c r="C5046" s="7" t="s">
        <v>4891</v>
      </c>
      <c r="D5046" s="7" t="s">
        <v>183</v>
      </c>
      <c r="E5046" s="5" t="s">
        <v>15</v>
      </c>
      <c r="F5046" s="5"/>
      <c r="G5046" s="9">
        <f>H5046*(1-15%)*(1-F5046)</f>
        <v>62.815000000000005</v>
      </c>
      <c r="H5046" s="9">
        <v>73.900000000000006</v>
      </c>
      <c r="I5046" s="9">
        <f>H5046-G5046</f>
        <v>11.085000000000001</v>
      </c>
    </row>
    <row r="5047" ht="14.25">
      <c r="A5047" s="5">
        <v>79470</v>
      </c>
      <c r="B5047" s="7" t="s">
        <v>5144</v>
      </c>
      <c r="C5047" s="7" t="s">
        <v>4891</v>
      </c>
      <c r="D5047" s="7" t="s">
        <v>110</v>
      </c>
      <c r="E5047" s="5" t="s">
        <v>26</v>
      </c>
      <c r="F5047" s="5"/>
      <c r="G5047" s="9">
        <f>H5047*(1-15%)*(1-F5047)</f>
        <v>75.564999999999998</v>
      </c>
      <c r="H5047" s="9">
        <v>88.900000000000006</v>
      </c>
      <c r="I5047" s="9">
        <f>H5047-G5047</f>
        <v>13.335000000000008</v>
      </c>
    </row>
    <row r="5048" ht="14.25">
      <c r="A5048" s="5">
        <v>79483</v>
      </c>
      <c r="B5048" s="7" t="s">
        <v>5145</v>
      </c>
      <c r="C5048" s="7" t="s">
        <v>4891</v>
      </c>
      <c r="D5048" s="7" t="s">
        <v>110</v>
      </c>
      <c r="E5048" s="5" t="s">
        <v>39</v>
      </c>
      <c r="F5048" s="5"/>
      <c r="G5048" s="9">
        <f>H5048*(1-15%)*(1-F5048)</f>
        <v>48.364999999999995</v>
      </c>
      <c r="H5048" s="9">
        <v>56.899999999999999</v>
      </c>
      <c r="I5048" s="9">
        <f>H5048-G5048</f>
        <v>8.5350000000000037</v>
      </c>
    </row>
    <row r="5049" ht="14.25">
      <c r="A5049" s="5">
        <v>84145</v>
      </c>
      <c r="B5049" s="7" t="s">
        <v>5146</v>
      </c>
      <c r="C5049" s="7" t="s">
        <v>4891</v>
      </c>
      <c r="D5049" s="7" t="s">
        <v>110</v>
      </c>
      <c r="E5049" s="5" t="s">
        <v>15</v>
      </c>
      <c r="F5049" s="5"/>
      <c r="G5049" s="9">
        <f>H5049*(1-15%)*(1-F5049)</f>
        <v>44.964999999999996</v>
      </c>
      <c r="H5049" s="9">
        <v>52.899999999999999</v>
      </c>
      <c r="I5049" s="9">
        <f>H5049-G5049</f>
        <v>7.9350000000000023</v>
      </c>
    </row>
    <row r="5050" ht="14.25">
      <c r="A5050" s="5">
        <v>83885</v>
      </c>
      <c r="B5050" s="7" t="s">
        <v>5147</v>
      </c>
      <c r="C5050" s="7" t="s">
        <v>4891</v>
      </c>
      <c r="D5050" s="7" t="s">
        <v>110</v>
      </c>
      <c r="E5050" s="5" t="s">
        <v>26</v>
      </c>
      <c r="F5050" s="5"/>
      <c r="G5050" s="9">
        <f>H5050*(1-15%)*(1-F5050)</f>
        <v>44.964999999999996</v>
      </c>
      <c r="H5050" s="9">
        <v>52.899999999999999</v>
      </c>
      <c r="I5050" s="9">
        <f>H5050-G5050</f>
        <v>7.9350000000000023</v>
      </c>
    </row>
    <row r="5051" ht="14.25">
      <c r="A5051" s="5">
        <v>83886</v>
      </c>
      <c r="B5051" s="7" t="s">
        <v>5148</v>
      </c>
      <c r="C5051" s="7" t="s">
        <v>4891</v>
      </c>
      <c r="D5051" s="7" t="s">
        <v>110</v>
      </c>
      <c r="E5051" s="5" t="s">
        <v>26</v>
      </c>
      <c r="F5051" s="5"/>
      <c r="G5051" s="9">
        <f>H5051*(1-15%)*(1-F5051)</f>
        <v>44.964999999999996</v>
      </c>
      <c r="H5051" s="9">
        <v>52.899999999999999</v>
      </c>
      <c r="I5051" s="9">
        <f>H5051-G5051</f>
        <v>7.9350000000000023</v>
      </c>
    </row>
    <row r="5052" ht="14.25">
      <c r="A5052" s="5">
        <v>83887</v>
      </c>
      <c r="B5052" s="7" t="s">
        <v>5149</v>
      </c>
      <c r="C5052" s="7" t="s">
        <v>4891</v>
      </c>
      <c r="D5052" s="7" t="s">
        <v>110</v>
      </c>
      <c r="E5052" s="5" t="s">
        <v>26</v>
      </c>
      <c r="F5052" s="5"/>
      <c r="G5052" s="9">
        <f>H5052*(1-15%)*(1-F5052)</f>
        <v>44.964999999999996</v>
      </c>
      <c r="H5052" s="9">
        <v>52.899999999999999</v>
      </c>
      <c r="I5052" s="9">
        <f>H5052-G5052</f>
        <v>7.9350000000000023</v>
      </c>
    </row>
    <row r="5053" ht="14.25">
      <c r="A5053" s="5">
        <v>82413</v>
      </c>
      <c r="B5053" s="7" t="s">
        <v>5150</v>
      </c>
      <c r="C5053" s="7" t="s">
        <v>4891</v>
      </c>
      <c r="D5053" s="7" t="s">
        <v>110</v>
      </c>
      <c r="E5053" s="5" t="s">
        <v>26</v>
      </c>
      <c r="F5053" s="5"/>
      <c r="G5053" s="9">
        <f>H5053*(1-15%)*(1-F5053)</f>
        <v>79.814999999999998</v>
      </c>
      <c r="H5053" s="9">
        <v>93.900000000000006</v>
      </c>
      <c r="I5053" s="9">
        <f>H5053-G5053</f>
        <v>14.085000000000008</v>
      </c>
    </row>
    <row r="5054" ht="14.25">
      <c r="A5054" s="5">
        <v>82416</v>
      </c>
      <c r="B5054" s="7" t="s">
        <v>5151</v>
      </c>
      <c r="C5054" s="7" t="s">
        <v>4891</v>
      </c>
      <c r="D5054" s="7" t="s">
        <v>110</v>
      </c>
      <c r="E5054" s="5" t="s">
        <v>26</v>
      </c>
      <c r="F5054" s="5"/>
      <c r="G5054" s="9">
        <f>H5054*(1-15%)*(1-F5054)</f>
        <v>79.814999999999998</v>
      </c>
      <c r="H5054" s="9">
        <v>93.900000000000006</v>
      </c>
      <c r="I5054" s="9">
        <f>H5054-G5054</f>
        <v>14.085000000000008</v>
      </c>
    </row>
    <row r="5055" ht="14.25">
      <c r="A5055" s="5">
        <v>82418</v>
      </c>
      <c r="B5055" s="7" t="s">
        <v>5152</v>
      </c>
      <c r="C5055" s="7" t="s">
        <v>4891</v>
      </c>
      <c r="D5055" s="7" t="s">
        <v>110</v>
      </c>
      <c r="E5055" s="5" t="s">
        <v>26</v>
      </c>
      <c r="F5055" s="5"/>
      <c r="G5055" s="9">
        <f>H5055*(1-15%)*(1-F5055)</f>
        <v>79.814999999999998</v>
      </c>
      <c r="H5055" s="9">
        <v>93.900000000000006</v>
      </c>
      <c r="I5055" s="9">
        <f>H5055-G5055</f>
        <v>14.085000000000008</v>
      </c>
    </row>
    <row r="5056" ht="14.25">
      <c r="A5056" s="5">
        <v>82419</v>
      </c>
      <c r="B5056" s="7" t="s">
        <v>5153</v>
      </c>
      <c r="C5056" s="7" t="s">
        <v>4891</v>
      </c>
      <c r="D5056" s="7" t="s">
        <v>110</v>
      </c>
      <c r="E5056" s="5" t="s">
        <v>26</v>
      </c>
      <c r="F5056" s="5"/>
      <c r="G5056" s="9">
        <f>H5056*(1-15%)*(1-F5056)</f>
        <v>79.814999999999998</v>
      </c>
      <c r="H5056" s="9">
        <v>93.900000000000006</v>
      </c>
      <c r="I5056" s="9">
        <f>H5056-G5056</f>
        <v>14.085000000000008</v>
      </c>
    </row>
    <row r="5057" ht="14.25">
      <c r="A5057" s="5">
        <v>82435</v>
      </c>
      <c r="B5057" s="7" t="s">
        <v>5154</v>
      </c>
      <c r="C5057" s="7" t="s">
        <v>4891</v>
      </c>
      <c r="D5057" s="7" t="s">
        <v>110</v>
      </c>
      <c r="E5057" s="5" t="s">
        <v>26</v>
      </c>
      <c r="F5057" s="5"/>
      <c r="G5057" s="9">
        <f>H5057*(1-15%)*(1-F5057)</f>
        <v>79.814999999999998</v>
      </c>
      <c r="H5057" s="9">
        <v>93.900000000000006</v>
      </c>
      <c r="I5057" s="9">
        <f>H5057-G5057</f>
        <v>14.085000000000008</v>
      </c>
    </row>
    <row r="5058" ht="14.25">
      <c r="A5058" s="5">
        <v>79489</v>
      </c>
      <c r="B5058" s="7" t="s">
        <v>5155</v>
      </c>
      <c r="C5058" s="7" t="s">
        <v>4891</v>
      </c>
      <c r="D5058" s="7" t="s">
        <v>219</v>
      </c>
      <c r="E5058" s="5" t="s">
        <v>26</v>
      </c>
      <c r="F5058" s="5"/>
      <c r="G5058" s="9">
        <f>H5058*(1-15%)*(1-F5058)</f>
        <v>67.915000000000006</v>
      </c>
      <c r="H5058" s="9">
        <v>79.900000000000006</v>
      </c>
      <c r="I5058" s="9">
        <f>H5058-G5058</f>
        <v>11.984999999999999</v>
      </c>
    </row>
    <row r="5059" ht="14.25">
      <c r="A5059" s="5">
        <v>77788</v>
      </c>
      <c r="B5059" s="7" t="s">
        <v>5156</v>
      </c>
      <c r="C5059" s="7" t="s">
        <v>4891</v>
      </c>
      <c r="D5059" s="7" t="s">
        <v>110</v>
      </c>
      <c r="E5059" s="5" t="s">
        <v>26</v>
      </c>
      <c r="F5059" s="5"/>
      <c r="G5059" s="9">
        <f>H5059*(1-15%)*(1-F5059)</f>
        <v>49.214999999999996</v>
      </c>
      <c r="H5059" s="9">
        <v>57.899999999999999</v>
      </c>
      <c r="I5059" s="9">
        <f>H5059-G5059</f>
        <v>8.6850000000000023</v>
      </c>
    </row>
    <row r="5060" ht="14.25">
      <c r="A5060" s="5">
        <v>77800</v>
      </c>
      <c r="B5060" s="7" t="s">
        <v>5157</v>
      </c>
      <c r="C5060" s="7" t="s">
        <v>4891</v>
      </c>
      <c r="D5060" s="7" t="s">
        <v>110</v>
      </c>
      <c r="E5060" s="5" t="s">
        <v>26</v>
      </c>
      <c r="F5060" s="5"/>
      <c r="G5060" s="9">
        <f>H5060*(1-15%)*(1-F5060)</f>
        <v>49.214999999999996</v>
      </c>
      <c r="H5060" s="9">
        <v>57.899999999999999</v>
      </c>
      <c r="I5060" s="9">
        <f>H5060-G5060</f>
        <v>8.6850000000000023</v>
      </c>
    </row>
    <row r="5061" ht="14.25">
      <c r="A5061" s="5">
        <v>77806</v>
      </c>
      <c r="B5061" s="7" t="s">
        <v>5158</v>
      </c>
      <c r="C5061" s="7" t="s">
        <v>4891</v>
      </c>
      <c r="D5061" s="7" t="s">
        <v>110</v>
      </c>
      <c r="E5061" s="5" t="s">
        <v>26</v>
      </c>
      <c r="F5061" s="5"/>
      <c r="G5061" s="9">
        <f>H5061*(1-15%)*(1-F5061)</f>
        <v>67.064999999999998</v>
      </c>
      <c r="H5061" s="9">
        <v>78.900000000000006</v>
      </c>
      <c r="I5061" s="9">
        <f>H5061-G5061</f>
        <v>11.835000000000008</v>
      </c>
    </row>
    <row r="5062" ht="14.25">
      <c r="A5062" s="5">
        <v>77807</v>
      </c>
      <c r="B5062" s="7" t="s">
        <v>5159</v>
      </c>
      <c r="C5062" s="7" t="s">
        <v>4891</v>
      </c>
      <c r="D5062" s="7" t="s">
        <v>110</v>
      </c>
      <c r="E5062" s="5" t="s">
        <v>26</v>
      </c>
      <c r="F5062" s="5"/>
      <c r="G5062" s="9">
        <f>H5062*(1-15%)*(1-F5062)</f>
        <v>67.064999999999998</v>
      </c>
      <c r="H5062" s="9">
        <v>78.900000000000006</v>
      </c>
      <c r="I5062" s="9">
        <f>H5062-G5062</f>
        <v>11.835000000000008</v>
      </c>
    </row>
    <row r="5063" ht="14.25">
      <c r="A5063" s="5">
        <v>77808</v>
      </c>
      <c r="B5063" s="7" t="s">
        <v>5160</v>
      </c>
      <c r="C5063" s="7" t="s">
        <v>4891</v>
      </c>
      <c r="D5063" s="7" t="s">
        <v>110</v>
      </c>
      <c r="E5063" s="5" t="s">
        <v>26</v>
      </c>
      <c r="F5063" s="5"/>
      <c r="G5063" s="9">
        <f>H5063*(1-15%)*(1-F5063)</f>
        <v>49.214999999999996</v>
      </c>
      <c r="H5063" s="9">
        <v>57.899999999999999</v>
      </c>
      <c r="I5063" s="9">
        <f>H5063-G5063</f>
        <v>8.6850000000000023</v>
      </c>
    </row>
    <row r="5064" ht="14.25">
      <c r="A5064" s="5">
        <v>77810</v>
      </c>
      <c r="B5064" s="7" t="s">
        <v>5161</v>
      </c>
      <c r="C5064" s="7" t="s">
        <v>4891</v>
      </c>
      <c r="D5064" s="7" t="s">
        <v>110</v>
      </c>
      <c r="E5064" s="5" t="s">
        <v>26</v>
      </c>
      <c r="F5064" s="5"/>
      <c r="G5064" s="9">
        <f>H5064*(1-15%)*(1-F5064)</f>
        <v>49.214999999999996</v>
      </c>
      <c r="H5064" s="9">
        <v>57.899999999999999</v>
      </c>
      <c r="I5064" s="9">
        <f>H5064-G5064</f>
        <v>8.6850000000000023</v>
      </c>
    </row>
    <row r="5065" ht="14.25">
      <c r="A5065" s="5">
        <v>77811</v>
      </c>
      <c r="B5065" s="7" t="s">
        <v>5162</v>
      </c>
      <c r="C5065" s="7" t="s">
        <v>4891</v>
      </c>
      <c r="D5065" s="7" t="s">
        <v>110</v>
      </c>
      <c r="E5065" s="5" t="s">
        <v>26</v>
      </c>
      <c r="F5065" s="5"/>
      <c r="G5065" s="9">
        <f>H5065*(1-15%)*(1-F5065)</f>
        <v>67.064999999999998</v>
      </c>
      <c r="H5065" s="9">
        <v>78.900000000000006</v>
      </c>
      <c r="I5065" s="9">
        <f>H5065-G5065</f>
        <v>11.835000000000008</v>
      </c>
    </row>
    <row r="5066" ht="14.25">
      <c r="A5066" s="5">
        <v>75242</v>
      </c>
      <c r="B5066" s="7" t="s">
        <v>5163</v>
      </c>
      <c r="C5066" s="7" t="s">
        <v>4891</v>
      </c>
      <c r="D5066" s="7" t="s">
        <v>110</v>
      </c>
      <c r="E5066" s="5" t="s">
        <v>26</v>
      </c>
      <c r="F5066" s="5"/>
      <c r="G5066" s="9">
        <f>H5066*(1-15%)*(1-F5066)</f>
        <v>50.064999999999998</v>
      </c>
      <c r="H5066" s="9">
        <v>58.899999999999999</v>
      </c>
      <c r="I5066" s="9">
        <f>H5066-G5066</f>
        <v>8.8350000000000009</v>
      </c>
    </row>
    <row r="5067" ht="14.25">
      <c r="A5067" s="5">
        <v>81559</v>
      </c>
      <c r="B5067" s="7" t="s">
        <v>5164</v>
      </c>
      <c r="C5067" s="7" t="s">
        <v>4891</v>
      </c>
      <c r="D5067" s="7" t="s">
        <v>110</v>
      </c>
      <c r="E5067" s="5" t="s">
        <v>43</v>
      </c>
      <c r="F5067" s="5"/>
      <c r="G5067" s="9">
        <f>H5067*(1-15%)*(1-F5067)</f>
        <v>44.964999999999996</v>
      </c>
      <c r="H5067" s="9">
        <v>52.899999999999999</v>
      </c>
      <c r="I5067" s="9">
        <f>H5067-G5067</f>
        <v>7.9350000000000023</v>
      </c>
    </row>
    <row r="5068" ht="14.25">
      <c r="A5068" s="5">
        <v>81554</v>
      </c>
      <c r="B5068" s="7" t="s">
        <v>5165</v>
      </c>
      <c r="C5068" s="7" t="s">
        <v>4891</v>
      </c>
      <c r="D5068" s="7" t="s">
        <v>110</v>
      </c>
      <c r="E5068" s="5" t="s">
        <v>43</v>
      </c>
      <c r="F5068" s="5"/>
      <c r="G5068" s="9">
        <f>H5068*(1-15%)*(1-F5068)</f>
        <v>44.964999999999996</v>
      </c>
      <c r="H5068" s="9">
        <v>52.899999999999999</v>
      </c>
      <c r="I5068" s="9">
        <f>H5068-G5068</f>
        <v>7.9350000000000023</v>
      </c>
    </row>
    <row r="5069" ht="14.25">
      <c r="A5069" s="5">
        <v>75310</v>
      </c>
      <c r="B5069" s="7" t="s">
        <v>5166</v>
      </c>
      <c r="C5069" s="7" t="s">
        <v>4891</v>
      </c>
      <c r="D5069" s="7" t="s">
        <v>110</v>
      </c>
      <c r="E5069" s="5" t="s">
        <v>43</v>
      </c>
      <c r="F5069" s="5"/>
      <c r="G5069" s="9">
        <f>H5069*(1-15%)*(1-F5069)</f>
        <v>44.964999999999996</v>
      </c>
      <c r="H5069" s="9">
        <v>52.899999999999999</v>
      </c>
      <c r="I5069" s="9">
        <f>H5069-G5069</f>
        <v>7.9350000000000023</v>
      </c>
    </row>
    <row r="5070" ht="14.25">
      <c r="A5070" s="5">
        <v>75303</v>
      </c>
      <c r="B5070" s="7" t="s">
        <v>5167</v>
      </c>
      <c r="C5070" s="7" t="s">
        <v>4891</v>
      </c>
      <c r="D5070" s="7" t="s">
        <v>110</v>
      </c>
      <c r="E5070" s="5" t="s">
        <v>15</v>
      </c>
      <c r="F5070" s="5"/>
      <c r="G5070" s="9">
        <f>H5070*(1-15%)*(1-F5070)</f>
        <v>44.964999999999996</v>
      </c>
      <c r="H5070" s="9">
        <v>52.899999999999999</v>
      </c>
      <c r="I5070" s="9">
        <f>H5070-G5070</f>
        <v>7.9350000000000023</v>
      </c>
    </row>
    <row r="5071" ht="14.25">
      <c r="A5071" s="5">
        <v>81550</v>
      </c>
      <c r="B5071" s="7" t="s">
        <v>5168</v>
      </c>
      <c r="C5071" s="7" t="s">
        <v>4891</v>
      </c>
      <c r="D5071" s="7" t="s">
        <v>110</v>
      </c>
      <c r="E5071" s="5" t="s">
        <v>43</v>
      </c>
      <c r="F5071" s="5"/>
      <c r="G5071" s="9">
        <f>H5071*(1-15%)*(1-F5071)</f>
        <v>44.964999999999996</v>
      </c>
      <c r="H5071" s="9">
        <v>52.899999999999999</v>
      </c>
      <c r="I5071" s="9">
        <f>H5071-G5071</f>
        <v>7.9350000000000023</v>
      </c>
    </row>
    <row r="5072" ht="14.25">
      <c r="A5072" s="5">
        <v>75325</v>
      </c>
      <c r="B5072" s="7" t="s">
        <v>5169</v>
      </c>
      <c r="C5072" s="7" t="s">
        <v>4891</v>
      </c>
      <c r="D5072" s="7" t="s">
        <v>110</v>
      </c>
      <c r="E5072" s="5" t="s">
        <v>43</v>
      </c>
      <c r="F5072" s="5"/>
      <c r="G5072" s="9">
        <f>H5072*(1-15%)*(1-F5072)</f>
        <v>44.964999999999996</v>
      </c>
      <c r="H5072" s="9">
        <v>52.899999999999999</v>
      </c>
      <c r="I5072" s="9">
        <f>H5072-G5072</f>
        <v>7.9350000000000023</v>
      </c>
    </row>
    <row r="5073" ht="14.25">
      <c r="A5073" s="5">
        <v>75270</v>
      </c>
      <c r="B5073" s="7" t="s">
        <v>5170</v>
      </c>
      <c r="C5073" s="7" t="s">
        <v>4891</v>
      </c>
      <c r="D5073" s="7" t="s">
        <v>110</v>
      </c>
      <c r="E5073" s="5" t="s">
        <v>43</v>
      </c>
      <c r="F5073" s="5"/>
      <c r="G5073" s="9">
        <f>H5073*(1-15%)*(1-F5073)</f>
        <v>44.964999999999996</v>
      </c>
      <c r="H5073" s="9">
        <v>52.899999999999999</v>
      </c>
      <c r="I5073" s="9">
        <f>H5073-G5073</f>
        <v>7.9350000000000023</v>
      </c>
    </row>
    <row r="5074" ht="14.25">
      <c r="A5074" s="5">
        <v>75289</v>
      </c>
      <c r="B5074" s="7" t="s">
        <v>5171</v>
      </c>
      <c r="C5074" s="7" t="s">
        <v>4891</v>
      </c>
      <c r="D5074" s="7" t="s">
        <v>110</v>
      </c>
      <c r="E5074" s="5" t="s">
        <v>43</v>
      </c>
      <c r="F5074" s="5"/>
      <c r="G5074" s="9">
        <f>H5074*(1-15%)*(1-F5074)</f>
        <v>44.964999999999996</v>
      </c>
      <c r="H5074" s="9">
        <v>52.899999999999999</v>
      </c>
      <c r="I5074" s="9">
        <f>H5074-G5074</f>
        <v>7.9350000000000023</v>
      </c>
    </row>
    <row r="5075" ht="14.25">
      <c r="A5075" s="5">
        <v>75287</v>
      </c>
      <c r="B5075" s="7" t="s">
        <v>5172</v>
      </c>
      <c r="C5075" s="7" t="s">
        <v>4891</v>
      </c>
      <c r="D5075" s="7" t="s">
        <v>110</v>
      </c>
      <c r="E5075" s="5" t="s">
        <v>26</v>
      </c>
      <c r="F5075" s="5"/>
      <c r="G5075" s="9">
        <f>H5075*(1-15%)*(1-F5075)</f>
        <v>44.964999999999996</v>
      </c>
      <c r="H5075" s="9">
        <v>52.899999999999999</v>
      </c>
      <c r="I5075" s="9">
        <f>H5075-G5075</f>
        <v>7.9350000000000023</v>
      </c>
    </row>
    <row r="5076" ht="14.25">
      <c r="A5076" s="5">
        <v>75297</v>
      </c>
      <c r="B5076" s="7" t="s">
        <v>5173</v>
      </c>
      <c r="C5076" s="7" t="s">
        <v>4891</v>
      </c>
      <c r="D5076" s="7" t="s">
        <v>110</v>
      </c>
      <c r="E5076" s="5" t="s">
        <v>43</v>
      </c>
      <c r="F5076" s="5"/>
      <c r="G5076" s="9">
        <f>H5076*(1-15%)*(1-F5076)</f>
        <v>44.964999999999996</v>
      </c>
      <c r="H5076" s="9">
        <v>52.899999999999999</v>
      </c>
      <c r="I5076" s="9">
        <f>H5076-G5076</f>
        <v>7.9350000000000023</v>
      </c>
    </row>
    <row r="5077" ht="14.25">
      <c r="A5077" s="5">
        <v>75284</v>
      </c>
      <c r="B5077" s="7" t="s">
        <v>5174</v>
      </c>
      <c r="C5077" s="7" t="s">
        <v>4891</v>
      </c>
      <c r="D5077" s="7" t="s">
        <v>110</v>
      </c>
      <c r="E5077" s="5" t="s">
        <v>26</v>
      </c>
      <c r="F5077" s="5"/>
      <c r="G5077" s="9">
        <f>H5077*(1-15%)*(1-F5077)</f>
        <v>44.964999999999996</v>
      </c>
      <c r="H5077" s="9">
        <v>52.899999999999999</v>
      </c>
      <c r="I5077" s="9">
        <f>H5077-G5077</f>
        <v>7.9350000000000023</v>
      </c>
    </row>
    <row r="5078" ht="14.25">
      <c r="A5078" s="5">
        <v>75285</v>
      </c>
      <c r="B5078" s="7" t="s">
        <v>5175</v>
      </c>
      <c r="C5078" s="7" t="s">
        <v>4891</v>
      </c>
      <c r="D5078" s="7" t="s">
        <v>110</v>
      </c>
      <c r="E5078" s="5" t="s">
        <v>43</v>
      </c>
      <c r="F5078" s="5"/>
      <c r="G5078" s="9">
        <f>H5078*(1-15%)*(1-F5078)</f>
        <v>44.964999999999996</v>
      </c>
      <c r="H5078" s="9">
        <v>52.899999999999999</v>
      </c>
      <c r="I5078" s="9">
        <f>H5078-G5078</f>
        <v>7.9350000000000023</v>
      </c>
    </row>
    <row r="5079" ht="14.25">
      <c r="A5079" s="5">
        <v>75283</v>
      </c>
      <c r="B5079" s="7" t="s">
        <v>5176</v>
      </c>
      <c r="C5079" s="7" t="s">
        <v>4891</v>
      </c>
      <c r="D5079" s="7" t="s">
        <v>110</v>
      </c>
      <c r="E5079" s="5" t="s">
        <v>43</v>
      </c>
      <c r="F5079" s="5"/>
      <c r="G5079" s="9">
        <f>H5079*(1-15%)*(1-F5079)</f>
        <v>44.964999999999996</v>
      </c>
      <c r="H5079" s="9">
        <v>52.899999999999999</v>
      </c>
      <c r="I5079" s="9">
        <f>H5079-G5079</f>
        <v>7.9350000000000023</v>
      </c>
    </row>
    <row r="5080" ht="14.25">
      <c r="A5080" s="5">
        <v>75276</v>
      </c>
      <c r="B5080" s="7" t="s">
        <v>5177</v>
      </c>
      <c r="C5080" s="7" t="s">
        <v>4891</v>
      </c>
      <c r="D5080" s="7" t="s">
        <v>110</v>
      </c>
      <c r="E5080" s="5" t="s">
        <v>43</v>
      </c>
      <c r="F5080" s="5"/>
      <c r="G5080" s="9">
        <f>H5080*(1-15%)*(1-F5080)</f>
        <v>44.964999999999996</v>
      </c>
      <c r="H5080" s="9">
        <v>52.899999999999999</v>
      </c>
      <c r="I5080" s="9">
        <f>H5080-G5080</f>
        <v>7.9350000000000023</v>
      </c>
    </row>
    <row r="5081" ht="14.25">
      <c r="A5081" s="5">
        <v>75273</v>
      </c>
      <c r="B5081" s="7" t="s">
        <v>5178</v>
      </c>
      <c r="C5081" s="7" t="s">
        <v>4891</v>
      </c>
      <c r="D5081" s="7" t="s">
        <v>110</v>
      </c>
      <c r="E5081" s="5" t="s">
        <v>43</v>
      </c>
      <c r="F5081" s="5"/>
      <c r="G5081" s="9">
        <f>H5081*(1-15%)*(1-F5081)</f>
        <v>44.964999999999996</v>
      </c>
      <c r="H5081" s="9">
        <v>52.899999999999999</v>
      </c>
      <c r="I5081" s="9">
        <f>H5081-G5081</f>
        <v>7.9350000000000023</v>
      </c>
    </row>
    <row r="5082" ht="14.25">
      <c r="A5082" s="5">
        <v>75282</v>
      </c>
      <c r="B5082" s="7" t="s">
        <v>5179</v>
      </c>
      <c r="C5082" s="7" t="s">
        <v>4891</v>
      </c>
      <c r="D5082" s="7" t="s">
        <v>110</v>
      </c>
      <c r="E5082" s="5" t="s">
        <v>43</v>
      </c>
      <c r="F5082" s="5"/>
      <c r="G5082" s="9">
        <f>H5082*(1-15%)*(1-F5082)</f>
        <v>44.964999999999996</v>
      </c>
      <c r="H5082" s="9">
        <v>52.899999999999999</v>
      </c>
      <c r="I5082" s="9">
        <f>H5082-G5082</f>
        <v>7.9350000000000023</v>
      </c>
    </row>
    <row r="5083" ht="14.25">
      <c r="A5083" s="5">
        <v>75277</v>
      </c>
      <c r="B5083" s="7" t="s">
        <v>5180</v>
      </c>
      <c r="C5083" s="7" t="s">
        <v>4891</v>
      </c>
      <c r="D5083" s="7" t="s">
        <v>110</v>
      </c>
      <c r="E5083" s="5" t="s">
        <v>43</v>
      </c>
      <c r="F5083" s="5"/>
      <c r="G5083" s="9">
        <f>H5083*(1-15%)*(1-F5083)</f>
        <v>44.964999999999996</v>
      </c>
      <c r="H5083" s="9">
        <v>52.899999999999999</v>
      </c>
      <c r="I5083" s="9">
        <f>H5083-G5083</f>
        <v>7.9350000000000023</v>
      </c>
    </row>
    <row r="5084" ht="14.25">
      <c r="A5084" s="5">
        <v>75288</v>
      </c>
      <c r="B5084" s="7" t="s">
        <v>5181</v>
      </c>
      <c r="C5084" s="7" t="s">
        <v>4891</v>
      </c>
      <c r="D5084" s="7" t="s">
        <v>110</v>
      </c>
      <c r="E5084" s="5" t="s">
        <v>15</v>
      </c>
      <c r="F5084" s="5"/>
      <c r="G5084" s="9">
        <f>H5084*(1-15%)*(1-F5084)</f>
        <v>44.964999999999996</v>
      </c>
      <c r="H5084" s="9">
        <v>52.899999999999999</v>
      </c>
      <c r="I5084" s="9">
        <f>H5084-G5084</f>
        <v>7.9350000000000023</v>
      </c>
    </row>
    <row r="5085" ht="14.25">
      <c r="A5085" s="5">
        <v>75275</v>
      </c>
      <c r="B5085" s="7" t="s">
        <v>5182</v>
      </c>
      <c r="C5085" s="7" t="s">
        <v>4891</v>
      </c>
      <c r="D5085" s="7" t="s">
        <v>110</v>
      </c>
      <c r="E5085" s="5" t="s">
        <v>43</v>
      </c>
      <c r="F5085" s="5"/>
      <c r="G5085" s="9">
        <f>H5085*(1-15%)*(1-F5085)</f>
        <v>44.964999999999996</v>
      </c>
      <c r="H5085" s="9">
        <v>52.899999999999999</v>
      </c>
      <c r="I5085" s="9">
        <f>H5085-G5085</f>
        <v>7.9350000000000023</v>
      </c>
    </row>
    <row r="5086" ht="14.25">
      <c r="A5086" s="5">
        <v>75271</v>
      </c>
      <c r="B5086" s="7" t="s">
        <v>5183</v>
      </c>
      <c r="C5086" s="7" t="s">
        <v>4891</v>
      </c>
      <c r="D5086" s="7" t="s">
        <v>110</v>
      </c>
      <c r="E5086" s="5" t="s">
        <v>43</v>
      </c>
      <c r="F5086" s="5"/>
      <c r="G5086" s="9">
        <f>H5086*(1-15%)*(1-F5086)</f>
        <v>44.964999999999996</v>
      </c>
      <c r="H5086" s="9">
        <v>52.899999999999999</v>
      </c>
      <c r="I5086" s="9">
        <f>H5086-G5086</f>
        <v>7.9350000000000023</v>
      </c>
    </row>
    <row r="5087" ht="14.25">
      <c r="A5087" s="5">
        <v>75393</v>
      </c>
      <c r="B5087" s="7" t="s">
        <v>5184</v>
      </c>
      <c r="C5087" s="7" t="s">
        <v>4891</v>
      </c>
      <c r="D5087" s="7" t="s">
        <v>110</v>
      </c>
      <c r="E5087" s="5" t="s">
        <v>26</v>
      </c>
      <c r="F5087" s="5"/>
      <c r="G5087" s="9">
        <f>H5087*(1-15%)*(1-F5087)</f>
        <v>59.415000000000006</v>
      </c>
      <c r="H5087" s="9">
        <v>69.900000000000006</v>
      </c>
      <c r="I5087" s="9">
        <f>H5087-G5087</f>
        <v>10.484999999999999</v>
      </c>
    </row>
    <row r="5088" ht="14.25">
      <c r="A5088" s="5">
        <v>40352</v>
      </c>
      <c r="B5088" s="7" t="s">
        <v>5185</v>
      </c>
      <c r="C5088" s="7" t="s">
        <v>5014</v>
      </c>
      <c r="D5088" s="7" t="s">
        <v>183</v>
      </c>
      <c r="E5088" s="5" t="s">
        <v>15</v>
      </c>
      <c r="F5088" s="5"/>
      <c r="G5088" s="9">
        <f>H5088*(1-15%)*(1-F5088)</f>
        <v>10.965</v>
      </c>
      <c r="H5088" s="9">
        <v>12.9</v>
      </c>
      <c r="I5088" s="9">
        <f>H5088-G5088</f>
        <v>1.9350000000000005</v>
      </c>
    </row>
    <row r="5089" ht="14.25">
      <c r="A5089" s="5">
        <v>82043</v>
      </c>
      <c r="B5089" s="7" t="s">
        <v>5186</v>
      </c>
      <c r="C5089" s="7" t="s">
        <v>4891</v>
      </c>
      <c r="D5089" s="7" t="s">
        <v>110</v>
      </c>
      <c r="E5089" s="5" t="s">
        <v>26</v>
      </c>
      <c r="F5089" s="5"/>
      <c r="G5089" s="9">
        <f>H5089*(1-15%)*(1-F5089)</f>
        <v>52.614999999999995</v>
      </c>
      <c r="H5089" s="9">
        <v>61.899999999999999</v>
      </c>
      <c r="I5089" s="9">
        <f>H5089-G5089</f>
        <v>9.2850000000000037</v>
      </c>
    </row>
    <row r="5090" ht="14.25">
      <c r="A5090" s="5">
        <v>41660</v>
      </c>
      <c r="B5090" s="7" t="s">
        <v>5187</v>
      </c>
      <c r="C5090" s="7" t="s">
        <v>4891</v>
      </c>
      <c r="D5090" s="7" t="s">
        <v>183</v>
      </c>
      <c r="E5090" s="5" t="s">
        <v>15</v>
      </c>
      <c r="F5090" s="5"/>
      <c r="G5090" s="9">
        <f>H5090*(1-15%)*(1-F5090)</f>
        <v>25.414999999999999</v>
      </c>
      <c r="H5090" s="9">
        <v>29.899999999999999</v>
      </c>
      <c r="I5090" s="9">
        <f>H5090-G5090</f>
        <v>4.4849999999999994</v>
      </c>
    </row>
    <row r="5091" ht="14.25">
      <c r="A5091" s="5">
        <v>39232</v>
      </c>
      <c r="B5091" s="7" t="s">
        <v>5188</v>
      </c>
      <c r="C5091" s="7" t="s">
        <v>4891</v>
      </c>
      <c r="D5091" s="7" t="s">
        <v>183</v>
      </c>
      <c r="E5091" s="5" t="s">
        <v>15</v>
      </c>
      <c r="F5091" s="5"/>
      <c r="G5091" s="9">
        <f>H5091*(1-15%)*(1-F5091)</f>
        <v>10.965</v>
      </c>
      <c r="H5091" s="9">
        <v>12.9</v>
      </c>
      <c r="I5091" s="9">
        <f>H5091-G5091</f>
        <v>1.9350000000000005</v>
      </c>
    </row>
    <row r="5092" ht="14.25">
      <c r="A5092" s="5">
        <v>70235</v>
      </c>
      <c r="B5092" s="7" t="s">
        <v>5189</v>
      </c>
      <c r="C5092" s="7" t="s">
        <v>4891</v>
      </c>
      <c r="D5092" s="7" t="s">
        <v>95</v>
      </c>
      <c r="E5092" s="5" t="s">
        <v>15</v>
      </c>
      <c r="F5092" s="5"/>
      <c r="G5092" s="9">
        <f>H5092*(1-15%)*(1-F5092)</f>
        <v>45.814999999999998</v>
      </c>
      <c r="H5092" s="9">
        <v>53.899999999999999</v>
      </c>
      <c r="I5092" s="9">
        <f>H5092-G5092</f>
        <v>8.0850000000000009</v>
      </c>
    </row>
    <row r="5093" ht="14.25">
      <c r="A5093" s="5">
        <v>44812</v>
      </c>
      <c r="B5093" s="7" t="s">
        <v>5190</v>
      </c>
      <c r="C5093" s="7" t="s">
        <v>4891</v>
      </c>
      <c r="D5093" s="7" t="s">
        <v>183</v>
      </c>
      <c r="E5093" s="5" t="s">
        <v>15</v>
      </c>
      <c r="F5093" s="5"/>
      <c r="G5093" s="9">
        <f>H5093*(1-15%)*(1-F5093)</f>
        <v>29.664999999999999</v>
      </c>
      <c r="H5093" s="9">
        <v>34.899999999999999</v>
      </c>
      <c r="I5093" s="9">
        <f>H5093-G5093</f>
        <v>5.2349999999999994</v>
      </c>
    </row>
    <row r="5094" ht="14.25">
      <c r="A5094" s="5">
        <v>44817</v>
      </c>
      <c r="B5094" s="7" t="s">
        <v>5191</v>
      </c>
      <c r="C5094" s="7" t="s">
        <v>4891</v>
      </c>
      <c r="D5094" s="7" t="s">
        <v>183</v>
      </c>
      <c r="E5094" s="5" t="s">
        <v>26</v>
      </c>
      <c r="F5094" s="5"/>
      <c r="G5094" s="9">
        <f>H5094*(1-15%)*(1-F5094)</f>
        <v>33.064999999999998</v>
      </c>
      <c r="H5094" s="9">
        <v>38.899999999999999</v>
      </c>
      <c r="I5094" s="9">
        <f>H5094-G5094</f>
        <v>5.8350000000000009</v>
      </c>
    </row>
    <row r="5095" ht="14.25">
      <c r="A5095" s="5">
        <v>44818</v>
      </c>
      <c r="B5095" s="7" t="s">
        <v>5192</v>
      </c>
      <c r="C5095" s="7" t="s">
        <v>4891</v>
      </c>
      <c r="D5095" s="7" t="s">
        <v>183</v>
      </c>
      <c r="E5095" s="5" t="s">
        <v>15</v>
      </c>
      <c r="F5095" s="5"/>
      <c r="G5095" s="9">
        <f>H5095*(1-15%)*(1-F5095)</f>
        <v>25.414999999999999</v>
      </c>
      <c r="H5095" s="9">
        <v>29.899999999999999</v>
      </c>
      <c r="I5095" s="9">
        <f>H5095-G5095</f>
        <v>4.4849999999999994</v>
      </c>
    </row>
    <row r="5096" ht="14.25">
      <c r="A5096" s="5">
        <v>42982</v>
      </c>
      <c r="B5096" s="7" t="s">
        <v>5193</v>
      </c>
      <c r="C5096" s="7" t="s">
        <v>4891</v>
      </c>
      <c r="D5096" s="7" t="s">
        <v>183</v>
      </c>
      <c r="E5096" s="5" t="s">
        <v>15</v>
      </c>
      <c r="F5096" s="5"/>
      <c r="G5096" s="9">
        <f>H5096*(1-15%)*(1-F5096)</f>
        <v>19.465</v>
      </c>
      <c r="H5096" s="9">
        <v>22.899999999999999</v>
      </c>
      <c r="I5096" s="9">
        <f>H5096-G5096</f>
        <v>3.4349999999999987</v>
      </c>
    </row>
    <row r="5097" ht="14.25">
      <c r="A5097" s="5">
        <v>41651</v>
      </c>
      <c r="B5097" s="7" t="s">
        <v>5194</v>
      </c>
      <c r="C5097" s="7" t="s">
        <v>4891</v>
      </c>
      <c r="D5097" s="7" t="s">
        <v>183</v>
      </c>
      <c r="E5097" s="5" t="s">
        <v>15</v>
      </c>
      <c r="F5097" s="5"/>
      <c r="G5097" s="9">
        <f>H5097*(1-15%)*(1-F5097)</f>
        <v>22.014999999999997</v>
      </c>
      <c r="H5097" s="9">
        <v>25.899999999999999</v>
      </c>
      <c r="I5097" s="9">
        <f>H5097-G5097</f>
        <v>3.8850000000000016</v>
      </c>
    </row>
    <row r="5098" ht="14.25">
      <c r="A5098" s="5">
        <v>39205</v>
      </c>
      <c r="B5098" s="7" t="s">
        <v>5195</v>
      </c>
      <c r="C5098" s="7" t="s">
        <v>4891</v>
      </c>
      <c r="D5098" s="7" t="s">
        <v>183</v>
      </c>
      <c r="E5098" s="5" t="s">
        <v>15</v>
      </c>
      <c r="F5098" s="5"/>
      <c r="G5098" s="9">
        <f>H5098*(1-15%)*(1-F5098)</f>
        <v>24.564999999999998</v>
      </c>
      <c r="H5098" s="9">
        <v>28.899999999999999</v>
      </c>
      <c r="I5098" s="9">
        <f>H5098-G5098</f>
        <v>4.3350000000000009</v>
      </c>
    </row>
    <row r="5099" ht="14.25">
      <c r="A5099" s="5">
        <v>39209</v>
      </c>
      <c r="B5099" s="7" t="s">
        <v>5196</v>
      </c>
      <c r="C5099" s="7" t="s">
        <v>4891</v>
      </c>
      <c r="D5099" s="7" t="s">
        <v>183</v>
      </c>
      <c r="E5099" s="5" t="s">
        <v>15</v>
      </c>
      <c r="F5099" s="5"/>
      <c r="G5099" s="9">
        <f>H5099*(1-15%)*(1-F5099)</f>
        <v>29.664999999999999</v>
      </c>
      <c r="H5099" s="9">
        <v>34.899999999999999</v>
      </c>
      <c r="I5099" s="9">
        <f>H5099-G5099</f>
        <v>5.2349999999999994</v>
      </c>
    </row>
    <row r="5100" ht="14.25">
      <c r="A5100" s="5">
        <v>40966</v>
      </c>
      <c r="B5100" s="7" t="s">
        <v>5197</v>
      </c>
      <c r="C5100" s="7" t="s">
        <v>4891</v>
      </c>
      <c r="D5100" s="7" t="s">
        <v>183</v>
      </c>
      <c r="E5100" s="5" t="s">
        <v>15</v>
      </c>
      <c r="F5100" s="5"/>
      <c r="G5100" s="9">
        <f>H5100*(1-15%)*(1-F5100)</f>
        <v>38.164999999999999</v>
      </c>
      <c r="H5100" s="9">
        <v>44.899999999999999</v>
      </c>
      <c r="I5100" s="9">
        <f>H5100-G5100</f>
        <v>6.7349999999999994</v>
      </c>
    </row>
    <row r="5101" ht="14.25">
      <c r="A5101" s="5">
        <v>79471</v>
      </c>
      <c r="B5101" s="7" t="s">
        <v>5198</v>
      </c>
      <c r="C5101" s="7" t="s">
        <v>4891</v>
      </c>
      <c r="D5101" s="7" t="s">
        <v>110</v>
      </c>
      <c r="E5101" s="5" t="s">
        <v>39</v>
      </c>
      <c r="F5101" s="5"/>
      <c r="G5101" s="9">
        <f>H5101*(1-15%)*(1-F5101)</f>
        <v>59.415000000000006</v>
      </c>
      <c r="H5101" s="9">
        <v>69.900000000000006</v>
      </c>
      <c r="I5101" s="9">
        <f>H5101-G5101</f>
        <v>10.484999999999999</v>
      </c>
    </row>
    <row r="5102" ht="14.25">
      <c r="A5102" s="5">
        <v>77848</v>
      </c>
      <c r="B5102" s="7" t="s">
        <v>5199</v>
      </c>
      <c r="C5102" s="7" t="s">
        <v>4891</v>
      </c>
      <c r="D5102" s="7" t="s">
        <v>110</v>
      </c>
      <c r="E5102" s="5" t="s">
        <v>26</v>
      </c>
      <c r="F5102" s="5"/>
      <c r="G5102" s="9">
        <f>H5102*(1-15%)*(1-F5102)</f>
        <v>41.564999999999998</v>
      </c>
      <c r="H5102" s="9">
        <v>48.899999999999999</v>
      </c>
      <c r="I5102" s="9">
        <f>H5102-G5102</f>
        <v>7.3350000000000009</v>
      </c>
    </row>
    <row r="5103" ht="14.25">
      <c r="A5103" s="5">
        <v>77853</v>
      </c>
      <c r="B5103" s="7" t="s">
        <v>5200</v>
      </c>
      <c r="C5103" s="7" t="s">
        <v>4891</v>
      </c>
      <c r="D5103" s="7" t="s">
        <v>110</v>
      </c>
      <c r="E5103" s="5" t="s">
        <v>26</v>
      </c>
      <c r="F5103" s="5"/>
      <c r="G5103" s="9">
        <f>H5103*(1-15%)*(1-F5103)</f>
        <v>41.564999999999998</v>
      </c>
      <c r="H5103" s="9">
        <v>48.899999999999999</v>
      </c>
      <c r="I5103" s="9">
        <f>H5103-G5103</f>
        <v>7.3350000000000009</v>
      </c>
    </row>
    <row r="5104" ht="14.25">
      <c r="A5104" s="5">
        <v>77836</v>
      </c>
      <c r="B5104" s="7" t="s">
        <v>5201</v>
      </c>
      <c r="C5104" s="7" t="s">
        <v>4891</v>
      </c>
      <c r="D5104" s="7" t="s">
        <v>110</v>
      </c>
      <c r="E5104" s="5" t="s">
        <v>26</v>
      </c>
      <c r="F5104" s="5"/>
      <c r="G5104" s="9">
        <f>H5104*(1-15%)*(1-F5104)</f>
        <v>41.564999999999998</v>
      </c>
      <c r="H5104" s="9">
        <v>48.899999999999999</v>
      </c>
      <c r="I5104" s="9">
        <f>H5104-G5104</f>
        <v>7.3350000000000009</v>
      </c>
    </row>
    <row r="5105" ht="14.25">
      <c r="A5105" s="5">
        <v>70216</v>
      </c>
      <c r="B5105" s="7" t="s">
        <v>5202</v>
      </c>
      <c r="C5105" s="7" t="s">
        <v>4891</v>
      </c>
      <c r="D5105" s="7" t="s">
        <v>95</v>
      </c>
      <c r="E5105" s="5" t="s">
        <v>15</v>
      </c>
      <c r="F5105" s="5"/>
      <c r="G5105" s="9">
        <f>H5105*(1-15%)*(1-F5105)</f>
        <v>50.914999999999999</v>
      </c>
      <c r="H5105" s="9">
        <v>59.899999999999999</v>
      </c>
      <c r="I5105" s="9">
        <f>H5105-G5105</f>
        <v>8.9849999999999994</v>
      </c>
    </row>
    <row r="5106" ht="14.25">
      <c r="A5106" s="5">
        <v>45620</v>
      </c>
      <c r="B5106" s="7" t="s">
        <v>5203</v>
      </c>
      <c r="C5106" s="7" t="s">
        <v>4891</v>
      </c>
      <c r="D5106" s="7" t="s">
        <v>183</v>
      </c>
      <c r="E5106" s="5" t="s">
        <v>15</v>
      </c>
      <c r="F5106" s="5"/>
      <c r="G5106" s="9">
        <f>H5106*(1-15%)*(1-F5106)</f>
        <v>42.414999999999999</v>
      </c>
      <c r="H5106" s="9">
        <v>49.899999999999999</v>
      </c>
      <c r="I5106" s="9">
        <f>H5106-G5106</f>
        <v>7.4849999999999994</v>
      </c>
    </row>
    <row r="5107" ht="14.25">
      <c r="A5107" s="5">
        <v>82663</v>
      </c>
      <c r="B5107" s="7" t="s">
        <v>5204</v>
      </c>
      <c r="C5107" s="7" t="s">
        <v>4891</v>
      </c>
      <c r="D5107" s="7" t="s">
        <v>110</v>
      </c>
      <c r="E5107" s="5" t="s">
        <v>26</v>
      </c>
      <c r="F5107" s="5"/>
      <c r="G5107" s="9">
        <f>H5107*(1-15%)*(1-F5107)</f>
        <v>67.915000000000006</v>
      </c>
      <c r="H5107" s="9">
        <v>79.900000000000006</v>
      </c>
      <c r="I5107" s="9">
        <f>H5107-G5107</f>
        <v>11.984999999999999</v>
      </c>
    </row>
    <row r="5108" ht="14.25">
      <c r="A5108" s="5">
        <v>83962</v>
      </c>
      <c r="B5108" s="7" t="s">
        <v>5205</v>
      </c>
      <c r="C5108" s="7" t="s">
        <v>4891</v>
      </c>
      <c r="D5108" s="7" t="s">
        <v>219</v>
      </c>
      <c r="E5108" s="5" t="s">
        <v>26</v>
      </c>
      <c r="F5108" s="5"/>
      <c r="G5108" s="9">
        <f>H5108*(1-15%)*(1-F5108)</f>
        <v>89.165000000000006</v>
      </c>
      <c r="H5108" s="9">
        <v>104.90000000000001</v>
      </c>
      <c r="I5108" s="9">
        <f>H5108-G5108</f>
        <v>15.734999999999999</v>
      </c>
    </row>
    <row r="5109" ht="14.25">
      <c r="A5109" s="5">
        <v>83965</v>
      </c>
      <c r="B5109" s="7" t="s">
        <v>5206</v>
      </c>
      <c r="C5109" s="7" t="s">
        <v>4891</v>
      </c>
      <c r="D5109" s="7" t="s">
        <v>219</v>
      </c>
      <c r="E5109" s="5" t="s">
        <v>26</v>
      </c>
      <c r="F5109" s="5"/>
      <c r="G5109" s="9">
        <f>H5109*(1-15%)*(1-F5109)</f>
        <v>62.815000000000005</v>
      </c>
      <c r="H5109" s="9">
        <v>73.900000000000006</v>
      </c>
      <c r="I5109" s="9">
        <f>H5109-G5109</f>
        <v>11.085000000000001</v>
      </c>
    </row>
    <row r="5110" ht="14.25">
      <c r="A5110" s="5">
        <v>4431</v>
      </c>
      <c r="B5110" s="7" t="s">
        <v>5207</v>
      </c>
      <c r="C5110" s="7" t="s">
        <v>4891</v>
      </c>
      <c r="D5110" s="7" t="s">
        <v>110</v>
      </c>
      <c r="E5110" s="5" t="s">
        <v>26</v>
      </c>
      <c r="F5110" s="5"/>
      <c r="G5110" s="9">
        <f>H5110*(1-15%)*(1-F5110)</f>
        <v>89.165000000000006</v>
      </c>
      <c r="H5110" s="9">
        <v>104.90000000000001</v>
      </c>
      <c r="I5110" s="9">
        <f>H5110-G5110</f>
        <v>15.734999999999999</v>
      </c>
    </row>
    <row r="5111" ht="14.25">
      <c r="A5111" s="5">
        <v>4438</v>
      </c>
      <c r="B5111" s="7" t="s">
        <v>5208</v>
      </c>
      <c r="C5111" s="7" t="s">
        <v>4891</v>
      </c>
      <c r="D5111" s="7" t="s">
        <v>110</v>
      </c>
      <c r="E5111" s="5" t="s">
        <v>26</v>
      </c>
      <c r="F5111" s="5"/>
      <c r="G5111" s="9">
        <f>H5111*(1-15%)*(1-F5111)</f>
        <v>89.165000000000006</v>
      </c>
      <c r="H5111" s="9">
        <v>104.90000000000001</v>
      </c>
      <c r="I5111" s="9">
        <f>H5111-G5111</f>
        <v>15.734999999999999</v>
      </c>
    </row>
    <row r="5112" ht="14.25">
      <c r="A5112" s="5">
        <v>30181</v>
      </c>
      <c r="B5112" s="7" t="s">
        <v>5209</v>
      </c>
      <c r="C5112" s="7" t="s">
        <v>4891</v>
      </c>
      <c r="D5112" s="7" t="s">
        <v>110</v>
      </c>
      <c r="E5112" s="5" t="s">
        <v>26</v>
      </c>
      <c r="F5112" s="5"/>
      <c r="G5112" s="9">
        <f>H5112*(1-15%)*(1-F5112)</f>
        <v>89.165000000000006</v>
      </c>
      <c r="H5112" s="9">
        <v>104.90000000000001</v>
      </c>
      <c r="I5112" s="9">
        <f>H5112-G5112</f>
        <v>15.734999999999999</v>
      </c>
    </row>
    <row r="5113" ht="14.25">
      <c r="A5113" s="5">
        <v>84485</v>
      </c>
      <c r="B5113" s="7" t="s">
        <v>5210</v>
      </c>
      <c r="C5113" s="7" t="s">
        <v>4891</v>
      </c>
      <c r="D5113" s="7" t="s">
        <v>110</v>
      </c>
      <c r="E5113" s="5" t="s">
        <v>26</v>
      </c>
      <c r="F5113" s="5"/>
      <c r="G5113" s="9">
        <f>H5113*(1-15%)*(1-F5113)</f>
        <v>50.064999999999998</v>
      </c>
      <c r="H5113" s="9">
        <v>58.899999999999999</v>
      </c>
      <c r="I5113" s="9">
        <f>H5113-G5113</f>
        <v>8.8350000000000009</v>
      </c>
    </row>
    <row r="5114" ht="14.25">
      <c r="A5114" s="5">
        <v>84262</v>
      </c>
      <c r="B5114" s="7" t="s">
        <v>5211</v>
      </c>
      <c r="C5114" s="7" t="s">
        <v>4891</v>
      </c>
      <c r="D5114" s="7" t="s">
        <v>11</v>
      </c>
      <c r="E5114" s="5" t="s">
        <v>26</v>
      </c>
      <c r="F5114" s="5"/>
      <c r="G5114" s="9">
        <f>H5114*(1-15%)*(1-F5114)</f>
        <v>123.16500000000001</v>
      </c>
      <c r="H5114" s="9">
        <v>144.90000000000001</v>
      </c>
      <c r="I5114" s="9">
        <f>H5114-G5114</f>
        <v>21.734999999999999</v>
      </c>
    </row>
    <row r="5115" ht="14.25">
      <c r="A5115" s="5">
        <v>84263</v>
      </c>
      <c r="B5115" s="7" t="s">
        <v>5212</v>
      </c>
      <c r="C5115" s="7" t="s">
        <v>4891</v>
      </c>
      <c r="D5115" s="7" t="s">
        <v>45</v>
      </c>
      <c r="E5115" s="5" t="s">
        <v>15</v>
      </c>
      <c r="F5115" s="5"/>
      <c r="G5115" s="9">
        <f>H5115*(1-15%)*(1-F5115)</f>
        <v>42.414999999999999</v>
      </c>
      <c r="H5115" s="9">
        <v>49.899999999999999</v>
      </c>
      <c r="I5115" s="9">
        <f>H5115-G5115</f>
        <v>7.4849999999999994</v>
      </c>
    </row>
    <row r="5116" ht="14.25">
      <c r="A5116" s="5">
        <v>82502</v>
      </c>
      <c r="B5116" s="7" t="s">
        <v>5213</v>
      </c>
      <c r="C5116" s="7" t="s">
        <v>4891</v>
      </c>
      <c r="D5116" s="7" t="s">
        <v>110</v>
      </c>
      <c r="E5116" s="5" t="s">
        <v>26</v>
      </c>
      <c r="F5116" s="5"/>
      <c r="G5116" s="9">
        <f>H5116*(1-15%)*(1-F5116)</f>
        <v>67.064999999999998</v>
      </c>
      <c r="H5116" s="9">
        <v>78.900000000000006</v>
      </c>
      <c r="I5116" s="9">
        <f>H5116-G5116</f>
        <v>11.835000000000008</v>
      </c>
    </row>
    <row r="5117" ht="14.25">
      <c r="A5117" s="5">
        <v>83893</v>
      </c>
      <c r="B5117" s="7" t="s">
        <v>5214</v>
      </c>
      <c r="C5117" s="7" t="s">
        <v>4891</v>
      </c>
      <c r="D5117" s="7" t="s">
        <v>110</v>
      </c>
      <c r="E5117" s="5" t="s">
        <v>26</v>
      </c>
      <c r="F5117" s="5"/>
      <c r="G5117" s="9">
        <f>H5117*(1-15%)*(1-F5117)</f>
        <v>135.91499999999999</v>
      </c>
      <c r="H5117" s="9">
        <v>159.90000000000001</v>
      </c>
      <c r="I5117" s="9">
        <f>H5117-G5117</f>
        <v>23.985000000000014</v>
      </c>
    </row>
    <row r="5118" ht="14.25">
      <c r="A5118" s="5">
        <v>83621</v>
      </c>
      <c r="B5118" s="7" t="s">
        <v>5215</v>
      </c>
      <c r="C5118" s="7" t="s">
        <v>4891</v>
      </c>
      <c r="D5118" s="7" t="s">
        <v>45</v>
      </c>
      <c r="E5118" s="5" t="s">
        <v>15</v>
      </c>
      <c r="F5118" s="5"/>
      <c r="G5118" s="9">
        <f>H5118*(1-15%)*(1-F5118)</f>
        <v>53.464999999999996</v>
      </c>
      <c r="H5118" s="9">
        <v>62.899999999999999</v>
      </c>
      <c r="I5118" s="9">
        <f>H5118-G5118</f>
        <v>9.4350000000000023</v>
      </c>
    </row>
    <row r="5119" ht="14.25">
      <c r="A5119" s="5">
        <v>83622</v>
      </c>
      <c r="B5119" s="7" t="s">
        <v>5216</v>
      </c>
      <c r="C5119" s="7" t="s">
        <v>4891</v>
      </c>
      <c r="D5119" s="7" t="s">
        <v>45</v>
      </c>
      <c r="E5119" s="5" t="s">
        <v>15</v>
      </c>
      <c r="F5119" s="5"/>
      <c r="G5119" s="9">
        <f>H5119*(1-15%)*(1-F5119)</f>
        <v>36.464999999999996</v>
      </c>
      <c r="H5119" s="9">
        <v>42.899999999999999</v>
      </c>
      <c r="I5119" s="9">
        <f>H5119-G5119</f>
        <v>6.4350000000000023</v>
      </c>
    </row>
    <row r="5120" ht="14.25">
      <c r="A5120" s="5">
        <v>84481</v>
      </c>
      <c r="B5120" s="7" t="s">
        <v>5217</v>
      </c>
      <c r="C5120" s="7" t="s">
        <v>4891</v>
      </c>
      <c r="D5120" s="7" t="s">
        <v>45</v>
      </c>
      <c r="E5120" s="5" t="s">
        <v>15</v>
      </c>
      <c r="F5120" s="5"/>
      <c r="G5120" s="9">
        <f>H5120*(1-15%)*(1-F5120)</f>
        <v>38.164999999999999</v>
      </c>
      <c r="H5120" s="9">
        <v>44.899999999999999</v>
      </c>
      <c r="I5120" s="9">
        <f>H5120-G5120</f>
        <v>6.7349999999999994</v>
      </c>
    </row>
    <row r="5121" ht="14.25">
      <c r="A5121" s="5">
        <v>83624</v>
      </c>
      <c r="B5121" s="7" t="s">
        <v>5218</v>
      </c>
      <c r="C5121" s="7" t="s">
        <v>4891</v>
      </c>
      <c r="D5121" s="7" t="s">
        <v>45</v>
      </c>
      <c r="E5121" s="5" t="s">
        <v>15</v>
      </c>
      <c r="F5121" s="5"/>
      <c r="G5121" s="9">
        <f>H5121*(1-15%)*(1-F5121)</f>
        <v>21.164999999999999</v>
      </c>
      <c r="H5121" s="9">
        <v>24.899999999999999</v>
      </c>
      <c r="I5121" s="9">
        <f>H5121-G5121</f>
        <v>3.7349999999999994</v>
      </c>
    </row>
    <row r="5122" ht="14.25">
      <c r="A5122" s="5">
        <v>84002</v>
      </c>
      <c r="B5122" s="7" t="s">
        <v>5219</v>
      </c>
      <c r="C5122" s="7" t="s">
        <v>4891</v>
      </c>
      <c r="D5122" s="7" t="s">
        <v>110</v>
      </c>
      <c r="E5122" s="5" t="s">
        <v>26</v>
      </c>
      <c r="F5122" s="5"/>
      <c r="G5122" s="9">
        <f>H5122*(1-15%)*(1-F5122)</f>
        <v>42.414999999999999</v>
      </c>
      <c r="H5122" s="9">
        <v>49.899999999999999</v>
      </c>
      <c r="I5122" s="9">
        <f>H5122-G5122</f>
        <v>7.4849999999999994</v>
      </c>
    </row>
    <row r="5123" ht="14.25">
      <c r="A5123" s="5">
        <v>47190</v>
      </c>
      <c r="B5123" s="7" t="s">
        <v>5220</v>
      </c>
      <c r="C5123" s="7" t="s">
        <v>4891</v>
      </c>
      <c r="D5123" s="7" t="s">
        <v>110</v>
      </c>
      <c r="E5123" s="5" t="s">
        <v>26</v>
      </c>
      <c r="F5123" s="5"/>
      <c r="G5123" s="9">
        <f>H5123*(1-15%)*(1-F5123)</f>
        <v>48.364999999999995</v>
      </c>
      <c r="H5123" s="9">
        <v>56.899999999999999</v>
      </c>
      <c r="I5123" s="9">
        <f>H5123-G5123</f>
        <v>8.5350000000000037</v>
      </c>
    </row>
    <row r="5124" ht="14.25">
      <c r="A5124" s="5">
        <v>47854</v>
      </c>
      <c r="B5124" s="7" t="s">
        <v>5221</v>
      </c>
      <c r="C5124" s="7" t="s">
        <v>4891</v>
      </c>
      <c r="D5124" s="7" t="s">
        <v>103</v>
      </c>
      <c r="E5124" s="5" t="s">
        <v>15</v>
      </c>
      <c r="F5124" s="5"/>
      <c r="G5124" s="9">
        <f>H5124*(1-15%)*(1-F5124)</f>
        <v>38.164999999999999</v>
      </c>
      <c r="H5124" s="9">
        <v>44.899999999999999</v>
      </c>
      <c r="I5124" s="9">
        <f>H5124-G5124</f>
        <v>6.7349999999999994</v>
      </c>
    </row>
    <row r="5125" ht="14.25">
      <c r="A5125" s="5">
        <v>9394</v>
      </c>
      <c r="B5125" s="7" t="s">
        <v>5222</v>
      </c>
      <c r="C5125" s="7" t="s">
        <v>4891</v>
      </c>
      <c r="D5125" s="7" t="s">
        <v>45</v>
      </c>
      <c r="E5125" s="5" t="s">
        <v>15</v>
      </c>
      <c r="F5125" s="5"/>
      <c r="G5125" s="9">
        <f>H5125*(1-15%)*(1-F5125)</f>
        <v>36.464999999999996</v>
      </c>
      <c r="H5125" s="9">
        <v>42.899999999999999</v>
      </c>
      <c r="I5125" s="9">
        <f>H5125-G5125</f>
        <v>6.4350000000000023</v>
      </c>
    </row>
    <row r="5126" ht="14.25">
      <c r="A5126" s="5">
        <v>9434</v>
      </c>
      <c r="B5126" s="7" t="s">
        <v>5223</v>
      </c>
      <c r="C5126" s="7" t="s">
        <v>4891</v>
      </c>
      <c r="D5126" s="7" t="s">
        <v>219</v>
      </c>
      <c r="E5126" s="5" t="s">
        <v>26</v>
      </c>
      <c r="F5126" s="5"/>
      <c r="G5126" s="9">
        <f>H5126*(1-15%)*(1-F5126)</f>
        <v>48.364999999999995</v>
      </c>
      <c r="H5126" s="9">
        <v>56.899999999999999</v>
      </c>
      <c r="I5126" s="9">
        <f>H5126-G5126</f>
        <v>8.5350000000000037</v>
      </c>
    </row>
    <row r="5127" ht="14.25">
      <c r="A5127" s="5">
        <v>9403</v>
      </c>
      <c r="B5127" s="7" t="s">
        <v>5224</v>
      </c>
      <c r="C5127" s="7" t="s">
        <v>4891</v>
      </c>
      <c r="D5127" s="7" t="s">
        <v>219</v>
      </c>
      <c r="E5127" s="5" t="s">
        <v>26</v>
      </c>
      <c r="F5127" s="5"/>
      <c r="G5127" s="9">
        <f>H5127*(1-15%)*(1-F5127)</f>
        <v>101.91500000000001</v>
      </c>
      <c r="H5127" s="9">
        <v>119.90000000000001</v>
      </c>
      <c r="I5127" s="9">
        <f>H5127-G5127</f>
        <v>17.984999999999999</v>
      </c>
    </row>
    <row r="5128" ht="14.25">
      <c r="A5128" s="5">
        <v>9429</v>
      </c>
      <c r="B5128" s="7" t="s">
        <v>5225</v>
      </c>
      <c r="C5128" s="7" t="s">
        <v>4891</v>
      </c>
      <c r="D5128" s="7" t="s">
        <v>219</v>
      </c>
      <c r="E5128" s="5" t="s">
        <v>26</v>
      </c>
      <c r="F5128" s="5"/>
      <c r="G5128" s="9">
        <f>H5128*(1-15%)*(1-F5128)</f>
        <v>59.415000000000006</v>
      </c>
      <c r="H5128" s="9">
        <v>69.900000000000006</v>
      </c>
      <c r="I5128" s="9">
        <f>H5128-G5128</f>
        <v>10.484999999999999</v>
      </c>
    </row>
    <row r="5129" ht="14.25">
      <c r="A5129" s="5">
        <v>51186</v>
      </c>
      <c r="B5129" s="7" t="s">
        <v>5226</v>
      </c>
      <c r="C5129" s="7" t="s">
        <v>4891</v>
      </c>
      <c r="D5129" s="7" t="s">
        <v>110</v>
      </c>
      <c r="E5129" s="5" t="s">
        <v>39</v>
      </c>
      <c r="F5129" s="5"/>
      <c r="G5129" s="9">
        <f>H5129*(1-15%)*(1-F5129)</f>
        <v>53.464999999999996</v>
      </c>
      <c r="H5129" s="9">
        <v>62.899999999999999</v>
      </c>
      <c r="I5129" s="9">
        <f>H5129-G5129</f>
        <v>9.4350000000000023</v>
      </c>
    </row>
    <row r="5130" ht="14.25">
      <c r="A5130" s="5">
        <v>51187</v>
      </c>
      <c r="B5130" s="7" t="s">
        <v>5227</v>
      </c>
      <c r="C5130" s="7" t="s">
        <v>4891</v>
      </c>
      <c r="D5130" s="7" t="s">
        <v>110</v>
      </c>
      <c r="E5130" s="5" t="s">
        <v>26</v>
      </c>
      <c r="F5130" s="5"/>
      <c r="G5130" s="9">
        <f>H5130*(1-15%)*(1-F5130)</f>
        <v>53.464999999999996</v>
      </c>
      <c r="H5130" s="9">
        <v>62.899999999999999</v>
      </c>
      <c r="I5130" s="9">
        <f>H5130-G5130</f>
        <v>9.4350000000000023</v>
      </c>
    </row>
    <row r="5131" ht="14.25">
      <c r="A5131" s="5">
        <v>51189</v>
      </c>
      <c r="B5131" s="7" t="s">
        <v>5228</v>
      </c>
      <c r="C5131" s="7" t="s">
        <v>4891</v>
      </c>
      <c r="D5131" s="7" t="s">
        <v>110</v>
      </c>
      <c r="E5131" s="5" t="s">
        <v>26</v>
      </c>
      <c r="F5131" s="5"/>
      <c r="G5131" s="9">
        <f>H5131*(1-15%)*(1-F5131)</f>
        <v>53.464999999999996</v>
      </c>
      <c r="H5131" s="9">
        <v>62.899999999999999</v>
      </c>
      <c r="I5131" s="9">
        <f>H5131-G5131</f>
        <v>9.4350000000000023</v>
      </c>
    </row>
    <row r="5132" ht="14.25">
      <c r="A5132" s="5">
        <v>49359</v>
      </c>
      <c r="B5132" s="7" t="s">
        <v>5229</v>
      </c>
      <c r="C5132" s="7" t="s">
        <v>4891</v>
      </c>
      <c r="D5132" s="7" t="s">
        <v>183</v>
      </c>
      <c r="E5132" s="5" t="s">
        <v>15</v>
      </c>
      <c r="F5132" s="5"/>
      <c r="G5132" s="9">
        <f>H5132*(1-15%)*(1-F5132)</f>
        <v>25.414999999999999</v>
      </c>
      <c r="H5132" s="9">
        <v>29.899999999999999</v>
      </c>
      <c r="I5132" s="9">
        <f>H5132-G5132</f>
        <v>4.4849999999999994</v>
      </c>
    </row>
    <row r="5133" ht="14.25">
      <c r="A5133" s="5">
        <v>49915</v>
      </c>
      <c r="B5133" s="7" t="s">
        <v>5230</v>
      </c>
      <c r="C5133" s="7" t="s">
        <v>4891</v>
      </c>
      <c r="D5133" s="7" t="s">
        <v>183</v>
      </c>
      <c r="E5133" s="5" t="s">
        <v>15</v>
      </c>
      <c r="F5133" s="5"/>
      <c r="G5133" s="9">
        <f>H5133*(1-15%)*(1-F5133)</f>
        <v>46.664999999999999</v>
      </c>
      <c r="H5133" s="9">
        <v>54.899999999999999</v>
      </c>
      <c r="I5133" s="9">
        <f>H5133-G5133</f>
        <v>8.2349999999999994</v>
      </c>
    </row>
    <row r="5134" ht="14.25">
      <c r="A5134" s="5">
        <v>50574</v>
      </c>
      <c r="B5134" s="7" t="s">
        <v>5231</v>
      </c>
      <c r="C5134" s="7" t="s">
        <v>4891</v>
      </c>
      <c r="D5134" s="7" t="s">
        <v>219</v>
      </c>
      <c r="E5134" s="5" t="s">
        <v>26</v>
      </c>
      <c r="F5134" s="5"/>
      <c r="G5134" s="9">
        <f>H5134*(1-15%)*(1-F5134)</f>
        <v>101.91500000000001</v>
      </c>
      <c r="H5134" s="9">
        <v>119.90000000000001</v>
      </c>
      <c r="I5134" s="9">
        <f>H5134-G5134</f>
        <v>17.984999999999999</v>
      </c>
    </row>
    <row r="5135" ht="14.25">
      <c r="A5135" s="5">
        <v>50569</v>
      </c>
      <c r="B5135" s="7" t="s">
        <v>5232</v>
      </c>
      <c r="C5135" s="7" t="s">
        <v>4891</v>
      </c>
      <c r="D5135" s="7" t="s">
        <v>219</v>
      </c>
      <c r="E5135" s="5" t="s">
        <v>26</v>
      </c>
      <c r="F5135" s="5"/>
      <c r="G5135" s="9">
        <f>H5135*(1-15%)*(1-F5135)</f>
        <v>49.214999999999996</v>
      </c>
      <c r="H5135" s="9">
        <v>57.899999999999999</v>
      </c>
      <c r="I5135" s="9">
        <f>H5135-G5135</f>
        <v>8.6850000000000023</v>
      </c>
    </row>
    <row r="5136" ht="14.25">
      <c r="A5136" s="5">
        <v>51322</v>
      </c>
      <c r="B5136" s="7" t="s">
        <v>5233</v>
      </c>
      <c r="C5136" s="7" t="s">
        <v>4891</v>
      </c>
      <c r="D5136" s="7" t="s">
        <v>61</v>
      </c>
      <c r="E5136" s="5" t="s">
        <v>15</v>
      </c>
      <c r="F5136" s="5"/>
      <c r="G5136" s="9">
        <f>H5136*(1-15%)*(1-F5136)</f>
        <v>106.16500000000001</v>
      </c>
      <c r="H5136" s="9">
        <v>124.90000000000001</v>
      </c>
      <c r="I5136" s="9">
        <f>H5136-G5136</f>
        <v>18.734999999999999</v>
      </c>
    </row>
    <row r="5137" ht="14.25">
      <c r="A5137" s="5">
        <v>49912</v>
      </c>
      <c r="B5137" s="7" t="s">
        <v>5234</v>
      </c>
      <c r="C5137" s="7" t="s">
        <v>4891</v>
      </c>
      <c r="D5137" s="7" t="s">
        <v>183</v>
      </c>
      <c r="E5137" s="5" t="s">
        <v>15</v>
      </c>
      <c r="F5137" s="5"/>
      <c r="G5137" s="9">
        <f>H5137*(1-15%)*(1-F5137)</f>
        <v>32.214999999999996</v>
      </c>
      <c r="H5137" s="9">
        <v>37.899999999999999</v>
      </c>
      <c r="I5137" s="9">
        <f>H5137-G5137</f>
        <v>5.6850000000000023</v>
      </c>
    </row>
    <row r="5138" ht="14.25">
      <c r="A5138" s="5">
        <v>49895</v>
      </c>
      <c r="B5138" s="7" t="s">
        <v>5235</v>
      </c>
      <c r="C5138" s="7" t="s">
        <v>4891</v>
      </c>
      <c r="D5138" s="7" t="s">
        <v>183</v>
      </c>
      <c r="E5138" s="5" t="s">
        <v>15</v>
      </c>
      <c r="F5138" s="5"/>
      <c r="G5138" s="9">
        <f>H5138*(1-15%)*(1-F5138)</f>
        <v>63.665000000000006</v>
      </c>
      <c r="H5138" s="9">
        <v>74.900000000000006</v>
      </c>
      <c r="I5138" s="9">
        <f>H5138-G5138</f>
        <v>11.234999999999999</v>
      </c>
    </row>
    <row r="5139" ht="14.25">
      <c r="A5139" s="5">
        <v>49911</v>
      </c>
      <c r="B5139" s="7" t="s">
        <v>5236</v>
      </c>
      <c r="C5139" s="7" t="s">
        <v>4891</v>
      </c>
      <c r="D5139" s="7" t="s">
        <v>183</v>
      </c>
      <c r="E5139" s="5" t="s">
        <v>15</v>
      </c>
      <c r="F5139" s="5"/>
      <c r="G5139" s="9">
        <f>H5139*(1-15%)*(1-F5139)</f>
        <v>74.715000000000003</v>
      </c>
      <c r="H5139" s="9">
        <v>87.900000000000006</v>
      </c>
      <c r="I5139" s="9">
        <f>H5139-G5139</f>
        <v>13.185000000000002</v>
      </c>
    </row>
    <row r="5140" ht="14.25">
      <c r="A5140" s="5">
        <v>49913</v>
      </c>
      <c r="B5140" s="7" t="s">
        <v>5237</v>
      </c>
      <c r="C5140" s="7" t="s">
        <v>4891</v>
      </c>
      <c r="D5140" s="7" t="s">
        <v>183</v>
      </c>
      <c r="E5140" s="5" t="s">
        <v>15</v>
      </c>
      <c r="F5140" s="5"/>
      <c r="G5140" s="9">
        <f>H5140*(1-15%)*(1-F5140)</f>
        <v>178.41499999999999</v>
      </c>
      <c r="H5140" s="9">
        <v>209.90000000000001</v>
      </c>
      <c r="I5140" s="9">
        <f>H5140-G5140</f>
        <v>31.485000000000014</v>
      </c>
    </row>
    <row r="5141" ht="14.25">
      <c r="A5141" s="5">
        <v>50512</v>
      </c>
      <c r="B5141" s="7" t="s">
        <v>5238</v>
      </c>
      <c r="C5141" s="7" t="s">
        <v>4891</v>
      </c>
      <c r="D5141" s="7" t="s">
        <v>95</v>
      </c>
      <c r="E5141" s="5" t="s">
        <v>26</v>
      </c>
      <c r="F5141" s="5"/>
      <c r="G5141" s="9">
        <f>H5141*(1-15%)*(1-F5141)</f>
        <v>27.964999999999996</v>
      </c>
      <c r="H5141" s="9">
        <v>32.899999999999999</v>
      </c>
      <c r="I5141" s="9">
        <f>H5141-G5141</f>
        <v>4.9350000000000023</v>
      </c>
    </row>
    <row r="5142" ht="14.25">
      <c r="A5142" s="5">
        <v>50513</v>
      </c>
      <c r="B5142" s="7" t="s">
        <v>5239</v>
      </c>
      <c r="C5142" s="7" t="s">
        <v>4891</v>
      </c>
      <c r="D5142" s="7" t="s">
        <v>95</v>
      </c>
      <c r="E5142" s="5" t="s">
        <v>26</v>
      </c>
      <c r="F5142" s="5"/>
      <c r="G5142" s="9">
        <f>H5142*(1-15%)*(1-F5142)</f>
        <v>29.664999999999999</v>
      </c>
      <c r="H5142" s="9">
        <v>34.899999999999999</v>
      </c>
      <c r="I5142" s="9">
        <f>H5142-G5142</f>
        <v>5.2349999999999994</v>
      </c>
    </row>
    <row r="5143" ht="14.25">
      <c r="A5143" s="5">
        <v>50514</v>
      </c>
      <c r="B5143" s="7" t="s">
        <v>5240</v>
      </c>
      <c r="C5143" s="7" t="s">
        <v>4891</v>
      </c>
      <c r="D5143" s="7" t="s">
        <v>95</v>
      </c>
      <c r="E5143" s="5" t="s">
        <v>26</v>
      </c>
      <c r="F5143" s="5"/>
      <c r="G5143" s="9">
        <f>H5143*(1-15%)*(1-F5143)</f>
        <v>44.964999999999996</v>
      </c>
      <c r="H5143" s="9">
        <v>52.899999999999999</v>
      </c>
      <c r="I5143" s="9">
        <f>H5143-G5143</f>
        <v>7.9350000000000023</v>
      </c>
    </row>
    <row r="5144" ht="14.25">
      <c r="A5144" s="5">
        <v>48197</v>
      </c>
      <c r="B5144" s="7" t="s">
        <v>5241</v>
      </c>
      <c r="C5144" s="7" t="s">
        <v>4891</v>
      </c>
      <c r="D5144" s="7" t="s">
        <v>110</v>
      </c>
      <c r="E5144" s="5" t="s">
        <v>26</v>
      </c>
      <c r="F5144" s="5"/>
      <c r="G5144" s="9">
        <f>H5144*(1-15%)*(1-F5144)</f>
        <v>152.91499999999999</v>
      </c>
      <c r="H5144" s="9">
        <v>179.90000000000001</v>
      </c>
      <c r="I5144" s="9">
        <f>H5144-G5144</f>
        <v>26.985000000000014</v>
      </c>
    </row>
    <row r="5145" ht="14.25">
      <c r="A5145" s="5">
        <v>49405</v>
      </c>
      <c r="B5145" s="7" t="s">
        <v>5242</v>
      </c>
      <c r="C5145" s="7" t="s">
        <v>4891</v>
      </c>
      <c r="D5145" s="7" t="s">
        <v>45</v>
      </c>
      <c r="E5145" s="5" t="s">
        <v>15</v>
      </c>
      <c r="F5145" s="5"/>
      <c r="G5145" s="9">
        <f>H5145*(1-15%)*(1-F5145)</f>
        <v>40.714999999999996</v>
      </c>
      <c r="H5145" s="9">
        <v>47.899999999999999</v>
      </c>
      <c r="I5145" s="9">
        <f>H5145-G5145</f>
        <v>7.1850000000000023</v>
      </c>
    </row>
    <row r="5146" ht="14.25">
      <c r="A5146" s="5">
        <v>51863</v>
      </c>
      <c r="B5146" s="7" t="s">
        <v>5243</v>
      </c>
      <c r="C5146" s="7" t="s">
        <v>4891</v>
      </c>
      <c r="D5146" s="7" t="s">
        <v>45</v>
      </c>
      <c r="E5146" s="5" t="s">
        <v>703</v>
      </c>
      <c r="F5146" s="5"/>
      <c r="G5146" s="9">
        <f>H5146*(1-15%)*(1-F5146)</f>
        <v>25.414999999999999</v>
      </c>
      <c r="H5146" s="9">
        <v>29.899999999999999</v>
      </c>
      <c r="I5146" s="9">
        <f>H5146-G5146</f>
        <v>4.4849999999999994</v>
      </c>
    </row>
    <row r="5147" ht="14.25">
      <c r="A5147" s="5">
        <v>49910</v>
      </c>
      <c r="B5147" s="7" t="s">
        <v>5244</v>
      </c>
      <c r="C5147" s="7" t="s">
        <v>4891</v>
      </c>
      <c r="D5147" s="7" t="s">
        <v>183</v>
      </c>
      <c r="E5147" s="5" t="s">
        <v>15</v>
      </c>
      <c r="F5147" s="5"/>
      <c r="G5147" s="9">
        <f>H5147*(1-15%)*(1-F5147)</f>
        <v>36.464999999999996</v>
      </c>
      <c r="H5147" s="9">
        <v>42.899999999999999</v>
      </c>
      <c r="I5147" s="9">
        <f>H5147-G5147</f>
        <v>6.4350000000000023</v>
      </c>
    </row>
    <row r="5148" ht="14.25">
      <c r="A5148" s="5">
        <v>52626</v>
      </c>
      <c r="B5148" s="7" t="s">
        <v>5245</v>
      </c>
      <c r="C5148" s="7" t="s">
        <v>4891</v>
      </c>
      <c r="D5148" s="7" t="s">
        <v>11</v>
      </c>
      <c r="E5148" s="5" t="s">
        <v>703</v>
      </c>
      <c r="F5148" s="5"/>
      <c r="G5148" s="9">
        <f>H5148*(1-15%)*(1-F5148)</f>
        <v>59.415000000000006</v>
      </c>
      <c r="H5148" s="9">
        <v>69.900000000000006</v>
      </c>
      <c r="I5148" s="9">
        <f>H5148-G5148</f>
        <v>10.484999999999999</v>
      </c>
    </row>
    <row r="5149" ht="14.25">
      <c r="A5149" s="5">
        <v>46938</v>
      </c>
      <c r="B5149" s="7" t="s">
        <v>5246</v>
      </c>
      <c r="C5149" s="7" t="s">
        <v>4891</v>
      </c>
      <c r="D5149" s="7" t="s">
        <v>45</v>
      </c>
      <c r="E5149" s="5" t="s">
        <v>15</v>
      </c>
      <c r="F5149" s="5"/>
      <c r="G5149" s="9">
        <f>H5149*(1-15%)*(1-F5149)</f>
        <v>21.164999999999999</v>
      </c>
      <c r="H5149" s="9">
        <v>24.899999999999999</v>
      </c>
      <c r="I5149" s="9">
        <f>H5149-G5149</f>
        <v>3.7349999999999994</v>
      </c>
    </row>
    <row r="5150" ht="14.25">
      <c r="A5150" s="5">
        <v>50412</v>
      </c>
      <c r="B5150" s="7" t="s">
        <v>5247</v>
      </c>
      <c r="C5150" s="7" t="s">
        <v>4891</v>
      </c>
      <c r="D5150" s="7" t="s">
        <v>45</v>
      </c>
      <c r="E5150" s="5" t="s">
        <v>15</v>
      </c>
      <c r="F5150" s="5"/>
      <c r="G5150" s="9">
        <f>H5150*(1-15%)*(1-F5150)</f>
        <v>44.964999999999996</v>
      </c>
      <c r="H5150" s="9">
        <v>52.899999999999999</v>
      </c>
      <c r="I5150" s="9">
        <f>H5150-G5150</f>
        <v>7.9350000000000023</v>
      </c>
    </row>
    <row r="5151" ht="14.25">
      <c r="A5151" s="5">
        <v>46933</v>
      </c>
      <c r="B5151" s="7" t="s">
        <v>5248</v>
      </c>
      <c r="C5151" s="7" t="s">
        <v>4891</v>
      </c>
      <c r="D5151" s="7" t="s">
        <v>45</v>
      </c>
      <c r="E5151" s="5" t="s">
        <v>15</v>
      </c>
      <c r="F5151" s="5"/>
      <c r="G5151" s="9">
        <f>H5151*(1-15%)*(1-F5151)</f>
        <v>53.464999999999996</v>
      </c>
      <c r="H5151" s="9">
        <v>62.899999999999999</v>
      </c>
      <c r="I5151" s="9">
        <f>H5151-G5151</f>
        <v>9.4350000000000023</v>
      </c>
    </row>
    <row r="5152" ht="14.25">
      <c r="A5152" s="5">
        <v>46936</v>
      </c>
      <c r="B5152" s="7" t="s">
        <v>5249</v>
      </c>
      <c r="C5152" s="7" t="s">
        <v>4891</v>
      </c>
      <c r="D5152" s="7" t="s">
        <v>45</v>
      </c>
      <c r="E5152" s="5" t="s">
        <v>15</v>
      </c>
      <c r="F5152" s="5"/>
      <c r="G5152" s="9">
        <f>H5152*(1-15%)*(1-F5152)</f>
        <v>36.464999999999996</v>
      </c>
      <c r="H5152" s="9">
        <v>42.899999999999999</v>
      </c>
      <c r="I5152" s="9">
        <f>H5152-G5152</f>
        <v>6.4350000000000023</v>
      </c>
    </row>
    <row r="5153" ht="14.25">
      <c r="A5153" s="5">
        <v>50410</v>
      </c>
      <c r="B5153" s="7" t="s">
        <v>5250</v>
      </c>
      <c r="C5153" s="7" t="s">
        <v>4891</v>
      </c>
      <c r="D5153" s="7" t="s">
        <v>11</v>
      </c>
      <c r="E5153" s="5" t="s">
        <v>15</v>
      </c>
      <c r="F5153" s="5"/>
      <c r="G5153" s="9">
        <f>H5153*(1-15%)*(1-F5153)</f>
        <v>59.415000000000006</v>
      </c>
      <c r="H5153" s="9">
        <v>69.900000000000006</v>
      </c>
      <c r="I5153" s="9">
        <f>H5153-G5153</f>
        <v>10.484999999999999</v>
      </c>
    </row>
    <row r="5154" ht="14.25">
      <c r="A5154" s="5">
        <v>52841</v>
      </c>
      <c r="B5154" s="7" t="s">
        <v>5251</v>
      </c>
      <c r="C5154" s="7" t="s">
        <v>4891</v>
      </c>
      <c r="D5154" s="7" t="s">
        <v>110</v>
      </c>
      <c r="E5154" s="5" t="s">
        <v>26</v>
      </c>
      <c r="F5154" s="5"/>
      <c r="G5154" s="9">
        <f>H5154*(1-15%)*(1-F5154)</f>
        <v>52.614999999999995</v>
      </c>
      <c r="H5154" s="9">
        <v>61.899999999999999</v>
      </c>
      <c r="I5154" s="9">
        <f>H5154-G5154</f>
        <v>9.2850000000000037</v>
      </c>
    </row>
    <row r="5155" ht="14.25">
      <c r="A5155" s="5">
        <v>52843</v>
      </c>
      <c r="B5155" s="7" t="s">
        <v>5252</v>
      </c>
      <c r="C5155" s="7" t="s">
        <v>4891</v>
      </c>
      <c r="D5155" s="7" t="s">
        <v>110</v>
      </c>
      <c r="E5155" s="5" t="s">
        <v>26</v>
      </c>
      <c r="F5155" s="5"/>
      <c r="G5155" s="9">
        <f>H5155*(1-15%)*(1-F5155)</f>
        <v>52.614999999999995</v>
      </c>
      <c r="H5155" s="9">
        <v>61.899999999999999</v>
      </c>
      <c r="I5155" s="9">
        <f>H5155-G5155</f>
        <v>9.2850000000000037</v>
      </c>
    </row>
    <row r="5156" ht="14.25">
      <c r="A5156" s="5">
        <v>30019</v>
      </c>
      <c r="B5156" s="7" t="s">
        <v>5253</v>
      </c>
      <c r="C5156" s="7" t="s">
        <v>4891</v>
      </c>
      <c r="D5156" s="7" t="s">
        <v>110</v>
      </c>
      <c r="E5156" s="5" t="s">
        <v>26</v>
      </c>
      <c r="F5156" s="5"/>
      <c r="G5156" s="9">
        <f>H5156*(1-15%)*(1-F5156)</f>
        <v>93.415000000000006</v>
      </c>
      <c r="H5156" s="9">
        <v>109.90000000000001</v>
      </c>
      <c r="I5156" s="9">
        <f>H5156-G5156</f>
        <v>16.484999999999999</v>
      </c>
    </row>
    <row r="5157" ht="14.25">
      <c r="A5157" s="5">
        <v>30006</v>
      </c>
      <c r="B5157" s="7" t="s">
        <v>5254</v>
      </c>
      <c r="C5157" s="7" t="s">
        <v>4891</v>
      </c>
      <c r="D5157" s="7" t="s">
        <v>110</v>
      </c>
      <c r="E5157" s="5" t="s">
        <v>26</v>
      </c>
      <c r="F5157" s="5"/>
      <c r="G5157" s="9">
        <f>H5157*(1-15%)*(1-F5157)</f>
        <v>93.415000000000006</v>
      </c>
      <c r="H5157" s="9">
        <v>109.90000000000001</v>
      </c>
      <c r="I5157" s="9">
        <f>H5157-G5157</f>
        <v>16.484999999999999</v>
      </c>
    </row>
    <row r="5158" ht="14.25">
      <c r="A5158" s="5">
        <v>30007</v>
      </c>
      <c r="B5158" s="7" t="s">
        <v>5255</v>
      </c>
      <c r="C5158" s="7" t="s">
        <v>4891</v>
      </c>
      <c r="D5158" s="7" t="s">
        <v>110</v>
      </c>
      <c r="E5158" s="5" t="s">
        <v>26</v>
      </c>
      <c r="F5158" s="5"/>
      <c r="G5158" s="9">
        <f>H5158*(1-15%)*(1-F5158)</f>
        <v>93.415000000000006</v>
      </c>
      <c r="H5158" s="9">
        <v>109.90000000000001</v>
      </c>
      <c r="I5158" s="9">
        <f>H5158-G5158</f>
        <v>16.484999999999999</v>
      </c>
    </row>
    <row r="5159" ht="14.25">
      <c r="A5159" s="5">
        <v>30009</v>
      </c>
      <c r="B5159" s="7" t="s">
        <v>5256</v>
      </c>
      <c r="C5159" s="7" t="s">
        <v>4891</v>
      </c>
      <c r="D5159" s="7" t="s">
        <v>110</v>
      </c>
      <c r="E5159" s="5" t="s">
        <v>26</v>
      </c>
      <c r="F5159" s="5"/>
      <c r="G5159" s="9">
        <f>H5159*(1-15%)*(1-F5159)</f>
        <v>93.415000000000006</v>
      </c>
      <c r="H5159" s="9">
        <v>109.90000000000001</v>
      </c>
      <c r="I5159" s="9">
        <f>H5159-G5159</f>
        <v>16.484999999999999</v>
      </c>
    </row>
    <row r="5160" ht="14.25">
      <c r="A5160" s="5">
        <v>30013</v>
      </c>
      <c r="B5160" s="7" t="s">
        <v>5257</v>
      </c>
      <c r="C5160" s="7" t="s">
        <v>4891</v>
      </c>
      <c r="D5160" s="7" t="s">
        <v>110</v>
      </c>
      <c r="E5160" s="5" t="s">
        <v>26</v>
      </c>
      <c r="F5160" s="5"/>
      <c r="G5160" s="9">
        <f>H5160*(1-15%)*(1-F5160)</f>
        <v>93.415000000000006</v>
      </c>
      <c r="H5160" s="9">
        <v>109.90000000000001</v>
      </c>
      <c r="I5160" s="9">
        <f>H5160-G5160</f>
        <v>16.484999999999999</v>
      </c>
    </row>
    <row r="5161" ht="14.25">
      <c r="A5161" s="5">
        <v>30016</v>
      </c>
      <c r="B5161" s="7" t="s">
        <v>5258</v>
      </c>
      <c r="C5161" s="7" t="s">
        <v>4891</v>
      </c>
      <c r="D5161" s="7" t="s">
        <v>110</v>
      </c>
      <c r="E5161" s="5" t="s">
        <v>26</v>
      </c>
      <c r="F5161" s="5"/>
      <c r="G5161" s="9">
        <f>H5161*(1-15%)*(1-F5161)</f>
        <v>93.415000000000006</v>
      </c>
      <c r="H5161" s="9">
        <v>109.90000000000001</v>
      </c>
      <c r="I5161" s="9">
        <f>H5161-G5161</f>
        <v>16.484999999999999</v>
      </c>
    </row>
    <row r="5162" ht="14.25">
      <c r="A5162" s="5">
        <v>30017</v>
      </c>
      <c r="B5162" s="7" t="s">
        <v>5259</v>
      </c>
      <c r="C5162" s="7" t="s">
        <v>4891</v>
      </c>
      <c r="D5162" s="7" t="s">
        <v>110</v>
      </c>
      <c r="E5162" s="5" t="s">
        <v>26</v>
      </c>
      <c r="F5162" s="5"/>
      <c r="G5162" s="9">
        <f>H5162*(1-15%)*(1-F5162)</f>
        <v>93.415000000000006</v>
      </c>
      <c r="H5162" s="9">
        <v>109.90000000000001</v>
      </c>
      <c r="I5162" s="9">
        <f>H5162-G5162</f>
        <v>16.484999999999999</v>
      </c>
    </row>
    <row r="5163" ht="14.25">
      <c r="A5163" s="5">
        <v>30010</v>
      </c>
      <c r="B5163" s="7" t="s">
        <v>5260</v>
      </c>
      <c r="C5163" s="7" t="s">
        <v>4891</v>
      </c>
      <c r="D5163" s="7" t="s">
        <v>110</v>
      </c>
      <c r="E5163" s="5" t="s">
        <v>26</v>
      </c>
      <c r="F5163" s="5"/>
      <c r="G5163" s="9">
        <f>H5163*(1-15%)*(1-F5163)</f>
        <v>93.415000000000006</v>
      </c>
      <c r="H5163" s="9">
        <v>109.90000000000001</v>
      </c>
      <c r="I5163" s="9">
        <f>H5163-G5163</f>
        <v>16.484999999999999</v>
      </c>
    </row>
    <row r="5164" ht="14.25">
      <c r="A5164" s="5">
        <v>30008</v>
      </c>
      <c r="B5164" s="7" t="s">
        <v>5261</v>
      </c>
      <c r="C5164" s="7" t="s">
        <v>4891</v>
      </c>
      <c r="D5164" s="7" t="s">
        <v>110</v>
      </c>
      <c r="E5164" s="5" t="s">
        <v>26</v>
      </c>
      <c r="F5164" s="5"/>
      <c r="G5164" s="9">
        <f>H5164*(1-15%)*(1-F5164)</f>
        <v>93.415000000000006</v>
      </c>
      <c r="H5164" s="9">
        <v>109.90000000000001</v>
      </c>
      <c r="I5164" s="9">
        <f>H5164-G5164</f>
        <v>16.484999999999999</v>
      </c>
    </row>
    <row r="5165" ht="14.25">
      <c r="A5165" s="5">
        <v>30014</v>
      </c>
      <c r="B5165" s="7" t="s">
        <v>5262</v>
      </c>
      <c r="C5165" s="7" t="s">
        <v>4891</v>
      </c>
      <c r="D5165" s="7" t="s">
        <v>110</v>
      </c>
      <c r="E5165" s="5" t="s">
        <v>26</v>
      </c>
      <c r="F5165" s="5"/>
      <c r="G5165" s="9">
        <f>H5165*(1-15%)*(1-F5165)</f>
        <v>93.415000000000006</v>
      </c>
      <c r="H5165" s="9">
        <v>109.90000000000001</v>
      </c>
      <c r="I5165" s="9">
        <f>H5165-G5165</f>
        <v>16.484999999999999</v>
      </c>
    </row>
    <row r="5166" ht="14.25">
      <c r="A5166" s="5">
        <v>30015</v>
      </c>
      <c r="B5166" s="7" t="s">
        <v>5263</v>
      </c>
      <c r="C5166" s="7" t="s">
        <v>4891</v>
      </c>
      <c r="D5166" s="7" t="s">
        <v>110</v>
      </c>
      <c r="E5166" s="5" t="s">
        <v>26</v>
      </c>
      <c r="F5166" s="5"/>
      <c r="G5166" s="9">
        <f>H5166*(1-15%)*(1-F5166)</f>
        <v>93.415000000000006</v>
      </c>
      <c r="H5166" s="9">
        <v>109.90000000000001</v>
      </c>
      <c r="I5166" s="9">
        <f>H5166-G5166</f>
        <v>16.484999999999999</v>
      </c>
    </row>
    <row r="5167" ht="14.25">
      <c r="A5167" s="5">
        <v>30018</v>
      </c>
      <c r="B5167" s="7" t="s">
        <v>5264</v>
      </c>
      <c r="C5167" s="7" t="s">
        <v>4891</v>
      </c>
      <c r="D5167" s="7" t="s">
        <v>110</v>
      </c>
      <c r="E5167" s="5" t="s">
        <v>26</v>
      </c>
      <c r="F5167" s="5"/>
      <c r="G5167" s="9">
        <f>H5167*(1-15%)*(1-F5167)</f>
        <v>93.415000000000006</v>
      </c>
      <c r="H5167" s="9">
        <v>109.90000000000001</v>
      </c>
      <c r="I5167" s="9">
        <f>H5167-G5167</f>
        <v>16.484999999999999</v>
      </c>
    </row>
    <row r="5168" ht="14.25">
      <c r="A5168" s="5">
        <v>30020</v>
      </c>
      <c r="B5168" s="7" t="s">
        <v>5265</v>
      </c>
      <c r="C5168" s="7" t="s">
        <v>4891</v>
      </c>
      <c r="D5168" s="7" t="s">
        <v>110</v>
      </c>
      <c r="E5168" s="5" t="s">
        <v>26</v>
      </c>
      <c r="F5168" s="5"/>
      <c r="G5168" s="9">
        <f>H5168*(1-15%)*(1-F5168)</f>
        <v>93.415000000000006</v>
      </c>
      <c r="H5168" s="9">
        <v>109.90000000000001</v>
      </c>
      <c r="I5168" s="9">
        <f>H5168-G5168</f>
        <v>16.484999999999999</v>
      </c>
    </row>
    <row r="5169" ht="14.25">
      <c r="A5169" s="5">
        <v>49908</v>
      </c>
      <c r="B5169" s="7" t="s">
        <v>5266</v>
      </c>
      <c r="C5169" s="7" t="s">
        <v>4891</v>
      </c>
      <c r="D5169" s="7" t="s">
        <v>183</v>
      </c>
      <c r="E5169" s="5" t="s">
        <v>15</v>
      </c>
      <c r="F5169" s="5"/>
      <c r="G5169" s="9">
        <f>H5169*(1-15%)*(1-F5169)</f>
        <v>32.214999999999996</v>
      </c>
      <c r="H5169" s="9">
        <v>37.899999999999999</v>
      </c>
      <c r="I5169" s="9">
        <f>H5169-G5169</f>
        <v>5.6850000000000023</v>
      </c>
    </row>
    <row r="5170" ht="14.25">
      <c r="A5170" s="5">
        <v>50713</v>
      </c>
      <c r="B5170" s="7" t="s">
        <v>5267</v>
      </c>
      <c r="C5170" s="7" t="s">
        <v>4891</v>
      </c>
      <c r="D5170" s="7" t="s">
        <v>110</v>
      </c>
      <c r="E5170" s="5" t="s">
        <v>43</v>
      </c>
      <c r="F5170" s="5"/>
      <c r="G5170" s="9">
        <f>H5170*(1-15%)*(1-F5170)</f>
        <v>67.915000000000006</v>
      </c>
      <c r="H5170" s="9">
        <v>79.900000000000006</v>
      </c>
      <c r="I5170" s="9">
        <f>H5170-G5170</f>
        <v>11.984999999999999</v>
      </c>
    </row>
    <row r="5171" ht="14.25">
      <c r="A5171" s="5">
        <v>50568</v>
      </c>
      <c r="B5171" s="7" t="s">
        <v>5268</v>
      </c>
      <c r="C5171" s="7" t="s">
        <v>4891</v>
      </c>
      <c r="D5171" s="7" t="s">
        <v>219</v>
      </c>
      <c r="E5171" s="5" t="s">
        <v>26</v>
      </c>
      <c r="F5171" s="5"/>
      <c r="G5171" s="9">
        <f>H5171*(1-15%)*(1-F5171)</f>
        <v>84.915000000000006</v>
      </c>
      <c r="H5171" s="9">
        <v>99.900000000000006</v>
      </c>
      <c r="I5171" s="9">
        <f>H5171-G5171</f>
        <v>14.984999999999999</v>
      </c>
    </row>
    <row r="5172" ht="14.25">
      <c r="A5172" s="5">
        <v>52806</v>
      </c>
      <c r="B5172" s="7" t="s">
        <v>5269</v>
      </c>
      <c r="C5172" s="7" t="s">
        <v>4891</v>
      </c>
      <c r="D5172" s="7" t="s">
        <v>110</v>
      </c>
      <c r="E5172" s="5" t="s">
        <v>15</v>
      </c>
      <c r="F5172" s="5"/>
      <c r="G5172" s="9">
        <f>H5172*(1-15%)*(1-F5172)</f>
        <v>50.064999999999998</v>
      </c>
      <c r="H5172" s="9">
        <v>58.899999999999999</v>
      </c>
      <c r="I5172" s="9">
        <f>H5172-G5172</f>
        <v>8.8350000000000009</v>
      </c>
    </row>
    <row r="5173" ht="14.25">
      <c r="A5173" s="5">
        <v>52807</v>
      </c>
      <c r="B5173" s="7" t="s">
        <v>5270</v>
      </c>
      <c r="C5173" s="7" t="s">
        <v>4891</v>
      </c>
      <c r="D5173" s="7" t="s">
        <v>110</v>
      </c>
      <c r="E5173" s="5" t="s">
        <v>26</v>
      </c>
      <c r="F5173" s="5"/>
      <c r="G5173" s="9">
        <f>H5173*(1-15%)*(1-F5173)</f>
        <v>50.064999999999998</v>
      </c>
      <c r="H5173" s="9">
        <v>58.899999999999999</v>
      </c>
      <c r="I5173" s="9">
        <f>H5173-G5173</f>
        <v>8.8350000000000009</v>
      </c>
    </row>
    <row r="5174" ht="14.25">
      <c r="A5174" s="5">
        <v>52804</v>
      </c>
      <c r="B5174" s="7" t="s">
        <v>5271</v>
      </c>
      <c r="C5174" s="7" t="s">
        <v>4891</v>
      </c>
      <c r="D5174" s="7" t="s">
        <v>110</v>
      </c>
      <c r="E5174" s="5" t="s">
        <v>26</v>
      </c>
      <c r="F5174" s="5"/>
      <c r="G5174" s="9">
        <f>H5174*(1-15%)*(1-F5174)</f>
        <v>50.064999999999998</v>
      </c>
      <c r="H5174" s="9">
        <v>58.899999999999999</v>
      </c>
      <c r="I5174" s="9">
        <f>H5174-G5174</f>
        <v>8.8350000000000009</v>
      </c>
    </row>
    <row r="5175" ht="14.25">
      <c r="A5175" s="5">
        <v>52805</v>
      </c>
      <c r="B5175" s="7" t="s">
        <v>5272</v>
      </c>
      <c r="C5175" s="7" t="s">
        <v>4891</v>
      </c>
      <c r="D5175" s="7" t="s">
        <v>110</v>
      </c>
      <c r="E5175" s="5" t="s">
        <v>26</v>
      </c>
      <c r="F5175" s="5"/>
      <c r="G5175" s="9">
        <f>H5175*(1-15%)*(1-F5175)</f>
        <v>50.064999999999998</v>
      </c>
      <c r="H5175" s="9">
        <v>58.899999999999999</v>
      </c>
      <c r="I5175" s="9">
        <f>H5175-G5175</f>
        <v>8.8350000000000009</v>
      </c>
    </row>
    <row r="5176" ht="14.25">
      <c r="A5176" s="5">
        <v>53259</v>
      </c>
      <c r="B5176" s="7" t="s">
        <v>5273</v>
      </c>
      <c r="C5176" s="7" t="s">
        <v>4891</v>
      </c>
      <c r="D5176" s="7" t="s">
        <v>110</v>
      </c>
      <c r="E5176" s="5" t="s">
        <v>26</v>
      </c>
      <c r="F5176" s="5"/>
      <c r="G5176" s="9">
        <f>H5176*(1-15%)*(1-F5176)</f>
        <v>132.51500000000001</v>
      </c>
      <c r="H5176" s="9">
        <v>155.90000000000001</v>
      </c>
      <c r="I5176" s="9">
        <f>H5176-G5176</f>
        <v>23.384999999999991</v>
      </c>
    </row>
    <row r="5177" ht="14.25">
      <c r="A5177" s="5">
        <v>53963</v>
      </c>
      <c r="B5177" s="7" t="s">
        <v>5274</v>
      </c>
      <c r="C5177" s="7" t="s">
        <v>4891</v>
      </c>
      <c r="D5177" s="7" t="s">
        <v>110</v>
      </c>
      <c r="E5177" s="5" t="s">
        <v>26</v>
      </c>
      <c r="F5177" s="5"/>
      <c r="G5177" s="9">
        <f>H5177*(1-15%)*(1-F5177)</f>
        <v>54.314999999999998</v>
      </c>
      <c r="H5177" s="9">
        <v>63.899999999999999</v>
      </c>
      <c r="I5177" s="9">
        <f>H5177-G5177</f>
        <v>9.5850000000000009</v>
      </c>
    </row>
    <row r="5178" ht="14.25">
      <c r="A5178" s="5">
        <v>50571</v>
      </c>
      <c r="B5178" s="7" t="s">
        <v>5275</v>
      </c>
      <c r="C5178" s="7" t="s">
        <v>4891</v>
      </c>
      <c r="D5178" s="7" t="s">
        <v>219</v>
      </c>
      <c r="E5178" s="5" t="s">
        <v>26</v>
      </c>
      <c r="F5178" s="5"/>
      <c r="G5178" s="9">
        <f>H5178*(1-15%)*(1-F5178)</f>
        <v>101.91500000000001</v>
      </c>
      <c r="H5178" s="9">
        <v>119.90000000000001</v>
      </c>
      <c r="I5178" s="9">
        <f>H5178-G5178</f>
        <v>17.984999999999999</v>
      </c>
    </row>
    <row r="5179" ht="14.25">
      <c r="A5179" s="5">
        <v>51381</v>
      </c>
      <c r="B5179" s="7" t="s">
        <v>5276</v>
      </c>
      <c r="C5179" s="7" t="s">
        <v>4891</v>
      </c>
      <c r="D5179" s="7" t="s">
        <v>61</v>
      </c>
      <c r="E5179" s="5" t="s">
        <v>15</v>
      </c>
      <c r="F5179" s="5"/>
      <c r="G5179" s="9">
        <f>H5179*(1-15%)*(1-F5179)</f>
        <v>76.415000000000006</v>
      </c>
      <c r="H5179" s="9">
        <v>89.900000000000006</v>
      </c>
      <c r="I5179" s="9">
        <f>H5179-G5179</f>
        <v>13.484999999999999</v>
      </c>
    </row>
    <row r="5180" ht="14.25">
      <c r="A5180" s="5">
        <v>50524</v>
      </c>
      <c r="B5180" s="7" t="s">
        <v>5277</v>
      </c>
      <c r="C5180" s="7" t="s">
        <v>4891</v>
      </c>
      <c r="D5180" s="7" t="s">
        <v>110</v>
      </c>
      <c r="E5180" s="5" t="s">
        <v>15</v>
      </c>
      <c r="F5180" s="5"/>
      <c r="G5180" s="9">
        <f>H5180*(1-15%)*(1-F5180)</f>
        <v>47.515000000000001</v>
      </c>
      <c r="H5180" s="9">
        <v>55.899999999999999</v>
      </c>
      <c r="I5180" s="9">
        <f>H5180-G5180</f>
        <v>8.384999999999998</v>
      </c>
    </row>
    <row r="5181" ht="14.25">
      <c r="A5181" s="5">
        <v>50523</v>
      </c>
      <c r="B5181" s="7" t="s">
        <v>5278</v>
      </c>
      <c r="C5181" s="7" t="s">
        <v>4891</v>
      </c>
      <c r="D5181" s="7" t="s">
        <v>110</v>
      </c>
      <c r="E5181" s="5" t="s">
        <v>26</v>
      </c>
      <c r="F5181" s="5"/>
      <c r="G5181" s="9">
        <f>H5181*(1-15%)*(1-F5181)</f>
        <v>47.515000000000001</v>
      </c>
      <c r="H5181" s="9">
        <v>55.899999999999999</v>
      </c>
      <c r="I5181" s="9">
        <f>H5181-G5181</f>
        <v>8.384999999999998</v>
      </c>
    </row>
    <row r="5182" ht="14.25">
      <c r="A5182" s="5">
        <v>51892</v>
      </c>
      <c r="B5182" s="7" t="s">
        <v>5279</v>
      </c>
      <c r="C5182" s="7" t="s">
        <v>4891</v>
      </c>
      <c r="D5182" s="7" t="s">
        <v>583</v>
      </c>
      <c r="E5182" s="5" t="s">
        <v>39</v>
      </c>
      <c r="F5182" s="5"/>
      <c r="G5182" s="9">
        <f>H5182*(1-15%)*(1-F5182)</f>
        <v>59.415000000000006</v>
      </c>
      <c r="H5182" s="9">
        <v>69.900000000000006</v>
      </c>
      <c r="I5182" s="9">
        <f>H5182-G5182</f>
        <v>10.484999999999999</v>
      </c>
    </row>
    <row r="5183" ht="14.25">
      <c r="A5183" s="5">
        <v>51890</v>
      </c>
      <c r="B5183" s="7" t="s">
        <v>5280</v>
      </c>
      <c r="C5183" s="7" t="s">
        <v>4891</v>
      </c>
      <c r="D5183" s="7" t="s">
        <v>103</v>
      </c>
      <c r="E5183" s="5" t="s">
        <v>39</v>
      </c>
      <c r="F5183" s="5"/>
      <c r="G5183" s="9">
        <f>H5183*(1-15%)*(1-F5183)</f>
        <v>32.214999999999996</v>
      </c>
      <c r="H5183" s="9">
        <v>37.899999999999999</v>
      </c>
      <c r="I5183" s="9">
        <f>H5183-G5183</f>
        <v>5.6850000000000023</v>
      </c>
    </row>
    <row r="5184" ht="14.25">
      <c r="A5184" s="5">
        <v>51891</v>
      </c>
      <c r="B5184" s="7" t="s">
        <v>5281</v>
      </c>
      <c r="C5184" s="7" t="s">
        <v>4891</v>
      </c>
      <c r="D5184" s="7" t="s">
        <v>45</v>
      </c>
      <c r="E5184" s="5" t="s">
        <v>39</v>
      </c>
      <c r="F5184" s="5"/>
      <c r="G5184" s="9">
        <f>H5184*(1-15%)*(1-F5184)</f>
        <v>67.915000000000006</v>
      </c>
      <c r="H5184" s="9">
        <v>79.900000000000006</v>
      </c>
      <c r="I5184" s="9">
        <f>H5184-G5184</f>
        <v>11.984999999999999</v>
      </c>
    </row>
    <row r="5185" ht="14.25">
      <c r="A5185" s="5">
        <v>51888</v>
      </c>
      <c r="B5185" s="7" t="s">
        <v>5282</v>
      </c>
      <c r="C5185" s="7" t="s">
        <v>4891</v>
      </c>
      <c r="D5185" s="7" t="s">
        <v>45</v>
      </c>
      <c r="E5185" s="5" t="s">
        <v>39</v>
      </c>
      <c r="F5185" s="5"/>
      <c r="G5185" s="9">
        <f>H5185*(1-15%)*(1-F5185)</f>
        <v>36.464999999999996</v>
      </c>
      <c r="H5185" s="9">
        <v>42.899999999999999</v>
      </c>
      <c r="I5185" s="9">
        <f>H5185-G5185</f>
        <v>6.4350000000000023</v>
      </c>
    </row>
    <row r="5186" ht="14.25">
      <c r="A5186" s="5">
        <v>51253</v>
      </c>
      <c r="B5186" s="7" t="s">
        <v>5283</v>
      </c>
      <c r="C5186" s="7" t="s">
        <v>4891</v>
      </c>
      <c r="D5186" s="7" t="s">
        <v>219</v>
      </c>
      <c r="E5186" s="5" t="s">
        <v>26</v>
      </c>
      <c r="F5186" s="5"/>
      <c r="G5186" s="9">
        <f>H5186*(1-15%)*(1-F5186)</f>
        <v>61.115000000000002</v>
      </c>
      <c r="H5186" s="9">
        <v>71.900000000000006</v>
      </c>
      <c r="I5186" s="9">
        <f>H5186-G5186</f>
        <v>10.785000000000004</v>
      </c>
    </row>
    <row r="5187" ht="14.25">
      <c r="A5187" s="5">
        <v>51252</v>
      </c>
      <c r="B5187" s="7" t="s">
        <v>5284</v>
      </c>
      <c r="C5187" s="7" t="s">
        <v>4891</v>
      </c>
      <c r="D5187" s="7" t="s">
        <v>219</v>
      </c>
      <c r="E5187" s="5" t="s">
        <v>26</v>
      </c>
      <c r="F5187" s="5"/>
      <c r="G5187" s="9">
        <f>H5187*(1-15%)*(1-F5187)</f>
        <v>93.415000000000006</v>
      </c>
      <c r="H5187" s="9">
        <v>109.90000000000001</v>
      </c>
      <c r="I5187" s="9">
        <f>H5187-G5187</f>
        <v>16.484999999999999</v>
      </c>
    </row>
    <row r="5188" ht="14.25">
      <c r="A5188" s="5">
        <v>52842</v>
      </c>
      <c r="B5188" s="7" t="s">
        <v>5285</v>
      </c>
      <c r="C5188" s="7" t="s">
        <v>4891</v>
      </c>
      <c r="D5188" s="7" t="s">
        <v>110</v>
      </c>
      <c r="E5188" s="5" t="s">
        <v>26</v>
      </c>
      <c r="F5188" s="5"/>
      <c r="G5188" s="9">
        <f>H5188*(1-15%)*(1-F5188)</f>
        <v>50.914999999999999</v>
      </c>
      <c r="H5188" s="9">
        <v>59.899999999999999</v>
      </c>
      <c r="I5188" s="9">
        <f>H5188-G5188</f>
        <v>8.9849999999999994</v>
      </c>
    </row>
    <row r="5189" ht="14.25">
      <c r="A5189" s="5">
        <v>52845</v>
      </c>
      <c r="B5189" s="7" t="s">
        <v>5286</v>
      </c>
      <c r="C5189" s="7" t="s">
        <v>4891</v>
      </c>
      <c r="D5189" s="7" t="s">
        <v>110</v>
      </c>
      <c r="E5189" s="5" t="s">
        <v>26</v>
      </c>
      <c r="F5189" s="5"/>
      <c r="G5189" s="9">
        <f>H5189*(1-15%)*(1-F5189)</f>
        <v>50.914999999999999</v>
      </c>
      <c r="H5189" s="9">
        <v>59.899999999999999</v>
      </c>
      <c r="I5189" s="9">
        <f>H5189-G5189</f>
        <v>8.9849999999999994</v>
      </c>
    </row>
    <row r="5190" ht="14.25">
      <c r="A5190" s="5">
        <v>52832</v>
      </c>
      <c r="B5190" s="7" t="s">
        <v>5287</v>
      </c>
      <c r="C5190" s="7" t="s">
        <v>4891</v>
      </c>
      <c r="D5190" s="7" t="s">
        <v>110</v>
      </c>
      <c r="E5190" s="5" t="s">
        <v>43</v>
      </c>
      <c r="F5190" s="5"/>
      <c r="G5190" s="9">
        <f>H5190*(1-15%)*(1-F5190)</f>
        <v>39.015000000000001</v>
      </c>
      <c r="H5190" s="9">
        <v>45.899999999999999</v>
      </c>
      <c r="I5190" s="9">
        <f>H5190-G5190</f>
        <v>6.884999999999998</v>
      </c>
    </row>
    <row r="5191" ht="14.25">
      <c r="A5191" s="5">
        <v>52999</v>
      </c>
      <c r="B5191" s="7" t="s">
        <v>5288</v>
      </c>
      <c r="C5191" s="7" t="s">
        <v>4891</v>
      </c>
      <c r="D5191" s="7" t="s">
        <v>95</v>
      </c>
      <c r="E5191" s="5" t="s">
        <v>26</v>
      </c>
      <c r="F5191" s="5"/>
      <c r="G5191" s="9">
        <f>H5191*(1-15%)*(1-F5191)</f>
        <v>27.964999999999996</v>
      </c>
      <c r="H5191" s="9">
        <v>32.899999999999999</v>
      </c>
      <c r="I5191" s="9">
        <f>H5191-G5191</f>
        <v>4.9350000000000023</v>
      </c>
    </row>
    <row r="5192" ht="14.25">
      <c r="A5192" s="5">
        <v>53001</v>
      </c>
      <c r="B5192" s="7" t="s">
        <v>5289</v>
      </c>
      <c r="C5192" s="7" t="s">
        <v>4891</v>
      </c>
      <c r="D5192" s="7" t="s">
        <v>95</v>
      </c>
      <c r="E5192" s="5" t="s">
        <v>26</v>
      </c>
      <c r="F5192" s="5"/>
      <c r="G5192" s="9">
        <f>H5192*(1-15%)*(1-F5192)</f>
        <v>29.664999999999999</v>
      </c>
      <c r="H5192" s="9">
        <v>34.899999999999999</v>
      </c>
      <c r="I5192" s="9">
        <f>H5192-G5192</f>
        <v>5.2349999999999994</v>
      </c>
    </row>
    <row r="5193" ht="14.25">
      <c r="A5193" s="5">
        <v>53002</v>
      </c>
      <c r="B5193" s="7" t="s">
        <v>5290</v>
      </c>
      <c r="C5193" s="7" t="s">
        <v>4891</v>
      </c>
      <c r="D5193" s="7" t="s">
        <v>95</v>
      </c>
      <c r="E5193" s="5" t="s">
        <v>26</v>
      </c>
      <c r="F5193" s="5"/>
      <c r="G5193" s="9">
        <f>H5193*(1-15%)*(1-F5193)</f>
        <v>36.464999999999996</v>
      </c>
      <c r="H5193" s="9">
        <v>42.899999999999999</v>
      </c>
      <c r="I5193" s="9">
        <f>H5193-G5193</f>
        <v>6.4350000000000023</v>
      </c>
    </row>
    <row r="5194" ht="14.25">
      <c r="A5194" s="5">
        <v>53000</v>
      </c>
      <c r="B5194" s="7" t="s">
        <v>5291</v>
      </c>
      <c r="C5194" s="7" t="s">
        <v>4891</v>
      </c>
      <c r="D5194" s="7" t="s">
        <v>95</v>
      </c>
      <c r="E5194" s="5" t="s">
        <v>26</v>
      </c>
      <c r="F5194" s="5"/>
      <c r="G5194" s="9">
        <f>H5194*(1-15%)*(1-F5194)</f>
        <v>36.464999999999996</v>
      </c>
      <c r="H5194" s="9">
        <v>42.899999999999999</v>
      </c>
      <c r="I5194" s="9">
        <f>H5194-G5194</f>
        <v>6.4350000000000023</v>
      </c>
    </row>
    <row r="5195" ht="14.25">
      <c r="A5195" s="5">
        <v>53003</v>
      </c>
      <c r="B5195" s="7" t="s">
        <v>5292</v>
      </c>
      <c r="C5195" s="7" t="s">
        <v>4891</v>
      </c>
      <c r="D5195" s="7" t="s">
        <v>95</v>
      </c>
      <c r="E5195" s="5" t="s">
        <v>26</v>
      </c>
      <c r="F5195" s="5"/>
      <c r="G5195" s="9">
        <f>H5195*(1-15%)*(1-F5195)</f>
        <v>44.964999999999996</v>
      </c>
      <c r="H5195" s="9">
        <v>52.899999999999999</v>
      </c>
      <c r="I5195" s="9">
        <f>H5195-G5195</f>
        <v>7.9350000000000023</v>
      </c>
    </row>
    <row r="5196" ht="14.25">
      <c r="A5196" s="5">
        <v>54647</v>
      </c>
      <c r="B5196" s="7" t="s">
        <v>5293</v>
      </c>
      <c r="C5196" s="7" t="s">
        <v>4891</v>
      </c>
      <c r="D5196" s="7" t="s">
        <v>103</v>
      </c>
      <c r="E5196" s="5" t="s">
        <v>703</v>
      </c>
      <c r="F5196" s="5"/>
      <c r="G5196" s="9">
        <f>H5196*(1-15%)*(1-F5196)</f>
        <v>36.464999999999996</v>
      </c>
      <c r="H5196" s="9">
        <v>42.899999999999999</v>
      </c>
      <c r="I5196" s="9">
        <f>H5196-G5196</f>
        <v>6.4350000000000023</v>
      </c>
    </row>
    <row r="5197" ht="14.25">
      <c r="A5197" s="5">
        <v>50525</v>
      </c>
      <c r="B5197" s="7" t="s">
        <v>5294</v>
      </c>
      <c r="C5197" s="7" t="s">
        <v>4891</v>
      </c>
      <c r="D5197" s="7" t="s">
        <v>110</v>
      </c>
      <c r="E5197" s="5" t="s">
        <v>15</v>
      </c>
      <c r="F5197" s="5"/>
      <c r="G5197" s="9">
        <f>H5197*(1-15%)*(1-F5197)</f>
        <v>93.415000000000006</v>
      </c>
      <c r="H5197" s="9">
        <v>109.90000000000001</v>
      </c>
      <c r="I5197" s="9">
        <f>H5197-G5197</f>
        <v>16.484999999999999</v>
      </c>
    </row>
    <row r="5198" ht="14.25">
      <c r="A5198" s="5">
        <v>50535</v>
      </c>
      <c r="B5198" s="7" t="s">
        <v>5295</v>
      </c>
      <c r="C5198" s="7" t="s">
        <v>4891</v>
      </c>
      <c r="D5198" s="7" t="s">
        <v>110</v>
      </c>
      <c r="E5198" s="5" t="s">
        <v>26</v>
      </c>
      <c r="F5198" s="5"/>
      <c r="G5198" s="9">
        <f>H5198*(1-15%)*(1-F5198)</f>
        <v>93.415000000000006</v>
      </c>
      <c r="H5198" s="9">
        <v>109.90000000000001</v>
      </c>
      <c r="I5198" s="9">
        <f>H5198-G5198</f>
        <v>16.484999999999999</v>
      </c>
    </row>
    <row r="5199" ht="14.25">
      <c r="A5199" s="5">
        <v>50534</v>
      </c>
      <c r="B5199" s="7" t="s">
        <v>5296</v>
      </c>
      <c r="C5199" s="7" t="s">
        <v>4891</v>
      </c>
      <c r="D5199" s="7" t="s">
        <v>110</v>
      </c>
      <c r="E5199" s="5" t="s">
        <v>26</v>
      </c>
      <c r="F5199" s="5"/>
      <c r="G5199" s="9">
        <f>H5199*(1-15%)*(1-F5199)</f>
        <v>93.415000000000006</v>
      </c>
      <c r="H5199" s="9">
        <v>109.90000000000001</v>
      </c>
      <c r="I5199" s="9">
        <f>H5199-G5199</f>
        <v>16.484999999999999</v>
      </c>
    </row>
    <row r="5200" ht="14.25">
      <c r="A5200" s="5">
        <v>50531</v>
      </c>
      <c r="B5200" s="7" t="s">
        <v>5297</v>
      </c>
      <c r="C5200" s="7" t="s">
        <v>4891</v>
      </c>
      <c r="D5200" s="7" t="s">
        <v>110</v>
      </c>
      <c r="E5200" s="5" t="s">
        <v>26</v>
      </c>
      <c r="F5200" s="5"/>
      <c r="G5200" s="9">
        <f>H5200*(1-15%)*(1-F5200)</f>
        <v>93.415000000000006</v>
      </c>
      <c r="H5200" s="9">
        <v>109.90000000000001</v>
      </c>
      <c r="I5200" s="9">
        <f>H5200-G5200</f>
        <v>16.484999999999999</v>
      </c>
    </row>
    <row r="5201" ht="14.25">
      <c r="A5201" s="5">
        <v>50527</v>
      </c>
      <c r="B5201" s="7" t="s">
        <v>5298</v>
      </c>
      <c r="C5201" s="7" t="s">
        <v>4891</v>
      </c>
      <c r="D5201" s="7" t="s">
        <v>110</v>
      </c>
      <c r="E5201" s="5" t="s">
        <v>26</v>
      </c>
      <c r="F5201" s="5"/>
      <c r="G5201" s="9">
        <f>H5201*(1-15%)*(1-F5201)</f>
        <v>93.415000000000006</v>
      </c>
      <c r="H5201" s="9">
        <v>109.90000000000001</v>
      </c>
      <c r="I5201" s="9">
        <f>H5201-G5201</f>
        <v>16.484999999999999</v>
      </c>
    </row>
    <row r="5202" ht="14.25">
      <c r="A5202" s="5">
        <v>50526</v>
      </c>
      <c r="B5202" s="7" t="s">
        <v>5299</v>
      </c>
      <c r="C5202" s="7" t="s">
        <v>4891</v>
      </c>
      <c r="D5202" s="7" t="s">
        <v>110</v>
      </c>
      <c r="E5202" s="5" t="s">
        <v>26</v>
      </c>
      <c r="F5202" s="5"/>
      <c r="G5202" s="9">
        <f>H5202*(1-15%)*(1-F5202)</f>
        <v>93.415000000000006</v>
      </c>
      <c r="H5202" s="9">
        <v>109.90000000000001</v>
      </c>
      <c r="I5202" s="9">
        <f>H5202-G5202</f>
        <v>16.484999999999999</v>
      </c>
    </row>
    <row r="5203" ht="14.25">
      <c r="A5203" s="5">
        <v>50536</v>
      </c>
      <c r="B5203" s="7" t="s">
        <v>5300</v>
      </c>
      <c r="C5203" s="7" t="s">
        <v>4891</v>
      </c>
      <c r="D5203" s="7" t="s">
        <v>110</v>
      </c>
      <c r="E5203" s="5" t="s">
        <v>26</v>
      </c>
      <c r="F5203" s="5"/>
      <c r="G5203" s="9">
        <f>H5203*(1-15%)*(1-F5203)</f>
        <v>93.415000000000006</v>
      </c>
      <c r="H5203" s="9">
        <v>109.90000000000001</v>
      </c>
      <c r="I5203" s="9">
        <f>H5203-G5203</f>
        <v>16.484999999999999</v>
      </c>
    </row>
    <row r="5204" ht="14.25">
      <c r="A5204" s="5">
        <v>50537</v>
      </c>
      <c r="B5204" s="7" t="s">
        <v>5301</v>
      </c>
      <c r="C5204" s="7" t="s">
        <v>4891</v>
      </c>
      <c r="D5204" s="7" t="s">
        <v>110</v>
      </c>
      <c r="E5204" s="5" t="s">
        <v>26</v>
      </c>
      <c r="F5204" s="5"/>
      <c r="G5204" s="9">
        <f>H5204*(1-15%)*(1-F5204)</f>
        <v>93.415000000000006</v>
      </c>
      <c r="H5204" s="9">
        <v>109.90000000000001</v>
      </c>
      <c r="I5204" s="9">
        <f>H5204-G5204</f>
        <v>16.484999999999999</v>
      </c>
    </row>
    <row r="5205" ht="14.25">
      <c r="A5205" s="5">
        <v>50533</v>
      </c>
      <c r="B5205" s="7" t="s">
        <v>5302</v>
      </c>
      <c r="C5205" s="7" t="s">
        <v>4891</v>
      </c>
      <c r="D5205" s="7" t="s">
        <v>110</v>
      </c>
      <c r="E5205" s="5" t="s">
        <v>26</v>
      </c>
      <c r="F5205" s="5"/>
      <c r="G5205" s="9">
        <f>H5205*(1-15%)*(1-F5205)</f>
        <v>93.415000000000006</v>
      </c>
      <c r="H5205" s="9">
        <v>109.90000000000001</v>
      </c>
      <c r="I5205" s="9">
        <f>H5205-G5205</f>
        <v>16.484999999999999</v>
      </c>
    </row>
    <row r="5206" ht="14.25">
      <c r="A5206" s="5">
        <v>50532</v>
      </c>
      <c r="B5206" s="7" t="s">
        <v>5303</v>
      </c>
      <c r="C5206" s="7" t="s">
        <v>4891</v>
      </c>
      <c r="D5206" s="7" t="s">
        <v>110</v>
      </c>
      <c r="E5206" s="5" t="s">
        <v>26</v>
      </c>
      <c r="F5206" s="5"/>
      <c r="G5206" s="9">
        <f>H5206*(1-15%)*(1-F5206)</f>
        <v>93.415000000000006</v>
      </c>
      <c r="H5206" s="9">
        <v>109.90000000000001</v>
      </c>
      <c r="I5206" s="9">
        <f>H5206-G5206</f>
        <v>16.484999999999999</v>
      </c>
    </row>
    <row r="5207" ht="14.25">
      <c r="A5207" s="5">
        <v>50529</v>
      </c>
      <c r="B5207" s="7" t="s">
        <v>5304</v>
      </c>
      <c r="C5207" s="7" t="s">
        <v>4891</v>
      </c>
      <c r="D5207" s="7" t="s">
        <v>110</v>
      </c>
      <c r="E5207" s="5" t="s">
        <v>26</v>
      </c>
      <c r="F5207" s="5"/>
      <c r="G5207" s="9">
        <f>H5207*(1-15%)*(1-F5207)</f>
        <v>93.415000000000006</v>
      </c>
      <c r="H5207" s="9">
        <v>109.90000000000001</v>
      </c>
      <c r="I5207" s="9">
        <f>H5207-G5207</f>
        <v>16.484999999999999</v>
      </c>
    </row>
    <row r="5208" ht="14.25">
      <c r="A5208" s="5">
        <v>50530</v>
      </c>
      <c r="B5208" s="7" t="s">
        <v>5305</v>
      </c>
      <c r="C5208" s="7" t="s">
        <v>4891</v>
      </c>
      <c r="D5208" s="7" t="s">
        <v>110</v>
      </c>
      <c r="E5208" s="5" t="s">
        <v>26</v>
      </c>
      <c r="F5208" s="5"/>
      <c r="G5208" s="9">
        <f>H5208*(1-15%)*(1-F5208)</f>
        <v>93.415000000000006</v>
      </c>
      <c r="H5208" s="9">
        <v>109.90000000000001</v>
      </c>
      <c r="I5208" s="9">
        <f>H5208-G5208</f>
        <v>16.484999999999999</v>
      </c>
    </row>
    <row r="5209" ht="14.25">
      <c r="A5209" s="5">
        <v>50528</v>
      </c>
      <c r="B5209" s="7" t="s">
        <v>5306</v>
      </c>
      <c r="C5209" s="7" t="s">
        <v>4891</v>
      </c>
      <c r="D5209" s="7" t="s">
        <v>110</v>
      </c>
      <c r="E5209" s="5" t="s">
        <v>26</v>
      </c>
      <c r="F5209" s="5"/>
      <c r="G5209" s="9">
        <f>H5209*(1-15%)*(1-F5209)</f>
        <v>71.314999999999998</v>
      </c>
      <c r="H5209" s="9">
        <v>83.900000000000006</v>
      </c>
      <c r="I5209" s="9">
        <f>H5209-G5209</f>
        <v>12.585000000000008</v>
      </c>
    </row>
    <row r="5210" ht="14.25">
      <c r="A5210" s="5">
        <v>54594</v>
      </c>
      <c r="B5210" s="7" t="s">
        <v>5307</v>
      </c>
      <c r="C5210" s="7" t="s">
        <v>4891</v>
      </c>
      <c r="D5210" s="7" t="s">
        <v>45</v>
      </c>
      <c r="E5210" s="5" t="s">
        <v>703</v>
      </c>
      <c r="F5210" s="5"/>
      <c r="G5210" s="9">
        <f>H5210*(1-15%)*(1-F5210)</f>
        <v>42.414999999999999</v>
      </c>
      <c r="H5210" s="9">
        <v>49.899999999999999</v>
      </c>
      <c r="I5210" s="9">
        <f>H5210-G5210</f>
        <v>7.4849999999999994</v>
      </c>
    </row>
    <row r="5211" ht="14.25">
      <c r="A5211" s="5">
        <v>52873</v>
      </c>
      <c r="B5211" s="7" t="s">
        <v>5308</v>
      </c>
      <c r="C5211" s="7" t="s">
        <v>4891</v>
      </c>
      <c r="D5211" s="7" t="s">
        <v>52</v>
      </c>
      <c r="E5211" s="5" t="s">
        <v>39</v>
      </c>
      <c r="F5211" s="5"/>
      <c r="G5211" s="9">
        <f>H5211*(1-15%)*(1-F5211)</f>
        <v>37.314999999999998</v>
      </c>
      <c r="H5211" s="9">
        <v>43.899999999999999</v>
      </c>
      <c r="I5211" s="9">
        <f>H5211-G5211</f>
        <v>6.5850000000000009</v>
      </c>
    </row>
    <row r="5212" ht="14.25">
      <c r="A5212" s="5">
        <v>52869</v>
      </c>
      <c r="B5212" s="7" t="s">
        <v>5309</v>
      </c>
      <c r="C5212" s="7" t="s">
        <v>4891</v>
      </c>
      <c r="D5212" s="7" t="s">
        <v>52</v>
      </c>
      <c r="E5212" s="5" t="s">
        <v>39</v>
      </c>
      <c r="F5212" s="5"/>
      <c r="G5212" s="9">
        <f>H5212*(1-15%)*(1-F5212)</f>
        <v>37.314999999999998</v>
      </c>
      <c r="H5212" s="9">
        <v>43.899999999999999</v>
      </c>
      <c r="I5212" s="9">
        <f>H5212-G5212</f>
        <v>6.5850000000000009</v>
      </c>
    </row>
    <row r="5213" ht="14.25">
      <c r="A5213" s="5">
        <v>52872</v>
      </c>
      <c r="B5213" s="7" t="s">
        <v>5310</v>
      </c>
      <c r="C5213" s="7" t="s">
        <v>4891</v>
      </c>
      <c r="D5213" s="7" t="s">
        <v>110</v>
      </c>
      <c r="E5213" s="5" t="s">
        <v>26</v>
      </c>
      <c r="F5213" s="5"/>
      <c r="G5213" s="9">
        <f>H5213*(1-15%)*(1-F5213)</f>
        <v>39.864999999999995</v>
      </c>
      <c r="H5213" s="9">
        <v>46.899999999999999</v>
      </c>
      <c r="I5213" s="9">
        <f>H5213-G5213</f>
        <v>7.0350000000000037</v>
      </c>
    </row>
    <row r="5214" ht="14.25">
      <c r="A5214" s="5">
        <v>52810</v>
      </c>
      <c r="B5214" s="7" t="s">
        <v>5311</v>
      </c>
      <c r="C5214" s="7" t="s">
        <v>4891</v>
      </c>
      <c r="D5214" s="7" t="s">
        <v>110</v>
      </c>
      <c r="E5214" s="5" t="s">
        <v>703</v>
      </c>
      <c r="F5214" s="5"/>
      <c r="G5214" s="9">
        <f>H5214*(1-15%)*(1-F5214)</f>
        <v>50.914999999999999</v>
      </c>
      <c r="H5214" s="9">
        <v>59.899999999999999</v>
      </c>
      <c r="I5214" s="9">
        <f>H5214-G5214</f>
        <v>8.9849999999999994</v>
      </c>
    </row>
    <row r="5215" ht="14.25">
      <c r="A5215" s="5">
        <v>52812</v>
      </c>
      <c r="B5215" s="7" t="s">
        <v>5312</v>
      </c>
      <c r="C5215" s="7" t="s">
        <v>4891</v>
      </c>
      <c r="D5215" s="7" t="s">
        <v>110</v>
      </c>
      <c r="E5215" s="5" t="s">
        <v>703</v>
      </c>
      <c r="F5215" s="5"/>
      <c r="G5215" s="9">
        <f>H5215*(1-15%)*(1-F5215)</f>
        <v>123.16500000000001</v>
      </c>
      <c r="H5215" s="9">
        <v>144.90000000000001</v>
      </c>
      <c r="I5215" s="9">
        <f>H5215-G5215</f>
        <v>21.734999999999999</v>
      </c>
    </row>
    <row r="5216" ht="14.25">
      <c r="A5216" s="5">
        <v>52814</v>
      </c>
      <c r="B5216" s="7" t="s">
        <v>5313</v>
      </c>
      <c r="C5216" s="7" t="s">
        <v>4891</v>
      </c>
      <c r="D5216" s="7" t="s">
        <v>110</v>
      </c>
      <c r="E5216" s="5" t="s">
        <v>703</v>
      </c>
      <c r="F5216" s="5"/>
      <c r="G5216" s="9">
        <f>H5216*(1-15%)*(1-F5216)</f>
        <v>55.165000000000006</v>
      </c>
      <c r="H5216" s="9">
        <v>64.900000000000006</v>
      </c>
      <c r="I5216" s="9">
        <f>H5216-G5216</f>
        <v>9.7349999999999994</v>
      </c>
    </row>
    <row r="5217" ht="14.25">
      <c r="A5217" s="5">
        <v>52813</v>
      </c>
      <c r="B5217" s="7" t="s">
        <v>5314</v>
      </c>
      <c r="C5217" s="7" t="s">
        <v>4891</v>
      </c>
      <c r="D5217" s="7" t="s">
        <v>110</v>
      </c>
      <c r="E5217" s="5" t="s">
        <v>703</v>
      </c>
      <c r="F5217" s="5"/>
      <c r="G5217" s="9">
        <f>H5217*(1-15%)*(1-F5217)</f>
        <v>55.165000000000006</v>
      </c>
      <c r="H5217" s="9">
        <v>64.900000000000006</v>
      </c>
      <c r="I5217" s="9">
        <f>H5217-G5217</f>
        <v>9.7349999999999994</v>
      </c>
    </row>
    <row r="5218" ht="14.25">
      <c r="A5218" s="5">
        <v>52811</v>
      </c>
      <c r="B5218" s="7" t="s">
        <v>5315</v>
      </c>
      <c r="C5218" s="7" t="s">
        <v>4891</v>
      </c>
      <c r="D5218" s="7" t="s">
        <v>110</v>
      </c>
      <c r="E5218" s="5" t="s">
        <v>703</v>
      </c>
      <c r="F5218" s="5"/>
      <c r="G5218" s="9">
        <f>H5218*(1-15%)*(1-F5218)</f>
        <v>49.214999999999996</v>
      </c>
      <c r="H5218" s="9">
        <v>57.899999999999999</v>
      </c>
      <c r="I5218" s="9">
        <f>H5218-G5218</f>
        <v>8.6850000000000023</v>
      </c>
    </row>
    <row r="5219" ht="14.25">
      <c r="A5219" s="5">
        <v>54296</v>
      </c>
      <c r="B5219" s="7" t="s">
        <v>5316</v>
      </c>
      <c r="C5219" s="7" t="s">
        <v>4891</v>
      </c>
      <c r="D5219" s="7" t="s">
        <v>219</v>
      </c>
      <c r="E5219" s="5" t="s">
        <v>26</v>
      </c>
      <c r="F5219" s="5"/>
      <c r="G5219" s="9">
        <f>H5219*(1-15%)*(1-F5219)</f>
        <v>40.714999999999996</v>
      </c>
      <c r="H5219" s="9">
        <v>47.899999999999999</v>
      </c>
      <c r="I5219" s="9">
        <f>H5219-G5219</f>
        <v>7.1850000000000023</v>
      </c>
    </row>
    <row r="5220" ht="14.25">
      <c r="A5220" s="5">
        <v>54416</v>
      </c>
      <c r="B5220" s="7" t="s">
        <v>5317</v>
      </c>
      <c r="C5220" s="7" t="s">
        <v>4891</v>
      </c>
      <c r="D5220" s="7" t="s">
        <v>219</v>
      </c>
      <c r="E5220" s="5" t="s">
        <v>703</v>
      </c>
      <c r="F5220" s="5"/>
      <c r="G5220" s="9">
        <f>H5220*(1-15%)*(1-F5220)</f>
        <v>55.165000000000006</v>
      </c>
      <c r="H5220" s="9">
        <v>64.900000000000006</v>
      </c>
      <c r="I5220" s="9">
        <f>H5220-G5220</f>
        <v>9.7349999999999994</v>
      </c>
    </row>
    <row r="5221" ht="14.25">
      <c r="A5221" s="5">
        <v>52862</v>
      </c>
      <c r="B5221" s="7" t="s">
        <v>5318</v>
      </c>
      <c r="C5221" s="7" t="s">
        <v>4891</v>
      </c>
      <c r="D5221" s="7" t="s">
        <v>110</v>
      </c>
      <c r="E5221" s="5" t="s">
        <v>26</v>
      </c>
      <c r="F5221" s="5"/>
      <c r="G5221" s="9">
        <f>H5221*(1-15%)*(1-F5221)</f>
        <v>65.365000000000009</v>
      </c>
      <c r="H5221" s="9">
        <v>76.900000000000006</v>
      </c>
      <c r="I5221" s="9">
        <f>H5221-G5221</f>
        <v>11.534999999999997</v>
      </c>
    </row>
    <row r="5222" ht="14.25">
      <c r="A5222" s="5">
        <v>52860</v>
      </c>
      <c r="B5222" s="7" t="s">
        <v>5319</v>
      </c>
      <c r="C5222" s="7" t="s">
        <v>4891</v>
      </c>
      <c r="D5222" s="7" t="s">
        <v>110</v>
      </c>
      <c r="E5222" s="5" t="s">
        <v>26</v>
      </c>
      <c r="F5222" s="5"/>
      <c r="G5222" s="9">
        <f>H5222*(1-15%)*(1-F5222)</f>
        <v>65.365000000000009</v>
      </c>
      <c r="H5222" s="9">
        <v>76.900000000000006</v>
      </c>
      <c r="I5222" s="9">
        <f>H5222-G5222</f>
        <v>11.534999999999997</v>
      </c>
    </row>
    <row r="5223" ht="14.25">
      <c r="A5223" s="5">
        <v>52861</v>
      </c>
      <c r="B5223" s="7" t="s">
        <v>5320</v>
      </c>
      <c r="C5223" s="7" t="s">
        <v>4891</v>
      </c>
      <c r="D5223" s="7" t="s">
        <v>110</v>
      </c>
      <c r="E5223" s="5" t="s">
        <v>26</v>
      </c>
      <c r="F5223" s="5"/>
      <c r="G5223" s="9">
        <f>H5223*(1-15%)*(1-F5223)</f>
        <v>45.814999999999998</v>
      </c>
      <c r="H5223" s="9">
        <v>53.899999999999999</v>
      </c>
      <c r="I5223" s="9">
        <f>H5223-G5223</f>
        <v>8.0850000000000009</v>
      </c>
    </row>
    <row r="5224" ht="14.25">
      <c r="A5224" s="5">
        <v>49899</v>
      </c>
      <c r="B5224" s="7" t="s">
        <v>5321</v>
      </c>
      <c r="C5224" s="7" t="s">
        <v>4891</v>
      </c>
      <c r="D5224" s="7" t="s">
        <v>183</v>
      </c>
      <c r="E5224" s="5" t="s">
        <v>26</v>
      </c>
      <c r="F5224" s="5"/>
      <c r="G5224" s="9">
        <f>H5224*(1-15%)*(1-F5224)</f>
        <v>33.914999999999999</v>
      </c>
      <c r="H5224" s="9">
        <v>39.899999999999999</v>
      </c>
      <c r="I5224" s="9">
        <f>H5224-G5224</f>
        <v>5.9849999999999994</v>
      </c>
    </row>
    <row r="5225" ht="14.25">
      <c r="A5225" s="5">
        <v>49900</v>
      </c>
      <c r="B5225" s="7" t="s">
        <v>5322</v>
      </c>
      <c r="C5225" s="7" t="s">
        <v>4891</v>
      </c>
      <c r="D5225" s="7" t="s">
        <v>183</v>
      </c>
      <c r="E5225" s="5" t="s">
        <v>26</v>
      </c>
      <c r="F5225" s="5"/>
      <c r="G5225" s="9">
        <f>H5225*(1-15%)*(1-F5225)</f>
        <v>65.365000000000009</v>
      </c>
      <c r="H5225" s="9">
        <v>76.900000000000006</v>
      </c>
      <c r="I5225" s="9">
        <f>H5225-G5225</f>
        <v>11.534999999999997</v>
      </c>
    </row>
    <row r="5226" ht="14.25">
      <c r="A5226" s="5">
        <v>49901</v>
      </c>
      <c r="B5226" s="7" t="s">
        <v>5040</v>
      </c>
      <c r="C5226" s="7" t="s">
        <v>4891</v>
      </c>
      <c r="D5226" s="7" t="s">
        <v>183</v>
      </c>
      <c r="E5226" s="5" t="s">
        <v>26</v>
      </c>
      <c r="F5226" s="5"/>
      <c r="G5226" s="9">
        <f>H5226*(1-15%)*(1-F5226)</f>
        <v>38.164999999999999</v>
      </c>
      <c r="H5226" s="9">
        <v>44.899999999999999</v>
      </c>
      <c r="I5226" s="9">
        <f>H5226-G5226</f>
        <v>6.7349999999999994</v>
      </c>
    </row>
    <row r="5227" ht="14.25">
      <c r="A5227" s="5">
        <v>49902</v>
      </c>
      <c r="B5227" s="7" t="s">
        <v>5323</v>
      </c>
      <c r="C5227" s="7" t="s">
        <v>4891</v>
      </c>
      <c r="D5227" s="7" t="s">
        <v>183</v>
      </c>
      <c r="E5227" s="5" t="s">
        <v>26</v>
      </c>
      <c r="F5227" s="5"/>
      <c r="G5227" s="9">
        <f>H5227*(1-15%)*(1-F5227)</f>
        <v>38.164999999999999</v>
      </c>
      <c r="H5227" s="9">
        <v>44.899999999999999</v>
      </c>
      <c r="I5227" s="9">
        <f>H5227-G5227</f>
        <v>6.7349999999999994</v>
      </c>
    </row>
    <row r="5228" ht="14.25">
      <c r="A5228" s="5">
        <v>49904</v>
      </c>
      <c r="B5228" s="7" t="s">
        <v>5324</v>
      </c>
      <c r="C5228" s="7" t="s">
        <v>4891</v>
      </c>
      <c r="D5228" s="7" t="s">
        <v>183</v>
      </c>
      <c r="E5228" s="5" t="s">
        <v>133</v>
      </c>
      <c r="F5228" s="5"/>
      <c r="G5228" s="9">
        <f>H5228*(1-15%)*(1-F5228)</f>
        <v>63.665000000000006</v>
      </c>
      <c r="H5228" s="9">
        <v>74.900000000000006</v>
      </c>
      <c r="I5228" s="9">
        <f>H5228-G5228</f>
        <v>11.234999999999999</v>
      </c>
    </row>
    <row r="5229" ht="14.25">
      <c r="A5229" s="5">
        <v>49914</v>
      </c>
      <c r="B5229" s="7" t="s">
        <v>5195</v>
      </c>
      <c r="C5229" s="7" t="s">
        <v>4891</v>
      </c>
      <c r="D5229" s="7" t="s">
        <v>183</v>
      </c>
      <c r="E5229" s="5" t="s">
        <v>43</v>
      </c>
      <c r="F5229" s="5"/>
      <c r="G5229" s="9">
        <f>H5229*(1-15%)*(1-F5229)</f>
        <v>40.714999999999996</v>
      </c>
      <c r="H5229" s="9">
        <v>47.899999999999999</v>
      </c>
      <c r="I5229" s="9">
        <f>H5229-G5229</f>
        <v>7.1850000000000023</v>
      </c>
    </row>
    <row r="5230" ht="14.25">
      <c r="A5230" s="5">
        <v>55207</v>
      </c>
      <c r="B5230" s="7" t="s">
        <v>5325</v>
      </c>
      <c r="C5230" s="7" t="s">
        <v>4891</v>
      </c>
      <c r="D5230" s="7" t="s">
        <v>183</v>
      </c>
      <c r="E5230" s="5" t="s">
        <v>26</v>
      </c>
      <c r="F5230" s="5"/>
      <c r="G5230" s="9">
        <f>H5230*(1-15%)*(1-F5230)</f>
        <v>42.414999999999999</v>
      </c>
      <c r="H5230" s="9">
        <v>49.899999999999999</v>
      </c>
      <c r="I5230" s="9">
        <f>H5230-G5230</f>
        <v>7.4849999999999994</v>
      </c>
    </row>
    <row r="5231" ht="14.25">
      <c r="A5231" s="5">
        <v>49916</v>
      </c>
      <c r="B5231" s="7" t="s">
        <v>5326</v>
      </c>
      <c r="C5231" s="7" t="s">
        <v>4891</v>
      </c>
      <c r="D5231" s="7" t="s">
        <v>183</v>
      </c>
      <c r="E5231" s="5" t="s">
        <v>26</v>
      </c>
      <c r="F5231" s="5"/>
      <c r="G5231" s="9">
        <f>H5231*(1-15%)*(1-F5231)</f>
        <v>38.164999999999999</v>
      </c>
      <c r="H5231" s="9">
        <v>44.899999999999999</v>
      </c>
      <c r="I5231" s="9">
        <f>H5231-G5231</f>
        <v>6.7349999999999994</v>
      </c>
    </row>
    <row r="5232" ht="14.25">
      <c r="A5232" s="5">
        <v>49906</v>
      </c>
      <c r="B5232" s="7" t="s">
        <v>5327</v>
      </c>
      <c r="C5232" s="7" t="s">
        <v>4891</v>
      </c>
      <c r="D5232" s="7" t="s">
        <v>183</v>
      </c>
      <c r="E5232" s="5" t="s">
        <v>26</v>
      </c>
      <c r="F5232" s="5"/>
      <c r="G5232" s="9">
        <f>H5232*(1-15%)*(1-F5232)</f>
        <v>65.365000000000009</v>
      </c>
      <c r="H5232" s="9">
        <v>76.900000000000006</v>
      </c>
      <c r="I5232" s="9">
        <f>H5232-G5232</f>
        <v>11.534999999999997</v>
      </c>
    </row>
    <row r="5233" ht="14.25">
      <c r="A5233" s="5">
        <v>49905</v>
      </c>
      <c r="B5233" s="7" t="s">
        <v>4921</v>
      </c>
      <c r="C5233" s="7" t="s">
        <v>4891</v>
      </c>
      <c r="D5233" s="7" t="s">
        <v>183</v>
      </c>
      <c r="E5233" s="5" t="s">
        <v>26</v>
      </c>
      <c r="F5233" s="5"/>
      <c r="G5233" s="9">
        <f>H5233*(1-15%)*(1-F5233)</f>
        <v>63.665000000000006</v>
      </c>
      <c r="H5233" s="9">
        <v>74.900000000000006</v>
      </c>
      <c r="I5233" s="9">
        <f>H5233-G5233</f>
        <v>11.234999999999999</v>
      </c>
    </row>
    <row r="5234" ht="14.25">
      <c r="A5234" s="5">
        <v>49909</v>
      </c>
      <c r="B5234" s="7" t="s">
        <v>5328</v>
      </c>
      <c r="C5234" s="7" t="s">
        <v>4891</v>
      </c>
      <c r="D5234" s="7" t="s">
        <v>183</v>
      </c>
      <c r="E5234" s="5" t="s">
        <v>26</v>
      </c>
      <c r="F5234" s="5"/>
      <c r="G5234" s="9">
        <f>H5234*(1-15%)*(1-F5234)</f>
        <v>65.365000000000009</v>
      </c>
      <c r="H5234" s="9">
        <v>76.900000000000006</v>
      </c>
      <c r="I5234" s="9">
        <f>H5234-G5234</f>
        <v>11.534999999999997</v>
      </c>
    </row>
    <row r="5235" ht="14.25">
      <c r="A5235" s="5">
        <v>53958</v>
      </c>
      <c r="B5235" s="7" t="s">
        <v>5329</v>
      </c>
      <c r="C5235" s="7" t="s">
        <v>4891</v>
      </c>
      <c r="D5235" s="7" t="s">
        <v>183</v>
      </c>
      <c r="E5235" s="5" t="s">
        <v>26</v>
      </c>
      <c r="F5235" s="5"/>
      <c r="G5235" s="9">
        <f>H5235*(1-15%)*(1-F5235)</f>
        <v>229.41499999999996</v>
      </c>
      <c r="H5235" s="9">
        <v>269.89999999999998</v>
      </c>
      <c r="I5235" s="9">
        <f>H5235-G5235</f>
        <v>40.485000000000014</v>
      </c>
    </row>
    <row r="5236" ht="14.25">
      <c r="A5236" s="5">
        <v>9402</v>
      </c>
      <c r="B5236" s="7" t="s">
        <v>5330</v>
      </c>
      <c r="C5236" s="7" t="s">
        <v>4891</v>
      </c>
      <c r="D5236" s="7" t="s">
        <v>219</v>
      </c>
      <c r="E5236" s="5" t="s">
        <v>26</v>
      </c>
      <c r="F5236" s="5"/>
      <c r="G5236" s="9">
        <f>H5236*(1-15%)*(1-F5236)</f>
        <v>84.915000000000006</v>
      </c>
      <c r="H5236" s="9">
        <v>99.900000000000006</v>
      </c>
      <c r="I5236" s="9">
        <f>H5236-G5236</f>
        <v>14.984999999999999</v>
      </c>
    </row>
    <row r="5237" ht="14.25">
      <c r="A5237" s="5">
        <v>47196</v>
      </c>
      <c r="B5237" s="7" t="s">
        <v>5331</v>
      </c>
      <c r="C5237" s="7" t="s">
        <v>4891</v>
      </c>
      <c r="D5237" s="7" t="s">
        <v>110</v>
      </c>
      <c r="E5237" s="5" t="s">
        <v>43</v>
      </c>
      <c r="F5237" s="5"/>
      <c r="G5237" s="9">
        <f>H5237*(1-15%)*(1-F5237)</f>
        <v>67.915000000000006</v>
      </c>
      <c r="H5237" s="9">
        <v>79.900000000000006</v>
      </c>
      <c r="I5237" s="9">
        <f>H5237-G5237</f>
        <v>11.984999999999999</v>
      </c>
    </row>
    <row r="5238" ht="14.25">
      <c r="A5238" s="5">
        <v>47557</v>
      </c>
      <c r="B5238" s="7" t="s">
        <v>5332</v>
      </c>
      <c r="C5238" s="7" t="s">
        <v>4891</v>
      </c>
      <c r="D5238" s="7" t="s">
        <v>110</v>
      </c>
      <c r="E5238" s="5" t="s">
        <v>26</v>
      </c>
      <c r="F5238" s="5"/>
      <c r="G5238" s="9">
        <f>H5238*(1-15%)*(1-F5238)</f>
        <v>33.064999999999998</v>
      </c>
      <c r="H5238" s="9">
        <v>38.899999999999999</v>
      </c>
      <c r="I5238" s="9">
        <f>H5238-G5238</f>
        <v>5.8350000000000009</v>
      </c>
    </row>
    <row r="5239" ht="14.25">
      <c r="A5239" s="5">
        <v>47558</v>
      </c>
      <c r="B5239" s="7" t="s">
        <v>5333</v>
      </c>
      <c r="C5239" s="7" t="s">
        <v>4891</v>
      </c>
      <c r="D5239" s="7" t="s">
        <v>110</v>
      </c>
      <c r="E5239" s="5" t="s">
        <v>26</v>
      </c>
      <c r="F5239" s="5"/>
      <c r="G5239" s="9">
        <f>H5239*(1-15%)*(1-F5239)</f>
        <v>33.064999999999998</v>
      </c>
      <c r="H5239" s="9">
        <v>38.899999999999999</v>
      </c>
      <c r="I5239" s="9">
        <f>H5239-G5239</f>
        <v>5.8350000000000009</v>
      </c>
    </row>
    <row r="5240" ht="14.25">
      <c r="A5240" s="5">
        <v>47559</v>
      </c>
      <c r="B5240" s="7" t="s">
        <v>5334</v>
      </c>
      <c r="C5240" s="7" t="s">
        <v>4891</v>
      </c>
      <c r="D5240" s="7" t="s">
        <v>110</v>
      </c>
      <c r="E5240" s="5" t="s">
        <v>26</v>
      </c>
      <c r="F5240" s="5"/>
      <c r="G5240" s="9">
        <f>H5240*(1-15%)*(1-F5240)</f>
        <v>33.064999999999998</v>
      </c>
      <c r="H5240" s="9">
        <v>38.899999999999999</v>
      </c>
      <c r="I5240" s="9">
        <f>H5240-G5240</f>
        <v>5.8350000000000009</v>
      </c>
    </row>
    <row r="5241" ht="14.25">
      <c r="A5241" s="5">
        <v>50016</v>
      </c>
      <c r="B5241" s="7" t="s">
        <v>5335</v>
      </c>
      <c r="C5241" s="7" t="s">
        <v>4891</v>
      </c>
      <c r="D5241" s="7" t="s">
        <v>219</v>
      </c>
      <c r="E5241" s="5" t="s">
        <v>26</v>
      </c>
      <c r="F5241" s="5"/>
      <c r="G5241" s="9">
        <f>H5241*(1-15%)*(1-F5241)</f>
        <v>49.214999999999996</v>
      </c>
      <c r="H5241" s="9">
        <v>57.899999999999999</v>
      </c>
      <c r="I5241" s="9">
        <f>H5241-G5241</f>
        <v>8.6850000000000023</v>
      </c>
    </row>
    <row r="5242" ht="14.25">
      <c r="A5242" s="5">
        <v>50046</v>
      </c>
      <c r="B5242" s="7" t="s">
        <v>5336</v>
      </c>
      <c r="C5242" s="7" t="s">
        <v>4891</v>
      </c>
      <c r="D5242" s="7" t="s">
        <v>110</v>
      </c>
      <c r="E5242" s="5" t="s">
        <v>26</v>
      </c>
      <c r="F5242" s="5"/>
      <c r="G5242" s="9">
        <f>H5242*(1-15%)*(1-F5242)</f>
        <v>50.064999999999998</v>
      </c>
      <c r="H5242" s="9">
        <v>58.899999999999999</v>
      </c>
      <c r="I5242" s="9">
        <f>H5242-G5242</f>
        <v>8.8350000000000009</v>
      </c>
    </row>
    <row r="5243" ht="14.25">
      <c r="A5243" s="5">
        <v>50047</v>
      </c>
      <c r="B5243" s="7" t="s">
        <v>5337</v>
      </c>
      <c r="C5243" s="7" t="s">
        <v>4891</v>
      </c>
      <c r="D5243" s="7" t="s">
        <v>110</v>
      </c>
      <c r="E5243" s="5" t="s">
        <v>26</v>
      </c>
      <c r="F5243" s="5"/>
      <c r="G5243" s="9">
        <f>H5243*(1-15%)*(1-F5243)</f>
        <v>50.064999999999998</v>
      </c>
      <c r="H5243" s="9">
        <v>58.899999999999999</v>
      </c>
      <c r="I5243" s="9">
        <f>H5243-G5243</f>
        <v>8.8350000000000009</v>
      </c>
    </row>
    <row r="5244" ht="14.25">
      <c r="A5244" s="5">
        <v>50048</v>
      </c>
      <c r="B5244" s="7" t="s">
        <v>5338</v>
      </c>
      <c r="C5244" s="7" t="s">
        <v>4891</v>
      </c>
      <c r="D5244" s="7" t="s">
        <v>110</v>
      </c>
      <c r="E5244" s="5" t="s">
        <v>26</v>
      </c>
      <c r="F5244" s="5"/>
      <c r="G5244" s="9">
        <f>H5244*(1-15%)*(1-F5244)</f>
        <v>50.064999999999998</v>
      </c>
      <c r="H5244" s="9">
        <v>58.899999999999999</v>
      </c>
      <c r="I5244" s="9">
        <f>H5244-G5244</f>
        <v>8.8350000000000009</v>
      </c>
    </row>
    <row r="5245" ht="14.25">
      <c r="A5245" s="5">
        <v>50049</v>
      </c>
      <c r="B5245" s="7" t="s">
        <v>5339</v>
      </c>
      <c r="C5245" s="7" t="s">
        <v>4891</v>
      </c>
      <c r="D5245" s="7" t="s">
        <v>110</v>
      </c>
      <c r="E5245" s="5" t="s">
        <v>15</v>
      </c>
      <c r="F5245" s="5"/>
      <c r="G5245" s="9">
        <f>H5245*(1-15%)*(1-F5245)</f>
        <v>50.064999999999998</v>
      </c>
      <c r="H5245" s="9">
        <v>58.899999999999999</v>
      </c>
      <c r="I5245" s="9">
        <f>H5245-G5245</f>
        <v>8.8350000000000009</v>
      </c>
    </row>
    <row r="5246" ht="14.25">
      <c r="A5246" s="5">
        <v>53912</v>
      </c>
      <c r="B5246" s="7" t="s">
        <v>5340</v>
      </c>
      <c r="C5246" s="7" t="s">
        <v>4891</v>
      </c>
      <c r="D5246" s="7" t="s">
        <v>183</v>
      </c>
      <c r="E5246" s="5" t="s">
        <v>15</v>
      </c>
      <c r="F5246" s="5"/>
      <c r="G5246" s="9">
        <f>H5246*(1-15%)*(1-F5246)</f>
        <v>40.714999999999996</v>
      </c>
      <c r="H5246" s="9">
        <v>47.899999999999999</v>
      </c>
      <c r="I5246" s="9">
        <f>H5246-G5246</f>
        <v>7.1850000000000023</v>
      </c>
    </row>
    <row r="5247" ht="14.25">
      <c r="A5247" s="5">
        <v>53952</v>
      </c>
      <c r="B5247" s="7" t="s">
        <v>5341</v>
      </c>
      <c r="C5247" s="7" t="s">
        <v>4891</v>
      </c>
      <c r="D5247" s="7" t="s">
        <v>183</v>
      </c>
      <c r="E5247" s="5" t="s">
        <v>15</v>
      </c>
      <c r="F5247" s="5"/>
      <c r="G5247" s="9">
        <f>H5247*(1-15%)*(1-F5247)</f>
        <v>36.464999999999996</v>
      </c>
      <c r="H5247" s="9">
        <v>42.899999999999999</v>
      </c>
      <c r="I5247" s="9">
        <f>H5247-G5247</f>
        <v>6.4350000000000023</v>
      </c>
    </row>
    <row r="5248" ht="14.25">
      <c r="A5248" s="5">
        <v>54047</v>
      </c>
      <c r="B5248" s="7" t="s">
        <v>5342</v>
      </c>
      <c r="C5248" s="7" t="s">
        <v>4891</v>
      </c>
      <c r="D5248" s="7" t="s">
        <v>110</v>
      </c>
      <c r="E5248" s="5" t="s">
        <v>703</v>
      </c>
      <c r="F5248" s="5"/>
      <c r="G5248" s="9">
        <f>H5248*(1-15%)*(1-F5248)</f>
        <v>54.314999999999998</v>
      </c>
      <c r="H5248" s="9">
        <v>63.899999999999999</v>
      </c>
      <c r="I5248" s="9">
        <f>H5248-G5248</f>
        <v>9.5850000000000009</v>
      </c>
    </row>
    <row r="5249" ht="14.25">
      <c r="A5249" s="5">
        <v>54468</v>
      </c>
      <c r="B5249" s="7" t="s">
        <v>5343</v>
      </c>
      <c r="C5249" s="7" t="s">
        <v>4891</v>
      </c>
      <c r="D5249" s="7" t="s">
        <v>110</v>
      </c>
      <c r="E5249" s="5" t="s">
        <v>26</v>
      </c>
      <c r="F5249" s="5"/>
      <c r="G5249" s="9">
        <f>H5249*(1-15%)*(1-F5249)</f>
        <v>82.365000000000009</v>
      </c>
      <c r="H5249" s="9">
        <v>96.900000000000006</v>
      </c>
      <c r="I5249" s="9">
        <f>H5249-G5249</f>
        <v>14.534999999999997</v>
      </c>
    </row>
    <row r="5250" ht="14.25">
      <c r="A5250" s="5">
        <v>54680</v>
      </c>
      <c r="B5250" s="7" t="s">
        <v>5344</v>
      </c>
      <c r="C5250" s="7" t="s">
        <v>4891</v>
      </c>
      <c r="D5250" s="7" t="s">
        <v>61</v>
      </c>
      <c r="E5250" s="5" t="s">
        <v>703</v>
      </c>
      <c r="F5250" s="5"/>
      <c r="G5250" s="9">
        <f>H5250*(1-15%)*(1-F5250)</f>
        <v>44.114999999999995</v>
      </c>
      <c r="H5250" s="9">
        <v>51.899999999999999</v>
      </c>
      <c r="I5250" s="9">
        <f>H5250-G5250</f>
        <v>7.7850000000000037</v>
      </c>
    </row>
    <row r="5251" ht="14.25">
      <c r="A5251" s="5">
        <v>54701</v>
      </c>
      <c r="B5251" s="7" t="s">
        <v>5345</v>
      </c>
      <c r="C5251" s="7" t="s">
        <v>4891</v>
      </c>
      <c r="D5251" s="7" t="s">
        <v>61</v>
      </c>
      <c r="E5251" s="5" t="s">
        <v>703</v>
      </c>
      <c r="F5251" s="5"/>
      <c r="G5251" s="9">
        <f>H5251*(1-15%)*(1-F5251)</f>
        <v>55.165000000000006</v>
      </c>
      <c r="H5251" s="9">
        <v>64.900000000000006</v>
      </c>
      <c r="I5251" s="9">
        <f>H5251-G5251</f>
        <v>9.7349999999999994</v>
      </c>
    </row>
    <row r="5252" ht="14.25">
      <c r="A5252" s="5">
        <v>56375</v>
      </c>
      <c r="B5252" s="7" t="s">
        <v>5346</v>
      </c>
      <c r="C5252" s="7" t="s">
        <v>4891</v>
      </c>
      <c r="D5252" s="7" t="s">
        <v>1447</v>
      </c>
      <c r="E5252" s="5" t="s">
        <v>15</v>
      </c>
      <c r="F5252" s="5"/>
      <c r="G5252" s="9">
        <f>H5252*(1-15%)*(1-F5252)</f>
        <v>4.335</v>
      </c>
      <c r="H5252" s="9">
        <v>5.0999999999999996</v>
      </c>
      <c r="I5252" s="9">
        <f>H5252-G5252</f>
        <v>0.76499999999999968</v>
      </c>
    </row>
    <row r="5253" ht="14.25">
      <c r="A5253" s="5">
        <v>56378</v>
      </c>
      <c r="B5253" s="7" t="s">
        <v>5347</v>
      </c>
      <c r="C5253" s="7" t="s">
        <v>4891</v>
      </c>
      <c r="D5253" s="7" t="s">
        <v>1447</v>
      </c>
      <c r="E5253" s="5" t="s">
        <v>15</v>
      </c>
      <c r="F5253" s="5"/>
      <c r="G5253" s="9">
        <f>H5253*(1-15%)*(1-F5253)</f>
        <v>4.4199999999999999</v>
      </c>
      <c r="H5253" s="9">
        <v>5.2000000000000002</v>
      </c>
      <c r="I5253" s="9">
        <f>H5253-G5253</f>
        <v>0.78000000000000025</v>
      </c>
    </row>
    <row r="5254" ht="14.25">
      <c r="A5254" s="5">
        <v>56388</v>
      </c>
      <c r="B5254" s="7" t="s">
        <v>5348</v>
      </c>
      <c r="C5254" s="7" t="s">
        <v>4891</v>
      </c>
      <c r="D5254" s="7" t="s">
        <v>1447</v>
      </c>
      <c r="E5254" s="5" t="s">
        <v>15</v>
      </c>
      <c r="F5254" s="5"/>
      <c r="G5254" s="9">
        <f>H5254*(1-15%)*(1-F5254)</f>
        <v>5.7799999999999994</v>
      </c>
      <c r="H5254" s="9">
        <v>6.7999999999999998</v>
      </c>
      <c r="I5254" s="9">
        <f>H5254-G5254</f>
        <v>1.0200000000000005</v>
      </c>
    </row>
    <row r="5255" ht="14.25">
      <c r="A5255" s="5">
        <v>52874</v>
      </c>
      <c r="B5255" s="7" t="s">
        <v>5349</v>
      </c>
      <c r="C5255" s="7" t="s">
        <v>4891</v>
      </c>
      <c r="D5255" s="7" t="s">
        <v>52</v>
      </c>
      <c r="E5255" s="5" t="s">
        <v>39</v>
      </c>
      <c r="F5255" s="5"/>
      <c r="G5255" s="9">
        <f>H5255*(1-15%)*(1-F5255)</f>
        <v>52.614999999999995</v>
      </c>
      <c r="H5255" s="9">
        <v>61.899999999999999</v>
      </c>
      <c r="I5255" s="9">
        <f>H5255-G5255</f>
        <v>9.2850000000000037</v>
      </c>
    </row>
    <row r="5256" ht="14.25">
      <c r="A5256" s="5">
        <v>54048</v>
      </c>
      <c r="B5256" s="7" t="s">
        <v>5350</v>
      </c>
      <c r="C5256" s="7" t="s">
        <v>4891</v>
      </c>
      <c r="D5256" s="7" t="s">
        <v>110</v>
      </c>
      <c r="E5256" s="5" t="s">
        <v>703</v>
      </c>
      <c r="F5256" s="5"/>
      <c r="G5256" s="9">
        <f>H5256*(1-15%)*(1-F5256)</f>
        <v>54.314999999999998</v>
      </c>
      <c r="H5256" s="9">
        <v>63.899999999999999</v>
      </c>
      <c r="I5256" s="9">
        <f>H5256-G5256</f>
        <v>9.5850000000000009</v>
      </c>
    </row>
    <row r="5257" ht="14.25">
      <c r="A5257" s="5">
        <v>53422</v>
      </c>
      <c r="B5257" s="7" t="s">
        <v>5351</v>
      </c>
      <c r="C5257" s="7" t="s">
        <v>4891</v>
      </c>
      <c r="D5257" s="7" t="s">
        <v>11</v>
      </c>
      <c r="E5257" s="5" t="s">
        <v>26</v>
      </c>
      <c r="F5257" s="5"/>
      <c r="G5257" s="9">
        <f>H5257*(1-15%)*(1-F5257)</f>
        <v>237.91499999999996</v>
      </c>
      <c r="H5257" s="9">
        <v>279.89999999999998</v>
      </c>
      <c r="I5257" s="9">
        <f>H5257-G5257</f>
        <v>41.985000000000014</v>
      </c>
    </row>
    <row r="5258" ht="14.25">
      <c r="A5258" s="5">
        <v>52815</v>
      </c>
      <c r="B5258" s="7" t="s">
        <v>5352</v>
      </c>
      <c r="C5258" s="7" t="s">
        <v>4891</v>
      </c>
      <c r="D5258" s="7" t="s">
        <v>110</v>
      </c>
      <c r="E5258" s="5" t="s">
        <v>26</v>
      </c>
      <c r="F5258" s="5"/>
      <c r="G5258" s="9">
        <f>H5258*(1-15%)*(1-F5258)</f>
        <v>195.41499999999999</v>
      </c>
      <c r="H5258" s="9">
        <v>229.90000000000001</v>
      </c>
      <c r="I5258" s="9">
        <f>H5258-G5258</f>
        <v>34.485000000000014</v>
      </c>
    </row>
    <row r="5259" ht="14.25">
      <c r="A5259" s="5">
        <v>53917</v>
      </c>
      <c r="B5259" s="7" t="s">
        <v>5353</v>
      </c>
      <c r="C5259" s="7" t="s">
        <v>4891</v>
      </c>
      <c r="D5259" s="7" t="s">
        <v>183</v>
      </c>
      <c r="E5259" s="5" t="s">
        <v>15</v>
      </c>
      <c r="F5259" s="5"/>
      <c r="G5259" s="9">
        <f>H5259*(1-15%)*(1-F5259)</f>
        <v>40.714999999999996</v>
      </c>
      <c r="H5259" s="9">
        <v>47.899999999999999</v>
      </c>
      <c r="I5259" s="9">
        <f>H5259-G5259</f>
        <v>7.1850000000000023</v>
      </c>
    </row>
    <row r="5260" ht="14.25">
      <c r="A5260" s="5">
        <v>57579</v>
      </c>
      <c r="B5260" s="7" t="s">
        <v>5354</v>
      </c>
      <c r="C5260" s="7" t="s">
        <v>4891</v>
      </c>
      <c r="D5260" s="7" t="s">
        <v>1447</v>
      </c>
      <c r="E5260" s="5" t="s">
        <v>15</v>
      </c>
      <c r="F5260" s="5"/>
      <c r="G5260" s="9">
        <f>H5260*(1-15%)*(1-F5260)</f>
        <v>1.8614999999999999</v>
      </c>
      <c r="H5260" s="9">
        <v>2.1899999999999999</v>
      </c>
      <c r="I5260" s="9">
        <f>H5260-G5260</f>
        <v>0.32850000000000001</v>
      </c>
    </row>
    <row r="5261" ht="14.25">
      <c r="A5261" s="5">
        <v>54748</v>
      </c>
      <c r="B5261" s="7" t="s">
        <v>5355</v>
      </c>
      <c r="C5261" s="7" t="s">
        <v>4891</v>
      </c>
      <c r="D5261" s="7" t="s">
        <v>110</v>
      </c>
      <c r="E5261" s="5" t="s">
        <v>703</v>
      </c>
      <c r="F5261" s="5"/>
      <c r="G5261" s="9">
        <f>H5261*(1-15%)*(1-F5261)</f>
        <v>38.164999999999999</v>
      </c>
      <c r="H5261" s="9">
        <v>44.899999999999999</v>
      </c>
      <c r="I5261" s="9">
        <f>H5261-G5261</f>
        <v>6.7349999999999994</v>
      </c>
    </row>
    <row r="5262" ht="14.25">
      <c r="A5262" s="5">
        <v>54749</v>
      </c>
      <c r="B5262" s="7" t="s">
        <v>5356</v>
      </c>
      <c r="C5262" s="7" t="s">
        <v>4891</v>
      </c>
      <c r="D5262" s="7" t="s">
        <v>110</v>
      </c>
      <c r="E5262" s="5" t="s">
        <v>703</v>
      </c>
      <c r="F5262" s="5"/>
      <c r="G5262" s="9">
        <f>H5262*(1-15%)*(1-F5262)</f>
        <v>38.164999999999999</v>
      </c>
      <c r="H5262" s="9">
        <v>44.899999999999999</v>
      </c>
      <c r="I5262" s="9">
        <f>H5262-G5262</f>
        <v>6.7349999999999994</v>
      </c>
    </row>
    <row r="5263" ht="14.25">
      <c r="A5263" s="5">
        <v>54750</v>
      </c>
      <c r="B5263" s="7" t="s">
        <v>5357</v>
      </c>
      <c r="C5263" s="7" t="s">
        <v>4891</v>
      </c>
      <c r="D5263" s="7" t="s">
        <v>110</v>
      </c>
      <c r="E5263" s="5" t="s">
        <v>703</v>
      </c>
      <c r="F5263" s="5"/>
      <c r="G5263" s="9">
        <f>H5263*(1-15%)*(1-F5263)</f>
        <v>38.164999999999999</v>
      </c>
      <c r="H5263" s="9">
        <v>44.899999999999999</v>
      </c>
      <c r="I5263" s="9">
        <f>H5263-G5263</f>
        <v>6.7349999999999994</v>
      </c>
    </row>
    <row r="5264" ht="14.25">
      <c r="A5264" s="5">
        <v>54752</v>
      </c>
      <c r="B5264" s="7" t="s">
        <v>5358</v>
      </c>
      <c r="C5264" s="7" t="s">
        <v>4891</v>
      </c>
      <c r="D5264" s="7" t="s">
        <v>110</v>
      </c>
      <c r="E5264" s="5" t="s">
        <v>703</v>
      </c>
      <c r="F5264" s="5"/>
      <c r="G5264" s="9">
        <f>H5264*(1-15%)*(1-F5264)</f>
        <v>97.665000000000006</v>
      </c>
      <c r="H5264" s="9">
        <v>114.90000000000001</v>
      </c>
      <c r="I5264" s="9">
        <f>H5264-G5264</f>
        <v>17.234999999999999</v>
      </c>
    </row>
    <row r="5265" ht="14.25">
      <c r="A5265" s="5">
        <v>54753</v>
      </c>
      <c r="B5265" s="7" t="s">
        <v>5359</v>
      </c>
      <c r="C5265" s="7" t="s">
        <v>4891</v>
      </c>
      <c r="D5265" s="7" t="s">
        <v>110</v>
      </c>
      <c r="E5265" s="5" t="s">
        <v>703</v>
      </c>
      <c r="F5265" s="5"/>
      <c r="G5265" s="9">
        <f>H5265*(1-15%)*(1-F5265)</f>
        <v>61.965000000000003</v>
      </c>
      <c r="H5265" s="9">
        <v>72.900000000000006</v>
      </c>
      <c r="I5265" s="9">
        <f>H5265-G5265</f>
        <v>10.935000000000002</v>
      </c>
    </row>
    <row r="5266" ht="14.25">
      <c r="A5266" s="5">
        <v>54755</v>
      </c>
      <c r="B5266" s="7" t="s">
        <v>5360</v>
      </c>
      <c r="C5266" s="7" t="s">
        <v>4891</v>
      </c>
      <c r="D5266" s="7" t="s">
        <v>110</v>
      </c>
      <c r="E5266" s="5" t="s">
        <v>703</v>
      </c>
      <c r="F5266" s="5"/>
      <c r="G5266" s="9">
        <f>H5266*(1-15%)*(1-F5266)</f>
        <v>132.51500000000001</v>
      </c>
      <c r="H5266" s="9">
        <v>155.90000000000001</v>
      </c>
      <c r="I5266" s="9">
        <f>H5266-G5266</f>
        <v>23.384999999999991</v>
      </c>
    </row>
    <row r="5267" ht="14.25">
      <c r="A5267" s="5">
        <v>54756</v>
      </c>
      <c r="B5267" s="7" t="s">
        <v>5361</v>
      </c>
      <c r="C5267" s="7" t="s">
        <v>4891</v>
      </c>
      <c r="D5267" s="7" t="s">
        <v>110</v>
      </c>
      <c r="E5267" s="5" t="s">
        <v>703</v>
      </c>
      <c r="F5267" s="5"/>
      <c r="G5267" s="9">
        <f>H5267*(1-15%)*(1-F5267)</f>
        <v>61.965000000000003</v>
      </c>
      <c r="H5267" s="9">
        <v>72.900000000000006</v>
      </c>
      <c r="I5267" s="9">
        <f>H5267-G5267</f>
        <v>10.935000000000002</v>
      </c>
    </row>
    <row r="5268" ht="14.25">
      <c r="A5268" s="5">
        <v>56047</v>
      </c>
      <c r="B5268" s="7" t="s">
        <v>5234</v>
      </c>
      <c r="C5268" s="7" t="s">
        <v>4891</v>
      </c>
      <c r="D5268" s="7" t="s">
        <v>183</v>
      </c>
      <c r="E5268" s="5" t="s">
        <v>26</v>
      </c>
      <c r="F5268" s="5"/>
      <c r="G5268" s="9">
        <f>H5268*(1-15%)*(1-F5268)</f>
        <v>32.214999999999996</v>
      </c>
      <c r="H5268" s="9">
        <v>37.899999999999999</v>
      </c>
      <c r="I5268" s="9">
        <f>H5268-G5268</f>
        <v>5.6850000000000023</v>
      </c>
    </row>
    <row r="5269" ht="14.25">
      <c r="A5269" s="5">
        <v>51755</v>
      </c>
      <c r="B5269" s="7" t="s">
        <v>5362</v>
      </c>
      <c r="C5269" s="7" t="s">
        <v>4891</v>
      </c>
      <c r="D5269" s="7" t="s">
        <v>219</v>
      </c>
      <c r="E5269" s="5" t="s">
        <v>26</v>
      </c>
      <c r="F5269" s="5"/>
      <c r="G5269" s="9">
        <f>H5269*(1-15%)*(1-F5269)</f>
        <v>39.015000000000001</v>
      </c>
      <c r="H5269" s="9">
        <v>45.899999999999999</v>
      </c>
      <c r="I5269" s="9">
        <f>H5269-G5269</f>
        <v>6.884999999999998</v>
      </c>
    </row>
    <row r="5270" ht="14.25">
      <c r="A5270" s="5">
        <v>55587</v>
      </c>
      <c r="B5270" s="7" t="s">
        <v>5363</v>
      </c>
      <c r="C5270" s="7" t="s">
        <v>4891</v>
      </c>
      <c r="D5270" s="7" t="s">
        <v>110</v>
      </c>
      <c r="E5270" s="5" t="s">
        <v>26</v>
      </c>
      <c r="F5270" s="5"/>
      <c r="G5270" s="9">
        <f>H5270*(1-15%)*(1-F5270)</f>
        <v>144.41499999999999</v>
      </c>
      <c r="H5270" s="9">
        <v>169.90000000000001</v>
      </c>
      <c r="I5270" s="9">
        <f>H5270-G5270</f>
        <v>25.485000000000014</v>
      </c>
    </row>
    <row r="5271" ht="14.25">
      <c r="A5271" s="5">
        <v>52870</v>
      </c>
      <c r="B5271" s="7" t="s">
        <v>5364</v>
      </c>
      <c r="C5271" s="7" t="s">
        <v>4891</v>
      </c>
      <c r="D5271" s="7" t="s">
        <v>52</v>
      </c>
      <c r="E5271" s="5" t="s">
        <v>39</v>
      </c>
      <c r="F5271" s="5"/>
      <c r="G5271" s="9">
        <f>H5271*(1-15%)*(1-F5271)</f>
        <v>67.064999999999998</v>
      </c>
      <c r="H5271" s="9">
        <v>78.900000000000006</v>
      </c>
      <c r="I5271" s="9">
        <f>H5271-G5271</f>
        <v>11.835000000000008</v>
      </c>
    </row>
    <row r="5272" ht="14.25">
      <c r="A5272" s="5">
        <v>56576</v>
      </c>
      <c r="B5272" s="7" t="s">
        <v>5365</v>
      </c>
      <c r="C5272" s="7" t="s">
        <v>4891</v>
      </c>
      <c r="D5272" s="7" t="s">
        <v>183</v>
      </c>
      <c r="E5272" s="5" t="s">
        <v>39</v>
      </c>
      <c r="F5272" s="5"/>
      <c r="G5272" s="9">
        <f>H5272*(1-15%)*(1-F5272)</f>
        <v>57.715000000000003</v>
      </c>
      <c r="H5272" s="9">
        <v>67.900000000000006</v>
      </c>
      <c r="I5272" s="9">
        <f>H5272-G5272</f>
        <v>10.185000000000002</v>
      </c>
    </row>
    <row r="5273" ht="14.25">
      <c r="A5273" s="5">
        <v>56844</v>
      </c>
      <c r="B5273" s="7" t="s">
        <v>5366</v>
      </c>
      <c r="C5273" s="7" t="s">
        <v>4891</v>
      </c>
      <c r="D5273" s="7" t="s">
        <v>110</v>
      </c>
      <c r="E5273" s="5" t="s">
        <v>39</v>
      </c>
      <c r="F5273" s="5"/>
      <c r="G5273" s="9">
        <f>H5273*(1-15%)*(1-F5273)</f>
        <v>42.414999999999999</v>
      </c>
      <c r="H5273" s="9">
        <v>49.899999999999999</v>
      </c>
      <c r="I5273" s="9">
        <f>H5273-G5273</f>
        <v>7.4849999999999994</v>
      </c>
    </row>
    <row r="5274" ht="14.25">
      <c r="A5274" s="5">
        <v>56846</v>
      </c>
      <c r="B5274" s="7" t="s">
        <v>5367</v>
      </c>
      <c r="C5274" s="7" t="s">
        <v>4891</v>
      </c>
      <c r="D5274" s="7" t="s">
        <v>110</v>
      </c>
      <c r="E5274" s="5" t="s">
        <v>39</v>
      </c>
      <c r="F5274" s="5"/>
      <c r="G5274" s="9">
        <f>H5274*(1-15%)*(1-F5274)</f>
        <v>42.414999999999999</v>
      </c>
      <c r="H5274" s="9">
        <v>49.899999999999999</v>
      </c>
      <c r="I5274" s="9">
        <f>H5274-G5274</f>
        <v>7.4849999999999994</v>
      </c>
    </row>
    <row r="5275" ht="14.25">
      <c r="A5275" s="5">
        <v>56847</v>
      </c>
      <c r="B5275" s="7" t="s">
        <v>5368</v>
      </c>
      <c r="C5275" s="7" t="s">
        <v>4891</v>
      </c>
      <c r="D5275" s="7" t="s">
        <v>110</v>
      </c>
      <c r="E5275" s="5" t="s">
        <v>39</v>
      </c>
      <c r="F5275" s="5"/>
      <c r="G5275" s="9">
        <f>H5275*(1-15%)*(1-F5275)</f>
        <v>42.414999999999999</v>
      </c>
      <c r="H5275" s="9">
        <v>49.899999999999999</v>
      </c>
      <c r="I5275" s="9">
        <f>H5275-G5275</f>
        <v>7.4849999999999994</v>
      </c>
    </row>
    <row r="5276" ht="14.25">
      <c r="A5276" s="5">
        <v>56848</v>
      </c>
      <c r="B5276" s="7" t="s">
        <v>5369</v>
      </c>
      <c r="C5276" s="7" t="s">
        <v>4891</v>
      </c>
      <c r="D5276" s="7" t="s">
        <v>110</v>
      </c>
      <c r="E5276" s="5" t="s">
        <v>39</v>
      </c>
      <c r="F5276" s="5"/>
      <c r="G5276" s="9">
        <f>H5276*(1-15%)*(1-F5276)</f>
        <v>42.414999999999999</v>
      </c>
      <c r="H5276" s="9">
        <v>49.899999999999999</v>
      </c>
      <c r="I5276" s="9">
        <f>H5276-G5276</f>
        <v>7.4849999999999994</v>
      </c>
    </row>
    <row r="5277" ht="14.25">
      <c r="A5277" s="5">
        <v>56849</v>
      </c>
      <c r="B5277" s="7" t="s">
        <v>5370</v>
      </c>
      <c r="C5277" s="7" t="s">
        <v>4891</v>
      </c>
      <c r="D5277" s="7" t="s">
        <v>110</v>
      </c>
      <c r="E5277" s="5" t="s">
        <v>39</v>
      </c>
      <c r="F5277" s="5"/>
      <c r="G5277" s="9">
        <f>H5277*(1-15%)*(1-F5277)</f>
        <v>42.414999999999999</v>
      </c>
      <c r="H5277" s="9">
        <v>49.899999999999999</v>
      </c>
      <c r="I5277" s="9">
        <f>H5277-G5277</f>
        <v>7.4849999999999994</v>
      </c>
    </row>
    <row r="5278" ht="14.25">
      <c r="A5278" s="5">
        <v>56850</v>
      </c>
      <c r="B5278" s="7" t="s">
        <v>5371</v>
      </c>
      <c r="C5278" s="7" t="s">
        <v>4891</v>
      </c>
      <c r="D5278" s="7" t="s">
        <v>110</v>
      </c>
      <c r="E5278" s="5" t="s">
        <v>39</v>
      </c>
      <c r="F5278" s="5"/>
      <c r="G5278" s="9">
        <f>H5278*(1-15%)*(1-F5278)</f>
        <v>42.414999999999999</v>
      </c>
      <c r="H5278" s="9">
        <v>49.899999999999999</v>
      </c>
      <c r="I5278" s="9">
        <f>H5278-G5278</f>
        <v>7.4849999999999994</v>
      </c>
    </row>
    <row r="5279" ht="14.25">
      <c r="A5279" s="5">
        <v>56851</v>
      </c>
      <c r="B5279" s="7" t="s">
        <v>5372</v>
      </c>
      <c r="C5279" s="7" t="s">
        <v>4891</v>
      </c>
      <c r="D5279" s="7" t="s">
        <v>110</v>
      </c>
      <c r="E5279" s="5" t="s">
        <v>39</v>
      </c>
      <c r="F5279" s="5"/>
      <c r="G5279" s="9">
        <f>H5279*(1-15%)*(1-F5279)</f>
        <v>42.414999999999999</v>
      </c>
      <c r="H5279" s="9">
        <v>49.899999999999999</v>
      </c>
      <c r="I5279" s="9">
        <f>H5279-G5279</f>
        <v>7.4849999999999994</v>
      </c>
    </row>
    <row r="5280" ht="14.25">
      <c r="A5280" s="5">
        <v>56852</v>
      </c>
      <c r="B5280" s="7" t="s">
        <v>5373</v>
      </c>
      <c r="C5280" s="7" t="s">
        <v>4891</v>
      </c>
      <c r="D5280" s="7" t="s">
        <v>110</v>
      </c>
      <c r="E5280" s="5" t="s">
        <v>39</v>
      </c>
      <c r="F5280" s="5"/>
      <c r="G5280" s="9">
        <f>H5280*(1-15%)*(1-F5280)</f>
        <v>42.414999999999999</v>
      </c>
      <c r="H5280" s="9">
        <v>49.899999999999999</v>
      </c>
      <c r="I5280" s="9">
        <f>H5280-G5280</f>
        <v>7.4849999999999994</v>
      </c>
    </row>
    <row r="5281" ht="14.25">
      <c r="A5281" s="5">
        <v>56853</v>
      </c>
      <c r="B5281" s="7" t="s">
        <v>5374</v>
      </c>
      <c r="C5281" s="7" t="s">
        <v>4891</v>
      </c>
      <c r="D5281" s="7" t="s">
        <v>110</v>
      </c>
      <c r="E5281" s="5" t="s">
        <v>39</v>
      </c>
      <c r="F5281" s="5"/>
      <c r="G5281" s="9">
        <f>H5281*(1-15%)*(1-F5281)</f>
        <v>42.414999999999999</v>
      </c>
      <c r="H5281" s="9">
        <v>49.899999999999999</v>
      </c>
      <c r="I5281" s="9">
        <f>H5281-G5281</f>
        <v>7.4849999999999994</v>
      </c>
    </row>
    <row r="5282" ht="14.25">
      <c r="A5282" s="5">
        <v>56854</v>
      </c>
      <c r="B5282" s="7" t="s">
        <v>5375</v>
      </c>
      <c r="C5282" s="7" t="s">
        <v>4891</v>
      </c>
      <c r="D5282" s="7" t="s">
        <v>110</v>
      </c>
      <c r="E5282" s="5" t="s">
        <v>39</v>
      </c>
      <c r="F5282" s="5"/>
      <c r="G5282" s="9">
        <f>H5282*(1-15%)*(1-F5282)</f>
        <v>42.414999999999999</v>
      </c>
      <c r="H5282" s="9">
        <v>49.899999999999999</v>
      </c>
      <c r="I5282" s="9">
        <f>H5282-G5282</f>
        <v>7.4849999999999994</v>
      </c>
    </row>
    <row r="5283" ht="14.25">
      <c r="A5283" s="5">
        <v>56855</v>
      </c>
      <c r="B5283" s="7" t="s">
        <v>5376</v>
      </c>
      <c r="C5283" s="7" t="s">
        <v>4891</v>
      </c>
      <c r="D5283" s="7" t="s">
        <v>110</v>
      </c>
      <c r="E5283" s="5" t="s">
        <v>39</v>
      </c>
      <c r="F5283" s="5"/>
      <c r="G5283" s="9">
        <f>H5283*(1-15%)*(1-F5283)</f>
        <v>42.414999999999999</v>
      </c>
      <c r="H5283" s="9">
        <v>49.899999999999999</v>
      </c>
      <c r="I5283" s="9">
        <f>H5283-G5283</f>
        <v>7.4849999999999994</v>
      </c>
    </row>
    <row r="5284" ht="14.25">
      <c r="A5284" s="5">
        <v>56858</v>
      </c>
      <c r="B5284" s="7" t="s">
        <v>5377</v>
      </c>
      <c r="C5284" s="7" t="s">
        <v>4891</v>
      </c>
      <c r="D5284" s="7" t="s">
        <v>110</v>
      </c>
      <c r="E5284" s="5" t="s">
        <v>39</v>
      </c>
      <c r="F5284" s="5"/>
      <c r="G5284" s="9">
        <f>H5284*(1-15%)*(1-F5284)</f>
        <v>42.414999999999999</v>
      </c>
      <c r="H5284" s="9">
        <v>49.899999999999999</v>
      </c>
      <c r="I5284" s="9">
        <f>H5284-G5284</f>
        <v>7.4849999999999994</v>
      </c>
    </row>
    <row r="5285" ht="14.25">
      <c r="A5285" s="5">
        <v>56859</v>
      </c>
      <c r="B5285" s="7" t="s">
        <v>5378</v>
      </c>
      <c r="C5285" s="7" t="s">
        <v>4891</v>
      </c>
      <c r="D5285" s="7" t="s">
        <v>110</v>
      </c>
      <c r="E5285" s="5" t="s">
        <v>39</v>
      </c>
      <c r="F5285" s="5"/>
      <c r="G5285" s="9">
        <f>H5285*(1-15%)*(1-F5285)</f>
        <v>42.414999999999999</v>
      </c>
      <c r="H5285" s="9">
        <v>49.899999999999999</v>
      </c>
      <c r="I5285" s="9">
        <f>H5285-G5285</f>
        <v>7.4849999999999994</v>
      </c>
    </row>
    <row r="5286" ht="14.25">
      <c r="A5286" s="5">
        <v>56860</v>
      </c>
      <c r="B5286" s="7" t="s">
        <v>5379</v>
      </c>
      <c r="C5286" s="7" t="s">
        <v>4891</v>
      </c>
      <c r="D5286" s="7" t="s">
        <v>110</v>
      </c>
      <c r="E5286" s="5" t="s">
        <v>39</v>
      </c>
      <c r="F5286" s="5"/>
      <c r="G5286" s="9">
        <f>H5286*(1-15%)*(1-F5286)</f>
        <v>42.414999999999999</v>
      </c>
      <c r="H5286" s="9">
        <v>49.899999999999999</v>
      </c>
      <c r="I5286" s="9">
        <f>H5286-G5286</f>
        <v>7.4849999999999994</v>
      </c>
    </row>
    <row r="5287" ht="14.25">
      <c r="A5287" s="5">
        <v>56862</v>
      </c>
      <c r="B5287" s="7" t="s">
        <v>5380</v>
      </c>
      <c r="C5287" s="7" t="s">
        <v>4891</v>
      </c>
      <c r="D5287" s="7" t="s">
        <v>110</v>
      </c>
      <c r="E5287" s="5" t="s">
        <v>39</v>
      </c>
      <c r="F5287" s="5"/>
      <c r="G5287" s="9">
        <f>H5287*(1-15%)*(1-F5287)</f>
        <v>42.414999999999999</v>
      </c>
      <c r="H5287" s="9">
        <v>49.899999999999999</v>
      </c>
      <c r="I5287" s="9">
        <f>H5287-G5287</f>
        <v>7.4849999999999994</v>
      </c>
    </row>
    <row r="5288" ht="14.25">
      <c r="A5288" s="5">
        <v>56865</v>
      </c>
      <c r="B5288" s="7" t="s">
        <v>5381</v>
      </c>
      <c r="C5288" s="7" t="s">
        <v>4891</v>
      </c>
      <c r="D5288" s="7" t="s">
        <v>110</v>
      </c>
      <c r="E5288" s="5" t="s">
        <v>39</v>
      </c>
      <c r="F5288" s="5"/>
      <c r="G5288" s="9">
        <f>H5288*(1-15%)*(1-F5288)</f>
        <v>42.414999999999999</v>
      </c>
      <c r="H5288" s="9">
        <v>49.899999999999999</v>
      </c>
      <c r="I5288" s="9">
        <f>H5288-G5288</f>
        <v>7.4849999999999994</v>
      </c>
    </row>
    <row r="5289" ht="14.25">
      <c r="A5289" s="5">
        <v>56866</v>
      </c>
      <c r="B5289" s="7" t="s">
        <v>5382</v>
      </c>
      <c r="C5289" s="7" t="s">
        <v>4891</v>
      </c>
      <c r="D5289" s="7" t="s">
        <v>110</v>
      </c>
      <c r="E5289" s="5" t="s">
        <v>39</v>
      </c>
      <c r="F5289" s="5"/>
      <c r="G5289" s="9">
        <f>H5289*(1-15%)*(1-F5289)</f>
        <v>42.414999999999999</v>
      </c>
      <c r="H5289" s="9">
        <v>49.899999999999999</v>
      </c>
      <c r="I5289" s="9">
        <f>H5289-G5289</f>
        <v>7.4849999999999994</v>
      </c>
    </row>
    <row r="5290" ht="14.25">
      <c r="A5290" s="5">
        <v>56941</v>
      </c>
      <c r="B5290" s="7" t="s">
        <v>5383</v>
      </c>
      <c r="C5290" s="7" t="s">
        <v>4891</v>
      </c>
      <c r="D5290" s="7" t="s">
        <v>110</v>
      </c>
      <c r="E5290" s="5" t="s">
        <v>39</v>
      </c>
      <c r="F5290" s="5"/>
      <c r="G5290" s="9">
        <f>H5290*(1-15%)*(1-F5290)</f>
        <v>42.414999999999999</v>
      </c>
      <c r="H5290" s="9">
        <v>49.899999999999999</v>
      </c>
      <c r="I5290" s="9">
        <f>H5290-G5290</f>
        <v>7.4849999999999994</v>
      </c>
    </row>
    <row r="5291" ht="14.25">
      <c r="A5291" s="5">
        <v>56942</v>
      </c>
      <c r="B5291" s="7" t="s">
        <v>5384</v>
      </c>
      <c r="C5291" s="7" t="s">
        <v>4891</v>
      </c>
      <c r="D5291" s="7" t="s">
        <v>110</v>
      </c>
      <c r="E5291" s="5" t="s">
        <v>39</v>
      </c>
      <c r="F5291" s="5"/>
      <c r="G5291" s="9">
        <f>H5291*(1-15%)*(1-F5291)</f>
        <v>42.414999999999999</v>
      </c>
      <c r="H5291" s="9">
        <v>49.899999999999999</v>
      </c>
      <c r="I5291" s="9">
        <f>H5291-G5291</f>
        <v>7.4849999999999994</v>
      </c>
    </row>
    <row r="5292" ht="14.25">
      <c r="A5292" s="5">
        <v>56943</v>
      </c>
      <c r="B5292" s="7" t="s">
        <v>5385</v>
      </c>
      <c r="C5292" s="7" t="s">
        <v>4891</v>
      </c>
      <c r="D5292" s="7" t="s">
        <v>110</v>
      </c>
      <c r="E5292" s="5" t="s">
        <v>39</v>
      </c>
      <c r="F5292" s="5"/>
      <c r="G5292" s="9">
        <f>H5292*(1-15%)*(1-F5292)</f>
        <v>42.414999999999999</v>
      </c>
      <c r="H5292" s="9">
        <v>49.899999999999999</v>
      </c>
      <c r="I5292" s="9">
        <f>H5292-G5292</f>
        <v>7.4849999999999994</v>
      </c>
    </row>
    <row r="5293" ht="14.25">
      <c r="A5293" s="5">
        <v>56944</v>
      </c>
      <c r="B5293" s="7" t="s">
        <v>5386</v>
      </c>
      <c r="C5293" s="7" t="s">
        <v>4891</v>
      </c>
      <c r="D5293" s="7" t="s">
        <v>110</v>
      </c>
      <c r="E5293" s="5" t="s">
        <v>39</v>
      </c>
      <c r="F5293" s="5"/>
      <c r="G5293" s="9">
        <f>H5293*(1-15%)*(1-F5293)</f>
        <v>42.414999999999999</v>
      </c>
      <c r="H5293" s="9">
        <v>49.899999999999999</v>
      </c>
      <c r="I5293" s="9">
        <f>H5293-G5293</f>
        <v>7.4849999999999994</v>
      </c>
    </row>
    <row r="5294" ht="14.25">
      <c r="A5294" s="5">
        <v>56945</v>
      </c>
      <c r="B5294" s="7" t="s">
        <v>5387</v>
      </c>
      <c r="C5294" s="7" t="s">
        <v>4891</v>
      </c>
      <c r="D5294" s="7" t="s">
        <v>110</v>
      </c>
      <c r="E5294" s="5" t="s">
        <v>39</v>
      </c>
      <c r="F5294" s="5"/>
      <c r="G5294" s="9">
        <f>H5294*(1-15%)*(1-F5294)</f>
        <v>42.414999999999999</v>
      </c>
      <c r="H5294" s="9">
        <v>49.899999999999999</v>
      </c>
      <c r="I5294" s="9">
        <f>H5294-G5294</f>
        <v>7.4849999999999994</v>
      </c>
    </row>
    <row r="5295" ht="14.25">
      <c r="A5295" s="5">
        <v>56946</v>
      </c>
      <c r="B5295" s="7" t="s">
        <v>5388</v>
      </c>
      <c r="C5295" s="7" t="s">
        <v>4891</v>
      </c>
      <c r="D5295" s="7" t="s">
        <v>110</v>
      </c>
      <c r="E5295" s="5" t="s">
        <v>39</v>
      </c>
      <c r="F5295" s="5"/>
      <c r="G5295" s="9">
        <f>H5295*(1-15%)*(1-F5295)</f>
        <v>42.414999999999999</v>
      </c>
      <c r="H5295" s="9">
        <v>49.899999999999999</v>
      </c>
      <c r="I5295" s="9">
        <f>H5295-G5295</f>
        <v>7.4849999999999994</v>
      </c>
    </row>
    <row r="5296" ht="14.25">
      <c r="A5296" s="5">
        <v>56947</v>
      </c>
      <c r="B5296" s="7" t="s">
        <v>5389</v>
      </c>
      <c r="C5296" s="7" t="s">
        <v>4891</v>
      </c>
      <c r="D5296" s="7" t="s">
        <v>110</v>
      </c>
      <c r="E5296" s="5" t="s">
        <v>39</v>
      </c>
      <c r="F5296" s="5"/>
      <c r="G5296" s="9">
        <f>H5296*(1-15%)*(1-F5296)</f>
        <v>42.414999999999999</v>
      </c>
      <c r="H5296" s="9">
        <v>49.899999999999999</v>
      </c>
      <c r="I5296" s="9">
        <f>H5296-G5296</f>
        <v>7.4849999999999994</v>
      </c>
    </row>
    <row r="5297" ht="14.25">
      <c r="A5297" s="5">
        <v>56948</v>
      </c>
      <c r="B5297" s="7" t="s">
        <v>5390</v>
      </c>
      <c r="C5297" s="7" t="s">
        <v>4891</v>
      </c>
      <c r="D5297" s="7" t="s">
        <v>110</v>
      </c>
      <c r="E5297" s="5" t="s">
        <v>39</v>
      </c>
      <c r="F5297" s="5"/>
      <c r="G5297" s="9">
        <f>H5297*(1-15%)*(1-F5297)</f>
        <v>42.414999999999999</v>
      </c>
      <c r="H5297" s="9">
        <v>49.899999999999999</v>
      </c>
      <c r="I5297" s="9">
        <f>H5297-G5297</f>
        <v>7.4849999999999994</v>
      </c>
    </row>
    <row r="5298" ht="14.25">
      <c r="A5298" s="5">
        <v>56956</v>
      </c>
      <c r="B5298" s="7" t="s">
        <v>5391</v>
      </c>
      <c r="C5298" s="7" t="s">
        <v>4891</v>
      </c>
      <c r="D5298" s="7" t="s">
        <v>110</v>
      </c>
      <c r="E5298" s="5" t="s">
        <v>43</v>
      </c>
      <c r="F5298" s="5"/>
      <c r="G5298" s="9">
        <f>H5298*(1-15%)*(1-F5298)</f>
        <v>44.964999999999996</v>
      </c>
      <c r="H5298" s="9">
        <v>52.899999999999999</v>
      </c>
      <c r="I5298" s="9">
        <f>H5298-G5298</f>
        <v>7.9350000000000023</v>
      </c>
    </row>
    <row r="5299" ht="14.25">
      <c r="A5299" s="5">
        <v>56962</v>
      </c>
      <c r="B5299" s="7" t="s">
        <v>5392</v>
      </c>
      <c r="C5299" s="7" t="s">
        <v>4891</v>
      </c>
      <c r="D5299" s="7" t="s">
        <v>110</v>
      </c>
      <c r="E5299" s="5" t="s">
        <v>39</v>
      </c>
      <c r="F5299" s="5"/>
      <c r="G5299" s="9">
        <f>H5299*(1-15%)*(1-F5299)</f>
        <v>42.414999999999999</v>
      </c>
      <c r="H5299" s="9">
        <v>49.899999999999999</v>
      </c>
      <c r="I5299" s="9">
        <f>H5299-G5299</f>
        <v>7.4849999999999994</v>
      </c>
    </row>
    <row r="5300" ht="14.25">
      <c r="A5300" s="5">
        <v>56578</v>
      </c>
      <c r="B5300" s="7" t="s">
        <v>5322</v>
      </c>
      <c r="C5300" s="7" t="s">
        <v>4891</v>
      </c>
      <c r="D5300" s="7" t="s">
        <v>183</v>
      </c>
      <c r="E5300" s="5" t="s">
        <v>26</v>
      </c>
      <c r="F5300" s="5"/>
      <c r="G5300" s="9">
        <f>H5300*(1-15%)*(1-F5300)</f>
        <v>63.665000000000006</v>
      </c>
      <c r="H5300" s="9">
        <v>74.900000000000006</v>
      </c>
      <c r="I5300" s="9">
        <f>H5300-G5300</f>
        <v>11.234999999999999</v>
      </c>
    </row>
    <row r="5301" ht="14.25">
      <c r="A5301" s="5">
        <v>56738</v>
      </c>
      <c r="B5301" s="7" t="s">
        <v>5393</v>
      </c>
      <c r="C5301" s="7" t="s">
        <v>4891</v>
      </c>
      <c r="D5301" s="7" t="s">
        <v>183</v>
      </c>
      <c r="E5301" s="5" t="s">
        <v>39</v>
      </c>
      <c r="F5301" s="5"/>
      <c r="G5301" s="9">
        <f>H5301*(1-15%)*(1-F5301)</f>
        <v>49.214999999999996</v>
      </c>
      <c r="H5301" s="9">
        <v>57.899999999999999</v>
      </c>
      <c r="I5301" s="9">
        <f>H5301-G5301</f>
        <v>8.6850000000000023</v>
      </c>
    </row>
    <row r="5302" ht="14.25">
      <c r="A5302" s="5">
        <v>57850</v>
      </c>
      <c r="B5302" s="7" t="s">
        <v>5394</v>
      </c>
      <c r="C5302" s="7" t="s">
        <v>4891</v>
      </c>
      <c r="D5302" s="7" t="s">
        <v>183</v>
      </c>
      <c r="E5302" s="5" t="s">
        <v>26</v>
      </c>
      <c r="F5302" s="5"/>
      <c r="G5302" s="9">
        <f>H5302*(1-15%)*(1-F5302)</f>
        <v>23.715</v>
      </c>
      <c r="H5302" s="9">
        <v>27.899999999999999</v>
      </c>
      <c r="I5302" s="9">
        <f>H5302-G5302</f>
        <v>4.1849999999999987</v>
      </c>
    </row>
    <row r="5303" ht="14.25">
      <c r="A5303" s="5">
        <v>57755</v>
      </c>
      <c r="B5303" s="7" t="s">
        <v>5395</v>
      </c>
      <c r="C5303" s="7" t="s">
        <v>4891</v>
      </c>
      <c r="D5303" s="7" t="s">
        <v>183</v>
      </c>
      <c r="E5303" s="5" t="s">
        <v>26</v>
      </c>
      <c r="F5303" s="5"/>
      <c r="G5303" s="9">
        <f>H5303*(1-15%)*(1-F5303)</f>
        <v>53.464999999999996</v>
      </c>
      <c r="H5303" s="9">
        <v>62.899999999999999</v>
      </c>
      <c r="I5303" s="9">
        <f>H5303-G5303</f>
        <v>9.4350000000000023</v>
      </c>
    </row>
    <row r="5304" ht="14.25">
      <c r="A5304" s="5">
        <v>56045</v>
      </c>
      <c r="B5304" s="7" t="s">
        <v>5396</v>
      </c>
      <c r="C5304" s="7" t="s">
        <v>4891</v>
      </c>
      <c r="D5304" s="7" t="s">
        <v>183</v>
      </c>
      <c r="E5304" s="5" t="s">
        <v>703</v>
      </c>
      <c r="F5304" s="5"/>
      <c r="G5304" s="9">
        <f>H5304*(1-15%)*(1-F5304)</f>
        <v>80.665000000000006</v>
      </c>
      <c r="H5304" s="9">
        <v>94.900000000000006</v>
      </c>
      <c r="I5304" s="9">
        <f>H5304-G5304</f>
        <v>14.234999999999999</v>
      </c>
    </row>
    <row r="5305" ht="14.25">
      <c r="A5305" s="5">
        <v>56577</v>
      </c>
      <c r="B5305" s="7" t="s">
        <v>5397</v>
      </c>
      <c r="C5305" s="7" t="s">
        <v>4891</v>
      </c>
      <c r="D5305" s="7" t="s">
        <v>183</v>
      </c>
      <c r="E5305" s="5" t="s">
        <v>26</v>
      </c>
      <c r="F5305" s="5"/>
      <c r="G5305" s="9">
        <f>H5305*(1-15%)*(1-F5305)</f>
        <v>74.715000000000003</v>
      </c>
      <c r="H5305" s="9">
        <v>87.900000000000006</v>
      </c>
      <c r="I5305" s="9">
        <f>H5305-G5305</f>
        <v>13.185000000000002</v>
      </c>
    </row>
    <row r="5306" ht="14.25">
      <c r="A5306" s="5">
        <v>56737</v>
      </c>
      <c r="B5306" s="7" t="s">
        <v>5398</v>
      </c>
      <c r="C5306" s="7" t="s">
        <v>4891</v>
      </c>
      <c r="D5306" s="7" t="s">
        <v>183</v>
      </c>
      <c r="E5306" s="5" t="s">
        <v>26</v>
      </c>
      <c r="F5306" s="5"/>
      <c r="G5306" s="9">
        <f>H5306*(1-15%)*(1-F5306)</f>
        <v>38.164999999999999</v>
      </c>
      <c r="H5306" s="9">
        <v>44.899999999999999</v>
      </c>
      <c r="I5306" s="9">
        <f>H5306-G5306</f>
        <v>6.7349999999999994</v>
      </c>
    </row>
    <row r="5307" ht="14.25">
      <c r="A5307" s="5">
        <v>78957</v>
      </c>
      <c r="B5307" s="7" t="s">
        <v>5399</v>
      </c>
      <c r="C5307" s="7" t="s">
        <v>4891</v>
      </c>
      <c r="D5307" s="7" t="s">
        <v>183</v>
      </c>
      <c r="E5307" s="5" t="s">
        <v>26</v>
      </c>
      <c r="F5307" s="5"/>
      <c r="G5307" s="9">
        <f>H5307*(1-15%)*(1-F5307)</f>
        <v>66.215000000000003</v>
      </c>
      <c r="H5307" s="9">
        <v>77.900000000000006</v>
      </c>
      <c r="I5307" s="9">
        <f>H5307-G5307</f>
        <v>11.685000000000002</v>
      </c>
    </row>
    <row r="5308" ht="14.25">
      <c r="A5308" s="5">
        <v>79133</v>
      </c>
      <c r="B5308" s="7" t="s">
        <v>5400</v>
      </c>
      <c r="C5308" s="7" t="s">
        <v>4891</v>
      </c>
      <c r="D5308" s="7" t="s">
        <v>183</v>
      </c>
      <c r="E5308" s="5" t="s">
        <v>26</v>
      </c>
      <c r="F5308" s="5"/>
      <c r="G5308" s="9">
        <f>H5308*(1-15%)*(1-F5308)</f>
        <v>66.215000000000003</v>
      </c>
      <c r="H5308" s="9">
        <v>77.900000000000006</v>
      </c>
      <c r="I5308" s="9">
        <f>H5308-G5308</f>
        <v>11.685000000000002</v>
      </c>
    </row>
    <row r="5309" ht="14.25">
      <c r="A5309" s="5">
        <v>78923</v>
      </c>
      <c r="B5309" s="7" t="s">
        <v>5401</v>
      </c>
      <c r="C5309" s="7" t="s">
        <v>4891</v>
      </c>
      <c r="D5309" s="7" t="s">
        <v>183</v>
      </c>
      <c r="E5309" s="5" t="s">
        <v>26</v>
      </c>
      <c r="F5309" s="5"/>
      <c r="G5309" s="9">
        <f>H5309*(1-15%)*(1-F5309)</f>
        <v>66.215000000000003</v>
      </c>
      <c r="H5309" s="9">
        <v>77.900000000000006</v>
      </c>
      <c r="I5309" s="9">
        <f>H5309-G5309</f>
        <v>11.685000000000002</v>
      </c>
    </row>
    <row r="5310" ht="14.25">
      <c r="A5310" s="5">
        <v>57446</v>
      </c>
      <c r="B5310" s="7" t="s">
        <v>5402</v>
      </c>
      <c r="C5310" s="7" t="s">
        <v>4891</v>
      </c>
      <c r="D5310" s="7" t="s">
        <v>219</v>
      </c>
      <c r="E5310" s="5" t="s">
        <v>703</v>
      </c>
      <c r="F5310" s="5"/>
      <c r="G5310" s="9">
        <f>H5310*(1-15%)*(1-F5310)</f>
        <v>39.015000000000001</v>
      </c>
      <c r="H5310" s="9">
        <v>45.899999999999999</v>
      </c>
      <c r="I5310" s="9">
        <f>H5310-G5310</f>
        <v>6.884999999999998</v>
      </c>
    </row>
    <row r="5311" ht="14.25">
      <c r="A5311" s="5">
        <v>56135</v>
      </c>
      <c r="B5311" s="7" t="s">
        <v>5403</v>
      </c>
      <c r="C5311" s="7" t="s">
        <v>4891</v>
      </c>
      <c r="D5311" s="7" t="s">
        <v>219</v>
      </c>
      <c r="E5311" s="5" t="s">
        <v>26</v>
      </c>
      <c r="F5311" s="5"/>
      <c r="G5311" s="9">
        <f>H5311*(1-15%)*(1-F5311)</f>
        <v>49.214999999999996</v>
      </c>
      <c r="H5311" s="9">
        <v>57.899999999999999</v>
      </c>
      <c r="I5311" s="9">
        <f>H5311-G5311</f>
        <v>8.6850000000000023</v>
      </c>
    </row>
    <row r="5312" ht="14.25">
      <c r="A5312" s="5">
        <v>59174</v>
      </c>
      <c r="B5312" s="7" t="s">
        <v>5404</v>
      </c>
      <c r="C5312" s="7" t="s">
        <v>4891</v>
      </c>
      <c r="D5312" s="7" t="s">
        <v>219</v>
      </c>
      <c r="E5312" s="5" t="s">
        <v>26</v>
      </c>
      <c r="F5312" s="5"/>
      <c r="G5312" s="9">
        <f>H5312*(1-15%)*(1-F5312)</f>
        <v>48.364999999999995</v>
      </c>
      <c r="H5312" s="9">
        <v>56.899999999999999</v>
      </c>
      <c r="I5312" s="9">
        <f>H5312-G5312</f>
        <v>8.5350000000000037</v>
      </c>
    </row>
    <row r="5313" ht="14.25">
      <c r="A5313" s="5">
        <v>56470</v>
      </c>
      <c r="B5313" s="7" t="s">
        <v>5405</v>
      </c>
      <c r="C5313" s="7" t="s">
        <v>4891</v>
      </c>
      <c r="D5313" s="7" t="s">
        <v>61</v>
      </c>
      <c r="E5313" s="5" t="s">
        <v>39</v>
      </c>
      <c r="F5313" s="5"/>
      <c r="G5313" s="9">
        <f>H5313*(1-15%)*(1-F5313)</f>
        <v>76.415000000000006</v>
      </c>
      <c r="H5313" s="9">
        <v>89.900000000000006</v>
      </c>
      <c r="I5313" s="9">
        <f>H5313-G5313</f>
        <v>13.484999999999999</v>
      </c>
    </row>
    <row r="5314" ht="14.25">
      <c r="A5314" s="5">
        <v>56322</v>
      </c>
      <c r="B5314" s="7" t="s">
        <v>5406</v>
      </c>
      <c r="C5314" s="7" t="s">
        <v>4891</v>
      </c>
      <c r="D5314" s="7" t="s">
        <v>110</v>
      </c>
      <c r="E5314" s="5" t="s">
        <v>703</v>
      </c>
      <c r="F5314" s="5"/>
      <c r="G5314" s="9">
        <f>H5314*(1-15%)*(1-F5314)</f>
        <v>49.214999999999996</v>
      </c>
      <c r="H5314" s="9">
        <v>57.899999999999999</v>
      </c>
      <c r="I5314" s="9">
        <f>H5314-G5314</f>
        <v>8.6850000000000023</v>
      </c>
    </row>
    <row r="5315" ht="14.25">
      <c r="A5315" s="5">
        <v>56323</v>
      </c>
      <c r="B5315" s="7" t="s">
        <v>5407</v>
      </c>
      <c r="C5315" s="7" t="s">
        <v>4891</v>
      </c>
      <c r="D5315" s="7" t="s">
        <v>110</v>
      </c>
      <c r="E5315" s="5" t="s">
        <v>703</v>
      </c>
      <c r="F5315" s="5"/>
      <c r="G5315" s="9">
        <f>H5315*(1-15%)*(1-F5315)</f>
        <v>49.214999999999996</v>
      </c>
      <c r="H5315" s="9">
        <v>57.899999999999999</v>
      </c>
      <c r="I5315" s="9">
        <f>H5315-G5315</f>
        <v>8.6850000000000023</v>
      </c>
    </row>
    <row r="5316" ht="14.25">
      <c r="A5316" s="5">
        <v>56324</v>
      </c>
      <c r="B5316" s="7" t="s">
        <v>5408</v>
      </c>
      <c r="C5316" s="7" t="s">
        <v>4891</v>
      </c>
      <c r="D5316" s="7" t="s">
        <v>110</v>
      </c>
      <c r="E5316" s="5" t="s">
        <v>703</v>
      </c>
      <c r="F5316" s="5"/>
      <c r="G5316" s="9">
        <f>H5316*(1-15%)*(1-F5316)</f>
        <v>49.214999999999996</v>
      </c>
      <c r="H5316" s="9">
        <v>57.899999999999999</v>
      </c>
      <c r="I5316" s="9">
        <f>H5316-G5316</f>
        <v>8.6850000000000023</v>
      </c>
    </row>
    <row r="5317" ht="14.25">
      <c r="A5317" s="5">
        <v>56879</v>
      </c>
      <c r="B5317" s="7" t="s">
        <v>5409</v>
      </c>
      <c r="C5317" s="7" t="s">
        <v>4891</v>
      </c>
      <c r="D5317" s="7" t="s">
        <v>110</v>
      </c>
      <c r="E5317" s="5" t="s">
        <v>26</v>
      </c>
      <c r="F5317" s="5"/>
      <c r="G5317" s="9">
        <f>H5317*(1-15%)*(1-F5317)</f>
        <v>61.965000000000003</v>
      </c>
      <c r="H5317" s="9">
        <v>72.900000000000006</v>
      </c>
      <c r="I5317" s="9">
        <f>H5317-G5317</f>
        <v>10.935000000000002</v>
      </c>
    </row>
    <row r="5318" ht="14.25">
      <c r="A5318" s="5">
        <v>56884</v>
      </c>
      <c r="B5318" s="7" t="s">
        <v>5410</v>
      </c>
      <c r="C5318" s="7" t="s">
        <v>4891</v>
      </c>
      <c r="D5318" s="7" t="s">
        <v>110</v>
      </c>
      <c r="E5318" s="5" t="s">
        <v>26</v>
      </c>
      <c r="F5318" s="5"/>
      <c r="G5318" s="9">
        <f>H5318*(1-15%)*(1-F5318)</f>
        <v>61.965000000000003</v>
      </c>
      <c r="H5318" s="9">
        <v>72.900000000000006</v>
      </c>
      <c r="I5318" s="9">
        <f>H5318-G5318</f>
        <v>10.935000000000002</v>
      </c>
    </row>
    <row r="5319" ht="14.25">
      <c r="A5319" s="5">
        <v>56885</v>
      </c>
      <c r="B5319" s="7" t="s">
        <v>5411</v>
      </c>
      <c r="C5319" s="7" t="s">
        <v>4891</v>
      </c>
      <c r="D5319" s="7" t="s">
        <v>110</v>
      </c>
      <c r="E5319" s="5" t="s">
        <v>26</v>
      </c>
      <c r="F5319" s="5"/>
      <c r="G5319" s="9">
        <f>H5319*(1-15%)*(1-F5319)</f>
        <v>61.965000000000003</v>
      </c>
      <c r="H5319" s="9">
        <v>72.900000000000006</v>
      </c>
      <c r="I5319" s="9">
        <f>H5319-G5319</f>
        <v>10.935000000000002</v>
      </c>
    </row>
    <row r="5320" ht="14.25">
      <c r="A5320" s="5">
        <v>56886</v>
      </c>
      <c r="B5320" s="7" t="s">
        <v>5412</v>
      </c>
      <c r="C5320" s="7" t="s">
        <v>4891</v>
      </c>
      <c r="D5320" s="7" t="s">
        <v>110</v>
      </c>
      <c r="E5320" s="5" t="s">
        <v>26</v>
      </c>
      <c r="F5320" s="5"/>
      <c r="G5320" s="9">
        <f>H5320*(1-15%)*(1-F5320)</f>
        <v>61.965000000000003</v>
      </c>
      <c r="H5320" s="9">
        <v>72.900000000000006</v>
      </c>
      <c r="I5320" s="9">
        <f>H5320-G5320</f>
        <v>10.935000000000002</v>
      </c>
    </row>
    <row r="5321" ht="14.25">
      <c r="A5321" s="5">
        <v>56892</v>
      </c>
      <c r="B5321" s="7" t="s">
        <v>5413</v>
      </c>
      <c r="C5321" s="7" t="s">
        <v>4891</v>
      </c>
      <c r="D5321" s="7" t="s">
        <v>110</v>
      </c>
      <c r="E5321" s="5" t="s">
        <v>26</v>
      </c>
      <c r="F5321" s="5"/>
      <c r="G5321" s="9">
        <f>H5321*(1-15%)*(1-F5321)</f>
        <v>61.965000000000003</v>
      </c>
      <c r="H5321" s="9">
        <v>72.900000000000006</v>
      </c>
      <c r="I5321" s="9">
        <f>H5321-G5321</f>
        <v>10.935000000000002</v>
      </c>
    </row>
    <row r="5322" ht="14.25">
      <c r="A5322" s="5">
        <v>56894</v>
      </c>
      <c r="B5322" s="7" t="s">
        <v>5414</v>
      </c>
      <c r="C5322" s="7" t="s">
        <v>4891</v>
      </c>
      <c r="D5322" s="7" t="s">
        <v>110</v>
      </c>
      <c r="E5322" s="5" t="s">
        <v>26</v>
      </c>
      <c r="F5322" s="5"/>
      <c r="G5322" s="9">
        <f>H5322*(1-15%)*(1-F5322)</f>
        <v>61.965000000000003</v>
      </c>
      <c r="H5322" s="9">
        <v>72.900000000000006</v>
      </c>
      <c r="I5322" s="9">
        <f>H5322-G5322</f>
        <v>10.935000000000002</v>
      </c>
    </row>
    <row r="5323" ht="14.25">
      <c r="A5323" s="5">
        <v>56899</v>
      </c>
      <c r="B5323" s="7" t="s">
        <v>5415</v>
      </c>
      <c r="C5323" s="7" t="s">
        <v>4891</v>
      </c>
      <c r="D5323" s="7" t="s">
        <v>110</v>
      </c>
      <c r="E5323" s="5" t="s">
        <v>26</v>
      </c>
      <c r="F5323" s="5"/>
      <c r="G5323" s="9">
        <f>H5323*(1-15%)*(1-F5323)</f>
        <v>61.965000000000003</v>
      </c>
      <c r="H5323" s="9">
        <v>72.900000000000006</v>
      </c>
      <c r="I5323" s="9">
        <f>H5323-G5323</f>
        <v>10.935000000000002</v>
      </c>
    </row>
    <row r="5324" ht="14.25">
      <c r="A5324" s="5">
        <v>56901</v>
      </c>
      <c r="B5324" s="7" t="s">
        <v>5416</v>
      </c>
      <c r="C5324" s="7" t="s">
        <v>4891</v>
      </c>
      <c r="D5324" s="7" t="s">
        <v>110</v>
      </c>
      <c r="E5324" s="5" t="s">
        <v>26</v>
      </c>
      <c r="F5324" s="5"/>
      <c r="G5324" s="9">
        <f>H5324*(1-15%)*(1-F5324)</f>
        <v>61.965000000000003</v>
      </c>
      <c r="H5324" s="9">
        <v>72.900000000000006</v>
      </c>
      <c r="I5324" s="9">
        <f>H5324-G5324</f>
        <v>10.935000000000002</v>
      </c>
    </row>
    <row r="5325" ht="14.25">
      <c r="A5325" s="5">
        <v>59412</v>
      </c>
      <c r="B5325" s="7" t="s">
        <v>5417</v>
      </c>
      <c r="C5325" s="7" t="s">
        <v>4891</v>
      </c>
      <c r="D5325" s="7" t="s">
        <v>110</v>
      </c>
      <c r="E5325" s="5" t="s">
        <v>43</v>
      </c>
      <c r="F5325" s="5"/>
      <c r="G5325" s="9">
        <f>H5325*(1-15%)*(1-F5325)</f>
        <v>61.965000000000003</v>
      </c>
      <c r="H5325" s="9">
        <v>72.900000000000006</v>
      </c>
      <c r="I5325" s="9">
        <f>H5325-G5325</f>
        <v>10.935000000000002</v>
      </c>
    </row>
    <row r="5326" ht="14.25">
      <c r="A5326" s="5">
        <v>59417</v>
      </c>
      <c r="B5326" s="7" t="s">
        <v>5418</v>
      </c>
      <c r="C5326" s="7" t="s">
        <v>4891</v>
      </c>
      <c r="D5326" s="7" t="s">
        <v>110</v>
      </c>
      <c r="E5326" s="5" t="s">
        <v>43</v>
      </c>
      <c r="F5326" s="5"/>
      <c r="G5326" s="9">
        <f>H5326*(1-15%)*(1-F5326)</f>
        <v>61.965000000000003</v>
      </c>
      <c r="H5326" s="9">
        <v>72.900000000000006</v>
      </c>
      <c r="I5326" s="9">
        <f>H5326-G5326</f>
        <v>10.935000000000002</v>
      </c>
    </row>
    <row r="5327" ht="14.25">
      <c r="A5327" s="5">
        <v>58181</v>
      </c>
      <c r="B5327" s="7" t="s">
        <v>5419</v>
      </c>
      <c r="C5327" s="7" t="s">
        <v>4891</v>
      </c>
      <c r="D5327" s="7" t="s">
        <v>110</v>
      </c>
      <c r="E5327" s="5" t="s">
        <v>43</v>
      </c>
      <c r="F5327" s="5"/>
      <c r="G5327" s="9">
        <f>H5327*(1-15%)*(1-F5327)</f>
        <v>25.414999999999999</v>
      </c>
      <c r="H5327" s="9">
        <v>29.899999999999999</v>
      </c>
      <c r="I5327" s="9">
        <f>H5327-G5327</f>
        <v>4.4849999999999994</v>
      </c>
    </row>
    <row r="5328" ht="14.25">
      <c r="A5328" s="5">
        <v>58186</v>
      </c>
      <c r="B5328" s="7" t="s">
        <v>5420</v>
      </c>
      <c r="C5328" s="7" t="s">
        <v>4891</v>
      </c>
      <c r="D5328" s="7" t="s">
        <v>110</v>
      </c>
      <c r="E5328" s="5" t="s">
        <v>43</v>
      </c>
      <c r="F5328" s="5"/>
      <c r="G5328" s="9">
        <f>H5328*(1-15%)*(1-F5328)</f>
        <v>25.414999999999999</v>
      </c>
      <c r="H5328" s="9">
        <v>29.899999999999999</v>
      </c>
      <c r="I5328" s="9">
        <f>H5328-G5328</f>
        <v>4.4849999999999994</v>
      </c>
    </row>
    <row r="5329" ht="14.25">
      <c r="A5329" s="5">
        <v>58180</v>
      </c>
      <c r="B5329" s="7" t="s">
        <v>5421</v>
      </c>
      <c r="C5329" s="7" t="s">
        <v>4891</v>
      </c>
      <c r="D5329" s="7" t="s">
        <v>110</v>
      </c>
      <c r="E5329" s="5" t="s">
        <v>43</v>
      </c>
      <c r="F5329" s="5"/>
      <c r="G5329" s="9">
        <f>H5329*(1-15%)*(1-F5329)</f>
        <v>25.414999999999999</v>
      </c>
      <c r="H5329" s="9">
        <v>29.899999999999999</v>
      </c>
      <c r="I5329" s="9">
        <f>H5329-G5329</f>
        <v>4.4849999999999994</v>
      </c>
    </row>
    <row r="5330" ht="14.25">
      <c r="A5330" s="5">
        <v>56870</v>
      </c>
      <c r="B5330" s="7" t="s">
        <v>5422</v>
      </c>
      <c r="C5330" s="7" t="s">
        <v>4891</v>
      </c>
      <c r="D5330" s="7" t="s">
        <v>110</v>
      </c>
      <c r="E5330" s="5" t="s">
        <v>43</v>
      </c>
      <c r="F5330" s="5"/>
      <c r="G5330" s="9">
        <f>H5330*(1-15%)*(1-F5330)</f>
        <v>25.414999999999999</v>
      </c>
      <c r="H5330" s="9">
        <v>29.899999999999999</v>
      </c>
      <c r="I5330" s="9">
        <f>H5330-G5330</f>
        <v>4.4849999999999994</v>
      </c>
    </row>
    <row r="5331" ht="14.25">
      <c r="A5331" s="5">
        <v>58182</v>
      </c>
      <c r="B5331" s="7" t="s">
        <v>5423</v>
      </c>
      <c r="C5331" s="7" t="s">
        <v>4891</v>
      </c>
      <c r="D5331" s="7" t="s">
        <v>110</v>
      </c>
      <c r="E5331" s="5" t="s">
        <v>43</v>
      </c>
      <c r="F5331" s="5"/>
      <c r="G5331" s="9">
        <f>H5331*(1-15%)*(1-F5331)</f>
        <v>25.414999999999999</v>
      </c>
      <c r="H5331" s="9">
        <v>29.899999999999999</v>
      </c>
      <c r="I5331" s="9">
        <f>H5331-G5331</f>
        <v>4.4849999999999994</v>
      </c>
    </row>
    <row r="5332" ht="14.25">
      <c r="A5332" s="5">
        <v>56868</v>
      </c>
      <c r="B5332" s="7" t="s">
        <v>5424</v>
      </c>
      <c r="C5332" s="7" t="s">
        <v>4891</v>
      </c>
      <c r="D5332" s="7" t="s">
        <v>110</v>
      </c>
      <c r="E5332" s="5" t="s">
        <v>43</v>
      </c>
      <c r="F5332" s="5"/>
      <c r="G5332" s="9">
        <f>H5332*(1-15%)*(1-F5332)</f>
        <v>25.414999999999999</v>
      </c>
      <c r="H5332" s="9">
        <v>29.899999999999999</v>
      </c>
      <c r="I5332" s="9">
        <f>H5332-G5332</f>
        <v>4.4849999999999994</v>
      </c>
    </row>
    <row r="5333" ht="14.25">
      <c r="A5333" s="5">
        <v>58179</v>
      </c>
      <c r="B5333" s="7" t="s">
        <v>5425</v>
      </c>
      <c r="C5333" s="7" t="s">
        <v>4891</v>
      </c>
      <c r="D5333" s="7" t="s">
        <v>110</v>
      </c>
      <c r="E5333" s="5" t="s">
        <v>43</v>
      </c>
      <c r="F5333" s="5"/>
      <c r="G5333" s="9">
        <f>H5333*(1-15%)*(1-F5333)</f>
        <v>25.414999999999999</v>
      </c>
      <c r="H5333" s="9">
        <v>29.899999999999999</v>
      </c>
      <c r="I5333" s="9">
        <f>H5333-G5333</f>
        <v>4.4849999999999994</v>
      </c>
    </row>
    <row r="5334" ht="14.25">
      <c r="A5334" s="5">
        <v>56867</v>
      </c>
      <c r="B5334" s="7" t="s">
        <v>5426</v>
      </c>
      <c r="C5334" s="7" t="s">
        <v>4891</v>
      </c>
      <c r="D5334" s="7" t="s">
        <v>110</v>
      </c>
      <c r="E5334" s="5" t="s">
        <v>43</v>
      </c>
      <c r="F5334" s="5"/>
      <c r="G5334" s="9">
        <f>H5334*(1-15%)*(1-F5334)</f>
        <v>25.414999999999999</v>
      </c>
      <c r="H5334" s="9">
        <v>29.899999999999999</v>
      </c>
      <c r="I5334" s="9">
        <f>H5334-G5334</f>
        <v>4.4849999999999994</v>
      </c>
    </row>
    <row r="5335" ht="14.25">
      <c r="A5335" s="5">
        <v>56869</v>
      </c>
      <c r="B5335" s="7" t="s">
        <v>5427</v>
      </c>
      <c r="C5335" s="7" t="s">
        <v>4891</v>
      </c>
      <c r="D5335" s="7" t="s">
        <v>110</v>
      </c>
      <c r="E5335" s="5" t="s">
        <v>43</v>
      </c>
      <c r="F5335" s="5"/>
      <c r="G5335" s="9">
        <f>H5335*(1-15%)*(1-F5335)</f>
        <v>25.414999999999999</v>
      </c>
      <c r="H5335" s="9">
        <v>29.899999999999999</v>
      </c>
      <c r="I5335" s="9">
        <f>H5335-G5335</f>
        <v>4.4849999999999994</v>
      </c>
    </row>
    <row r="5336" ht="14.25">
      <c r="A5336" s="5">
        <v>58188</v>
      </c>
      <c r="B5336" s="7" t="s">
        <v>5428</v>
      </c>
      <c r="C5336" s="7" t="s">
        <v>4891</v>
      </c>
      <c r="D5336" s="7" t="s">
        <v>110</v>
      </c>
      <c r="E5336" s="5" t="s">
        <v>43</v>
      </c>
      <c r="F5336" s="5"/>
      <c r="G5336" s="9">
        <f>H5336*(1-15%)*(1-F5336)</f>
        <v>25.414999999999999</v>
      </c>
      <c r="H5336" s="9">
        <v>29.899999999999999</v>
      </c>
      <c r="I5336" s="9">
        <f>H5336-G5336</f>
        <v>4.4849999999999994</v>
      </c>
    </row>
    <row r="5337" ht="14.25">
      <c r="A5337" s="5">
        <v>56979</v>
      </c>
      <c r="B5337" s="7" t="s">
        <v>5429</v>
      </c>
      <c r="C5337" s="7" t="s">
        <v>4891</v>
      </c>
      <c r="D5337" s="7" t="s">
        <v>110</v>
      </c>
      <c r="E5337" s="5" t="s">
        <v>43</v>
      </c>
      <c r="F5337" s="5"/>
      <c r="G5337" s="9">
        <f>H5337*(1-15%)*(1-F5337)</f>
        <v>44.964999999999996</v>
      </c>
      <c r="H5337" s="9">
        <v>52.899999999999999</v>
      </c>
      <c r="I5337" s="9">
        <f>H5337-G5337</f>
        <v>7.9350000000000023</v>
      </c>
    </row>
    <row r="5338" ht="14.25">
      <c r="A5338" s="5">
        <v>58190</v>
      </c>
      <c r="B5338" s="7" t="s">
        <v>5430</v>
      </c>
      <c r="C5338" s="7" t="s">
        <v>4891</v>
      </c>
      <c r="D5338" s="7" t="s">
        <v>110</v>
      </c>
      <c r="E5338" s="5" t="s">
        <v>43</v>
      </c>
      <c r="F5338" s="5"/>
      <c r="G5338" s="9">
        <f>H5338*(1-15%)*(1-F5338)</f>
        <v>27.964999999999996</v>
      </c>
      <c r="H5338" s="9">
        <v>32.899999999999999</v>
      </c>
      <c r="I5338" s="9">
        <f>H5338-G5338</f>
        <v>4.9350000000000023</v>
      </c>
    </row>
    <row r="5339" ht="14.25">
      <c r="A5339" s="5">
        <v>58192</v>
      </c>
      <c r="B5339" s="7" t="s">
        <v>5431</v>
      </c>
      <c r="C5339" s="7" t="s">
        <v>4891</v>
      </c>
      <c r="D5339" s="7" t="s">
        <v>110</v>
      </c>
      <c r="E5339" s="5" t="s">
        <v>43</v>
      </c>
      <c r="F5339" s="5"/>
      <c r="G5339" s="9">
        <f>H5339*(1-15%)*(1-F5339)</f>
        <v>27.964999999999996</v>
      </c>
      <c r="H5339" s="9">
        <v>32.899999999999999</v>
      </c>
      <c r="I5339" s="9">
        <f>H5339-G5339</f>
        <v>4.9350000000000023</v>
      </c>
    </row>
    <row r="5340" ht="14.25">
      <c r="A5340" s="5">
        <v>58189</v>
      </c>
      <c r="B5340" s="7" t="s">
        <v>5432</v>
      </c>
      <c r="C5340" s="7" t="s">
        <v>4891</v>
      </c>
      <c r="D5340" s="7" t="s">
        <v>110</v>
      </c>
      <c r="E5340" s="5" t="s">
        <v>43</v>
      </c>
      <c r="F5340" s="5"/>
      <c r="G5340" s="9">
        <f>H5340*(1-15%)*(1-F5340)</f>
        <v>27.964999999999996</v>
      </c>
      <c r="H5340" s="9">
        <v>32.899999999999999</v>
      </c>
      <c r="I5340" s="9">
        <f>H5340-G5340</f>
        <v>4.9350000000000023</v>
      </c>
    </row>
    <row r="5341" ht="14.25">
      <c r="A5341" s="5">
        <v>58191</v>
      </c>
      <c r="B5341" s="7" t="s">
        <v>5433</v>
      </c>
      <c r="C5341" s="7" t="s">
        <v>4891</v>
      </c>
      <c r="D5341" s="7" t="s">
        <v>110</v>
      </c>
      <c r="E5341" s="5" t="s">
        <v>43</v>
      </c>
      <c r="F5341" s="5"/>
      <c r="G5341" s="9">
        <f>H5341*(1-15%)*(1-F5341)</f>
        <v>27.964999999999996</v>
      </c>
      <c r="H5341" s="9">
        <v>32.899999999999999</v>
      </c>
      <c r="I5341" s="9">
        <f>H5341-G5341</f>
        <v>4.9350000000000023</v>
      </c>
    </row>
    <row r="5342" ht="14.25">
      <c r="A5342" s="5">
        <v>56960</v>
      </c>
      <c r="B5342" s="7" t="s">
        <v>5434</v>
      </c>
      <c r="C5342" s="7" t="s">
        <v>4891</v>
      </c>
      <c r="D5342" s="7" t="s">
        <v>110</v>
      </c>
      <c r="E5342" s="5" t="s">
        <v>43</v>
      </c>
      <c r="F5342" s="5"/>
      <c r="G5342" s="9">
        <f>H5342*(1-15%)*(1-F5342)</f>
        <v>44.964999999999996</v>
      </c>
      <c r="H5342" s="9">
        <v>52.899999999999999</v>
      </c>
      <c r="I5342" s="9">
        <f>H5342-G5342</f>
        <v>7.9350000000000023</v>
      </c>
    </row>
    <row r="5343" ht="14.25">
      <c r="A5343" s="5">
        <v>56957</v>
      </c>
      <c r="B5343" s="7" t="s">
        <v>5435</v>
      </c>
      <c r="C5343" s="7" t="s">
        <v>4891</v>
      </c>
      <c r="D5343" s="7" t="s">
        <v>110</v>
      </c>
      <c r="E5343" s="5" t="s">
        <v>43</v>
      </c>
      <c r="F5343" s="5"/>
      <c r="G5343" s="9">
        <f>H5343*(1-15%)*(1-F5343)</f>
        <v>44.964999999999996</v>
      </c>
      <c r="H5343" s="9">
        <v>52.899999999999999</v>
      </c>
      <c r="I5343" s="9">
        <f>H5343-G5343</f>
        <v>7.9350000000000023</v>
      </c>
    </row>
    <row r="5344" ht="14.25">
      <c r="A5344" s="5">
        <v>56958</v>
      </c>
      <c r="B5344" s="7" t="s">
        <v>5436</v>
      </c>
      <c r="C5344" s="7" t="s">
        <v>4891</v>
      </c>
      <c r="D5344" s="7" t="s">
        <v>110</v>
      </c>
      <c r="E5344" s="5" t="s">
        <v>43</v>
      </c>
      <c r="F5344" s="5"/>
      <c r="G5344" s="9">
        <f>H5344*(1-15%)*(1-F5344)</f>
        <v>44.964999999999996</v>
      </c>
      <c r="H5344" s="9">
        <v>52.899999999999999</v>
      </c>
      <c r="I5344" s="9">
        <f>H5344-G5344</f>
        <v>7.9350000000000023</v>
      </c>
    </row>
    <row r="5345" ht="14.25">
      <c r="A5345" s="5">
        <v>56961</v>
      </c>
      <c r="B5345" s="7" t="s">
        <v>5437</v>
      </c>
      <c r="C5345" s="7" t="s">
        <v>4891</v>
      </c>
      <c r="D5345" s="7" t="s">
        <v>110</v>
      </c>
      <c r="E5345" s="5" t="s">
        <v>43</v>
      </c>
      <c r="F5345" s="5"/>
      <c r="G5345" s="9">
        <f>H5345*(1-15%)*(1-F5345)</f>
        <v>44.964999999999996</v>
      </c>
      <c r="H5345" s="9">
        <v>52.899999999999999</v>
      </c>
      <c r="I5345" s="9">
        <f>H5345-G5345</f>
        <v>7.9350000000000023</v>
      </c>
    </row>
    <row r="5346" ht="14.25">
      <c r="A5346" s="5">
        <v>56726</v>
      </c>
      <c r="B5346" s="7" t="s">
        <v>5438</v>
      </c>
      <c r="C5346" s="7" t="s">
        <v>4891</v>
      </c>
      <c r="D5346" s="7" t="s">
        <v>110</v>
      </c>
      <c r="E5346" s="5" t="s">
        <v>26</v>
      </c>
      <c r="F5346" s="5"/>
      <c r="G5346" s="9">
        <f>H5346*(1-15%)*(1-F5346)</f>
        <v>53.464999999999996</v>
      </c>
      <c r="H5346" s="9">
        <v>62.899999999999999</v>
      </c>
      <c r="I5346" s="9">
        <f>H5346-G5346</f>
        <v>9.4350000000000023</v>
      </c>
    </row>
    <row r="5347" ht="14.25">
      <c r="A5347" s="5">
        <v>56728</v>
      </c>
      <c r="B5347" s="7" t="s">
        <v>5439</v>
      </c>
      <c r="C5347" s="7" t="s">
        <v>4891</v>
      </c>
      <c r="D5347" s="7" t="s">
        <v>110</v>
      </c>
      <c r="E5347" s="5" t="s">
        <v>26</v>
      </c>
      <c r="F5347" s="5"/>
      <c r="G5347" s="9">
        <f>H5347*(1-15%)*(1-F5347)</f>
        <v>53.464999999999996</v>
      </c>
      <c r="H5347" s="9">
        <v>62.899999999999999</v>
      </c>
      <c r="I5347" s="9">
        <f>H5347-G5347</f>
        <v>9.4350000000000023</v>
      </c>
    </row>
    <row r="5348" ht="14.25">
      <c r="A5348" s="5">
        <v>56722</v>
      </c>
      <c r="B5348" s="7" t="s">
        <v>5440</v>
      </c>
      <c r="C5348" s="7" t="s">
        <v>4891</v>
      </c>
      <c r="D5348" s="7" t="s">
        <v>110</v>
      </c>
      <c r="E5348" s="5" t="s">
        <v>26</v>
      </c>
      <c r="F5348" s="5"/>
      <c r="G5348" s="9">
        <f>H5348*(1-15%)*(1-F5348)</f>
        <v>53.464999999999996</v>
      </c>
      <c r="H5348" s="9">
        <v>62.899999999999999</v>
      </c>
      <c r="I5348" s="9">
        <f>H5348-G5348</f>
        <v>9.4350000000000023</v>
      </c>
    </row>
    <row r="5349" ht="14.25">
      <c r="A5349" s="5">
        <v>56723</v>
      </c>
      <c r="B5349" s="7" t="s">
        <v>5441</v>
      </c>
      <c r="C5349" s="7" t="s">
        <v>4891</v>
      </c>
      <c r="D5349" s="7" t="s">
        <v>110</v>
      </c>
      <c r="E5349" s="5" t="s">
        <v>26</v>
      </c>
      <c r="F5349" s="5"/>
      <c r="G5349" s="9">
        <f>H5349*(1-15%)*(1-F5349)</f>
        <v>53.464999999999996</v>
      </c>
      <c r="H5349" s="9">
        <v>62.899999999999999</v>
      </c>
      <c r="I5349" s="9">
        <f>H5349-G5349</f>
        <v>9.4350000000000023</v>
      </c>
    </row>
    <row r="5350" ht="14.25">
      <c r="A5350" s="5">
        <v>57828</v>
      </c>
      <c r="B5350" s="7" t="s">
        <v>5442</v>
      </c>
      <c r="C5350" s="7" t="s">
        <v>4891</v>
      </c>
      <c r="D5350" s="7" t="s">
        <v>110</v>
      </c>
      <c r="E5350" s="5" t="s">
        <v>26</v>
      </c>
      <c r="F5350" s="5"/>
      <c r="G5350" s="9">
        <f>H5350*(1-15%)*(1-F5350)</f>
        <v>49.214999999999996</v>
      </c>
      <c r="H5350" s="9">
        <v>57.899999999999999</v>
      </c>
      <c r="I5350" s="9">
        <f>H5350-G5350</f>
        <v>8.6850000000000023</v>
      </c>
    </row>
    <row r="5351" ht="14.25">
      <c r="A5351" s="5">
        <v>57810</v>
      </c>
      <c r="B5351" s="7" t="s">
        <v>5443</v>
      </c>
      <c r="C5351" s="7" t="s">
        <v>4891</v>
      </c>
      <c r="D5351" s="7" t="s">
        <v>110</v>
      </c>
      <c r="E5351" s="5" t="s">
        <v>26</v>
      </c>
      <c r="F5351" s="5"/>
      <c r="G5351" s="9">
        <f>H5351*(1-15%)*(1-F5351)</f>
        <v>49.214999999999996</v>
      </c>
      <c r="H5351" s="9">
        <v>57.899999999999999</v>
      </c>
      <c r="I5351" s="9">
        <f>H5351-G5351</f>
        <v>8.6850000000000023</v>
      </c>
    </row>
    <row r="5352" ht="14.25">
      <c r="A5352" s="5">
        <v>57825</v>
      </c>
      <c r="B5352" s="7" t="s">
        <v>5444</v>
      </c>
      <c r="C5352" s="7" t="s">
        <v>4891</v>
      </c>
      <c r="D5352" s="7" t="s">
        <v>110</v>
      </c>
      <c r="E5352" s="5" t="s">
        <v>26</v>
      </c>
      <c r="F5352" s="5"/>
      <c r="G5352" s="9">
        <f>H5352*(1-15%)*(1-F5352)</f>
        <v>49.214999999999996</v>
      </c>
      <c r="H5352" s="9">
        <v>57.899999999999999</v>
      </c>
      <c r="I5352" s="9">
        <f>H5352-G5352</f>
        <v>8.6850000000000023</v>
      </c>
    </row>
    <row r="5353" ht="14.25">
      <c r="A5353" s="5">
        <v>53285</v>
      </c>
      <c r="B5353" s="7" t="s">
        <v>5445</v>
      </c>
      <c r="C5353" s="7" t="s">
        <v>4891</v>
      </c>
      <c r="D5353" s="7" t="s">
        <v>110</v>
      </c>
      <c r="E5353" s="5" t="s">
        <v>26</v>
      </c>
      <c r="F5353" s="5"/>
      <c r="G5353" s="9">
        <f>H5353*(1-15%)*(1-F5353)</f>
        <v>49.214999999999996</v>
      </c>
      <c r="H5353" s="9">
        <v>57.899999999999999</v>
      </c>
      <c r="I5353" s="9">
        <f>H5353-G5353</f>
        <v>8.6850000000000023</v>
      </c>
    </row>
    <row r="5354" ht="14.25">
      <c r="A5354" s="5">
        <v>57822</v>
      </c>
      <c r="B5354" s="7" t="s">
        <v>5446</v>
      </c>
      <c r="C5354" s="7" t="s">
        <v>4891</v>
      </c>
      <c r="D5354" s="7" t="s">
        <v>110</v>
      </c>
      <c r="E5354" s="5" t="s">
        <v>26</v>
      </c>
      <c r="F5354" s="5"/>
      <c r="G5354" s="9">
        <f>H5354*(1-15%)*(1-F5354)</f>
        <v>49.214999999999996</v>
      </c>
      <c r="H5354" s="9">
        <v>57.899999999999999</v>
      </c>
      <c r="I5354" s="9">
        <f>H5354-G5354</f>
        <v>8.6850000000000023</v>
      </c>
    </row>
    <row r="5355" ht="14.25">
      <c r="A5355" s="5">
        <v>53280</v>
      </c>
      <c r="B5355" s="7" t="s">
        <v>5447</v>
      </c>
      <c r="C5355" s="7" t="s">
        <v>4891</v>
      </c>
      <c r="D5355" s="7" t="s">
        <v>110</v>
      </c>
      <c r="E5355" s="5" t="s">
        <v>26</v>
      </c>
      <c r="F5355" s="5"/>
      <c r="G5355" s="9">
        <f>H5355*(1-15%)*(1-F5355)</f>
        <v>49.214999999999996</v>
      </c>
      <c r="H5355" s="9">
        <v>57.899999999999999</v>
      </c>
      <c r="I5355" s="9">
        <f>H5355-G5355</f>
        <v>8.6850000000000023</v>
      </c>
    </row>
    <row r="5356" ht="14.25">
      <c r="A5356" s="5">
        <v>56720</v>
      </c>
      <c r="B5356" s="7" t="s">
        <v>5448</v>
      </c>
      <c r="C5356" s="7" t="s">
        <v>4891</v>
      </c>
      <c r="D5356" s="7" t="s">
        <v>110</v>
      </c>
      <c r="E5356" s="5" t="s">
        <v>26</v>
      </c>
      <c r="F5356" s="5"/>
      <c r="G5356" s="9">
        <f>H5356*(1-15%)*(1-F5356)</f>
        <v>49.214999999999996</v>
      </c>
      <c r="H5356" s="9">
        <v>57.899999999999999</v>
      </c>
      <c r="I5356" s="9">
        <f>H5356-G5356</f>
        <v>8.6850000000000023</v>
      </c>
    </row>
    <row r="5357" ht="14.25">
      <c r="A5357" s="5">
        <v>58287</v>
      </c>
      <c r="B5357" s="7" t="s">
        <v>5449</v>
      </c>
      <c r="C5357" s="7" t="s">
        <v>4891</v>
      </c>
      <c r="D5357" s="7" t="s">
        <v>110</v>
      </c>
      <c r="E5357" s="5" t="s">
        <v>26</v>
      </c>
      <c r="F5357" s="5"/>
      <c r="G5357" s="9">
        <f>H5357*(1-15%)*(1-F5357)</f>
        <v>59.415000000000006</v>
      </c>
      <c r="H5357" s="9">
        <v>69.900000000000006</v>
      </c>
      <c r="I5357" s="9">
        <f>H5357-G5357</f>
        <v>10.484999999999999</v>
      </c>
    </row>
    <row r="5358" ht="14.25">
      <c r="A5358" s="5">
        <v>58286</v>
      </c>
      <c r="B5358" s="7" t="s">
        <v>5450</v>
      </c>
      <c r="C5358" s="7" t="s">
        <v>4891</v>
      </c>
      <c r="D5358" s="7" t="s">
        <v>110</v>
      </c>
      <c r="E5358" s="5" t="s">
        <v>26</v>
      </c>
      <c r="F5358" s="5"/>
      <c r="G5358" s="9">
        <f>H5358*(1-15%)*(1-F5358)</f>
        <v>59.415000000000006</v>
      </c>
      <c r="H5358" s="9">
        <v>69.900000000000006</v>
      </c>
      <c r="I5358" s="9">
        <f>H5358-G5358</f>
        <v>10.484999999999999</v>
      </c>
    </row>
    <row r="5359" ht="14.25">
      <c r="A5359" s="5">
        <v>56732</v>
      </c>
      <c r="B5359" s="7" t="s">
        <v>5451</v>
      </c>
      <c r="C5359" s="7" t="s">
        <v>4891</v>
      </c>
      <c r="D5359" s="7" t="s">
        <v>110</v>
      </c>
      <c r="E5359" s="5" t="s">
        <v>26</v>
      </c>
      <c r="F5359" s="5"/>
      <c r="G5359" s="9">
        <f>H5359*(1-15%)*(1-F5359)</f>
        <v>59.415000000000006</v>
      </c>
      <c r="H5359" s="9">
        <v>69.900000000000006</v>
      </c>
      <c r="I5359" s="9">
        <f>H5359-G5359</f>
        <v>10.484999999999999</v>
      </c>
    </row>
    <row r="5360" ht="14.25">
      <c r="A5360" s="5">
        <v>56733</v>
      </c>
      <c r="B5360" s="7" t="s">
        <v>5452</v>
      </c>
      <c r="C5360" s="7" t="s">
        <v>4891</v>
      </c>
      <c r="D5360" s="7" t="s">
        <v>110</v>
      </c>
      <c r="E5360" s="5" t="s">
        <v>26</v>
      </c>
      <c r="F5360" s="5"/>
      <c r="G5360" s="9">
        <f>H5360*(1-15%)*(1-F5360)</f>
        <v>59.415000000000006</v>
      </c>
      <c r="H5360" s="9">
        <v>69.900000000000006</v>
      </c>
      <c r="I5360" s="9">
        <f>H5360-G5360</f>
        <v>10.484999999999999</v>
      </c>
    </row>
    <row r="5361" ht="14.25">
      <c r="A5361" s="5">
        <v>84754</v>
      </c>
      <c r="B5361" s="7" t="s">
        <v>5453</v>
      </c>
      <c r="C5361" s="7" t="s">
        <v>4891</v>
      </c>
      <c r="D5361" s="7" t="s">
        <v>110</v>
      </c>
      <c r="E5361" s="5" t="s">
        <v>39</v>
      </c>
      <c r="F5361" s="5"/>
      <c r="G5361" s="9">
        <f>H5361*(1-15%)*(1-F5361)</f>
        <v>33.914999999999999</v>
      </c>
      <c r="H5361" s="9">
        <v>39.899999999999999</v>
      </c>
      <c r="I5361" s="9">
        <f>H5361-G5361</f>
        <v>5.9849999999999994</v>
      </c>
    </row>
    <row r="5362" ht="14.25">
      <c r="A5362" s="5">
        <v>51021</v>
      </c>
      <c r="B5362" s="7" t="s">
        <v>5454</v>
      </c>
      <c r="C5362" s="7" t="s">
        <v>4891</v>
      </c>
      <c r="D5362" s="7" t="s">
        <v>110</v>
      </c>
      <c r="E5362" s="5" t="s">
        <v>703</v>
      </c>
      <c r="F5362" s="5"/>
      <c r="G5362" s="9">
        <f>H5362*(1-15%)*(1-F5362)</f>
        <v>46.664999999999999</v>
      </c>
      <c r="H5362" s="9">
        <v>54.899999999999999</v>
      </c>
      <c r="I5362" s="9">
        <f>H5362-G5362</f>
        <v>8.2349999999999994</v>
      </c>
    </row>
    <row r="5363" ht="14.25">
      <c r="A5363" s="5">
        <v>56923</v>
      </c>
      <c r="B5363" s="7" t="s">
        <v>5455</v>
      </c>
      <c r="C5363" s="7" t="s">
        <v>4891</v>
      </c>
      <c r="D5363" s="7" t="s">
        <v>110</v>
      </c>
      <c r="E5363" s="5" t="s">
        <v>26</v>
      </c>
      <c r="F5363" s="5"/>
      <c r="G5363" s="9">
        <f>H5363*(1-15%)*(1-F5363)</f>
        <v>40.714999999999996</v>
      </c>
      <c r="H5363" s="9">
        <v>47.899999999999999</v>
      </c>
      <c r="I5363" s="9">
        <f>H5363-G5363</f>
        <v>7.1850000000000023</v>
      </c>
    </row>
    <row r="5364" ht="14.25">
      <c r="A5364" s="5">
        <v>56909</v>
      </c>
      <c r="B5364" s="7" t="s">
        <v>5456</v>
      </c>
      <c r="C5364" s="7" t="s">
        <v>4891</v>
      </c>
      <c r="D5364" s="7" t="s">
        <v>110</v>
      </c>
      <c r="E5364" s="5" t="s">
        <v>26</v>
      </c>
      <c r="F5364" s="5"/>
      <c r="G5364" s="9">
        <f>H5364*(1-15%)*(1-F5364)</f>
        <v>42.414999999999999</v>
      </c>
      <c r="H5364" s="9">
        <v>49.899999999999999</v>
      </c>
      <c r="I5364" s="9">
        <f>H5364-G5364</f>
        <v>7.4849999999999994</v>
      </c>
    </row>
    <row r="5365" ht="14.25">
      <c r="A5365" s="5">
        <v>56911</v>
      </c>
      <c r="B5365" s="7" t="s">
        <v>5457</v>
      </c>
      <c r="C5365" s="7" t="s">
        <v>4891</v>
      </c>
      <c r="D5365" s="7" t="s">
        <v>110</v>
      </c>
      <c r="E5365" s="5" t="s">
        <v>26</v>
      </c>
      <c r="F5365" s="5"/>
      <c r="G5365" s="9">
        <f>H5365*(1-15%)*(1-F5365)</f>
        <v>42.414999999999999</v>
      </c>
      <c r="H5365" s="9">
        <v>49.899999999999999</v>
      </c>
      <c r="I5365" s="9">
        <f>H5365-G5365</f>
        <v>7.4849999999999994</v>
      </c>
    </row>
    <row r="5366" ht="14.25">
      <c r="A5366" s="5">
        <v>56913</v>
      </c>
      <c r="B5366" s="7" t="s">
        <v>5458</v>
      </c>
      <c r="C5366" s="7" t="s">
        <v>4891</v>
      </c>
      <c r="D5366" s="7" t="s">
        <v>110</v>
      </c>
      <c r="E5366" s="5" t="s">
        <v>26</v>
      </c>
      <c r="F5366" s="5"/>
      <c r="G5366" s="9">
        <f>H5366*(1-15%)*(1-F5366)</f>
        <v>42.414999999999999</v>
      </c>
      <c r="H5366" s="9">
        <v>49.899999999999999</v>
      </c>
      <c r="I5366" s="9">
        <f>H5366-G5366</f>
        <v>7.4849999999999994</v>
      </c>
    </row>
    <row r="5367" ht="14.25">
      <c r="A5367" s="5">
        <v>56906</v>
      </c>
      <c r="B5367" s="7" t="s">
        <v>5459</v>
      </c>
      <c r="C5367" s="7" t="s">
        <v>4891</v>
      </c>
      <c r="D5367" s="7" t="s">
        <v>110</v>
      </c>
      <c r="E5367" s="5" t="s">
        <v>26</v>
      </c>
      <c r="F5367" s="5"/>
      <c r="G5367" s="9">
        <f>H5367*(1-15%)*(1-F5367)</f>
        <v>42.414999999999999</v>
      </c>
      <c r="H5367" s="9">
        <v>49.899999999999999</v>
      </c>
      <c r="I5367" s="9">
        <f>H5367-G5367</f>
        <v>7.4849999999999994</v>
      </c>
    </row>
    <row r="5368" ht="14.25">
      <c r="A5368" s="5">
        <v>56910</v>
      </c>
      <c r="B5368" s="7" t="s">
        <v>5460</v>
      </c>
      <c r="C5368" s="7" t="s">
        <v>4891</v>
      </c>
      <c r="D5368" s="7" t="s">
        <v>110</v>
      </c>
      <c r="E5368" s="5" t="s">
        <v>26</v>
      </c>
      <c r="F5368" s="5"/>
      <c r="G5368" s="9">
        <f>H5368*(1-15%)*(1-F5368)</f>
        <v>42.414999999999999</v>
      </c>
      <c r="H5368" s="9">
        <v>49.899999999999999</v>
      </c>
      <c r="I5368" s="9">
        <f>H5368-G5368</f>
        <v>7.4849999999999994</v>
      </c>
    </row>
    <row r="5369" ht="14.25">
      <c r="A5369" s="5">
        <v>56912</v>
      </c>
      <c r="B5369" s="7" t="s">
        <v>5461</v>
      </c>
      <c r="C5369" s="7" t="s">
        <v>4891</v>
      </c>
      <c r="D5369" s="7" t="s">
        <v>110</v>
      </c>
      <c r="E5369" s="5" t="s">
        <v>26</v>
      </c>
      <c r="F5369" s="5"/>
      <c r="G5369" s="9">
        <f>H5369*(1-15%)*(1-F5369)</f>
        <v>42.414999999999999</v>
      </c>
      <c r="H5369" s="9">
        <v>49.899999999999999</v>
      </c>
      <c r="I5369" s="9">
        <f>H5369-G5369</f>
        <v>7.4849999999999994</v>
      </c>
    </row>
    <row r="5370" ht="14.25">
      <c r="A5370" s="5">
        <v>50990</v>
      </c>
      <c r="B5370" s="7" t="s">
        <v>5462</v>
      </c>
      <c r="C5370" s="7" t="s">
        <v>4891</v>
      </c>
      <c r="D5370" s="7" t="s">
        <v>110</v>
      </c>
      <c r="E5370" s="5" t="s">
        <v>703</v>
      </c>
      <c r="F5370" s="5"/>
      <c r="G5370" s="9">
        <f>H5370*(1-15%)*(1-F5370)</f>
        <v>53.464999999999996</v>
      </c>
      <c r="H5370" s="9">
        <v>62.899999999999999</v>
      </c>
      <c r="I5370" s="9">
        <f>H5370-G5370</f>
        <v>9.4350000000000023</v>
      </c>
    </row>
    <row r="5371" ht="14.25">
      <c r="A5371" s="5">
        <v>58288</v>
      </c>
      <c r="B5371" s="7" t="s">
        <v>5463</v>
      </c>
      <c r="C5371" s="7" t="s">
        <v>4891</v>
      </c>
      <c r="D5371" s="7" t="s">
        <v>110</v>
      </c>
      <c r="E5371" s="5" t="s">
        <v>26</v>
      </c>
      <c r="F5371" s="5"/>
      <c r="G5371" s="9">
        <f>H5371*(1-15%)*(1-F5371)</f>
        <v>67.915000000000006</v>
      </c>
      <c r="H5371" s="9">
        <v>79.900000000000006</v>
      </c>
      <c r="I5371" s="9">
        <f>H5371-G5371</f>
        <v>11.984999999999999</v>
      </c>
    </row>
    <row r="5372" ht="14.25">
      <c r="A5372" s="5">
        <v>59138</v>
      </c>
      <c r="B5372" s="7" t="s">
        <v>5464</v>
      </c>
      <c r="C5372" s="7" t="s">
        <v>4891</v>
      </c>
      <c r="D5372" s="7" t="s">
        <v>110</v>
      </c>
      <c r="E5372" s="5" t="s">
        <v>26</v>
      </c>
      <c r="F5372" s="5"/>
      <c r="G5372" s="9">
        <f>H5372*(1-15%)*(1-F5372)</f>
        <v>67.915000000000006</v>
      </c>
      <c r="H5372" s="9">
        <v>79.900000000000006</v>
      </c>
      <c r="I5372" s="9">
        <f>H5372-G5372</f>
        <v>11.984999999999999</v>
      </c>
    </row>
    <row r="5373" ht="14.25">
      <c r="A5373" s="5">
        <v>56872</v>
      </c>
      <c r="B5373" s="7" t="s">
        <v>5465</v>
      </c>
      <c r="C5373" s="7" t="s">
        <v>4891</v>
      </c>
      <c r="D5373" s="7" t="s">
        <v>110</v>
      </c>
      <c r="E5373" s="5" t="s">
        <v>26</v>
      </c>
      <c r="F5373" s="5"/>
      <c r="G5373" s="9">
        <f>H5373*(1-15%)*(1-F5373)</f>
        <v>22.014999999999997</v>
      </c>
      <c r="H5373" s="9">
        <v>25.899999999999999</v>
      </c>
      <c r="I5373" s="9">
        <f>H5373-G5373</f>
        <v>3.8850000000000016</v>
      </c>
    </row>
    <row r="5374" ht="14.25">
      <c r="A5374" s="5">
        <v>56877</v>
      </c>
      <c r="B5374" s="7" t="s">
        <v>5466</v>
      </c>
      <c r="C5374" s="7" t="s">
        <v>4891</v>
      </c>
      <c r="D5374" s="7" t="s">
        <v>110</v>
      </c>
      <c r="E5374" s="5" t="s">
        <v>26</v>
      </c>
      <c r="F5374" s="5"/>
      <c r="G5374" s="9">
        <f>H5374*(1-15%)*(1-F5374)</f>
        <v>22.014999999999997</v>
      </c>
      <c r="H5374" s="9">
        <v>25.899999999999999</v>
      </c>
      <c r="I5374" s="9">
        <f>H5374-G5374</f>
        <v>3.8850000000000016</v>
      </c>
    </row>
    <row r="5375" ht="14.25">
      <c r="A5375" s="5">
        <v>56873</v>
      </c>
      <c r="B5375" s="7" t="s">
        <v>5467</v>
      </c>
      <c r="C5375" s="7" t="s">
        <v>4891</v>
      </c>
      <c r="D5375" s="7" t="s">
        <v>110</v>
      </c>
      <c r="E5375" s="5" t="s">
        <v>26</v>
      </c>
      <c r="F5375" s="5"/>
      <c r="G5375" s="9">
        <f>H5375*(1-15%)*(1-F5375)</f>
        <v>22.014999999999997</v>
      </c>
      <c r="H5375" s="9">
        <v>25.899999999999999</v>
      </c>
      <c r="I5375" s="9">
        <f>H5375-G5375</f>
        <v>3.8850000000000016</v>
      </c>
    </row>
    <row r="5376" ht="14.25">
      <c r="A5376" s="5">
        <v>55239</v>
      </c>
      <c r="B5376" s="7" t="s">
        <v>5468</v>
      </c>
      <c r="C5376" s="7" t="s">
        <v>4891</v>
      </c>
      <c r="D5376" s="7" t="s">
        <v>110</v>
      </c>
      <c r="E5376" s="5" t="s">
        <v>43</v>
      </c>
      <c r="F5376" s="5"/>
      <c r="G5376" s="9">
        <f>H5376*(1-15%)*(1-F5376)</f>
        <v>40.714999999999996</v>
      </c>
      <c r="H5376" s="9">
        <v>47.899999999999999</v>
      </c>
      <c r="I5376" s="9">
        <f>H5376-G5376</f>
        <v>7.1850000000000023</v>
      </c>
    </row>
    <row r="5377" ht="14.25">
      <c r="A5377" s="5">
        <v>55229</v>
      </c>
      <c r="B5377" s="7" t="s">
        <v>5469</v>
      </c>
      <c r="C5377" s="7" t="s">
        <v>4891</v>
      </c>
      <c r="D5377" s="7" t="s">
        <v>110</v>
      </c>
      <c r="E5377" s="5" t="s">
        <v>43</v>
      </c>
      <c r="F5377" s="5"/>
      <c r="G5377" s="9">
        <f>H5377*(1-15%)*(1-F5377)</f>
        <v>40.714999999999996</v>
      </c>
      <c r="H5377" s="9">
        <v>47.899999999999999</v>
      </c>
      <c r="I5377" s="9">
        <f>H5377-G5377</f>
        <v>7.1850000000000023</v>
      </c>
    </row>
    <row r="5378" ht="14.25">
      <c r="A5378" s="5">
        <v>55237</v>
      </c>
      <c r="B5378" s="7" t="s">
        <v>5470</v>
      </c>
      <c r="C5378" s="7" t="s">
        <v>4891</v>
      </c>
      <c r="D5378" s="7" t="s">
        <v>110</v>
      </c>
      <c r="E5378" s="5" t="s">
        <v>43</v>
      </c>
      <c r="F5378" s="5"/>
      <c r="G5378" s="9">
        <f>H5378*(1-15%)*(1-F5378)</f>
        <v>40.714999999999996</v>
      </c>
      <c r="H5378" s="9">
        <v>47.899999999999999</v>
      </c>
      <c r="I5378" s="9">
        <f>H5378-G5378</f>
        <v>7.1850000000000023</v>
      </c>
    </row>
    <row r="5379" ht="14.25">
      <c r="A5379" s="5">
        <v>55230</v>
      </c>
      <c r="B5379" s="7" t="s">
        <v>5471</v>
      </c>
      <c r="C5379" s="7" t="s">
        <v>4891</v>
      </c>
      <c r="D5379" s="7" t="s">
        <v>110</v>
      </c>
      <c r="E5379" s="5" t="s">
        <v>43</v>
      </c>
      <c r="F5379" s="5"/>
      <c r="G5379" s="9">
        <f>H5379*(1-15%)*(1-F5379)</f>
        <v>40.714999999999996</v>
      </c>
      <c r="H5379" s="9">
        <v>47.899999999999999</v>
      </c>
      <c r="I5379" s="9">
        <f>H5379-G5379</f>
        <v>7.1850000000000023</v>
      </c>
    </row>
    <row r="5380" ht="14.25">
      <c r="A5380" s="5">
        <v>55236</v>
      </c>
      <c r="B5380" s="7" t="s">
        <v>5472</v>
      </c>
      <c r="C5380" s="7" t="s">
        <v>4891</v>
      </c>
      <c r="D5380" s="7" t="s">
        <v>110</v>
      </c>
      <c r="E5380" s="5" t="s">
        <v>43</v>
      </c>
      <c r="F5380" s="5"/>
      <c r="G5380" s="9">
        <f>H5380*(1-15%)*(1-F5380)</f>
        <v>40.714999999999996</v>
      </c>
      <c r="H5380" s="9">
        <v>47.899999999999999</v>
      </c>
      <c r="I5380" s="9">
        <f>H5380-G5380</f>
        <v>7.1850000000000023</v>
      </c>
    </row>
    <row r="5381" ht="14.25">
      <c r="A5381" s="5">
        <v>55240</v>
      </c>
      <c r="B5381" s="7" t="s">
        <v>5473</v>
      </c>
      <c r="C5381" s="7" t="s">
        <v>4891</v>
      </c>
      <c r="D5381" s="7" t="s">
        <v>110</v>
      </c>
      <c r="E5381" s="5" t="s">
        <v>43</v>
      </c>
      <c r="F5381" s="5"/>
      <c r="G5381" s="9">
        <f>H5381*(1-15%)*(1-F5381)</f>
        <v>40.714999999999996</v>
      </c>
      <c r="H5381" s="9">
        <v>47.899999999999999</v>
      </c>
      <c r="I5381" s="9">
        <f>H5381-G5381</f>
        <v>7.1850000000000023</v>
      </c>
    </row>
    <row r="5382" ht="14.25">
      <c r="A5382" s="5">
        <v>79449</v>
      </c>
      <c r="B5382" s="7" t="s">
        <v>5474</v>
      </c>
      <c r="C5382" s="7" t="s">
        <v>4891</v>
      </c>
      <c r="D5382" s="7" t="s">
        <v>110</v>
      </c>
      <c r="E5382" s="5" t="s">
        <v>26</v>
      </c>
      <c r="F5382" s="5"/>
      <c r="G5382" s="9">
        <f>H5382*(1-15%)*(1-F5382)</f>
        <v>41.564999999999998</v>
      </c>
      <c r="H5382" s="9">
        <v>48.899999999999999</v>
      </c>
      <c r="I5382" s="9">
        <f>H5382-G5382</f>
        <v>7.3350000000000009</v>
      </c>
    </row>
    <row r="5383" ht="14.25">
      <c r="A5383" s="5">
        <v>56984</v>
      </c>
      <c r="B5383" s="7" t="s">
        <v>5475</v>
      </c>
      <c r="C5383" s="7" t="s">
        <v>4891</v>
      </c>
      <c r="D5383" s="7" t="s">
        <v>110</v>
      </c>
      <c r="E5383" s="5" t="s">
        <v>43</v>
      </c>
      <c r="F5383" s="5"/>
      <c r="G5383" s="9">
        <f>H5383*(1-15%)*(1-F5383)</f>
        <v>40.714999999999996</v>
      </c>
      <c r="H5383" s="9">
        <v>47.899999999999999</v>
      </c>
      <c r="I5383" s="9">
        <f>H5383-G5383</f>
        <v>7.1850000000000023</v>
      </c>
    </row>
    <row r="5384" ht="14.25">
      <c r="A5384" s="5">
        <v>58441</v>
      </c>
      <c r="B5384" s="7" t="s">
        <v>5476</v>
      </c>
      <c r="C5384" s="7" t="s">
        <v>4891</v>
      </c>
      <c r="D5384" s="7" t="s">
        <v>110</v>
      </c>
      <c r="E5384" s="5" t="s">
        <v>43</v>
      </c>
      <c r="F5384" s="5"/>
      <c r="G5384" s="9">
        <f>H5384*(1-15%)*(1-F5384)</f>
        <v>40.714999999999996</v>
      </c>
      <c r="H5384" s="9">
        <v>47.899999999999999</v>
      </c>
      <c r="I5384" s="9">
        <f>H5384-G5384</f>
        <v>7.1850000000000023</v>
      </c>
    </row>
    <row r="5385" ht="14.25">
      <c r="A5385" s="5">
        <v>56985</v>
      </c>
      <c r="B5385" s="7" t="s">
        <v>5477</v>
      </c>
      <c r="C5385" s="7" t="s">
        <v>4891</v>
      </c>
      <c r="D5385" s="7" t="s">
        <v>110</v>
      </c>
      <c r="E5385" s="5" t="s">
        <v>43</v>
      </c>
      <c r="F5385" s="5"/>
      <c r="G5385" s="9">
        <f>H5385*(1-15%)*(1-F5385)</f>
        <v>40.714999999999996</v>
      </c>
      <c r="H5385" s="9">
        <v>47.899999999999999</v>
      </c>
      <c r="I5385" s="9">
        <f>H5385-G5385</f>
        <v>7.1850000000000023</v>
      </c>
    </row>
    <row r="5386" ht="14.25">
      <c r="A5386" s="5">
        <v>56983</v>
      </c>
      <c r="B5386" s="7" t="s">
        <v>5478</v>
      </c>
      <c r="C5386" s="7" t="s">
        <v>4891</v>
      </c>
      <c r="D5386" s="7" t="s">
        <v>110</v>
      </c>
      <c r="E5386" s="5" t="s">
        <v>43</v>
      </c>
      <c r="F5386" s="5"/>
      <c r="G5386" s="9">
        <f>H5386*(1-15%)*(1-F5386)</f>
        <v>40.714999999999996</v>
      </c>
      <c r="H5386" s="9">
        <v>47.899999999999999</v>
      </c>
      <c r="I5386" s="9">
        <f>H5386-G5386</f>
        <v>7.1850000000000023</v>
      </c>
    </row>
    <row r="5387" ht="14.25">
      <c r="A5387" s="5">
        <v>55596</v>
      </c>
      <c r="B5387" s="7" t="s">
        <v>5479</v>
      </c>
      <c r="C5387" s="7" t="s">
        <v>4891</v>
      </c>
      <c r="D5387" s="7" t="s">
        <v>110</v>
      </c>
      <c r="E5387" s="5" t="s">
        <v>43</v>
      </c>
      <c r="F5387" s="5"/>
      <c r="G5387" s="9">
        <f>H5387*(1-15%)*(1-F5387)</f>
        <v>44.964999999999996</v>
      </c>
      <c r="H5387" s="9">
        <v>52.899999999999999</v>
      </c>
      <c r="I5387" s="9">
        <f>H5387-G5387</f>
        <v>7.9350000000000023</v>
      </c>
    </row>
    <row r="5388" ht="14.25">
      <c r="A5388" s="5">
        <v>55588</v>
      </c>
      <c r="B5388" s="7" t="s">
        <v>5480</v>
      </c>
      <c r="C5388" s="7" t="s">
        <v>4891</v>
      </c>
      <c r="D5388" s="7" t="s">
        <v>110</v>
      </c>
      <c r="E5388" s="5" t="s">
        <v>43</v>
      </c>
      <c r="F5388" s="5"/>
      <c r="G5388" s="9">
        <f>H5388*(1-15%)*(1-F5388)</f>
        <v>67.915000000000006</v>
      </c>
      <c r="H5388" s="9">
        <v>79.900000000000006</v>
      </c>
      <c r="I5388" s="9">
        <f>H5388-G5388</f>
        <v>11.984999999999999</v>
      </c>
    </row>
    <row r="5389" ht="14.25">
      <c r="A5389" s="5">
        <v>56321</v>
      </c>
      <c r="B5389" s="7" t="s">
        <v>5481</v>
      </c>
      <c r="C5389" s="7" t="s">
        <v>4891</v>
      </c>
      <c r="D5389" s="7" t="s">
        <v>110</v>
      </c>
      <c r="E5389" s="5" t="s">
        <v>703</v>
      </c>
      <c r="F5389" s="5"/>
      <c r="G5389" s="9">
        <f>H5389*(1-15%)*(1-F5389)</f>
        <v>212.41499999999999</v>
      </c>
      <c r="H5389" s="9">
        <v>249.90000000000001</v>
      </c>
      <c r="I5389" s="9">
        <f>H5389-G5389</f>
        <v>37.485000000000014</v>
      </c>
    </row>
    <row r="5390" ht="14.25">
      <c r="A5390" s="5">
        <v>55592</v>
      </c>
      <c r="B5390" s="7" t="s">
        <v>5482</v>
      </c>
      <c r="C5390" s="7" t="s">
        <v>4891</v>
      </c>
      <c r="D5390" s="7" t="s">
        <v>110</v>
      </c>
      <c r="E5390" s="5" t="s">
        <v>39</v>
      </c>
      <c r="F5390" s="5"/>
      <c r="G5390" s="9">
        <f>H5390*(1-15%)*(1-F5390)</f>
        <v>57.715000000000003</v>
      </c>
      <c r="H5390" s="9">
        <v>67.900000000000006</v>
      </c>
      <c r="I5390" s="9">
        <f>H5390-G5390</f>
        <v>10.185000000000002</v>
      </c>
    </row>
    <row r="5391" ht="14.25">
      <c r="A5391" s="5">
        <v>58275</v>
      </c>
      <c r="B5391" s="7" t="s">
        <v>5483</v>
      </c>
      <c r="C5391" s="7" t="s">
        <v>4891</v>
      </c>
      <c r="D5391" s="7" t="s">
        <v>11</v>
      </c>
      <c r="E5391" s="5" t="s">
        <v>26</v>
      </c>
      <c r="F5391" s="5"/>
      <c r="G5391" s="9">
        <f>H5391*(1-15%)*(1-F5391)</f>
        <v>237.91499999999996</v>
      </c>
      <c r="H5391" s="9">
        <v>279.89999999999998</v>
      </c>
      <c r="I5391" s="9">
        <f>H5391-G5391</f>
        <v>41.985000000000014</v>
      </c>
    </row>
    <row r="5392" ht="14.25">
      <c r="A5392" s="5">
        <v>50252</v>
      </c>
      <c r="B5392" s="7" t="s">
        <v>5484</v>
      </c>
      <c r="C5392" s="7" t="s">
        <v>4891</v>
      </c>
      <c r="D5392" s="7" t="s">
        <v>199</v>
      </c>
      <c r="E5392" s="5" t="s">
        <v>26</v>
      </c>
      <c r="F5392" s="5"/>
      <c r="G5392" s="9">
        <f>H5392*(1-15%)*(1-F5392)</f>
        <v>72.165000000000006</v>
      </c>
      <c r="H5392" s="9">
        <v>84.900000000000006</v>
      </c>
      <c r="I5392" s="9">
        <f>H5392-G5392</f>
        <v>12.734999999999999</v>
      </c>
    </row>
    <row r="5393" ht="14.25">
      <c r="A5393" s="5">
        <v>50251</v>
      </c>
      <c r="B5393" s="7" t="s">
        <v>5485</v>
      </c>
      <c r="C5393" s="7" t="s">
        <v>4891</v>
      </c>
      <c r="D5393" s="7" t="s">
        <v>199</v>
      </c>
      <c r="E5393" s="5" t="s">
        <v>26</v>
      </c>
      <c r="F5393" s="5"/>
      <c r="G5393" s="9">
        <f>H5393*(1-15%)*(1-F5393)</f>
        <v>72.165000000000006</v>
      </c>
      <c r="H5393" s="9">
        <v>84.900000000000006</v>
      </c>
      <c r="I5393" s="9">
        <f>H5393-G5393</f>
        <v>12.734999999999999</v>
      </c>
    </row>
    <row r="5394" ht="14.25">
      <c r="A5394" s="5">
        <v>50250</v>
      </c>
      <c r="B5394" s="7" t="s">
        <v>5486</v>
      </c>
      <c r="C5394" s="7" t="s">
        <v>4891</v>
      </c>
      <c r="D5394" s="7" t="s">
        <v>199</v>
      </c>
      <c r="E5394" s="5" t="s">
        <v>26</v>
      </c>
      <c r="F5394" s="5"/>
      <c r="G5394" s="9">
        <f>H5394*(1-15%)*(1-F5394)</f>
        <v>72.165000000000006</v>
      </c>
      <c r="H5394" s="9">
        <v>84.900000000000006</v>
      </c>
      <c r="I5394" s="9">
        <f>H5394-G5394</f>
        <v>12.734999999999999</v>
      </c>
    </row>
    <row r="5395" ht="14.25">
      <c r="A5395" s="5">
        <v>50253</v>
      </c>
      <c r="B5395" s="7" t="s">
        <v>5487</v>
      </c>
      <c r="C5395" s="7" t="s">
        <v>4891</v>
      </c>
      <c r="D5395" s="7" t="s">
        <v>199</v>
      </c>
      <c r="E5395" s="5" t="s">
        <v>26</v>
      </c>
      <c r="F5395" s="5"/>
      <c r="G5395" s="9">
        <f>H5395*(1-15%)*(1-F5395)</f>
        <v>72.165000000000006</v>
      </c>
      <c r="H5395" s="9">
        <v>84.900000000000006</v>
      </c>
      <c r="I5395" s="9">
        <f>H5395-G5395</f>
        <v>12.734999999999999</v>
      </c>
    </row>
    <row r="5396" ht="14.25">
      <c r="A5396" s="5">
        <v>50258</v>
      </c>
      <c r="B5396" s="7" t="s">
        <v>5488</v>
      </c>
      <c r="C5396" s="7" t="s">
        <v>4891</v>
      </c>
      <c r="D5396" s="7" t="s">
        <v>199</v>
      </c>
      <c r="E5396" s="5" t="s">
        <v>26</v>
      </c>
      <c r="F5396" s="5"/>
      <c r="G5396" s="9">
        <f>H5396*(1-15%)*(1-F5396)</f>
        <v>72.165000000000006</v>
      </c>
      <c r="H5396" s="9">
        <v>84.900000000000006</v>
      </c>
      <c r="I5396" s="9">
        <f>H5396-G5396</f>
        <v>12.734999999999999</v>
      </c>
    </row>
    <row r="5397" ht="14.25">
      <c r="A5397" s="5">
        <v>17939</v>
      </c>
      <c r="B5397" s="7" t="s">
        <v>5489</v>
      </c>
      <c r="C5397" s="7" t="s">
        <v>4891</v>
      </c>
      <c r="D5397" s="7" t="s">
        <v>110</v>
      </c>
      <c r="E5397" s="5" t="s">
        <v>43</v>
      </c>
      <c r="F5397" s="5"/>
      <c r="G5397" s="9">
        <f>H5397*(1-15%)*(1-F5397)</f>
        <v>40.714999999999996</v>
      </c>
      <c r="H5397" s="9">
        <v>47.899999999999999</v>
      </c>
      <c r="I5397" s="9">
        <f>H5397-G5397</f>
        <v>7.1850000000000023</v>
      </c>
    </row>
    <row r="5398" ht="14.25">
      <c r="A5398" s="5">
        <v>27266</v>
      </c>
      <c r="B5398" s="7" t="s">
        <v>5490</v>
      </c>
      <c r="C5398" s="7" t="s">
        <v>4891</v>
      </c>
      <c r="D5398" s="7" t="s">
        <v>110</v>
      </c>
      <c r="E5398" s="5" t="s">
        <v>43</v>
      </c>
      <c r="F5398" s="5"/>
      <c r="G5398" s="9">
        <f>H5398*(1-15%)*(1-F5398)</f>
        <v>40.714999999999996</v>
      </c>
      <c r="H5398" s="9">
        <v>47.899999999999999</v>
      </c>
      <c r="I5398" s="9">
        <f>H5398-G5398</f>
        <v>7.1850000000000023</v>
      </c>
    </row>
    <row r="5399" ht="14.25">
      <c r="A5399" s="5">
        <v>39210</v>
      </c>
      <c r="B5399" s="7" t="s">
        <v>5491</v>
      </c>
      <c r="C5399" s="7" t="s">
        <v>4891</v>
      </c>
      <c r="D5399" s="7" t="s">
        <v>183</v>
      </c>
      <c r="E5399" s="5" t="s">
        <v>15</v>
      </c>
      <c r="F5399" s="5"/>
      <c r="G5399" s="9">
        <f>H5399*(1-15%)*(1-F5399)</f>
        <v>50.914999999999999</v>
      </c>
      <c r="H5399" s="9">
        <v>59.899999999999999</v>
      </c>
      <c r="I5399" s="9">
        <f>H5399-G5399</f>
        <v>8.9849999999999994</v>
      </c>
    </row>
    <row r="5400" ht="14.25">
      <c r="A5400" s="5">
        <v>42108</v>
      </c>
      <c r="B5400" s="7" t="s">
        <v>5492</v>
      </c>
      <c r="C5400" s="7" t="s">
        <v>4891</v>
      </c>
      <c r="D5400" s="7" t="s">
        <v>183</v>
      </c>
      <c r="E5400" s="5" t="s">
        <v>15</v>
      </c>
      <c r="F5400" s="5"/>
      <c r="G5400" s="9">
        <f>H5400*(1-15%)*(1-F5400)</f>
        <v>46.664999999999999</v>
      </c>
      <c r="H5400" s="9">
        <v>54.899999999999999</v>
      </c>
      <c r="I5400" s="9">
        <f>H5400-G5400</f>
        <v>8.2349999999999994</v>
      </c>
    </row>
    <row r="5401" ht="14.25">
      <c r="A5401" s="5">
        <v>49545</v>
      </c>
      <c r="B5401" s="7" t="s">
        <v>5493</v>
      </c>
      <c r="C5401" s="7" t="s">
        <v>4891</v>
      </c>
      <c r="D5401" s="7" t="s">
        <v>11</v>
      </c>
      <c r="E5401" s="5" t="s">
        <v>26</v>
      </c>
      <c r="F5401" s="5"/>
      <c r="G5401" s="9">
        <f>H5401*(1-15%)*(1-F5401)</f>
        <v>123.16500000000001</v>
      </c>
      <c r="H5401" s="9">
        <v>144.90000000000001</v>
      </c>
      <c r="I5401" s="9">
        <f>H5401-G5401</f>
        <v>21.734999999999999</v>
      </c>
    </row>
    <row r="5402" ht="14.25">
      <c r="A5402" s="5">
        <v>50991</v>
      </c>
      <c r="B5402" s="7" t="s">
        <v>5494</v>
      </c>
      <c r="C5402" s="7" t="s">
        <v>4891</v>
      </c>
      <c r="D5402" s="7" t="s">
        <v>110</v>
      </c>
      <c r="E5402" s="5" t="s">
        <v>703</v>
      </c>
      <c r="F5402" s="5"/>
      <c r="G5402" s="9">
        <f>H5402*(1-15%)*(1-F5402)</f>
        <v>76.415000000000006</v>
      </c>
      <c r="H5402" s="9">
        <v>89.900000000000006</v>
      </c>
      <c r="I5402" s="9">
        <f>H5402-G5402</f>
        <v>13.484999999999999</v>
      </c>
    </row>
    <row r="5403" ht="14.25">
      <c r="A5403" s="5">
        <v>52480</v>
      </c>
      <c r="B5403" s="7" t="s">
        <v>5495</v>
      </c>
      <c r="C5403" s="7" t="s">
        <v>4891</v>
      </c>
      <c r="D5403" s="7" t="s">
        <v>110</v>
      </c>
      <c r="E5403" s="5" t="s">
        <v>703</v>
      </c>
      <c r="F5403" s="5"/>
      <c r="G5403" s="9">
        <f>H5403*(1-15%)*(1-F5403)</f>
        <v>74.715000000000003</v>
      </c>
      <c r="H5403" s="9">
        <v>87.900000000000006</v>
      </c>
      <c r="I5403" s="9">
        <f>H5403-G5403</f>
        <v>13.185000000000002</v>
      </c>
    </row>
    <row r="5404" ht="14.25">
      <c r="A5404" s="5">
        <v>53108</v>
      </c>
      <c r="B5404" s="7" t="s">
        <v>5496</v>
      </c>
      <c r="C5404" s="7" t="s">
        <v>4891</v>
      </c>
      <c r="D5404" s="7" t="s">
        <v>103</v>
      </c>
      <c r="E5404" s="5" t="s">
        <v>703</v>
      </c>
      <c r="F5404" s="5"/>
      <c r="G5404" s="9">
        <f>H5404*(1-15%)*(1-F5404)</f>
        <v>36.464999999999996</v>
      </c>
      <c r="H5404" s="9">
        <v>42.899999999999999</v>
      </c>
      <c r="I5404" s="9">
        <f>H5404-G5404</f>
        <v>6.4350000000000023</v>
      </c>
    </row>
    <row r="5405" ht="14.25">
      <c r="A5405" s="5">
        <v>53116</v>
      </c>
      <c r="B5405" s="7" t="s">
        <v>5497</v>
      </c>
      <c r="C5405" s="7" t="s">
        <v>4891</v>
      </c>
      <c r="D5405" s="7" t="s">
        <v>45</v>
      </c>
      <c r="E5405" s="5" t="s">
        <v>703</v>
      </c>
      <c r="F5405" s="5"/>
      <c r="G5405" s="9">
        <f>H5405*(1-15%)*(1-F5405)</f>
        <v>40.714999999999996</v>
      </c>
      <c r="H5405" s="9">
        <v>47.899999999999999</v>
      </c>
      <c r="I5405" s="9">
        <f>H5405-G5405</f>
        <v>7.1850000000000023</v>
      </c>
    </row>
    <row r="5406" ht="14.25">
      <c r="A5406" s="5">
        <v>53200</v>
      </c>
      <c r="B5406" s="7" t="s">
        <v>5498</v>
      </c>
      <c r="C5406" s="7" t="s">
        <v>4891</v>
      </c>
      <c r="D5406" s="7" t="s">
        <v>110</v>
      </c>
      <c r="E5406" s="5" t="s">
        <v>43</v>
      </c>
      <c r="F5406" s="5"/>
      <c r="G5406" s="9">
        <f>H5406*(1-15%)*(1-F5406)</f>
        <v>67.915000000000006</v>
      </c>
      <c r="H5406" s="9">
        <v>79.900000000000006</v>
      </c>
      <c r="I5406" s="9">
        <f>H5406-G5406</f>
        <v>11.984999999999999</v>
      </c>
    </row>
    <row r="5407" ht="14.25">
      <c r="A5407" s="5">
        <v>53279</v>
      </c>
      <c r="B5407" s="7" t="s">
        <v>5499</v>
      </c>
      <c r="C5407" s="7" t="s">
        <v>4891</v>
      </c>
      <c r="D5407" s="7" t="s">
        <v>110</v>
      </c>
      <c r="E5407" s="5" t="s">
        <v>26</v>
      </c>
      <c r="F5407" s="5"/>
      <c r="G5407" s="9">
        <f>H5407*(1-15%)*(1-F5407)</f>
        <v>67.064999999999998</v>
      </c>
      <c r="H5407" s="9">
        <v>78.900000000000006</v>
      </c>
      <c r="I5407" s="9">
        <f>H5407-G5407</f>
        <v>11.835000000000008</v>
      </c>
    </row>
    <row r="5408" ht="14.25">
      <c r="A5408" s="5">
        <v>53281</v>
      </c>
      <c r="B5408" s="7" t="s">
        <v>5500</v>
      </c>
      <c r="C5408" s="7" t="s">
        <v>4891</v>
      </c>
      <c r="D5408" s="7" t="s">
        <v>110</v>
      </c>
      <c r="E5408" s="5" t="s">
        <v>26</v>
      </c>
      <c r="F5408" s="5"/>
      <c r="G5408" s="9">
        <f>H5408*(1-15%)*(1-F5408)</f>
        <v>67.064999999999998</v>
      </c>
      <c r="H5408" s="9">
        <v>78.900000000000006</v>
      </c>
      <c r="I5408" s="9">
        <f>H5408-G5408</f>
        <v>11.835000000000008</v>
      </c>
    </row>
    <row r="5409" ht="14.25">
      <c r="A5409" s="5">
        <v>53282</v>
      </c>
      <c r="B5409" s="7" t="s">
        <v>5501</v>
      </c>
      <c r="C5409" s="7" t="s">
        <v>4891</v>
      </c>
      <c r="D5409" s="7" t="s">
        <v>110</v>
      </c>
      <c r="E5409" s="5" t="s">
        <v>26</v>
      </c>
      <c r="F5409" s="5"/>
      <c r="G5409" s="9">
        <f>H5409*(1-15%)*(1-F5409)</f>
        <v>49.214999999999996</v>
      </c>
      <c r="H5409" s="9">
        <v>57.899999999999999</v>
      </c>
      <c r="I5409" s="9">
        <f>H5409-G5409</f>
        <v>8.6850000000000023</v>
      </c>
    </row>
    <row r="5410" ht="14.25">
      <c r="A5410" s="5">
        <v>53283</v>
      </c>
      <c r="B5410" s="7" t="s">
        <v>5502</v>
      </c>
      <c r="C5410" s="7" t="s">
        <v>4891</v>
      </c>
      <c r="D5410" s="7" t="s">
        <v>110</v>
      </c>
      <c r="E5410" s="5" t="s">
        <v>26</v>
      </c>
      <c r="F5410" s="5"/>
      <c r="G5410" s="9">
        <f>H5410*(1-15%)*(1-F5410)</f>
        <v>49.214999999999996</v>
      </c>
      <c r="H5410" s="9">
        <v>57.899999999999999</v>
      </c>
      <c r="I5410" s="9">
        <f>H5410-G5410</f>
        <v>8.6850000000000023</v>
      </c>
    </row>
    <row r="5411" ht="14.25">
      <c r="A5411" s="5">
        <v>53284</v>
      </c>
      <c r="B5411" s="7" t="s">
        <v>5503</v>
      </c>
      <c r="C5411" s="7" t="s">
        <v>4891</v>
      </c>
      <c r="D5411" s="7" t="s">
        <v>110</v>
      </c>
      <c r="E5411" s="5" t="s">
        <v>26</v>
      </c>
      <c r="F5411" s="5"/>
      <c r="G5411" s="9">
        <f>H5411*(1-15%)*(1-F5411)</f>
        <v>49.214999999999996</v>
      </c>
      <c r="H5411" s="9">
        <v>57.899999999999999</v>
      </c>
      <c r="I5411" s="9">
        <f>H5411-G5411</f>
        <v>8.6850000000000023</v>
      </c>
    </row>
    <row r="5412" ht="14.25">
      <c r="A5412" s="5">
        <v>53286</v>
      </c>
      <c r="B5412" s="7" t="s">
        <v>5504</v>
      </c>
      <c r="C5412" s="7" t="s">
        <v>4891</v>
      </c>
      <c r="D5412" s="7" t="s">
        <v>110</v>
      </c>
      <c r="E5412" s="5" t="s">
        <v>26</v>
      </c>
      <c r="F5412" s="5"/>
      <c r="G5412" s="9">
        <f>H5412*(1-15%)*(1-F5412)</f>
        <v>67.064999999999998</v>
      </c>
      <c r="H5412" s="9">
        <v>78.900000000000006</v>
      </c>
      <c r="I5412" s="9">
        <f>H5412-G5412</f>
        <v>11.835000000000008</v>
      </c>
    </row>
    <row r="5413" ht="14.25">
      <c r="A5413" s="5">
        <v>53287</v>
      </c>
      <c r="B5413" s="7" t="s">
        <v>5505</v>
      </c>
      <c r="C5413" s="7" t="s">
        <v>4891</v>
      </c>
      <c r="D5413" s="7" t="s">
        <v>110</v>
      </c>
      <c r="E5413" s="5" t="s">
        <v>26</v>
      </c>
      <c r="F5413" s="5"/>
      <c r="G5413" s="9">
        <f>H5413*(1-15%)*(1-F5413)</f>
        <v>49.214999999999996</v>
      </c>
      <c r="H5413" s="9">
        <v>57.899999999999999</v>
      </c>
      <c r="I5413" s="9">
        <f>H5413-G5413</f>
        <v>8.6850000000000023</v>
      </c>
    </row>
    <row r="5414" ht="14.25">
      <c r="A5414" s="5">
        <v>53290</v>
      </c>
      <c r="B5414" s="7" t="s">
        <v>5506</v>
      </c>
      <c r="C5414" s="7" t="s">
        <v>4891</v>
      </c>
      <c r="D5414" s="7" t="s">
        <v>110</v>
      </c>
      <c r="E5414" s="5" t="s">
        <v>39</v>
      </c>
      <c r="F5414" s="5"/>
      <c r="G5414" s="9">
        <f>H5414*(1-15%)*(1-F5414)</f>
        <v>53.464999999999996</v>
      </c>
      <c r="H5414" s="9">
        <v>62.899999999999999</v>
      </c>
      <c r="I5414" s="9">
        <f>H5414-G5414</f>
        <v>9.4350000000000023</v>
      </c>
    </row>
    <row r="5415" ht="14.25">
      <c r="A5415" s="5">
        <v>53291</v>
      </c>
      <c r="B5415" s="7" t="s">
        <v>5507</v>
      </c>
      <c r="C5415" s="7" t="s">
        <v>4891</v>
      </c>
      <c r="D5415" s="7" t="s">
        <v>110</v>
      </c>
      <c r="E5415" s="5" t="s">
        <v>39</v>
      </c>
      <c r="F5415" s="5"/>
      <c r="G5415" s="9">
        <f>H5415*(1-15%)*(1-F5415)</f>
        <v>53.464999999999996</v>
      </c>
      <c r="H5415" s="9">
        <v>62.899999999999999</v>
      </c>
      <c r="I5415" s="9">
        <f>H5415-G5415</f>
        <v>9.4350000000000023</v>
      </c>
    </row>
    <row r="5416" ht="14.25">
      <c r="A5416" s="5">
        <v>53292</v>
      </c>
      <c r="B5416" s="7" t="s">
        <v>5508</v>
      </c>
      <c r="C5416" s="7" t="s">
        <v>4891</v>
      </c>
      <c r="D5416" s="7" t="s">
        <v>110</v>
      </c>
      <c r="E5416" s="5" t="s">
        <v>39</v>
      </c>
      <c r="F5416" s="5"/>
      <c r="G5416" s="9">
        <f>H5416*(1-15%)*(1-F5416)</f>
        <v>53.464999999999996</v>
      </c>
      <c r="H5416" s="9">
        <v>62.899999999999999</v>
      </c>
      <c r="I5416" s="9">
        <f>H5416-G5416</f>
        <v>9.4350000000000023</v>
      </c>
    </row>
    <row r="5417" ht="14.25">
      <c r="A5417" s="5">
        <v>53293</v>
      </c>
      <c r="B5417" s="7" t="s">
        <v>5509</v>
      </c>
      <c r="C5417" s="7" t="s">
        <v>4891</v>
      </c>
      <c r="D5417" s="7" t="s">
        <v>110</v>
      </c>
      <c r="E5417" s="5" t="s">
        <v>39</v>
      </c>
      <c r="F5417" s="5"/>
      <c r="G5417" s="9">
        <f>H5417*(1-15%)*(1-F5417)</f>
        <v>53.464999999999996</v>
      </c>
      <c r="H5417" s="9">
        <v>62.899999999999999</v>
      </c>
      <c r="I5417" s="9">
        <f>H5417-G5417</f>
        <v>9.4350000000000023</v>
      </c>
    </row>
    <row r="5418" ht="14.25">
      <c r="A5418" s="5">
        <v>53294</v>
      </c>
      <c r="B5418" s="7" t="s">
        <v>5510</v>
      </c>
      <c r="C5418" s="7" t="s">
        <v>4891</v>
      </c>
      <c r="D5418" s="7" t="s">
        <v>110</v>
      </c>
      <c r="E5418" s="5" t="s">
        <v>39</v>
      </c>
      <c r="F5418" s="5"/>
      <c r="G5418" s="9">
        <f>H5418*(1-15%)*(1-F5418)</f>
        <v>53.464999999999996</v>
      </c>
      <c r="H5418" s="9">
        <v>62.899999999999999</v>
      </c>
      <c r="I5418" s="9">
        <f>H5418-G5418</f>
        <v>9.4350000000000023</v>
      </c>
    </row>
    <row r="5419" ht="14.25">
      <c r="A5419" s="5">
        <v>53295</v>
      </c>
      <c r="B5419" s="7" t="s">
        <v>5511</v>
      </c>
      <c r="C5419" s="7" t="s">
        <v>4891</v>
      </c>
      <c r="D5419" s="7" t="s">
        <v>110</v>
      </c>
      <c r="E5419" s="5" t="s">
        <v>39</v>
      </c>
      <c r="F5419" s="5"/>
      <c r="G5419" s="9">
        <f>H5419*(1-15%)*(1-F5419)</f>
        <v>53.464999999999996</v>
      </c>
      <c r="H5419" s="9">
        <v>62.899999999999999</v>
      </c>
      <c r="I5419" s="9">
        <f>H5419-G5419</f>
        <v>9.4350000000000023</v>
      </c>
    </row>
    <row r="5420" ht="14.25">
      <c r="A5420" s="5">
        <v>53296</v>
      </c>
      <c r="B5420" s="7" t="s">
        <v>5512</v>
      </c>
      <c r="C5420" s="7" t="s">
        <v>4891</v>
      </c>
      <c r="D5420" s="7" t="s">
        <v>110</v>
      </c>
      <c r="E5420" s="5" t="s">
        <v>39</v>
      </c>
      <c r="F5420" s="5"/>
      <c r="G5420" s="9">
        <f>H5420*(1-15%)*(1-F5420)</f>
        <v>53.464999999999996</v>
      </c>
      <c r="H5420" s="9">
        <v>62.899999999999999</v>
      </c>
      <c r="I5420" s="9">
        <f>H5420-G5420</f>
        <v>9.4350000000000023</v>
      </c>
    </row>
    <row r="5421" ht="14.25">
      <c r="A5421" s="5">
        <v>53297</v>
      </c>
      <c r="B5421" s="7" t="s">
        <v>5513</v>
      </c>
      <c r="C5421" s="7" t="s">
        <v>4891</v>
      </c>
      <c r="D5421" s="7" t="s">
        <v>110</v>
      </c>
      <c r="E5421" s="5" t="s">
        <v>39</v>
      </c>
      <c r="F5421" s="5"/>
      <c r="G5421" s="9">
        <f>H5421*(1-15%)*(1-F5421)</f>
        <v>53.464999999999996</v>
      </c>
      <c r="H5421" s="9">
        <v>62.899999999999999</v>
      </c>
      <c r="I5421" s="9">
        <f>H5421-G5421</f>
        <v>9.4350000000000023</v>
      </c>
    </row>
    <row r="5422" ht="14.25">
      <c r="A5422" s="5">
        <v>53298</v>
      </c>
      <c r="B5422" s="7" t="s">
        <v>5514</v>
      </c>
      <c r="C5422" s="7" t="s">
        <v>4891</v>
      </c>
      <c r="D5422" s="7" t="s">
        <v>110</v>
      </c>
      <c r="E5422" s="5" t="s">
        <v>39</v>
      </c>
      <c r="F5422" s="5"/>
      <c r="G5422" s="9">
        <f>H5422*(1-15%)*(1-F5422)</f>
        <v>53.464999999999996</v>
      </c>
      <c r="H5422" s="9">
        <v>62.899999999999999</v>
      </c>
      <c r="I5422" s="9">
        <f>H5422-G5422</f>
        <v>9.4350000000000023</v>
      </c>
    </row>
    <row r="5423" ht="14.25">
      <c r="A5423" s="5">
        <v>53299</v>
      </c>
      <c r="B5423" s="7" t="s">
        <v>5515</v>
      </c>
      <c r="C5423" s="7" t="s">
        <v>4891</v>
      </c>
      <c r="D5423" s="7" t="s">
        <v>110</v>
      </c>
      <c r="E5423" s="5" t="s">
        <v>39</v>
      </c>
      <c r="F5423" s="5"/>
      <c r="G5423" s="9">
        <f>H5423*(1-15%)*(1-F5423)</f>
        <v>53.464999999999996</v>
      </c>
      <c r="H5423" s="9">
        <v>62.899999999999999</v>
      </c>
      <c r="I5423" s="9">
        <f>H5423-G5423</f>
        <v>9.4350000000000023</v>
      </c>
    </row>
    <row r="5424" ht="14.25">
      <c r="A5424" s="5">
        <v>53300</v>
      </c>
      <c r="B5424" s="7" t="s">
        <v>5516</v>
      </c>
      <c r="C5424" s="7" t="s">
        <v>4891</v>
      </c>
      <c r="D5424" s="7" t="s">
        <v>110</v>
      </c>
      <c r="E5424" s="5" t="s">
        <v>39</v>
      </c>
      <c r="F5424" s="5"/>
      <c r="G5424" s="9">
        <f>H5424*(1-15%)*(1-F5424)</f>
        <v>53.464999999999996</v>
      </c>
      <c r="H5424" s="9">
        <v>62.899999999999999</v>
      </c>
      <c r="I5424" s="9">
        <f>H5424-G5424</f>
        <v>9.4350000000000023</v>
      </c>
    </row>
    <row r="5425" ht="14.25">
      <c r="A5425" s="5">
        <v>53301</v>
      </c>
      <c r="B5425" s="7" t="s">
        <v>5517</v>
      </c>
      <c r="C5425" s="7" t="s">
        <v>4891</v>
      </c>
      <c r="D5425" s="7" t="s">
        <v>110</v>
      </c>
      <c r="E5425" s="5" t="s">
        <v>39</v>
      </c>
      <c r="F5425" s="5"/>
      <c r="G5425" s="9">
        <f>H5425*(1-15%)*(1-F5425)</f>
        <v>53.464999999999996</v>
      </c>
      <c r="H5425" s="9">
        <v>62.899999999999999</v>
      </c>
      <c r="I5425" s="9">
        <f>H5425-G5425</f>
        <v>9.4350000000000023</v>
      </c>
    </row>
    <row r="5426" ht="14.25">
      <c r="A5426" s="5">
        <v>53302</v>
      </c>
      <c r="B5426" s="7" t="s">
        <v>5518</v>
      </c>
      <c r="C5426" s="7" t="s">
        <v>4891</v>
      </c>
      <c r="D5426" s="7" t="s">
        <v>110</v>
      </c>
      <c r="E5426" s="5" t="s">
        <v>39</v>
      </c>
      <c r="F5426" s="5"/>
      <c r="G5426" s="9">
        <f>H5426*(1-15%)*(1-F5426)</f>
        <v>53.464999999999996</v>
      </c>
      <c r="H5426" s="9">
        <v>62.899999999999999</v>
      </c>
      <c r="I5426" s="9">
        <f>H5426-G5426</f>
        <v>9.4350000000000023</v>
      </c>
    </row>
    <row r="5427" ht="14.25">
      <c r="A5427" s="5">
        <v>53303</v>
      </c>
      <c r="B5427" s="7" t="s">
        <v>5519</v>
      </c>
      <c r="C5427" s="7" t="s">
        <v>4891</v>
      </c>
      <c r="D5427" s="7" t="s">
        <v>110</v>
      </c>
      <c r="E5427" s="5" t="s">
        <v>39</v>
      </c>
      <c r="F5427" s="5"/>
      <c r="G5427" s="9">
        <f>H5427*(1-15%)*(1-F5427)</f>
        <v>53.464999999999996</v>
      </c>
      <c r="H5427" s="9">
        <v>62.899999999999999</v>
      </c>
      <c r="I5427" s="9">
        <f>H5427-G5427</f>
        <v>9.4350000000000023</v>
      </c>
    </row>
    <row r="5428" ht="14.25">
      <c r="A5428" s="5">
        <v>53304</v>
      </c>
      <c r="B5428" s="7" t="s">
        <v>5520</v>
      </c>
      <c r="C5428" s="7" t="s">
        <v>4891</v>
      </c>
      <c r="D5428" s="7" t="s">
        <v>110</v>
      </c>
      <c r="E5428" s="5" t="s">
        <v>39</v>
      </c>
      <c r="F5428" s="5"/>
      <c r="G5428" s="9">
        <f>H5428*(1-15%)*(1-F5428)</f>
        <v>53.464999999999996</v>
      </c>
      <c r="H5428" s="9">
        <v>62.899999999999999</v>
      </c>
      <c r="I5428" s="9">
        <f>H5428-G5428</f>
        <v>9.4350000000000023</v>
      </c>
    </row>
    <row r="5429" ht="14.25">
      <c r="A5429" s="5">
        <v>53305</v>
      </c>
      <c r="B5429" s="7" t="s">
        <v>5521</v>
      </c>
      <c r="C5429" s="7" t="s">
        <v>4891</v>
      </c>
      <c r="D5429" s="7" t="s">
        <v>110</v>
      </c>
      <c r="E5429" s="5" t="s">
        <v>39</v>
      </c>
      <c r="F5429" s="5"/>
      <c r="G5429" s="9">
        <f>H5429*(1-15%)*(1-F5429)</f>
        <v>53.464999999999996</v>
      </c>
      <c r="H5429" s="9">
        <v>62.899999999999999</v>
      </c>
      <c r="I5429" s="9">
        <f>H5429-G5429</f>
        <v>9.4350000000000023</v>
      </c>
    </row>
    <row r="5430" ht="14.25">
      <c r="A5430" s="5">
        <v>53306</v>
      </c>
      <c r="B5430" s="7" t="s">
        <v>5522</v>
      </c>
      <c r="C5430" s="7" t="s">
        <v>4891</v>
      </c>
      <c r="D5430" s="7" t="s">
        <v>110</v>
      </c>
      <c r="E5430" s="5" t="s">
        <v>39</v>
      </c>
      <c r="F5430" s="5"/>
      <c r="G5430" s="9">
        <f>H5430*(1-15%)*(1-F5430)</f>
        <v>53.464999999999996</v>
      </c>
      <c r="H5430" s="9">
        <v>62.899999999999999</v>
      </c>
      <c r="I5430" s="9">
        <f>H5430-G5430</f>
        <v>9.4350000000000023</v>
      </c>
    </row>
    <row r="5431" ht="14.25">
      <c r="A5431" s="5">
        <v>53307</v>
      </c>
      <c r="B5431" s="7" t="s">
        <v>5523</v>
      </c>
      <c r="C5431" s="7" t="s">
        <v>4891</v>
      </c>
      <c r="D5431" s="7" t="s">
        <v>110</v>
      </c>
      <c r="E5431" s="5" t="s">
        <v>39</v>
      </c>
      <c r="F5431" s="5"/>
      <c r="G5431" s="9">
        <f>H5431*(1-15%)*(1-F5431)</f>
        <v>53.464999999999996</v>
      </c>
      <c r="H5431" s="9">
        <v>62.899999999999999</v>
      </c>
      <c r="I5431" s="9">
        <f>H5431-G5431</f>
        <v>9.4350000000000023</v>
      </c>
    </row>
    <row r="5432" ht="14.25">
      <c r="A5432" s="5">
        <v>53308</v>
      </c>
      <c r="B5432" s="7" t="s">
        <v>5524</v>
      </c>
      <c r="C5432" s="7" t="s">
        <v>4891</v>
      </c>
      <c r="D5432" s="7" t="s">
        <v>110</v>
      </c>
      <c r="E5432" s="5" t="s">
        <v>39</v>
      </c>
      <c r="F5432" s="5"/>
      <c r="G5432" s="9">
        <f>H5432*(1-15%)*(1-F5432)</f>
        <v>53.464999999999996</v>
      </c>
      <c r="H5432" s="9">
        <v>62.899999999999999</v>
      </c>
      <c r="I5432" s="9">
        <f>H5432-G5432</f>
        <v>9.4350000000000023</v>
      </c>
    </row>
    <row r="5433" ht="14.25">
      <c r="A5433" s="5">
        <v>53309</v>
      </c>
      <c r="B5433" s="7" t="s">
        <v>5525</v>
      </c>
      <c r="C5433" s="7" t="s">
        <v>4891</v>
      </c>
      <c r="D5433" s="7" t="s">
        <v>110</v>
      </c>
      <c r="E5433" s="5" t="s">
        <v>39</v>
      </c>
      <c r="F5433" s="5"/>
      <c r="G5433" s="9">
        <f>H5433*(1-15%)*(1-F5433)</f>
        <v>53.464999999999996</v>
      </c>
      <c r="H5433" s="9">
        <v>62.899999999999999</v>
      </c>
      <c r="I5433" s="9">
        <f>H5433-G5433</f>
        <v>9.4350000000000023</v>
      </c>
    </row>
    <row r="5434" ht="14.25">
      <c r="A5434" s="5">
        <v>53310</v>
      </c>
      <c r="B5434" s="7" t="s">
        <v>5526</v>
      </c>
      <c r="C5434" s="7" t="s">
        <v>4891</v>
      </c>
      <c r="D5434" s="7" t="s">
        <v>110</v>
      </c>
      <c r="E5434" s="5" t="s">
        <v>39</v>
      </c>
      <c r="F5434" s="5"/>
      <c r="G5434" s="9">
        <f>H5434*(1-15%)*(1-F5434)</f>
        <v>53.464999999999996</v>
      </c>
      <c r="H5434" s="9">
        <v>62.899999999999999</v>
      </c>
      <c r="I5434" s="9">
        <f>H5434-G5434</f>
        <v>9.4350000000000023</v>
      </c>
    </row>
    <row r="5435" ht="14.25">
      <c r="A5435" s="5">
        <v>53311</v>
      </c>
      <c r="B5435" s="7" t="s">
        <v>5527</v>
      </c>
      <c r="C5435" s="7" t="s">
        <v>4891</v>
      </c>
      <c r="D5435" s="7" t="s">
        <v>110</v>
      </c>
      <c r="E5435" s="5" t="s">
        <v>39</v>
      </c>
      <c r="F5435" s="5"/>
      <c r="G5435" s="9">
        <f>H5435*(1-15%)*(1-F5435)</f>
        <v>53.464999999999996</v>
      </c>
      <c r="H5435" s="9">
        <v>62.899999999999999</v>
      </c>
      <c r="I5435" s="9">
        <f>H5435-G5435</f>
        <v>9.4350000000000023</v>
      </c>
    </row>
    <row r="5436" ht="14.25">
      <c r="A5436" s="5">
        <v>53312</v>
      </c>
      <c r="B5436" s="7" t="s">
        <v>5528</v>
      </c>
      <c r="C5436" s="7" t="s">
        <v>4891</v>
      </c>
      <c r="D5436" s="7" t="s">
        <v>110</v>
      </c>
      <c r="E5436" s="5" t="s">
        <v>39</v>
      </c>
      <c r="F5436" s="5"/>
      <c r="G5436" s="9">
        <f>H5436*(1-15%)*(1-F5436)</f>
        <v>53.464999999999996</v>
      </c>
      <c r="H5436" s="9">
        <v>62.899999999999999</v>
      </c>
      <c r="I5436" s="9">
        <f>H5436-G5436</f>
        <v>9.4350000000000023</v>
      </c>
    </row>
    <row r="5437" ht="14.25">
      <c r="A5437" s="5">
        <v>53319</v>
      </c>
      <c r="B5437" s="7" t="s">
        <v>5529</v>
      </c>
      <c r="C5437" s="7" t="s">
        <v>4891</v>
      </c>
      <c r="D5437" s="7" t="s">
        <v>110</v>
      </c>
      <c r="E5437" s="5" t="s">
        <v>39</v>
      </c>
      <c r="F5437" s="5"/>
      <c r="G5437" s="9">
        <f>H5437*(1-15%)*(1-F5437)</f>
        <v>53.464999999999996</v>
      </c>
      <c r="H5437" s="9">
        <v>62.899999999999999</v>
      </c>
      <c r="I5437" s="9">
        <f>H5437-G5437</f>
        <v>9.4350000000000023</v>
      </c>
    </row>
    <row r="5438" ht="14.25">
      <c r="A5438" s="5">
        <v>53320</v>
      </c>
      <c r="B5438" s="7" t="s">
        <v>5530</v>
      </c>
      <c r="C5438" s="7" t="s">
        <v>4891</v>
      </c>
      <c r="D5438" s="7" t="s">
        <v>110</v>
      </c>
      <c r="E5438" s="5" t="s">
        <v>39</v>
      </c>
      <c r="F5438" s="5"/>
      <c r="G5438" s="9">
        <f>H5438*(1-15%)*(1-F5438)</f>
        <v>53.464999999999996</v>
      </c>
      <c r="H5438" s="9">
        <v>62.899999999999999</v>
      </c>
      <c r="I5438" s="9">
        <f>H5438-G5438</f>
        <v>9.4350000000000023</v>
      </c>
    </row>
    <row r="5439" ht="14.25">
      <c r="A5439" s="5">
        <v>53321</v>
      </c>
      <c r="B5439" s="7" t="s">
        <v>5531</v>
      </c>
      <c r="C5439" s="7" t="s">
        <v>4891</v>
      </c>
      <c r="D5439" s="7" t="s">
        <v>110</v>
      </c>
      <c r="E5439" s="5" t="s">
        <v>39</v>
      </c>
      <c r="F5439" s="5"/>
      <c r="G5439" s="9">
        <f>H5439*(1-15%)*(1-F5439)</f>
        <v>53.464999999999996</v>
      </c>
      <c r="H5439" s="9">
        <v>62.899999999999999</v>
      </c>
      <c r="I5439" s="9">
        <f>H5439-G5439</f>
        <v>9.4350000000000023</v>
      </c>
    </row>
    <row r="5440" ht="14.25">
      <c r="A5440" s="5">
        <v>53322</v>
      </c>
      <c r="B5440" s="7" t="s">
        <v>5532</v>
      </c>
      <c r="C5440" s="7" t="s">
        <v>4891</v>
      </c>
      <c r="D5440" s="7" t="s">
        <v>110</v>
      </c>
      <c r="E5440" s="5" t="s">
        <v>39</v>
      </c>
      <c r="F5440" s="5"/>
      <c r="G5440" s="9">
        <f>H5440*(1-15%)*(1-F5440)</f>
        <v>53.464999999999996</v>
      </c>
      <c r="H5440" s="9">
        <v>62.899999999999999</v>
      </c>
      <c r="I5440" s="9">
        <f>H5440-G5440</f>
        <v>9.4350000000000023</v>
      </c>
    </row>
    <row r="5441" ht="14.25">
      <c r="A5441" s="5">
        <v>54167</v>
      </c>
      <c r="B5441" s="7" t="s">
        <v>5533</v>
      </c>
      <c r="C5441" s="7" t="s">
        <v>4891</v>
      </c>
      <c r="D5441" s="7" t="s">
        <v>219</v>
      </c>
      <c r="E5441" s="5" t="s">
        <v>26</v>
      </c>
      <c r="F5441" s="5"/>
      <c r="G5441" s="9">
        <f>H5441*(1-15%)*(1-F5441)</f>
        <v>100.215</v>
      </c>
      <c r="H5441" s="9">
        <v>117.90000000000001</v>
      </c>
      <c r="I5441" s="9">
        <f>H5441-G5441</f>
        <v>17.685000000000002</v>
      </c>
    </row>
    <row r="5442" ht="14.25">
      <c r="A5442" s="5">
        <v>54947</v>
      </c>
      <c r="B5442" s="7" t="s">
        <v>5534</v>
      </c>
      <c r="C5442" s="7" t="s">
        <v>1446</v>
      </c>
      <c r="D5442" s="7" t="s">
        <v>1447</v>
      </c>
      <c r="E5442" s="5" t="s">
        <v>15</v>
      </c>
      <c r="F5442" s="5"/>
      <c r="G5442" s="9">
        <f>H5442*(1-15%)*(1-F5442)</f>
        <v>4.5049999999999999</v>
      </c>
      <c r="H5442" s="9">
        <v>5.2999999999999998</v>
      </c>
      <c r="I5442" s="9">
        <f>H5442-G5442</f>
        <v>0.79499999999999993</v>
      </c>
    </row>
    <row r="5443" ht="14.25">
      <c r="A5443" s="5">
        <v>54949</v>
      </c>
      <c r="B5443" s="7" t="s">
        <v>5535</v>
      </c>
      <c r="C5443" s="7" t="s">
        <v>1446</v>
      </c>
      <c r="D5443" s="7" t="s">
        <v>1447</v>
      </c>
      <c r="E5443" s="5" t="s">
        <v>15</v>
      </c>
      <c r="F5443" s="5"/>
      <c r="G5443" s="9">
        <f>H5443*(1-15%)*(1-F5443)</f>
        <v>3.2639999999999998</v>
      </c>
      <c r="H5443" s="9">
        <v>3.8399999999999999</v>
      </c>
      <c r="I5443" s="9">
        <f>H5443-G5443</f>
        <v>0.57600000000000007</v>
      </c>
    </row>
    <row r="5444" ht="14.25">
      <c r="A5444" s="5">
        <v>54951</v>
      </c>
      <c r="B5444" s="7" t="s">
        <v>5536</v>
      </c>
      <c r="C5444" s="7" t="s">
        <v>1446</v>
      </c>
      <c r="D5444" s="7" t="s">
        <v>1447</v>
      </c>
      <c r="E5444" s="5" t="s">
        <v>15</v>
      </c>
      <c r="F5444" s="5"/>
      <c r="G5444" s="9">
        <f>H5444*(1-15%)*(1-F5444)</f>
        <v>1.3260000000000001</v>
      </c>
      <c r="H5444" s="9">
        <v>1.5600000000000001</v>
      </c>
      <c r="I5444" s="9">
        <f>H5444-G5444</f>
        <v>0.23399999999999999</v>
      </c>
    </row>
    <row r="5445" ht="14.25">
      <c r="A5445" s="5">
        <v>54952</v>
      </c>
      <c r="B5445" s="7" t="s">
        <v>5537</v>
      </c>
      <c r="C5445" s="7" t="s">
        <v>1446</v>
      </c>
      <c r="D5445" s="7" t="s">
        <v>1447</v>
      </c>
      <c r="E5445" s="5" t="s">
        <v>15</v>
      </c>
      <c r="F5445" s="5"/>
      <c r="G5445" s="9">
        <f>H5445*(1-15%)*(1-F5445)</f>
        <v>4.4965000000000002</v>
      </c>
      <c r="H5445" s="9">
        <v>5.29</v>
      </c>
      <c r="I5445" s="9">
        <f>H5445-G5445</f>
        <v>0.79349999999999987</v>
      </c>
    </row>
    <row r="5446" ht="14.25">
      <c r="A5446" s="5">
        <v>55206</v>
      </c>
      <c r="B5446" s="7" t="s">
        <v>5538</v>
      </c>
      <c r="C5446" s="7" t="s">
        <v>4891</v>
      </c>
      <c r="D5446" s="7" t="s">
        <v>183</v>
      </c>
      <c r="E5446" s="5" t="s">
        <v>703</v>
      </c>
      <c r="F5446" s="5"/>
      <c r="G5446" s="9">
        <f>H5446*(1-15%)*(1-F5446)</f>
        <v>44.964999999999996</v>
      </c>
      <c r="H5446" s="9">
        <v>52.899999999999999</v>
      </c>
      <c r="I5446" s="9">
        <f>H5446-G5446</f>
        <v>7.9350000000000023</v>
      </c>
    </row>
    <row r="5447" ht="14.25">
      <c r="A5447" s="5">
        <v>55231</v>
      </c>
      <c r="B5447" s="7" t="s">
        <v>5539</v>
      </c>
      <c r="C5447" s="7" t="s">
        <v>4891</v>
      </c>
      <c r="D5447" s="7" t="s">
        <v>110</v>
      </c>
      <c r="E5447" s="5" t="s">
        <v>43</v>
      </c>
      <c r="F5447" s="5"/>
      <c r="G5447" s="9">
        <f>H5447*(1-15%)*(1-F5447)</f>
        <v>40.714999999999996</v>
      </c>
      <c r="H5447" s="9">
        <v>47.899999999999999</v>
      </c>
      <c r="I5447" s="9">
        <f>H5447-G5447</f>
        <v>7.1850000000000023</v>
      </c>
    </row>
    <row r="5448" ht="14.25">
      <c r="A5448" s="5">
        <v>55232</v>
      </c>
      <c r="B5448" s="7" t="s">
        <v>5540</v>
      </c>
      <c r="C5448" s="7" t="s">
        <v>4891</v>
      </c>
      <c r="D5448" s="7" t="s">
        <v>110</v>
      </c>
      <c r="E5448" s="5" t="s">
        <v>43</v>
      </c>
      <c r="F5448" s="5"/>
      <c r="G5448" s="9">
        <f>H5448*(1-15%)*(1-F5448)</f>
        <v>40.714999999999996</v>
      </c>
      <c r="H5448" s="9">
        <v>47.899999999999999</v>
      </c>
      <c r="I5448" s="9">
        <f>H5448-G5448</f>
        <v>7.1850000000000023</v>
      </c>
    </row>
    <row r="5449" ht="14.25">
      <c r="A5449" s="5">
        <v>55235</v>
      </c>
      <c r="B5449" s="7" t="s">
        <v>5541</v>
      </c>
      <c r="C5449" s="7" t="s">
        <v>4891</v>
      </c>
      <c r="D5449" s="7" t="s">
        <v>110</v>
      </c>
      <c r="E5449" s="5" t="s">
        <v>43</v>
      </c>
      <c r="F5449" s="5"/>
      <c r="G5449" s="9">
        <f>H5449*(1-15%)*(1-F5449)</f>
        <v>40.714999999999996</v>
      </c>
      <c r="H5449" s="9">
        <v>47.899999999999999</v>
      </c>
      <c r="I5449" s="9">
        <f>H5449-G5449</f>
        <v>7.1850000000000023</v>
      </c>
    </row>
    <row r="5450" ht="14.25">
      <c r="A5450" s="5">
        <v>55446</v>
      </c>
      <c r="B5450" s="7" t="s">
        <v>5542</v>
      </c>
      <c r="C5450" s="7" t="s">
        <v>4891</v>
      </c>
      <c r="D5450" s="7" t="s">
        <v>219</v>
      </c>
      <c r="E5450" s="5" t="s">
        <v>26</v>
      </c>
      <c r="F5450" s="5"/>
      <c r="G5450" s="9">
        <f>H5450*(1-15%)*(1-F5450)</f>
        <v>63.665000000000006</v>
      </c>
      <c r="H5450" s="9">
        <v>74.900000000000006</v>
      </c>
      <c r="I5450" s="9">
        <f>H5450-G5450</f>
        <v>11.234999999999999</v>
      </c>
    </row>
    <row r="5451" ht="14.25">
      <c r="A5451" s="5">
        <v>55595</v>
      </c>
      <c r="B5451" s="7" t="s">
        <v>5543</v>
      </c>
      <c r="C5451" s="7" t="s">
        <v>4891</v>
      </c>
      <c r="D5451" s="7" t="s">
        <v>110</v>
      </c>
      <c r="E5451" s="5" t="s">
        <v>43</v>
      </c>
      <c r="F5451" s="5"/>
      <c r="G5451" s="9">
        <f>H5451*(1-15%)*(1-F5451)</f>
        <v>44.964999999999996</v>
      </c>
      <c r="H5451" s="9">
        <v>52.899999999999999</v>
      </c>
      <c r="I5451" s="9">
        <f>H5451-G5451</f>
        <v>7.9350000000000023</v>
      </c>
    </row>
    <row r="5452" ht="14.25">
      <c r="A5452" s="5">
        <v>55985</v>
      </c>
      <c r="B5452" s="7" t="s">
        <v>5544</v>
      </c>
      <c r="C5452" s="7" t="s">
        <v>4891</v>
      </c>
      <c r="D5452" s="7" t="s">
        <v>110</v>
      </c>
      <c r="E5452" s="5" t="s">
        <v>26</v>
      </c>
      <c r="F5452" s="5"/>
      <c r="G5452" s="9">
        <f>H5452*(1-15%)*(1-F5452)</f>
        <v>59.415000000000006</v>
      </c>
      <c r="H5452" s="9">
        <v>69.900000000000006</v>
      </c>
      <c r="I5452" s="9">
        <f>H5452-G5452</f>
        <v>10.484999999999999</v>
      </c>
    </row>
    <row r="5453" ht="14.25">
      <c r="A5453" s="5">
        <v>55986</v>
      </c>
      <c r="B5453" s="7" t="s">
        <v>5545</v>
      </c>
      <c r="C5453" s="7" t="s">
        <v>4891</v>
      </c>
      <c r="D5453" s="7" t="s">
        <v>110</v>
      </c>
      <c r="E5453" s="5" t="s">
        <v>26</v>
      </c>
      <c r="F5453" s="5"/>
      <c r="G5453" s="9">
        <f>H5453*(1-15%)*(1-F5453)</f>
        <v>44.964999999999996</v>
      </c>
      <c r="H5453" s="9">
        <v>52.899999999999999</v>
      </c>
      <c r="I5453" s="9">
        <f>H5453-G5453</f>
        <v>7.9350000000000023</v>
      </c>
    </row>
    <row r="5454" ht="14.25">
      <c r="A5454" s="5">
        <v>55991</v>
      </c>
      <c r="B5454" s="7" t="s">
        <v>5546</v>
      </c>
      <c r="C5454" s="7" t="s">
        <v>4891</v>
      </c>
      <c r="D5454" s="7" t="s">
        <v>110</v>
      </c>
      <c r="E5454" s="5" t="s">
        <v>26</v>
      </c>
      <c r="F5454" s="5"/>
      <c r="G5454" s="9">
        <f>H5454*(1-15%)*(1-F5454)</f>
        <v>67.064999999999998</v>
      </c>
      <c r="H5454" s="9">
        <v>78.900000000000006</v>
      </c>
      <c r="I5454" s="9">
        <f>H5454-G5454</f>
        <v>11.835000000000008</v>
      </c>
    </row>
    <row r="5455" ht="14.25">
      <c r="A5455" s="5">
        <v>55994</v>
      </c>
      <c r="B5455" s="7" t="s">
        <v>5547</v>
      </c>
      <c r="C5455" s="7" t="s">
        <v>4891</v>
      </c>
      <c r="D5455" s="7" t="s">
        <v>110</v>
      </c>
      <c r="E5455" s="5" t="s">
        <v>26</v>
      </c>
      <c r="F5455" s="5"/>
      <c r="G5455" s="9">
        <f>H5455*(1-15%)*(1-F5455)</f>
        <v>67.064999999999998</v>
      </c>
      <c r="H5455" s="9">
        <v>78.900000000000006</v>
      </c>
      <c r="I5455" s="9">
        <f>H5455-G5455</f>
        <v>11.835000000000008</v>
      </c>
    </row>
    <row r="5456" ht="14.25">
      <c r="A5456" s="5">
        <v>56019</v>
      </c>
      <c r="B5456" s="7" t="s">
        <v>5548</v>
      </c>
      <c r="C5456" s="7" t="s">
        <v>4891</v>
      </c>
      <c r="D5456" s="7" t="s">
        <v>110</v>
      </c>
      <c r="E5456" s="5" t="s">
        <v>26</v>
      </c>
      <c r="F5456" s="5"/>
      <c r="G5456" s="9">
        <f>H5456*(1-15%)*(1-F5456)</f>
        <v>67.064999999999998</v>
      </c>
      <c r="H5456" s="9">
        <v>78.900000000000006</v>
      </c>
      <c r="I5456" s="9">
        <f>H5456-G5456</f>
        <v>11.835000000000008</v>
      </c>
    </row>
    <row r="5457" ht="14.25">
      <c r="A5457" s="5">
        <v>56020</v>
      </c>
      <c r="B5457" s="7" t="s">
        <v>5549</v>
      </c>
      <c r="C5457" s="7" t="s">
        <v>4891</v>
      </c>
      <c r="D5457" s="7" t="s">
        <v>110</v>
      </c>
      <c r="E5457" s="5" t="s">
        <v>26</v>
      </c>
      <c r="F5457" s="5"/>
      <c r="G5457" s="9">
        <f>H5457*(1-15%)*(1-F5457)</f>
        <v>67.064999999999998</v>
      </c>
      <c r="H5457" s="9">
        <v>78.900000000000006</v>
      </c>
      <c r="I5457" s="9">
        <f>H5457-G5457</f>
        <v>11.835000000000008</v>
      </c>
    </row>
    <row r="5458" ht="14.25">
      <c r="A5458" s="5">
        <v>56021</v>
      </c>
      <c r="B5458" s="7" t="s">
        <v>5550</v>
      </c>
      <c r="C5458" s="7" t="s">
        <v>4891</v>
      </c>
      <c r="D5458" s="7" t="s">
        <v>110</v>
      </c>
      <c r="E5458" s="5" t="s">
        <v>26</v>
      </c>
      <c r="F5458" s="5"/>
      <c r="G5458" s="9">
        <f>H5458*(1-15%)*(1-F5458)</f>
        <v>53.464999999999996</v>
      </c>
      <c r="H5458" s="9">
        <v>62.899999999999999</v>
      </c>
      <c r="I5458" s="9">
        <f>H5458-G5458</f>
        <v>9.4350000000000023</v>
      </c>
    </row>
    <row r="5459" ht="14.25">
      <c r="A5459" s="5">
        <v>56022</v>
      </c>
      <c r="B5459" s="7" t="s">
        <v>5551</v>
      </c>
      <c r="C5459" s="7" t="s">
        <v>4891</v>
      </c>
      <c r="D5459" s="7" t="s">
        <v>110</v>
      </c>
      <c r="E5459" s="5" t="s">
        <v>26</v>
      </c>
      <c r="F5459" s="5"/>
      <c r="G5459" s="9">
        <f>H5459*(1-15%)*(1-F5459)</f>
        <v>67.064999999999998</v>
      </c>
      <c r="H5459" s="9">
        <v>78.900000000000006</v>
      </c>
      <c r="I5459" s="9">
        <f>H5459-G5459</f>
        <v>11.835000000000008</v>
      </c>
    </row>
    <row r="5460" ht="14.25">
      <c r="A5460" s="5">
        <v>56023</v>
      </c>
      <c r="B5460" s="7" t="s">
        <v>5552</v>
      </c>
      <c r="C5460" s="7" t="s">
        <v>4891</v>
      </c>
      <c r="D5460" s="7" t="s">
        <v>110</v>
      </c>
      <c r="E5460" s="5" t="s">
        <v>26</v>
      </c>
      <c r="F5460" s="5"/>
      <c r="G5460" s="9">
        <f>H5460*(1-15%)*(1-F5460)</f>
        <v>67.064999999999998</v>
      </c>
      <c r="H5460" s="9">
        <v>78.900000000000006</v>
      </c>
      <c r="I5460" s="9">
        <f>H5460-G5460</f>
        <v>11.835000000000008</v>
      </c>
    </row>
    <row r="5461" ht="14.25">
      <c r="A5461" s="5">
        <v>56052</v>
      </c>
      <c r="B5461" s="7" t="s">
        <v>5553</v>
      </c>
      <c r="C5461" s="7" t="s">
        <v>4891</v>
      </c>
      <c r="D5461" s="7" t="s">
        <v>219</v>
      </c>
      <c r="E5461" s="5" t="s">
        <v>26</v>
      </c>
      <c r="F5461" s="5"/>
      <c r="G5461" s="9">
        <f>H5461*(1-15%)*(1-F5461)</f>
        <v>47.515000000000001</v>
      </c>
      <c r="H5461" s="9">
        <v>55.899999999999999</v>
      </c>
      <c r="I5461" s="9">
        <f>H5461-G5461</f>
        <v>8.384999999999998</v>
      </c>
    </row>
    <row r="5462" ht="14.25">
      <c r="A5462" s="5">
        <v>56325</v>
      </c>
      <c r="B5462" s="7" t="s">
        <v>5554</v>
      </c>
      <c r="C5462" s="7" t="s">
        <v>4891</v>
      </c>
      <c r="D5462" s="7" t="s">
        <v>110</v>
      </c>
      <c r="E5462" s="5" t="s">
        <v>26</v>
      </c>
      <c r="F5462" s="5"/>
      <c r="G5462" s="9">
        <f>H5462*(1-15%)*(1-F5462)</f>
        <v>74.715000000000003</v>
      </c>
      <c r="H5462" s="9">
        <v>87.900000000000006</v>
      </c>
      <c r="I5462" s="9">
        <f>H5462-G5462</f>
        <v>13.185000000000002</v>
      </c>
    </row>
    <row r="5463" ht="14.25">
      <c r="A5463" s="5">
        <v>56342</v>
      </c>
      <c r="B5463" s="7" t="s">
        <v>5555</v>
      </c>
      <c r="C5463" s="7" t="s">
        <v>4891</v>
      </c>
      <c r="D5463" s="7" t="s">
        <v>1447</v>
      </c>
      <c r="E5463" s="5" t="s">
        <v>15</v>
      </c>
      <c r="F5463" s="5"/>
      <c r="G5463" s="9">
        <f>H5463*(1-15%)*(1-F5463)</f>
        <v>1.1899999999999999</v>
      </c>
      <c r="H5463" s="9">
        <v>1.3999999999999999</v>
      </c>
      <c r="I5463" s="9">
        <f>H5463-G5463</f>
        <v>0.20999999999999996</v>
      </c>
    </row>
    <row r="5464" ht="14.25">
      <c r="A5464" s="5">
        <v>56343</v>
      </c>
      <c r="B5464" s="7" t="s">
        <v>5556</v>
      </c>
      <c r="C5464" s="7" t="s">
        <v>4891</v>
      </c>
      <c r="D5464" s="7" t="s">
        <v>1447</v>
      </c>
      <c r="E5464" s="5" t="s">
        <v>15</v>
      </c>
      <c r="F5464" s="5"/>
      <c r="G5464" s="9">
        <f>H5464*(1-15%)*(1-F5464)</f>
        <v>1.3600000000000001</v>
      </c>
      <c r="H5464" s="9">
        <v>1.6000000000000001</v>
      </c>
      <c r="I5464" s="9">
        <f>H5464-G5464</f>
        <v>0.23999999999999999</v>
      </c>
    </row>
    <row r="5465" ht="14.25">
      <c r="A5465" s="5">
        <v>56369</v>
      </c>
      <c r="B5465" s="7" t="s">
        <v>5557</v>
      </c>
      <c r="C5465" s="7" t="s">
        <v>4891</v>
      </c>
      <c r="D5465" s="7" t="s">
        <v>1447</v>
      </c>
      <c r="E5465" s="5" t="s">
        <v>15</v>
      </c>
      <c r="F5465" s="5"/>
      <c r="G5465" s="9">
        <f>H5465*(1-15%)*(1-F5465)</f>
        <v>2.3799999999999999</v>
      </c>
      <c r="H5465" s="9">
        <v>2.7999999999999998</v>
      </c>
      <c r="I5465" s="9">
        <f>H5465-G5465</f>
        <v>0.41999999999999993</v>
      </c>
    </row>
    <row r="5466" ht="14.25">
      <c r="A5466" s="5">
        <v>56370</v>
      </c>
      <c r="B5466" s="7" t="s">
        <v>5558</v>
      </c>
      <c r="C5466" s="7" t="s">
        <v>4891</v>
      </c>
      <c r="D5466" s="7" t="s">
        <v>1447</v>
      </c>
      <c r="E5466" s="5" t="s">
        <v>15</v>
      </c>
      <c r="F5466" s="5"/>
      <c r="G5466" s="9">
        <f>H5466*(1-15%)*(1-F5466)</f>
        <v>2.5499999999999998</v>
      </c>
      <c r="H5466" s="9">
        <v>3</v>
      </c>
      <c r="I5466" s="9">
        <f>H5466-G5466</f>
        <v>0.45000000000000018</v>
      </c>
    </row>
    <row r="5467" ht="14.25">
      <c r="A5467" s="5">
        <v>56376</v>
      </c>
      <c r="B5467" s="7" t="s">
        <v>5559</v>
      </c>
      <c r="C5467" s="7" t="s">
        <v>4891</v>
      </c>
      <c r="D5467" s="7" t="s">
        <v>1447</v>
      </c>
      <c r="E5467" s="5" t="s">
        <v>15</v>
      </c>
      <c r="F5467" s="5"/>
      <c r="G5467" s="9">
        <f>H5467*(1-15%)*(1-F5467)</f>
        <v>3.3999999999999999</v>
      </c>
      <c r="H5467" s="9">
        <v>4</v>
      </c>
      <c r="I5467" s="9">
        <f>H5467-G5467</f>
        <v>0.60000000000000009</v>
      </c>
    </row>
    <row r="5468" ht="14.25">
      <c r="A5468" s="5">
        <v>56380</v>
      </c>
      <c r="B5468" s="7" t="s">
        <v>5560</v>
      </c>
      <c r="C5468" s="7" t="s">
        <v>4891</v>
      </c>
      <c r="D5468" s="7" t="s">
        <v>1447</v>
      </c>
      <c r="E5468" s="5" t="s">
        <v>15</v>
      </c>
      <c r="F5468" s="5"/>
      <c r="G5468" s="9">
        <f>H5468*(1-15%)*(1-F5468)</f>
        <v>3.3999999999999999</v>
      </c>
      <c r="H5468" s="9">
        <v>4</v>
      </c>
      <c r="I5468" s="9">
        <f>H5468-G5468</f>
        <v>0.60000000000000009</v>
      </c>
    </row>
    <row r="5469" ht="14.25">
      <c r="A5469" s="5">
        <v>56391</v>
      </c>
      <c r="B5469" s="7" t="s">
        <v>5561</v>
      </c>
      <c r="C5469" s="7" t="s">
        <v>4891</v>
      </c>
      <c r="D5469" s="7" t="s">
        <v>1447</v>
      </c>
      <c r="E5469" s="5" t="s">
        <v>15</v>
      </c>
      <c r="F5469" s="5"/>
      <c r="G5469" s="9">
        <f>H5469*(1-15%)*(1-F5469)</f>
        <v>0.68000000000000005</v>
      </c>
      <c r="H5469" s="9">
        <v>0.80000000000000004</v>
      </c>
      <c r="I5469" s="9">
        <f>H5469-G5469</f>
        <v>0.12</v>
      </c>
    </row>
    <row r="5470" ht="14.25">
      <c r="A5470" s="5">
        <v>56392</v>
      </c>
      <c r="B5470" s="7" t="s">
        <v>5562</v>
      </c>
      <c r="C5470" s="7" t="s">
        <v>4891</v>
      </c>
      <c r="D5470" s="7" t="s">
        <v>1447</v>
      </c>
      <c r="E5470" s="5" t="s">
        <v>15</v>
      </c>
      <c r="F5470" s="5"/>
      <c r="G5470" s="9">
        <f>H5470*(1-15%)*(1-F5470)</f>
        <v>1.02</v>
      </c>
      <c r="H5470" s="9">
        <v>1.2</v>
      </c>
      <c r="I5470" s="9">
        <f>H5470-G5470</f>
        <v>0.17999999999999994</v>
      </c>
    </row>
    <row r="5471" ht="14.25">
      <c r="A5471" s="5">
        <v>56411</v>
      </c>
      <c r="B5471" s="7" t="s">
        <v>5563</v>
      </c>
      <c r="C5471" s="7" t="s">
        <v>4891</v>
      </c>
      <c r="D5471" s="7" t="s">
        <v>1447</v>
      </c>
      <c r="E5471" s="5" t="s">
        <v>15</v>
      </c>
      <c r="F5471" s="5"/>
      <c r="G5471" s="9">
        <f>H5471*(1-15%)*(1-F5471)</f>
        <v>0.51000000000000001</v>
      </c>
      <c r="H5471" s="9">
        <v>0.59999999999999998</v>
      </c>
      <c r="I5471" s="9">
        <f>H5471-G5471</f>
        <v>8.9999999999999969e-002</v>
      </c>
    </row>
    <row r="5472" ht="14.25">
      <c r="A5472" s="5">
        <v>56721</v>
      </c>
      <c r="B5472" s="7" t="s">
        <v>5564</v>
      </c>
      <c r="C5472" s="7" t="s">
        <v>4891</v>
      </c>
      <c r="D5472" s="7" t="s">
        <v>110</v>
      </c>
      <c r="E5472" s="5" t="s">
        <v>26</v>
      </c>
      <c r="F5472" s="5"/>
      <c r="G5472" s="9">
        <f>H5472*(1-15%)*(1-F5472)</f>
        <v>49.214999999999996</v>
      </c>
      <c r="H5472" s="9">
        <v>57.899999999999999</v>
      </c>
      <c r="I5472" s="9">
        <f>H5472-G5472</f>
        <v>8.6850000000000023</v>
      </c>
    </row>
    <row r="5473" ht="14.25">
      <c r="A5473" s="5">
        <v>56724</v>
      </c>
      <c r="B5473" s="7" t="s">
        <v>5565</v>
      </c>
      <c r="C5473" s="7" t="s">
        <v>4891</v>
      </c>
      <c r="D5473" s="7" t="s">
        <v>110</v>
      </c>
      <c r="E5473" s="5" t="s">
        <v>26</v>
      </c>
      <c r="F5473" s="5"/>
      <c r="G5473" s="9">
        <f>H5473*(1-15%)*(1-F5473)</f>
        <v>53.464999999999996</v>
      </c>
      <c r="H5473" s="9">
        <v>62.899999999999999</v>
      </c>
      <c r="I5473" s="9">
        <f>H5473-G5473</f>
        <v>9.4350000000000023</v>
      </c>
    </row>
    <row r="5474" ht="14.25">
      <c r="A5474" s="5">
        <v>56725</v>
      </c>
      <c r="B5474" s="7" t="s">
        <v>5566</v>
      </c>
      <c r="C5474" s="7" t="s">
        <v>4891</v>
      </c>
      <c r="D5474" s="7" t="s">
        <v>110</v>
      </c>
      <c r="E5474" s="5" t="s">
        <v>26</v>
      </c>
      <c r="F5474" s="5"/>
      <c r="G5474" s="9">
        <f>H5474*(1-15%)*(1-F5474)</f>
        <v>53.464999999999996</v>
      </c>
      <c r="H5474" s="9">
        <v>62.899999999999999</v>
      </c>
      <c r="I5474" s="9">
        <f>H5474-G5474</f>
        <v>9.4350000000000023</v>
      </c>
    </row>
    <row r="5475" ht="14.25">
      <c r="A5475" s="5">
        <v>56727</v>
      </c>
      <c r="B5475" s="7" t="s">
        <v>5567</v>
      </c>
      <c r="C5475" s="7" t="s">
        <v>4891</v>
      </c>
      <c r="D5475" s="7" t="s">
        <v>110</v>
      </c>
      <c r="E5475" s="5" t="s">
        <v>26</v>
      </c>
      <c r="F5475" s="5"/>
      <c r="G5475" s="9">
        <f>H5475*(1-15%)*(1-F5475)</f>
        <v>53.464999999999996</v>
      </c>
      <c r="H5475" s="9">
        <v>62.899999999999999</v>
      </c>
      <c r="I5475" s="9">
        <f>H5475-G5475</f>
        <v>9.4350000000000023</v>
      </c>
    </row>
    <row r="5476" ht="14.25">
      <c r="A5476" s="5">
        <v>56729</v>
      </c>
      <c r="B5476" s="7" t="s">
        <v>5568</v>
      </c>
      <c r="C5476" s="7" t="s">
        <v>4891</v>
      </c>
      <c r="D5476" s="7" t="s">
        <v>110</v>
      </c>
      <c r="E5476" s="5" t="s">
        <v>26</v>
      </c>
      <c r="F5476" s="5"/>
      <c r="G5476" s="9">
        <f>H5476*(1-15%)*(1-F5476)</f>
        <v>53.464999999999996</v>
      </c>
      <c r="H5476" s="9">
        <v>62.899999999999999</v>
      </c>
      <c r="I5476" s="9">
        <f>H5476-G5476</f>
        <v>9.4350000000000023</v>
      </c>
    </row>
    <row r="5477" ht="14.25">
      <c r="A5477" s="5">
        <v>56730</v>
      </c>
      <c r="B5477" s="7" t="s">
        <v>5569</v>
      </c>
      <c r="C5477" s="7" t="s">
        <v>4891</v>
      </c>
      <c r="D5477" s="7" t="s">
        <v>110</v>
      </c>
      <c r="E5477" s="5" t="s">
        <v>703</v>
      </c>
      <c r="F5477" s="5"/>
      <c r="G5477" s="9">
        <f>H5477*(1-15%)*(1-F5477)</f>
        <v>57.715000000000003</v>
      </c>
      <c r="H5477" s="9">
        <v>67.900000000000006</v>
      </c>
      <c r="I5477" s="9">
        <f>H5477-G5477</f>
        <v>10.185000000000002</v>
      </c>
    </row>
    <row r="5478" ht="14.25">
      <c r="A5478" s="5">
        <v>56731</v>
      </c>
      <c r="B5478" s="7" t="s">
        <v>5570</v>
      </c>
      <c r="C5478" s="7" t="s">
        <v>4891</v>
      </c>
      <c r="D5478" s="7" t="s">
        <v>110</v>
      </c>
      <c r="E5478" s="5" t="s">
        <v>703</v>
      </c>
      <c r="F5478" s="5"/>
      <c r="G5478" s="9">
        <f>H5478*(1-15%)*(1-F5478)</f>
        <v>57.715000000000003</v>
      </c>
      <c r="H5478" s="9">
        <v>67.900000000000006</v>
      </c>
      <c r="I5478" s="9">
        <f>H5478-G5478</f>
        <v>10.185000000000002</v>
      </c>
    </row>
    <row r="5479" ht="14.25">
      <c r="A5479" s="5">
        <v>56806</v>
      </c>
      <c r="B5479" s="7" t="s">
        <v>5571</v>
      </c>
      <c r="C5479" s="7" t="s">
        <v>4891</v>
      </c>
      <c r="D5479" s="7" t="s">
        <v>110</v>
      </c>
      <c r="E5479" s="5" t="s">
        <v>39</v>
      </c>
      <c r="F5479" s="5"/>
      <c r="G5479" s="9">
        <f>H5479*(1-15%)*(1-F5479)</f>
        <v>67.915000000000006</v>
      </c>
      <c r="H5479" s="9">
        <v>79.900000000000006</v>
      </c>
      <c r="I5479" s="9">
        <f>H5479-G5479</f>
        <v>11.984999999999999</v>
      </c>
    </row>
    <row r="5480" ht="14.25">
      <c r="A5480" s="5">
        <v>56807</v>
      </c>
      <c r="B5480" s="7" t="s">
        <v>5572</v>
      </c>
      <c r="C5480" s="7" t="s">
        <v>4891</v>
      </c>
      <c r="D5480" s="7" t="s">
        <v>110</v>
      </c>
      <c r="E5480" s="5" t="s">
        <v>39</v>
      </c>
      <c r="F5480" s="5"/>
      <c r="G5480" s="9">
        <f>H5480*(1-15%)*(1-F5480)</f>
        <v>59.415000000000006</v>
      </c>
      <c r="H5480" s="9">
        <v>69.900000000000006</v>
      </c>
      <c r="I5480" s="9">
        <f>H5480-G5480</f>
        <v>10.484999999999999</v>
      </c>
    </row>
    <row r="5481" ht="14.25">
      <c r="A5481" s="5">
        <v>56808</v>
      </c>
      <c r="B5481" s="7" t="s">
        <v>5573</v>
      </c>
      <c r="C5481" s="7" t="s">
        <v>4891</v>
      </c>
      <c r="D5481" s="7" t="s">
        <v>110</v>
      </c>
      <c r="E5481" s="5" t="s">
        <v>39</v>
      </c>
      <c r="F5481" s="5"/>
      <c r="G5481" s="9">
        <f>H5481*(1-15%)*(1-F5481)</f>
        <v>59.415000000000006</v>
      </c>
      <c r="H5481" s="9">
        <v>69.900000000000006</v>
      </c>
      <c r="I5481" s="9">
        <f>H5481-G5481</f>
        <v>10.484999999999999</v>
      </c>
    </row>
    <row r="5482" ht="14.25">
      <c r="A5482" s="5">
        <v>56874</v>
      </c>
      <c r="B5482" s="7" t="s">
        <v>5574</v>
      </c>
      <c r="C5482" s="7" t="s">
        <v>4891</v>
      </c>
      <c r="D5482" s="7" t="s">
        <v>110</v>
      </c>
      <c r="E5482" s="5" t="s">
        <v>26</v>
      </c>
      <c r="F5482" s="5"/>
      <c r="G5482" s="9">
        <f>H5482*(1-15%)*(1-F5482)</f>
        <v>22.014999999999997</v>
      </c>
      <c r="H5482" s="9">
        <v>25.899999999999999</v>
      </c>
      <c r="I5482" s="9">
        <f>H5482-G5482</f>
        <v>3.8850000000000016</v>
      </c>
    </row>
    <row r="5483" ht="14.25">
      <c r="A5483" s="5">
        <v>56875</v>
      </c>
      <c r="B5483" s="7" t="s">
        <v>5575</v>
      </c>
      <c r="C5483" s="7" t="s">
        <v>4891</v>
      </c>
      <c r="D5483" s="7" t="s">
        <v>110</v>
      </c>
      <c r="E5483" s="5" t="s">
        <v>26</v>
      </c>
      <c r="F5483" s="5"/>
      <c r="G5483" s="9">
        <f>H5483*(1-15%)*(1-F5483)</f>
        <v>22.014999999999997</v>
      </c>
      <c r="H5483" s="9">
        <v>25.899999999999999</v>
      </c>
      <c r="I5483" s="9">
        <f>H5483-G5483</f>
        <v>3.8850000000000016</v>
      </c>
    </row>
    <row r="5484" ht="14.25">
      <c r="A5484" s="5">
        <v>56878</v>
      </c>
      <c r="B5484" s="7" t="s">
        <v>5576</v>
      </c>
      <c r="C5484" s="7" t="s">
        <v>4891</v>
      </c>
      <c r="D5484" s="7" t="s">
        <v>110</v>
      </c>
      <c r="E5484" s="5" t="s">
        <v>26</v>
      </c>
      <c r="F5484" s="5"/>
      <c r="G5484" s="9">
        <f>H5484*(1-15%)*(1-F5484)</f>
        <v>61.965000000000003</v>
      </c>
      <c r="H5484" s="9">
        <v>72.900000000000006</v>
      </c>
      <c r="I5484" s="9">
        <f>H5484-G5484</f>
        <v>10.935000000000002</v>
      </c>
    </row>
    <row r="5485" ht="14.25">
      <c r="A5485" s="5">
        <v>56880</v>
      </c>
      <c r="B5485" s="7" t="s">
        <v>5577</v>
      </c>
      <c r="C5485" s="7" t="s">
        <v>4891</v>
      </c>
      <c r="D5485" s="7" t="s">
        <v>110</v>
      </c>
      <c r="E5485" s="5" t="s">
        <v>26</v>
      </c>
      <c r="F5485" s="5"/>
      <c r="G5485" s="9">
        <f>H5485*(1-15%)*(1-F5485)</f>
        <v>61.965000000000003</v>
      </c>
      <c r="H5485" s="9">
        <v>72.900000000000006</v>
      </c>
      <c r="I5485" s="9">
        <f>H5485-G5485</f>
        <v>10.935000000000002</v>
      </c>
    </row>
    <row r="5486" ht="14.25">
      <c r="A5486" s="5">
        <v>56881</v>
      </c>
      <c r="B5486" s="7" t="s">
        <v>5578</v>
      </c>
      <c r="C5486" s="7" t="s">
        <v>4891</v>
      </c>
      <c r="D5486" s="7" t="s">
        <v>110</v>
      </c>
      <c r="E5486" s="5" t="s">
        <v>26</v>
      </c>
      <c r="F5486" s="5"/>
      <c r="G5486" s="9">
        <f>H5486*(1-15%)*(1-F5486)</f>
        <v>61.965000000000003</v>
      </c>
      <c r="H5486" s="9">
        <v>72.900000000000006</v>
      </c>
      <c r="I5486" s="9">
        <f>H5486-G5486</f>
        <v>10.935000000000002</v>
      </c>
    </row>
    <row r="5487" ht="14.25">
      <c r="A5487" s="5">
        <v>56882</v>
      </c>
      <c r="B5487" s="7" t="s">
        <v>5579</v>
      </c>
      <c r="C5487" s="7" t="s">
        <v>4891</v>
      </c>
      <c r="D5487" s="7" t="s">
        <v>110</v>
      </c>
      <c r="E5487" s="5" t="s">
        <v>26</v>
      </c>
      <c r="F5487" s="5"/>
      <c r="G5487" s="9">
        <f>H5487*(1-15%)*(1-F5487)</f>
        <v>61.965000000000003</v>
      </c>
      <c r="H5487" s="9">
        <v>72.900000000000006</v>
      </c>
      <c r="I5487" s="9">
        <f>H5487-G5487</f>
        <v>10.935000000000002</v>
      </c>
    </row>
    <row r="5488" ht="14.25">
      <c r="A5488" s="5">
        <v>56883</v>
      </c>
      <c r="B5488" s="7" t="s">
        <v>5580</v>
      </c>
      <c r="C5488" s="7" t="s">
        <v>4891</v>
      </c>
      <c r="D5488" s="7" t="s">
        <v>110</v>
      </c>
      <c r="E5488" s="5" t="s">
        <v>26</v>
      </c>
      <c r="F5488" s="5"/>
      <c r="G5488" s="9">
        <f>H5488*(1-15%)*(1-F5488)</f>
        <v>61.965000000000003</v>
      </c>
      <c r="H5488" s="9">
        <v>72.900000000000006</v>
      </c>
      <c r="I5488" s="9">
        <f>H5488-G5488</f>
        <v>10.935000000000002</v>
      </c>
    </row>
    <row r="5489" ht="14.25">
      <c r="A5489" s="5">
        <v>56887</v>
      </c>
      <c r="B5489" s="7" t="s">
        <v>5581</v>
      </c>
      <c r="C5489" s="7" t="s">
        <v>4891</v>
      </c>
      <c r="D5489" s="7" t="s">
        <v>110</v>
      </c>
      <c r="E5489" s="5" t="s">
        <v>26</v>
      </c>
      <c r="F5489" s="5"/>
      <c r="G5489" s="9">
        <f>H5489*(1-15%)*(1-F5489)</f>
        <v>61.965000000000003</v>
      </c>
      <c r="H5489" s="9">
        <v>72.900000000000006</v>
      </c>
      <c r="I5489" s="9">
        <f>H5489-G5489</f>
        <v>10.935000000000002</v>
      </c>
    </row>
    <row r="5490" ht="14.25">
      <c r="A5490" s="5">
        <v>56888</v>
      </c>
      <c r="B5490" s="7" t="s">
        <v>5582</v>
      </c>
      <c r="C5490" s="7" t="s">
        <v>4891</v>
      </c>
      <c r="D5490" s="7" t="s">
        <v>110</v>
      </c>
      <c r="E5490" s="5" t="s">
        <v>26</v>
      </c>
      <c r="F5490" s="5"/>
      <c r="G5490" s="9">
        <f>H5490*(1-15%)*(1-F5490)</f>
        <v>61.965000000000003</v>
      </c>
      <c r="H5490" s="9">
        <v>72.900000000000006</v>
      </c>
      <c r="I5490" s="9">
        <f>H5490-G5490</f>
        <v>10.935000000000002</v>
      </c>
    </row>
    <row r="5491" ht="14.25">
      <c r="A5491" s="5">
        <v>56889</v>
      </c>
      <c r="B5491" s="7" t="s">
        <v>5583</v>
      </c>
      <c r="C5491" s="7" t="s">
        <v>4891</v>
      </c>
      <c r="D5491" s="7" t="s">
        <v>110</v>
      </c>
      <c r="E5491" s="5" t="s">
        <v>26</v>
      </c>
      <c r="F5491" s="5"/>
      <c r="G5491" s="9">
        <f>H5491*(1-15%)*(1-F5491)</f>
        <v>61.965000000000003</v>
      </c>
      <c r="H5491" s="9">
        <v>72.900000000000006</v>
      </c>
      <c r="I5491" s="9">
        <f>H5491-G5491</f>
        <v>10.935000000000002</v>
      </c>
    </row>
    <row r="5492" ht="14.25">
      <c r="A5492" s="5">
        <v>56890</v>
      </c>
      <c r="B5492" s="7" t="s">
        <v>5584</v>
      </c>
      <c r="C5492" s="7" t="s">
        <v>4891</v>
      </c>
      <c r="D5492" s="7" t="s">
        <v>110</v>
      </c>
      <c r="E5492" s="5" t="s">
        <v>26</v>
      </c>
      <c r="F5492" s="5"/>
      <c r="G5492" s="9">
        <f>H5492*(1-15%)*(1-F5492)</f>
        <v>61.965000000000003</v>
      </c>
      <c r="H5492" s="9">
        <v>72.900000000000006</v>
      </c>
      <c r="I5492" s="9">
        <f>H5492-G5492</f>
        <v>10.935000000000002</v>
      </c>
    </row>
    <row r="5493" ht="14.25">
      <c r="A5493" s="5">
        <v>56891</v>
      </c>
      <c r="B5493" s="7" t="s">
        <v>5585</v>
      </c>
      <c r="C5493" s="7" t="s">
        <v>4891</v>
      </c>
      <c r="D5493" s="7" t="s">
        <v>110</v>
      </c>
      <c r="E5493" s="5" t="s">
        <v>26</v>
      </c>
      <c r="F5493" s="5"/>
      <c r="G5493" s="9">
        <f>H5493*(1-15%)*(1-F5493)</f>
        <v>61.965000000000003</v>
      </c>
      <c r="H5493" s="9">
        <v>72.900000000000006</v>
      </c>
      <c r="I5493" s="9">
        <f>H5493-G5493</f>
        <v>10.935000000000002</v>
      </c>
    </row>
    <row r="5494" ht="14.25">
      <c r="A5494" s="5">
        <v>56893</v>
      </c>
      <c r="B5494" s="7" t="s">
        <v>5586</v>
      </c>
      <c r="C5494" s="7" t="s">
        <v>4891</v>
      </c>
      <c r="D5494" s="7" t="s">
        <v>110</v>
      </c>
      <c r="E5494" s="5" t="s">
        <v>26</v>
      </c>
      <c r="F5494" s="5"/>
      <c r="G5494" s="9">
        <f>H5494*(1-15%)*(1-F5494)</f>
        <v>61.965000000000003</v>
      </c>
      <c r="H5494" s="9">
        <v>72.900000000000006</v>
      </c>
      <c r="I5494" s="9">
        <f>H5494-G5494</f>
        <v>10.935000000000002</v>
      </c>
    </row>
    <row r="5495" ht="14.25">
      <c r="A5495" s="5">
        <v>56895</v>
      </c>
      <c r="B5495" s="7" t="s">
        <v>5587</v>
      </c>
      <c r="C5495" s="7" t="s">
        <v>4891</v>
      </c>
      <c r="D5495" s="7" t="s">
        <v>110</v>
      </c>
      <c r="E5495" s="5" t="s">
        <v>26</v>
      </c>
      <c r="F5495" s="5"/>
      <c r="G5495" s="9">
        <f>H5495*(1-15%)*(1-F5495)</f>
        <v>61.965000000000003</v>
      </c>
      <c r="H5495" s="9">
        <v>72.900000000000006</v>
      </c>
      <c r="I5495" s="9">
        <f>H5495-G5495</f>
        <v>10.935000000000002</v>
      </c>
    </row>
    <row r="5496" ht="14.25">
      <c r="A5496" s="5">
        <v>56896</v>
      </c>
      <c r="B5496" s="7" t="s">
        <v>5588</v>
      </c>
      <c r="C5496" s="7" t="s">
        <v>4891</v>
      </c>
      <c r="D5496" s="7" t="s">
        <v>110</v>
      </c>
      <c r="E5496" s="5" t="s">
        <v>26</v>
      </c>
      <c r="F5496" s="5"/>
      <c r="G5496" s="9">
        <f>H5496*(1-15%)*(1-F5496)</f>
        <v>61.965000000000003</v>
      </c>
      <c r="H5496" s="9">
        <v>72.900000000000006</v>
      </c>
      <c r="I5496" s="9">
        <f>H5496-G5496</f>
        <v>10.935000000000002</v>
      </c>
    </row>
    <row r="5497" ht="14.25">
      <c r="A5497" s="5">
        <v>56897</v>
      </c>
      <c r="B5497" s="7" t="s">
        <v>5589</v>
      </c>
      <c r="C5497" s="7" t="s">
        <v>4891</v>
      </c>
      <c r="D5497" s="7" t="s">
        <v>110</v>
      </c>
      <c r="E5497" s="5" t="s">
        <v>26</v>
      </c>
      <c r="F5497" s="5"/>
      <c r="G5497" s="9">
        <f>H5497*(1-15%)*(1-F5497)</f>
        <v>61.965000000000003</v>
      </c>
      <c r="H5497" s="9">
        <v>72.900000000000006</v>
      </c>
      <c r="I5497" s="9">
        <f>H5497-G5497</f>
        <v>10.935000000000002</v>
      </c>
    </row>
    <row r="5498" ht="14.25">
      <c r="A5498" s="5">
        <v>56898</v>
      </c>
      <c r="B5498" s="7" t="s">
        <v>5590</v>
      </c>
      <c r="C5498" s="7" t="s">
        <v>4891</v>
      </c>
      <c r="D5498" s="7" t="s">
        <v>110</v>
      </c>
      <c r="E5498" s="5" t="s">
        <v>26</v>
      </c>
      <c r="F5498" s="5"/>
      <c r="G5498" s="9">
        <f>H5498*(1-15%)*(1-F5498)</f>
        <v>61.965000000000003</v>
      </c>
      <c r="H5498" s="9">
        <v>72.900000000000006</v>
      </c>
      <c r="I5498" s="9">
        <f>H5498-G5498</f>
        <v>10.935000000000002</v>
      </c>
    </row>
    <row r="5499" ht="14.25">
      <c r="A5499" s="5">
        <v>56900</v>
      </c>
      <c r="B5499" s="7" t="s">
        <v>5591</v>
      </c>
      <c r="C5499" s="7" t="s">
        <v>4891</v>
      </c>
      <c r="D5499" s="7" t="s">
        <v>110</v>
      </c>
      <c r="E5499" s="5" t="s">
        <v>26</v>
      </c>
      <c r="F5499" s="5"/>
      <c r="G5499" s="9">
        <f>H5499*(1-15%)*(1-F5499)</f>
        <v>61.965000000000003</v>
      </c>
      <c r="H5499" s="9">
        <v>72.900000000000006</v>
      </c>
      <c r="I5499" s="9">
        <f>H5499-G5499</f>
        <v>10.935000000000002</v>
      </c>
    </row>
    <row r="5500" ht="14.25">
      <c r="A5500" s="5">
        <v>56902</v>
      </c>
      <c r="B5500" s="7" t="s">
        <v>5592</v>
      </c>
      <c r="C5500" s="7" t="s">
        <v>4891</v>
      </c>
      <c r="D5500" s="7" t="s">
        <v>110</v>
      </c>
      <c r="E5500" s="5" t="s">
        <v>26</v>
      </c>
      <c r="F5500" s="5"/>
      <c r="G5500" s="9">
        <f>H5500*(1-15%)*(1-F5500)</f>
        <v>61.965000000000003</v>
      </c>
      <c r="H5500" s="9">
        <v>72.900000000000006</v>
      </c>
      <c r="I5500" s="9">
        <f>H5500-G5500</f>
        <v>10.935000000000002</v>
      </c>
    </row>
    <row r="5501" ht="14.25">
      <c r="A5501" s="5">
        <v>56903</v>
      </c>
      <c r="B5501" s="7" t="s">
        <v>5593</v>
      </c>
      <c r="C5501" s="7" t="s">
        <v>4891</v>
      </c>
      <c r="D5501" s="7" t="s">
        <v>110</v>
      </c>
      <c r="E5501" s="5" t="s">
        <v>26</v>
      </c>
      <c r="F5501" s="5"/>
      <c r="G5501" s="9">
        <f>H5501*(1-15%)*(1-F5501)</f>
        <v>61.965000000000003</v>
      </c>
      <c r="H5501" s="9">
        <v>72.900000000000006</v>
      </c>
      <c r="I5501" s="9">
        <f>H5501-G5501</f>
        <v>10.935000000000002</v>
      </c>
    </row>
    <row r="5502" ht="14.25">
      <c r="A5502" s="5">
        <v>56904</v>
      </c>
      <c r="B5502" s="7" t="s">
        <v>5594</v>
      </c>
      <c r="C5502" s="7" t="s">
        <v>4891</v>
      </c>
      <c r="D5502" s="7" t="s">
        <v>110</v>
      </c>
      <c r="E5502" s="5" t="s">
        <v>26</v>
      </c>
      <c r="F5502" s="5"/>
      <c r="G5502" s="9">
        <f>H5502*(1-15%)*(1-F5502)</f>
        <v>61.965000000000003</v>
      </c>
      <c r="H5502" s="9">
        <v>72.900000000000006</v>
      </c>
      <c r="I5502" s="9">
        <f>H5502-G5502</f>
        <v>10.935000000000002</v>
      </c>
    </row>
    <row r="5503" ht="14.25">
      <c r="A5503" s="5">
        <v>56905</v>
      </c>
      <c r="B5503" s="7" t="s">
        <v>5595</v>
      </c>
      <c r="C5503" s="7" t="s">
        <v>4891</v>
      </c>
      <c r="D5503" s="7" t="s">
        <v>110</v>
      </c>
      <c r="E5503" s="5" t="s">
        <v>26</v>
      </c>
      <c r="F5503" s="5"/>
      <c r="G5503" s="9">
        <f>H5503*(1-15%)*(1-F5503)</f>
        <v>42.414999999999999</v>
      </c>
      <c r="H5503" s="9">
        <v>49.899999999999999</v>
      </c>
      <c r="I5503" s="9">
        <f>H5503-G5503</f>
        <v>7.4849999999999994</v>
      </c>
    </row>
    <row r="5504" ht="14.25">
      <c r="A5504" s="5">
        <v>56907</v>
      </c>
      <c r="B5504" s="7" t="s">
        <v>5596</v>
      </c>
      <c r="C5504" s="7" t="s">
        <v>4891</v>
      </c>
      <c r="D5504" s="7" t="s">
        <v>110</v>
      </c>
      <c r="E5504" s="5" t="s">
        <v>26</v>
      </c>
      <c r="F5504" s="5"/>
      <c r="G5504" s="9">
        <f>H5504*(1-15%)*(1-F5504)</f>
        <v>42.414999999999999</v>
      </c>
      <c r="H5504" s="9">
        <v>49.899999999999999</v>
      </c>
      <c r="I5504" s="9">
        <f>H5504-G5504</f>
        <v>7.4849999999999994</v>
      </c>
    </row>
    <row r="5505" ht="14.25">
      <c r="A5505" s="5">
        <v>56914</v>
      </c>
      <c r="B5505" s="7" t="s">
        <v>5597</v>
      </c>
      <c r="C5505" s="7" t="s">
        <v>4891</v>
      </c>
      <c r="D5505" s="7" t="s">
        <v>110</v>
      </c>
      <c r="E5505" s="5" t="s">
        <v>26</v>
      </c>
      <c r="F5505" s="5"/>
      <c r="G5505" s="9">
        <f>H5505*(1-15%)*(1-F5505)</f>
        <v>42.414999999999999</v>
      </c>
      <c r="H5505" s="9">
        <v>49.899999999999999</v>
      </c>
      <c r="I5505" s="9">
        <f>H5505-G5505</f>
        <v>7.4849999999999994</v>
      </c>
    </row>
    <row r="5506" ht="14.25">
      <c r="A5506" s="5">
        <v>56921</v>
      </c>
      <c r="B5506" s="7" t="s">
        <v>5598</v>
      </c>
      <c r="C5506" s="7" t="s">
        <v>4891</v>
      </c>
      <c r="D5506" s="7" t="s">
        <v>110</v>
      </c>
      <c r="E5506" s="5" t="s">
        <v>39</v>
      </c>
      <c r="F5506" s="5"/>
      <c r="G5506" s="9">
        <f>H5506*(1-15%)*(1-F5506)</f>
        <v>59.415000000000006</v>
      </c>
      <c r="H5506" s="9">
        <v>69.900000000000006</v>
      </c>
      <c r="I5506" s="9">
        <f>H5506-G5506</f>
        <v>10.484999999999999</v>
      </c>
    </row>
    <row r="5507" ht="14.25">
      <c r="A5507" s="5">
        <v>56924</v>
      </c>
      <c r="B5507" s="7" t="s">
        <v>5599</v>
      </c>
      <c r="C5507" s="7" t="s">
        <v>4891</v>
      </c>
      <c r="D5507" s="7" t="s">
        <v>110</v>
      </c>
      <c r="E5507" s="5" t="s">
        <v>26</v>
      </c>
      <c r="F5507" s="5"/>
      <c r="G5507" s="9">
        <f>H5507*(1-15%)*(1-F5507)</f>
        <v>40.714999999999996</v>
      </c>
      <c r="H5507" s="9">
        <v>47.899999999999999</v>
      </c>
      <c r="I5507" s="9">
        <f>H5507-G5507</f>
        <v>7.1850000000000023</v>
      </c>
    </row>
    <row r="5508" ht="14.25">
      <c r="A5508" s="5">
        <v>56925</v>
      </c>
      <c r="B5508" s="7" t="s">
        <v>5600</v>
      </c>
      <c r="C5508" s="7" t="s">
        <v>4891</v>
      </c>
      <c r="D5508" s="7" t="s">
        <v>110</v>
      </c>
      <c r="E5508" s="5" t="s">
        <v>26</v>
      </c>
      <c r="F5508" s="5"/>
      <c r="G5508" s="9">
        <f>H5508*(1-15%)*(1-F5508)</f>
        <v>40.714999999999996</v>
      </c>
      <c r="H5508" s="9">
        <v>47.899999999999999</v>
      </c>
      <c r="I5508" s="9">
        <f>H5508-G5508</f>
        <v>7.1850000000000023</v>
      </c>
    </row>
    <row r="5509" ht="14.25">
      <c r="A5509" s="5">
        <v>56926</v>
      </c>
      <c r="B5509" s="7" t="s">
        <v>5601</v>
      </c>
      <c r="C5509" s="7" t="s">
        <v>4891</v>
      </c>
      <c r="D5509" s="7" t="s">
        <v>110</v>
      </c>
      <c r="E5509" s="5" t="s">
        <v>26</v>
      </c>
      <c r="F5509" s="5"/>
      <c r="G5509" s="9">
        <f>H5509*(1-15%)*(1-F5509)</f>
        <v>40.714999999999996</v>
      </c>
      <c r="H5509" s="9">
        <v>47.899999999999999</v>
      </c>
      <c r="I5509" s="9">
        <f>H5509-G5509</f>
        <v>7.1850000000000023</v>
      </c>
    </row>
    <row r="5510" ht="14.25">
      <c r="A5510" s="5">
        <v>56927</v>
      </c>
      <c r="B5510" s="7" t="s">
        <v>5602</v>
      </c>
      <c r="C5510" s="7" t="s">
        <v>4891</v>
      </c>
      <c r="D5510" s="7" t="s">
        <v>110</v>
      </c>
      <c r="E5510" s="5" t="s">
        <v>26</v>
      </c>
      <c r="F5510" s="5"/>
      <c r="G5510" s="9">
        <f>H5510*(1-15%)*(1-F5510)</f>
        <v>40.714999999999996</v>
      </c>
      <c r="H5510" s="9">
        <v>47.899999999999999</v>
      </c>
      <c r="I5510" s="9">
        <f>H5510-G5510</f>
        <v>7.1850000000000023</v>
      </c>
    </row>
    <row r="5511" ht="14.25">
      <c r="A5511" s="5">
        <v>56928</v>
      </c>
      <c r="B5511" s="7" t="s">
        <v>5603</v>
      </c>
      <c r="C5511" s="7" t="s">
        <v>4891</v>
      </c>
      <c r="D5511" s="7" t="s">
        <v>110</v>
      </c>
      <c r="E5511" s="5" t="s">
        <v>26</v>
      </c>
      <c r="F5511" s="5"/>
      <c r="G5511" s="9">
        <f>H5511*(1-15%)*(1-F5511)</f>
        <v>40.714999999999996</v>
      </c>
      <c r="H5511" s="9">
        <v>47.899999999999999</v>
      </c>
      <c r="I5511" s="9">
        <f>H5511-G5511</f>
        <v>7.1850000000000023</v>
      </c>
    </row>
    <row r="5512" ht="14.25">
      <c r="A5512" s="5">
        <v>56929</v>
      </c>
      <c r="B5512" s="7" t="s">
        <v>5604</v>
      </c>
      <c r="C5512" s="7" t="s">
        <v>4891</v>
      </c>
      <c r="D5512" s="7" t="s">
        <v>110</v>
      </c>
      <c r="E5512" s="5" t="s">
        <v>26</v>
      </c>
      <c r="F5512" s="5"/>
      <c r="G5512" s="9">
        <f>H5512*(1-15%)*(1-F5512)</f>
        <v>40.714999999999996</v>
      </c>
      <c r="H5512" s="9">
        <v>47.899999999999999</v>
      </c>
      <c r="I5512" s="9">
        <f>H5512-G5512</f>
        <v>7.1850000000000023</v>
      </c>
    </row>
    <row r="5513" ht="14.25">
      <c r="A5513" s="5">
        <v>56930</v>
      </c>
      <c r="B5513" s="7" t="s">
        <v>5605</v>
      </c>
      <c r="C5513" s="7" t="s">
        <v>4891</v>
      </c>
      <c r="D5513" s="7" t="s">
        <v>110</v>
      </c>
      <c r="E5513" s="5" t="s">
        <v>26</v>
      </c>
      <c r="F5513" s="5"/>
      <c r="G5513" s="9">
        <f>H5513*(1-15%)*(1-F5513)</f>
        <v>40.714999999999996</v>
      </c>
      <c r="H5513" s="9">
        <v>47.899999999999999</v>
      </c>
      <c r="I5513" s="9">
        <f>H5513-G5513</f>
        <v>7.1850000000000023</v>
      </c>
    </row>
    <row r="5514" ht="14.25">
      <c r="A5514" s="5">
        <v>56931</v>
      </c>
      <c r="B5514" s="7" t="s">
        <v>5606</v>
      </c>
      <c r="C5514" s="7" t="s">
        <v>4891</v>
      </c>
      <c r="D5514" s="7" t="s">
        <v>110</v>
      </c>
      <c r="E5514" s="5" t="s">
        <v>26</v>
      </c>
      <c r="F5514" s="5"/>
      <c r="G5514" s="9">
        <f>H5514*(1-15%)*(1-F5514)</f>
        <v>40.714999999999996</v>
      </c>
      <c r="H5514" s="9">
        <v>47.899999999999999</v>
      </c>
      <c r="I5514" s="9">
        <f>H5514-G5514</f>
        <v>7.1850000000000023</v>
      </c>
    </row>
    <row r="5515" ht="14.25">
      <c r="A5515" s="5">
        <v>56959</v>
      </c>
      <c r="B5515" s="7" t="s">
        <v>5607</v>
      </c>
      <c r="C5515" s="7" t="s">
        <v>4891</v>
      </c>
      <c r="D5515" s="7" t="s">
        <v>110</v>
      </c>
      <c r="E5515" s="5" t="s">
        <v>43</v>
      </c>
      <c r="F5515" s="5"/>
      <c r="G5515" s="9">
        <f>H5515*(1-15%)*(1-F5515)</f>
        <v>44.964999999999996</v>
      </c>
      <c r="H5515" s="9">
        <v>52.899999999999999</v>
      </c>
      <c r="I5515" s="9">
        <f>H5515-G5515</f>
        <v>7.9350000000000023</v>
      </c>
    </row>
    <row r="5516" ht="14.25">
      <c r="A5516" s="5">
        <v>56973</v>
      </c>
      <c r="B5516" s="7" t="s">
        <v>5608</v>
      </c>
      <c r="C5516" s="7" t="s">
        <v>4891</v>
      </c>
      <c r="D5516" s="7" t="s">
        <v>110</v>
      </c>
      <c r="E5516" s="5" t="s">
        <v>43</v>
      </c>
      <c r="F5516" s="5"/>
      <c r="G5516" s="9">
        <f>H5516*(1-15%)*(1-F5516)</f>
        <v>44.964999999999996</v>
      </c>
      <c r="H5516" s="9">
        <v>52.899999999999999</v>
      </c>
      <c r="I5516" s="9">
        <f>H5516-G5516</f>
        <v>7.9350000000000023</v>
      </c>
    </row>
    <row r="5517" ht="14.25">
      <c r="A5517" s="5">
        <v>56974</v>
      </c>
      <c r="B5517" s="7" t="s">
        <v>5609</v>
      </c>
      <c r="C5517" s="7" t="s">
        <v>4891</v>
      </c>
      <c r="D5517" s="7" t="s">
        <v>110</v>
      </c>
      <c r="E5517" s="5" t="s">
        <v>43</v>
      </c>
      <c r="F5517" s="5"/>
      <c r="G5517" s="9">
        <f>H5517*(1-15%)*(1-F5517)</f>
        <v>44.964999999999996</v>
      </c>
      <c r="H5517" s="9">
        <v>52.899999999999999</v>
      </c>
      <c r="I5517" s="9">
        <f>H5517-G5517</f>
        <v>7.9350000000000023</v>
      </c>
    </row>
    <row r="5518" ht="14.25">
      <c r="A5518" s="5">
        <v>56977</v>
      </c>
      <c r="B5518" s="7" t="s">
        <v>5610</v>
      </c>
      <c r="C5518" s="7" t="s">
        <v>4891</v>
      </c>
      <c r="D5518" s="7" t="s">
        <v>110</v>
      </c>
      <c r="E5518" s="5" t="s">
        <v>43</v>
      </c>
      <c r="F5518" s="5"/>
      <c r="G5518" s="9">
        <f>H5518*(1-15%)*(1-F5518)</f>
        <v>44.964999999999996</v>
      </c>
      <c r="H5518" s="9">
        <v>52.899999999999999</v>
      </c>
      <c r="I5518" s="9">
        <f>H5518-G5518</f>
        <v>7.9350000000000023</v>
      </c>
    </row>
    <row r="5519" ht="14.25">
      <c r="A5519" s="5">
        <v>56978</v>
      </c>
      <c r="B5519" s="7" t="s">
        <v>5611</v>
      </c>
      <c r="C5519" s="7" t="s">
        <v>4891</v>
      </c>
      <c r="D5519" s="7" t="s">
        <v>110</v>
      </c>
      <c r="E5519" s="5" t="s">
        <v>43</v>
      </c>
      <c r="F5519" s="5"/>
      <c r="G5519" s="9">
        <f>H5519*(1-15%)*(1-F5519)</f>
        <v>44.964999999999996</v>
      </c>
      <c r="H5519" s="9">
        <v>52.899999999999999</v>
      </c>
      <c r="I5519" s="9">
        <f>H5519-G5519</f>
        <v>7.9350000000000023</v>
      </c>
    </row>
    <row r="5520" ht="14.25">
      <c r="A5520" s="5">
        <v>57097</v>
      </c>
      <c r="B5520" s="7" t="s">
        <v>5612</v>
      </c>
      <c r="C5520" s="7" t="s">
        <v>4891</v>
      </c>
      <c r="D5520" s="7" t="s">
        <v>103</v>
      </c>
      <c r="E5520" s="5" t="s">
        <v>15</v>
      </c>
      <c r="F5520" s="5"/>
      <c r="G5520" s="9">
        <f>H5520*(1-15%)*(1-F5520)</f>
        <v>32.214999999999996</v>
      </c>
      <c r="H5520" s="9">
        <v>37.899999999999999</v>
      </c>
      <c r="I5520" s="9">
        <f>H5520-G5520</f>
        <v>5.6850000000000023</v>
      </c>
    </row>
    <row r="5521" ht="14.25">
      <c r="A5521" s="5">
        <v>57098</v>
      </c>
      <c r="B5521" s="7" t="s">
        <v>5613</v>
      </c>
      <c r="C5521" s="7" t="s">
        <v>4891</v>
      </c>
      <c r="D5521" s="7" t="s">
        <v>45</v>
      </c>
      <c r="E5521" s="5" t="s">
        <v>39</v>
      </c>
      <c r="F5521" s="5"/>
      <c r="G5521" s="9">
        <f>H5521*(1-15%)*(1-F5521)</f>
        <v>40.714999999999996</v>
      </c>
      <c r="H5521" s="9">
        <v>47.899999999999999</v>
      </c>
      <c r="I5521" s="9">
        <f>H5521-G5521</f>
        <v>7.1850000000000023</v>
      </c>
    </row>
    <row r="5522" ht="14.25">
      <c r="A5522" s="5">
        <v>57595</v>
      </c>
      <c r="B5522" s="7" t="s">
        <v>5614</v>
      </c>
      <c r="C5522" s="7" t="s">
        <v>4891</v>
      </c>
      <c r="D5522" s="7" t="s">
        <v>110</v>
      </c>
      <c r="E5522" s="5" t="s">
        <v>26</v>
      </c>
      <c r="F5522" s="5"/>
      <c r="G5522" s="9">
        <f>H5522*(1-15%)*(1-F5522)</f>
        <v>42.414999999999999</v>
      </c>
      <c r="H5522" s="9">
        <v>49.899999999999999</v>
      </c>
      <c r="I5522" s="9">
        <f>H5522-G5522</f>
        <v>7.4849999999999994</v>
      </c>
    </row>
    <row r="5523" ht="14.25">
      <c r="A5523" s="5">
        <v>57606</v>
      </c>
      <c r="B5523" s="7" t="s">
        <v>5615</v>
      </c>
      <c r="C5523" s="7" t="s">
        <v>4891</v>
      </c>
      <c r="D5523" s="7" t="s">
        <v>110</v>
      </c>
      <c r="E5523" s="5" t="s">
        <v>26</v>
      </c>
      <c r="F5523" s="5"/>
      <c r="G5523" s="9">
        <f>H5523*(1-15%)*(1-F5523)</f>
        <v>40.714999999999996</v>
      </c>
      <c r="H5523" s="9">
        <v>47.899999999999999</v>
      </c>
      <c r="I5523" s="9">
        <f>H5523-G5523</f>
        <v>7.1850000000000023</v>
      </c>
    </row>
    <row r="5524" ht="14.25">
      <c r="A5524" s="5">
        <v>57607</v>
      </c>
      <c r="B5524" s="7" t="s">
        <v>5616</v>
      </c>
      <c r="C5524" s="7" t="s">
        <v>4891</v>
      </c>
      <c r="D5524" s="7" t="s">
        <v>110</v>
      </c>
      <c r="E5524" s="5" t="s">
        <v>26</v>
      </c>
      <c r="F5524" s="5"/>
      <c r="G5524" s="9">
        <f>H5524*(1-15%)*(1-F5524)</f>
        <v>40.714999999999996</v>
      </c>
      <c r="H5524" s="9">
        <v>47.899999999999999</v>
      </c>
      <c r="I5524" s="9">
        <f>H5524-G5524</f>
        <v>7.1850000000000023</v>
      </c>
    </row>
    <row r="5525" ht="14.25">
      <c r="A5525" s="5">
        <v>57608</v>
      </c>
      <c r="B5525" s="7" t="s">
        <v>5617</v>
      </c>
      <c r="C5525" s="7" t="s">
        <v>4891</v>
      </c>
      <c r="D5525" s="7" t="s">
        <v>110</v>
      </c>
      <c r="E5525" s="5" t="s">
        <v>26</v>
      </c>
      <c r="F5525" s="5"/>
      <c r="G5525" s="9">
        <f>H5525*(1-15%)*(1-F5525)</f>
        <v>40.714999999999996</v>
      </c>
      <c r="H5525" s="9">
        <v>47.899999999999999</v>
      </c>
      <c r="I5525" s="9">
        <f>H5525-G5525</f>
        <v>7.1850000000000023</v>
      </c>
    </row>
    <row r="5526" ht="14.25">
      <c r="A5526" s="5">
        <v>57616</v>
      </c>
      <c r="B5526" s="7" t="s">
        <v>5618</v>
      </c>
      <c r="C5526" s="7" t="s">
        <v>4891</v>
      </c>
      <c r="D5526" s="7" t="s">
        <v>110</v>
      </c>
      <c r="E5526" s="5" t="s">
        <v>39</v>
      </c>
      <c r="F5526" s="5"/>
      <c r="G5526" s="9">
        <f>H5526*(1-15%)*(1-F5526)</f>
        <v>42.414999999999999</v>
      </c>
      <c r="H5526" s="9">
        <v>49.899999999999999</v>
      </c>
      <c r="I5526" s="9">
        <f>H5526-G5526</f>
        <v>7.4849999999999994</v>
      </c>
    </row>
    <row r="5527" ht="14.25">
      <c r="A5527" s="5">
        <v>57741</v>
      </c>
      <c r="B5527" s="7" t="s">
        <v>5619</v>
      </c>
      <c r="C5527" s="7" t="s">
        <v>4891</v>
      </c>
      <c r="D5527" s="7" t="s">
        <v>219</v>
      </c>
      <c r="E5527" s="5" t="s">
        <v>26</v>
      </c>
      <c r="F5527" s="5"/>
      <c r="G5527" s="9">
        <f>H5527*(1-15%)*(1-F5527)</f>
        <v>40.714999999999996</v>
      </c>
      <c r="H5527" s="9">
        <v>47.899999999999999</v>
      </c>
      <c r="I5527" s="9">
        <f>H5527-G5527</f>
        <v>7.1850000000000023</v>
      </c>
    </row>
    <row r="5528" ht="14.25">
      <c r="A5528" s="5">
        <v>57742</v>
      </c>
      <c r="B5528" s="7" t="s">
        <v>5620</v>
      </c>
      <c r="C5528" s="7" t="s">
        <v>4891</v>
      </c>
      <c r="D5528" s="7" t="s">
        <v>219</v>
      </c>
      <c r="E5528" s="5" t="s">
        <v>26</v>
      </c>
      <c r="F5528" s="5"/>
      <c r="G5528" s="9">
        <f>H5528*(1-15%)*(1-F5528)</f>
        <v>55.165000000000006</v>
      </c>
      <c r="H5528" s="9">
        <v>64.900000000000006</v>
      </c>
      <c r="I5528" s="9">
        <f>H5528-G5528</f>
        <v>9.7349999999999994</v>
      </c>
    </row>
    <row r="5529" ht="14.25">
      <c r="A5529" s="5">
        <v>57811</v>
      </c>
      <c r="B5529" s="7" t="s">
        <v>5621</v>
      </c>
      <c r="C5529" s="7" t="s">
        <v>4891</v>
      </c>
      <c r="D5529" s="7" t="s">
        <v>110</v>
      </c>
      <c r="E5529" s="5" t="s">
        <v>26</v>
      </c>
      <c r="F5529" s="5"/>
      <c r="G5529" s="9">
        <f>H5529*(1-15%)*(1-F5529)</f>
        <v>49.214999999999996</v>
      </c>
      <c r="H5529" s="9">
        <v>57.899999999999999</v>
      </c>
      <c r="I5529" s="9">
        <f>H5529-G5529</f>
        <v>8.6850000000000023</v>
      </c>
    </row>
    <row r="5530" ht="14.25">
      <c r="A5530" s="5">
        <v>57820</v>
      </c>
      <c r="B5530" s="7" t="s">
        <v>5622</v>
      </c>
      <c r="C5530" s="7" t="s">
        <v>4891</v>
      </c>
      <c r="D5530" s="7" t="s">
        <v>110</v>
      </c>
      <c r="E5530" s="5" t="s">
        <v>26</v>
      </c>
      <c r="F5530" s="5"/>
      <c r="G5530" s="9">
        <f>H5530*(1-15%)*(1-F5530)</f>
        <v>49.214999999999996</v>
      </c>
      <c r="H5530" s="9">
        <v>57.899999999999999</v>
      </c>
      <c r="I5530" s="9">
        <f>H5530-G5530</f>
        <v>8.6850000000000023</v>
      </c>
    </row>
    <row r="5531" ht="14.25">
      <c r="A5531" s="5">
        <v>57821</v>
      </c>
      <c r="B5531" s="7" t="s">
        <v>5623</v>
      </c>
      <c r="C5531" s="7" t="s">
        <v>4891</v>
      </c>
      <c r="D5531" s="7" t="s">
        <v>110</v>
      </c>
      <c r="E5531" s="5" t="s">
        <v>26</v>
      </c>
      <c r="F5531" s="5"/>
      <c r="G5531" s="9">
        <f>H5531*(1-15%)*(1-F5531)</f>
        <v>49.214999999999996</v>
      </c>
      <c r="H5531" s="9">
        <v>57.899999999999999</v>
      </c>
      <c r="I5531" s="9">
        <f>H5531-G5531</f>
        <v>8.6850000000000023</v>
      </c>
    </row>
    <row r="5532" ht="14.25">
      <c r="A5532" s="5">
        <v>57826</v>
      </c>
      <c r="B5532" s="7" t="s">
        <v>5624</v>
      </c>
      <c r="C5532" s="7" t="s">
        <v>4891</v>
      </c>
      <c r="D5532" s="7" t="s">
        <v>110</v>
      </c>
      <c r="E5532" s="5" t="s">
        <v>26</v>
      </c>
      <c r="F5532" s="5"/>
      <c r="G5532" s="9">
        <f>H5532*(1-15%)*(1-F5532)</f>
        <v>49.214999999999996</v>
      </c>
      <c r="H5532" s="9">
        <v>57.899999999999999</v>
      </c>
      <c r="I5532" s="9">
        <f>H5532-G5532</f>
        <v>8.6850000000000023</v>
      </c>
    </row>
    <row r="5533" ht="14.25">
      <c r="A5533" s="5">
        <v>58159</v>
      </c>
      <c r="B5533" s="7" t="s">
        <v>5625</v>
      </c>
      <c r="C5533" s="7" t="s">
        <v>4891</v>
      </c>
      <c r="D5533" s="7" t="s">
        <v>183</v>
      </c>
      <c r="E5533" s="5" t="s">
        <v>133</v>
      </c>
      <c r="F5533" s="5"/>
      <c r="G5533" s="9">
        <f>H5533*(1-15%)*(1-F5533)</f>
        <v>53.464999999999996</v>
      </c>
      <c r="H5533" s="9">
        <v>62.899999999999999</v>
      </c>
      <c r="I5533" s="9">
        <f>H5533-G5533</f>
        <v>9.4350000000000023</v>
      </c>
    </row>
    <row r="5534" ht="14.25">
      <c r="A5534" s="5">
        <v>58160</v>
      </c>
      <c r="B5534" s="7" t="s">
        <v>5626</v>
      </c>
      <c r="C5534" s="7" t="s">
        <v>4891</v>
      </c>
      <c r="D5534" s="7" t="s">
        <v>183</v>
      </c>
      <c r="E5534" s="5" t="s">
        <v>43</v>
      </c>
      <c r="F5534" s="5"/>
      <c r="G5534" s="9">
        <f>H5534*(1-15%)*(1-F5534)</f>
        <v>44.964999999999996</v>
      </c>
      <c r="H5534" s="9">
        <v>52.899999999999999</v>
      </c>
      <c r="I5534" s="9">
        <f>H5534-G5534</f>
        <v>7.9350000000000023</v>
      </c>
    </row>
    <row r="5535" ht="14.25">
      <c r="A5535" s="5">
        <v>58178</v>
      </c>
      <c r="B5535" s="7" t="s">
        <v>5627</v>
      </c>
      <c r="C5535" s="7" t="s">
        <v>4891</v>
      </c>
      <c r="D5535" s="7" t="s">
        <v>110</v>
      </c>
      <c r="E5535" s="5" t="s">
        <v>26</v>
      </c>
      <c r="F5535" s="5"/>
      <c r="G5535" s="9">
        <f>H5535*(1-15%)*(1-F5535)</f>
        <v>123.16500000000001</v>
      </c>
      <c r="H5535" s="9">
        <v>144.90000000000001</v>
      </c>
      <c r="I5535" s="9">
        <f>H5535-G5535</f>
        <v>21.734999999999999</v>
      </c>
    </row>
    <row r="5536" ht="14.25">
      <c r="A5536" s="5">
        <v>58185</v>
      </c>
      <c r="B5536" s="7" t="s">
        <v>5628</v>
      </c>
      <c r="C5536" s="7" t="s">
        <v>4891</v>
      </c>
      <c r="D5536" s="7" t="s">
        <v>110</v>
      </c>
      <c r="E5536" s="5" t="s">
        <v>43</v>
      </c>
      <c r="F5536" s="5"/>
      <c r="G5536" s="9">
        <f>H5536*(1-15%)*(1-F5536)</f>
        <v>25.414999999999999</v>
      </c>
      <c r="H5536" s="9">
        <v>29.899999999999999</v>
      </c>
      <c r="I5536" s="9">
        <f>H5536-G5536</f>
        <v>4.4849999999999994</v>
      </c>
    </row>
    <row r="5537" ht="14.25">
      <c r="A5537" s="5">
        <v>58187</v>
      </c>
      <c r="B5537" s="7" t="s">
        <v>5629</v>
      </c>
      <c r="C5537" s="7" t="s">
        <v>4891</v>
      </c>
      <c r="D5537" s="7" t="s">
        <v>110</v>
      </c>
      <c r="E5537" s="5" t="s">
        <v>43</v>
      </c>
      <c r="F5537" s="5"/>
      <c r="G5537" s="9">
        <f>H5537*(1-15%)*(1-F5537)</f>
        <v>25.414999999999999</v>
      </c>
      <c r="H5537" s="9">
        <v>29.899999999999999</v>
      </c>
      <c r="I5537" s="9">
        <f>H5537-G5537</f>
        <v>4.4849999999999994</v>
      </c>
    </row>
    <row r="5538" ht="14.25">
      <c r="A5538" s="5">
        <v>58193</v>
      </c>
      <c r="B5538" s="7" t="s">
        <v>5630</v>
      </c>
      <c r="C5538" s="7" t="s">
        <v>4891</v>
      </c>
      <c r="D5538" s="7" t="s">
        <v>110</v>
      </c>
      <c r="E5538" s="5" t="s">
        <v>43</v>
      </c>
      <c r="F5538" s="5"/>
      <c r="G5538" s="9">
        <f>H5538*(1-15%)*(1-F5538)</f>
        <v>27.964999999999996</v>
      </c>
      <c r="H5538" s="9">
        <v>32.899999999999999</v>
      </c>
      <c r="I5538" s="9">
        <f>H5538-G5538</f>
        <v>4.9350000000000023</v>
      </c>
    </row>
    <row r="5539" ht="14.25">
      <c r="A5539" s="5">
        <v>58194</v>
      </c>
      <c r="B5539" s="7" t="s">
        <v>5631</v>
      </c>
      <c r="C5539" s="7" t="s">
        <v>4891</v>
      </c>
      <c r="D5539" s="7" t="s">
        <v>110</v>
      </c>
      <c r="E5539" s="5" t="s">
        <v>43</v>
      </c>
      <c r="F5539" s="5"/>
      <c r="G5539" s="9">
        <f>H5539*(1-15%)*(1-F5539)</f>
        <v>27.964999999999996</v>
      </c>
      <c r="H5539" s="9">
        <v>32.899999999999999</v>
      </c>
      <c r="I5539" s="9">
        <f>H5539-G5539</f>
        <v>4.9350000000000023</v>
      </c>
    </row>
    <row r="5540" ht="14.25">
      <c r="A5540" s="5">
        <v>58289</v>
      </c>
      <c r="B5540" s="7" t="s">
        <v>5632</v>
      </c>
      <c r="C5540" s="7" t="s">
        <v>4891</v>
      </c>
      <c r="D5540" s="7" t="s">
        <v>110</v>
      </c>
      <c r="E5540" s="5" t="s">
        <v>26</v>
      </c>
      <c r="F5540" s="5"/>
      <c r="G5540" s="9">
        <f>H5540*(1-15%)*(1-F5540)</f>
        <v>48.364999999999995</v>
      </c>
      <c r="H5540" s="9">
        <v>56.899999999999999</v>
      </c>
      <c r="I5540" s="9">
        <f>H5540-G5540</f>
        <v>8.5350000000000037</v>
      </c>
    </row>
    <row r="5541" ht="14.25">
      <c r="A5541" s="5">
        <v>59172</v>
      </c>
      <c r="B5541" s="7" t="s">
        <v>5633</v>
      </c>
      <c r="C5541" s="7" t="s">
        <v>4891</v>
      </c>
      <c r="D5541" s="7" t="s">
        <v>219</v>
      </c>
      <c r="E5541" s="5" t="s">
        <v>26</v>
      </c>
      <c r="F5541" s="5"/>
      <c r="G5541" s="9">
        <f>H5541*(1-15%)*(1-F5541)</f>
        <v>67.915000000000006</v>
      </c>
      <c r="H5541" s="9">
        <v>79.900000000000006</v>
      </c>
      <c r="I5541" s="9">
        <f>H5541-G5541</f>
        <v>11.984999999999999</v>
      </c>
    </row>
    <row r="5542" ht="14.25">
      <c r="A5542" s="5">
        <v>59354</v>
      </c>
      <c r="B5542" s="7" t="s">
        <v>5634</v>
      </c>
      <c r="C5542" s="7" t="s">
        <v>4891</v>
      </c>
      <c r="D5542" s="7" t="s">
        <v>110</v>
      </c>
      <c r="E5542" s="5" t="s">
        <v>43</v>
      </c>
      <c r="F5542" s="5"/>
      <c r="G5542" s="9">
        <f>H5542*(1-15%)*(1-F5542)</f>
        <v>61.965000000000003</v>
      </c>
      <c r="H5542" s="9">
        <v>72.900000000000006</v>
      </c>
      <c r="I5542" s="9">
        <f>H5542-G5542</f>
        <v>10.935000000000002</v>
      </c>
    </row>
    <row r="5543" ht="14.25">
      <c r="A5543" s="5">
        <v>59355</v>
      </c>
      <c r="B5543" s="7" t="s">
        <v>5635</v>
      </c>
      <c r="C5543" s="7" t="s">
        <v>4891</v>
      </c>
      <c r="D5543" s="7" t="s">
        <v>110</v>
      </c>
      <c r="E5543" s="5" t="s">
        <v>43</v>
      </c>
      <c r="F5543" s="5"/>
      <c r="G5543" s="9">
        <f>H5543*(1-15%)*(1-F5543)</f>
        <v>61.965000000000003</v>
      </c>
      <c r="H5543" s="9">
        <v>72.900000000000006</v>
      </c>
      <c r="I5543" s="9">
        <f>H5543-G5543</f>
        <v>10.935000000000002</v>
      </c>
    </row>
    <row r="5544" ht="14.25">
      <c r="A5544" s="5">
        <v>59356</v>
      </c>
      <c r="B5544" s="7" t="s">
        <v>5636</v>
      </c>
      <c r="C5544" s="7" t="s">
        <v>4891</v>
      </c>
      <c r="D5544" s="7" t="s">
        <v>110</v>
      </c>
      <c r="E5544" s="5" t="s">
        <v>43</v>
      </c>
      <c r="F5544" s="5"/>
      <c r="G5544" s="9">
        <f>H5544*(1-15%)*(1-F5544)</f>
        <v>61.965000000000003</v>
      </c>
      <c r="H5544" s="9">
        <v>72.900000000000006</v>
      </c>
      <c r="I5544" s="9">
        <f>H5544-G5544</f>
        <v>10.935000000000002</v>
      </c>
    </row>
    <row r="5545" ht="14.25">
      <c r="A5545" s="5">
        <v>59357</v>
      </c>
      <c r="B5545" s="7" t="s">
        <v>5637</v>
      </c>
      <c r="C5545" s="7" t="s">
        <v>4891</v>
      </c>
      <c r="D5545" s="7" t="s">
        <v>110</v>
      </c>
      <c r="E5545" s="5" t="s">
        <v>43</v>
      </c>
      <c r="F5545" s="5"/>
      <c r="G5545" s="9">
        <f>H5545*(1-15%)*(1-F5545)</f>
        <v>61.965000000000003</v>
      </c>
      <c r="H5545" s="9">
        <v>72.900000000000006</v>
      </c>
      <c r="I5545" s="9">
        <f>H5545-G5545</f>
        <v>10.935000000000002</v>
      </c>
    </row>
    <row r="5546" ht="14.25">
      <c r="A5546" s="5">
        <v>59358</v>
      </c>
      <c r="B5546" s="7" t="s">
        <v>5638</v>
      </c>
      <c r="C5546" s="7" t="s">
        <v>4891</v>
      </c>
      <c r="D5546" s="7" t="s">
        <v>110</v>
      </c>
      <c r="E5546" s="5" t="s">
        <v>43</v>
      </c>
      <c r="F5546" s="5"/>
      <c r="G5546" s="9">
        <f>H5546*(1-15%)*(1-F5546)</f>
        <v>15.214999999999998</v>
      </c>
      <c r="H5546" s="9">
        <v>17.899999999999999</v>
      </c>
      <c r="I5546" s="9">
        <f>H5546-G5546</f>
        <v>2.6850000000000005</v>
      </c>
    </row>
    <row r="5547" ht="14.25">
      <c r="A5547" s="5">
        <v>59359</v>
      </c>
      <c r="B5547" s="7" t="s">
        <v>5639</v>
      </c>
      <c r="C5547" s="7" t="s">
        <v>4891</v>
      </c>
      <c r="D5547" s="7" t="s">
        <v>110</v>
      </c>
      <c r="E5547" s="5" t="s">
        <v>43</v>
      </c>
      <c r="F5547" s="5"/>
      <c r="G5547" s="9">
        <f>H5547*(1-15%)*(1-F5547)</f>
        <v>15.214999999999998</v>
      </c>
      <c r="H5547" s="9">
        <v>17.899999999999999</v>
      </c>
      <c r="I5547" s="9">
        <f>H5547-G5547</f>
        <v>2.6850000000000005</v>
      </c>
    </row>
    <row r="5548" ht="14.25">
      <c r="A5548" s="5">
        <v>59382</v>
      </c>
      <c r="B5548" s="7" t="s">
        <v>5640</v>
      </c>
      <c r="C5548" s="7" t="s">
        <v>4891</v>
      </c>
      <c r="D5548" s="7" t="s">
        <v>110</v>
      </c>
      <c r="E5548" s="5" t="s">
        <v>43</v>
      </c>
      <c r="F5548" s="5"/>
      <c r="G5548" s="9">
        <f>H5548*(1-15%)*(1-F5548)</f>
        <v>61.965000000000003</v>
      </c>
      <c r="H5548" s="9">
        <v>72.900000000000006</v>
      </c>
      <c r="I5548" s="9">
        <f>H5548-G5548</f>
        <v>10.935000000000002</v>
      </c>
    </row>
    <row r="5549" ht="14.25">
      <c r="A5549" s="5">
        <v>59385</v>
      </c>
      <c r="B5549" s="7" t="s">
        <v>5641</v>
      </c>
      <c r="C5549" s="7" t="s">
        <v>4891</v>
      </c>
      <c r="D5549" s="7" t="s">
        <v>110</v>
      </c>
      <c r="E5549" s="5" t="s">
        <v>43</v>
      </c>
      <c r="F5549" s="5"/>
      <c r="G5549" s="9">
        <f>H5549*(1-15%)*(1-F5549)</f>
        <v>61.965000000000003</v>
      </c>
      <c r="H5549" s="9">
        <v>72.900000000000006</v>
      </c>
      <c r="I5549" s="9">
        <f>H5549-G5549</f>
        <v>10.935000000000002</v>
      </c>
    </row>
    <row r="5550" ht="14.25">
      <c r="A5550" s="5">
        <v>59386</v>
      </c>
      <c r="B5550" s="7" t="s">
        <v>5642</v>
      </c>
      <c r="C5550" s="7" t="s">
        <v>4891</v>
      </c>
      <c r="D5550" s="7" t="s">
        <v>110</v>
      </c>
      <c r="E5550" s="5" t="s">
        <v>39</v>
      </c>
      <c r="F5550" s="5"/>
      <c r="G5550" s="9">
        <f>H5550*(1-15%)*(1-F5550)</f>
        <v>33.914999999999999</v>
      </c>
      <c r="H5550" s="9">
        <v>39.899999999999999</v>
      </c>
      <c r="I5550" s="9">
        <f>H5550-G5550</f>
        <v>5.9849999999999994</v>
      </c>
    </row>
    <row r="5551" ht="14.25">
      <c r="A5551" s="5">
        <v>59387</v>
      </c>
      <c r="B5551" s="7" t="s">
        <v>5643</v>
      </c>
      <c r="C5551" s="7" t="s">
        <v>4891</v>
      </c>
      <c r="D5551" s="7" t="s">
        <v>110</v>
      </c>
      <c r="E5551" s="5" t="s">
        <v>39</v>
      </c>
      <c r="F5551" s="5"/>
      <c r="G5551" s="9">
        <f>H5551*(1-15%)*(1-F5551)</f>
        <v>33.914999999999999</v>
      </c>
      <c r="H5551" s="9">
        <v>39.899999999999999</v>
      </c>
      <c r="I5551" s="9">
        <f>H5551-G5551</f>
        <v>5.9849999999999994</v>
      </c>
    </row>
    <row r="5552" ht="14.25">
      <c r="A5552" s="5">
        <v>59388</v>
      </c>
      <c r="B5552" s="7" t="s">
        <v>5644</v>
      </c>
      <c r="C5552" s="7" t="s">
        <v>4891</v>
      </c>
      <c r="D5552" s="7" t="s">
        <v>110</v>
      </c>
      <c r="E5552" s="5" t="s">
        <v>39</v>
      </c>
      <c r="F5552" s="5"/>
      <c r="G5552" s="9">
        <f>H5552*(1-15%)*(1-F5552)</f>
        <v>33.914999999999999</v>
      </c>
      <c r="H5552" s="9">
        <v>39.899999999999999</v>
      </c>
      <c r="I5552" s="9">
        <f>H5552-G5552</f>
        <v>5.9849999999999994</v>
      </c>
    </row>
    <row r="5553" ht="14.25">
      <c r="A5553" s="5">
        <v>59392</v>
      </c>
      <c r="B5553" s="7" t="s">
        <v>5645</v>
      </c>
      <c r="C5553" s="7" t="s">
        <v>4891</v>
      </c>
      <c r="D5553" s="7" t="s">
        <v>110</v>
      </c>
      <c r="E5553" s="5" t="s">
        <v>43</v>
      </c>
      <c r="F5553" s="5"/>
      <c r="G5553" s="9">
        <f>H5553*(1-15%)*(1-F5553)</f>
        <v>61.965000000000003</v>
      </c>
      <c r="H5553" s="9">
        <v>72.900000000000006</v>
      </c>
      <c r="I5553" s="9">
        <f>H5553-G5553</f>
        <v>10.935000000000002</v>
      </c>
    </row>
    <row r="5554" ht="14.25">
      <c r="A5554" s="5">
        <v>59393</v>
      </c>
      <c r="B5554" s="7" t="s">
        <v>5646</v>
      </c>
      <c r="C5554" s="7" t="s">
        <v>4891</v>
      </c>
      <c r="D5554" s="7" t="s">
        <v>110</v>
      </c>
      <c r="E5554" s="5" t="s">
        <v>43</v>
      </c>
      <c r="F5554" s="5"/>
      <c r="G5554" s="9">
        <f>H5554*(1-15%)*(1-F5554)</f>
        <v>61.965000000000003</v>
      </c>
      <c r="H5554" s="9">
        <v>72.900000000000006</v>
      </c>
      <c r="I5554" s="9">
        <f>H5554-G5554</f>
        <v>10.935000000000002</v>
      </c>
    </row>
    <row r="5555" ht="14.25">
      <c r="A5555" s="5">
        <v>59394</v>
      </c>
      <c r="B5555" s="7" t="s">
        <v>5647</v>
      </c>
      <c r="C5555" s="7" t="s">
        <v>4891</v>
      </c>
      <c r="D5555" s="7" t="s">
        <v>110</v>
      </c>
      <c r="E5555" s="5" t="s">
        <v>43</v>
      </c>
      <c r="F5555" s="5"/>
      <c r="G5555" s="9">
        <f>H5555*(1-15%)*(1-F5555)</f>
        <v>61.965000000000003</v>
      </c>
      <c r="H5555" s="9">
        <v>72.900000000000006</v>
      </c>
      <c r="I5555" s="9">
        <f>H5555-G5555</f>
        <v>10.935000000000002</v>
      </c>
    </row>
    <row r="5556" ht="14.25">
      <c r="A5556" s="5">
        <v>59398</v>
      </c>
      <c r="B5556" s="7" t="s">
        <v>5648</v>
      </c>
      <c r="C5556" s="7" t="s">
        <v>4891</v>
      </c>
      <c r="D5556" s="7" t="s">
        <v>110</v>
      </c>
      <c r="E5556" s="5" t="s">
        <v>43</v>
      </c>
      <c r="F5556" s="5"/>
      <c r="G5556" s="9">
        <f>H5556*(1-15%)*(1-F5556)</f>
        <v>61.965000000000003</v>
      </c>
      <c r="H5556" s="9">
        <v>72.900000000000006</v>
      </c>
      <c r="I5556" s="9">
        <f>H5556-G5556</f>
        <v>10.935000000000002</v>
      </c>
    </row>
    <row r="5557" ht="14.25">
      <c r="A5557" s="5">
        <v>59399</v>
      </c>
      <c r="B5557" s="7" t="s">
        <v>5649</v>
      </c>
      <c r="C5557" s="7" t="s">
        <v>4891</v>
      </c>
      <c r="D5557" s="7" t="s">
        <v>110</v>
      </c>
      <c r="E5557" s="5" t="s">
        <v>43</v>
      </c>
      <c r="F5557" s="5"/>
      <c r="G5557" s="9">
        <f>H5557*(1-15%)*(1-F5557)</f>
        <v>61.965000000000003</v>
      </c>
      <c r="H5557" s="9">
        <v>72.900000000000006</v>
      </c>
      <c r="I5557" s="9">
        <f>H5557-G5557</f>
        <v>10.935000000000002</v>
      </c>
    </row>
    <row r="5558" ht="14.25">
      <c r="A5558" s="5">
        <v>59400</v>
      </c>
      <c r="B5558" s="7" t="s">
        <v>5650</v>
      </c>
      <c r="C5558" s="7" t="s">
        <v>4891</v>
      </c>
      <c r="D5558" s="7" t="s">
        <v>110</v>
      </c>
      <c r="E5558" s="5" t="s">
        <v>43</v>
      </c>
      <c r="F5558" s="5"/>
      <c r="G5558" s="9">
        <f>H5558*(1-15%)*(1-F5558)</f>
        <v>61.965000000000003</v>
      </c>
      <c r="H5558" s="9">
        <v>72.900000000000006</v>
      </c>
      <c r="I5558" s="9">
        <f>H5558-G5558</f>
        <v>10.935000000000002</v>
      </c>
    </row>
    <row r="5559" ht="14.25">
      <c r="A5559" s="5">
        <v>59401</v>
      </c>
      <c r="B5559" s="7" t="s">
        <v>5651</v>
      </c>
      <c r="C5559" s="7" t="s">
        <v>4891</v>
      </c>
      <c r="D5559" s="7" t="s">
        <v>110</v>
      </c>
      <c r="E5559" s="5" t="s">
        <v>43</v>
      </c>
      <c r="F5559" s="5"/>
      <c r="G5559" s="9">
        <f>H5559*(1-15%)*(1-F5559)</f>
        <v>61.965000000000003</v>
      </c>
      <c r="H5559" s="9">
        <v>72.900000000000006</v>
      </c>
      <c r="I5559" s="9">
        <f>H5559-G5559</f>
        <v>10.935000000000002</v>
      </c>
    </row>
    <row r="5560" ht="14.25">
      <c r="A5560" s="5">
        <v>59402</v>
      </c>
      <c r="B5560" s="7" t="s">
        <v>5652</v>
      </c>
      <c r="C5560" s="7" t="s">
        <v>4891</v>
      </c>
      <c r="D5560" s="7" t="s">
        <v>110</v>
      </c>
      <c r="E5560" s="5" t="s">
        <v>43</v>
      </c>
      <c r="F5560" s="5"/>
      <c r="G5560" s="9">
        <f>H5560*(1-15%)*(1-F5560)</f>
        <v>61.965000000000003</v>
      </c>
      <c r="H5560" s="9">
        <v>72.900000000000006</v>
      </c>
      <c r="I5560" s="9">
        <f>H5560-G5560</f>
        <v>10.935000000000002</v>
      </c>
    </row>
    <row r="5561" ht="14.25">
      <c r="A5561" s="5">
        <v>59409</v>
      </c>
      <c r="B5561" s="7" t="s">
        <v>5653</v>
      </c>
      <c r="C5561" s="7" t="s">
        <v>4891</v>
      </c>
      <c r="D5561" s="7" t="s">
        <v>110</v>
      </c>
      <c r="E5561" s="5" t="s">
        <v>43</v>
      </c>
      <c r="F5561" s="5"/>
      <c r="G5561" s="9">
        <f>H5561*(1-15%)*(1-F5561)</f>
        <v>61.965000000000003</v>
      </c>
      <c r="H5561" s="9">
        <v>72.900000000000006</v>
      </c>
      <c r="I5561" s="9">
        <f>H5561-G5561</f>
        <v>10.935000000000002</v>
      </c>
    </row>
    <row r="5562" ht="14.25">
      <c r="A5562" s="5">
        <v>59410</v>
      </c>
      <c r="B5562" s="7" t="s">
        <v>5654</v>
      </c>
      <c r="C5562" s="7" t="s">
        <v>4891</v>
      </c>
      <c r="D5562" s="7" t="s">
        <v>110</v>
      </c>
      <c r="E5562" s="5" t="s">
        <v>43</v>
      </c>
      <c r="F5562" s="5"/>
      <c r="G5562" s="9">
        <f>H5562*(1-15%)*(1-F5562)</f>
        <v>61.965000000000003</v>
      </c>
      <c r="H5562" s="9">
        <v>72.900000000000006</v>
      </c>
      <c r="I5562" s="9">
        <f>H5562-G5562</f>
        <v>10.935000000000002</v>
      </c>
    </row>
    <row r="5563" ht="14.25">
      <c r="A5563" s="5">
        <v>59411</v>
      </c>
      <c r="B5563" s="7" t="s">
        <v>5655</v>
      </c>
      <c r="C5563" s="7" t="s">
        <v>4891</v>
      </c>
      <c r="D5563" s="7" t="s">
        <v>110</v>
      </c>
      <c r="E5563" s="5" t="s">
        <v>43</v>
      </c>
      <c r="F5563" s="5"/>
      <c r="G5563" s="9">
        <f>H5563*(1-15%)*(1-F5563)</f>
        <v>61.965000000000003</v>
      </c>
      <c r="H5563" s="9">
        <v>72.900000000000006</v>
      </c>
      <c r="I5563" s="9">
        <f>H5563-G5563</f>
        <v>10.935000000000002</v>
      </c>
    </row>
    <row r="5564" ht="14.25">
      <c r="A5564" s="5">
        <v>59413</v>
      </c>
      <c r="B5564" s="7" t="s">
        <v>5656</v>
      </c>
      <c r="C5564" s="7" t="s">
        <v>4891</v>
      </c>
      <c r="D5564" s="7" t="s">
        <v>110</v>
      </c>
      <c r="E5564" s="5" t="s">
        <v>43</v>
      </c>
      <c r="F5564" s="5"/>
      <c r="G5564" s="9">
        <f>H5564*(1-15%)*(1-F5564)</f>
        <v>61.965000000000003</v>
      </c>
      <c r="H5564" s="9">
        <v>72.900000000000006</v>
      </c>
      <c r="I5564" s="9">
        <f>H5564-G5564</f>
        <v>10.935000000000002</v>
      </c>
    </row>
    <row r="5565" ht="14.25">
      <c r="A5565" s="5">
        <v>59468</v>
      </c>
      <c r="B5565" s="7" t="s">
        <v>5657</v>
      </c>
      <c r="C5565" s="7" t="s">
        <v>4891</v>
      </c>
      <c r="D5565" s="7" t="s">
        <v>110</v>
      </c>
      <c r="E5565" s="5" t="s">
        <v>39</v>
      </c>
      <c r="F5565" s="5"/>
      <c r="G5565" s="9">
        <f>H5565*(1-15%)*(1-F5565)</f>
        <v>78.965000000000003</v>
      </c>
      <c r="H5565" s="9">
        <v>92.900000000000006</v>
      </c>
      <c r="I5565" s="9">
        <f>H5565-G5565</f>
        <v>13.935000000000002</v>
      </c>
    </row>
    <row r="5566" ht="14.25">
      <c r="A5566" s="5">
        <v>59469</v>
      </c>
      <c r="B5566" s="7" t="s">
        <v>5658</v>
      </c>
      <c r="C5566" s="7" t="s">
        <v>4891</v>
      </c>
      <c r="D5566" s="7" t="s">
        <v>110</v>
      </c>
      <c r="E5566" s="5" t="s">
        <v>39</v>
      </c>
      <c r="F5566" s="5"/>
      <c r="G5566" s="9">
        <f>H5566*(1-15%)*(1-F5566)</f>
        <v>78.965000000000003</v>
      </c>
      <c r="H5566" s="9">
        <v>92.900000000000006</v>
      </c>
      <c r="I5566" s="9">
        <f>H5566-G5566</f>
        <v>13.935000000000002</v>
      </c>
    </row>
    <row r="5567" ht="14.25">
      <c r="A5567" s="5">
        <v>59481</v>
      </c>
      <c r="B5567" s="7" t="s">
        <v>5659</v>
      </c>
      <c r="C5567" s="7" t="s">
        <v>4891</v>
      </c>
      <c r="D5567" s="7" t="s">
        <v>110</v>
      </c>
      <c r="E5567" s="5" t="s">
        <v>703</v>
      </c>
      <c r="F5567" s="5"/>
      <c r="G5567" s="9">
        <f>H5567*(1-15%)*(1-F5567)</f>
        <v>57.715000000000003</v>
      </c>
      <c r="H5567" s="9">
        <v>67.900000000000006</v>
      </c>
      <c r="I5567" s="9">
        <f>H5567-G5567</f>
        <v>10.185000000000002</v>
      </c>
    </row>
    <row r="5568" ht="14.25">
      <c r="A5568" s="5">
        <v>59485</v>
      </c>
      <c r="B5568" s="7" t="s">
        <v>5660</v>
      </c>
      <c r="C5568" s="7" t="s">
        <v>4891</v>
      </c>
      <c r="D5568" s="7" t="s">
        <v>110</v>
      </c>
      <c r="E5568" s="5" t="s">
        <v>703</v>
      </c>
      <c r="F5568" s="5"/>
      <c r="G5568" s="9">
        <f>H5568*(1-15%)*(1-F5568)</f>
        <v>101.91500000000001</v>
      </c>
      <c r="H5568" s="9">
        <v>119.90000000000001</v>
      </c>
      <c r="I5568" s="9">
        <f>H5568-G5568</f>
        <v>17.984999999999999</v>
      </c>
    </row>
    <row r="5569" ht="14.25">
      <c r="A5569" s="5">
        <v>59496</v>
      </c>
      <c r="B5569" s="7" t="s">
        <v>5661</v>
      </c>
      <c r="C5569" s="7" t="s">
        <v>4891</v>
      </c>
      <c r="D5569" s="7" t="s">
        <v>110</v>
      </c>
      <c r="E5569" s="5" t="s">
        <v>39</v>
      </c>
      <c r="F5569" s="5"/>
      <c r="G5569" s="9">
        <f>H5569*(1-15%)*(1-F5569)</f>
        <v>33.914999999999999</v>
      </c>
      <c r="H5569" s="9">
        <v>39.899999999999999</v>
      </c>
      <c r="I5569" s="9">
        <f>H5569-G5569</f>
        <v>5.9849999999999994</v>
      </c>
    </row>
    <row r="5570" ht="14.25">
      <c r="A5570" s="5">
        <v>59498</v>
      </c>
      <c r="B5570" s="7" t="s">
        <v>5662</v>
      </c>
      <c r="C5570" s="7" t="s">
        <v>4891</v>
      </c>
      <c r="D5570" s="7" t="s">
        <v>110</v>
      </c>
      <c r="E5570" s="5" t="s">
        <v>39</v>
      </c>
      <c r="F5570" s="5"/>
      <c r="G5570" s="9">
        <f>H5570*(1-15%)*(1-F5570)</f>
        <v>33.914999999999999</v>
      </c>
      <c r="H5570" s="9">
        <v>39.899999999999999</v>
      </c>
      <c r="I5570" s="9">
        <f>H5570-G5570</f>
        <v>5.9849999999999994</v>
      </c>
    </row>
    <row r="5571" ht="14.25">
      <c r="A5571" s="5">
        <v>59499</v>
      </c>
      <c r="B5571" s="7" t="s">
        <v>5663</v>
      </c>
      <c r="C5571" s="7" t="s">
        <v>4891</v>
      </c>
      <c r="D5571" s="7" t="s">
        <v>110</v>
      </c>
      <c r="E5571" s="5" t="s">
        <v>39</v>
      </c>
      <c r="F5571" s="5"/>
      <c r="G5571" s="9">
        <f>H5571*(1-15%)*(1-F5571)</f>
        <v>33.914999999999999</v>
      </c>
      <c r="H5571" s="9">
        <v>39.899999999999999</v>
      </c>
      <c r="I5571" s="9">
        <f>H5571-G5571</f>
        <v>5.9849999999999994</v>
      </c>
    </row>
    <row r="5572" ht="14.25">
      <c r="A5572" s="5">
        <v>59500</v>
      </c>
      <c r="B5572" s="7" t="s">
        <v>5664</v>
      </c>
      <c r="C5572" s="7" t="s">
        <v>4891</v>
      </c>
      <c r="D5572" s="7" t="s">
        <v>110</v>
      </c>
      <c r="E5572" s="5" t="s">
        <v>39</v>
      </c>
      <c r="F5572" s="5"/>
      <c r="G5572" s="9">
        <f>H5572*(1-15%)*(1-F5572)</f>
        <v>33.914999999999999</v>
      </c>
      <c r="H5572" s="9">
        <v>39.899999999999999</v>
      </c>
      <c r="I5572" s="9">
        <f>H5572-G5572</f>
        <v>5.9849999999999994</v>
      </c>
    </row>
    <row r="5573" ht="14.25">
      <c r="A5573" s="5">
        <v>59605</v>
      </c>
      <c r="B5573" s="7" t="s">
        <v>5665</v>
      </c>
      <c r="C5573" s="7" t="s">
        <v>4891</v>
      </c>
      <c r="D5573" s="7" t="s">
        <v>11</v>
      </c>
      <c r="E5573" s="5" t="s">
        <v>703</v>
      </c>
      <c r="F5573" s="5"/>
      <c r="G5573" s="9">
        <f>H5573*(1-15%)*(1-F5573)</f>
        <v>59.415000000000006</v>
      </c>
      <c r="H5573" s="9">
        <v>69.900000000000006</v>
      </c>
      <c r="I5573" s="9">
        <f>H5573-G5573</f>
        <v>10.484999999999999</v>
      </c>
    </row>
    <row r="5574" ht="14.25">
      <c r="A5574" s="5">
        <v>59733</v>
      </c>
      <c r="B5574" s="7" t="s">
        <v>5666</v>
      </c>
      <c r="C5574" s="7" t="s">
        <v>4891</v>
      </c>
      <c r="D5574" s="7" t="s">
        <v>110</v>
      </c>
      <c r="E5574" s="5" t="s">
        <v>26</v>
      </c>
      <c r="F5574" s="5"/>
      <c r="G5574" s="9">
        <f>H5574*(1-15%)*(1-F5574)</f>
        <v>93.415000000000006</v>
      </c>
      <c r="H5574" s="9">
        <v>109.90000000000001</v>
      </c>
      <c r="I5574" s="9">
        <f>H5574-G5574</f>
        <v>16.484999999999999</v>
      </c>
    </row>
    <row r="5575" ht="14.25">
      <c r="A5575" s="5">
        <v>59734</v>
      </c>
      <c r="B5575" s="7" t="s">
        <v>5667</v>
      </c>
      <c r="C5575" s="7" t="s">
        <v>4891</v>
      </c>
      <c r="D5575" s="7" t="s">
        <v>110</v>
      </c>
      <c r="E5575" s="5" t="s">
        <v>26</v>
      </c>
      <c r="F5575" s="5"/>
      <c r="G5575" s="9">
        <f>H5575*(1-15%)*(1-F5575)</f>
        <v>93.415000000000006</v>
      </c>
      <c r="H5575" s="9">
        <v>109.90000000000001</v>
      </c>
      <c r="I5575" s="9">
        <f>H5575-G5575</f>
        <v>16.484999999999999</v>
      </c>
    </row>
    <row r="5576" ht="14.25">
      <c r="A5576" s="5">
        <v>59735</v>
      </c>
      <c r="B5576" s="7" t="s">
        <v>5668</v>
      </c>
      <c r="C5576" s="7" t="s">
        <v>4891</v>
      </c>
      <c r="D5576" s="7" t="s">
        <v>110</v>
      </c>
      <c r="E5576" s="5" t="s">
        <v>26</v>
      </c>
      <c r="F5576" s="5"/>
      <c r="G5576" s="9">
        <f>H5576*(1-15%)*(1-F5576)</f>
        <v>93.415000000000006</v>
      </c>
      <c r="H5576" s="9">
        <v>109.90000000000001</v>
      </c>
      <c r="I5576" s="9">
        <f>H5576-G5576</f>
        <v>16.484999999999999</v>
      </c>
    </row>
    <row r="5577" ht="14.25">
      <c r="A5577" s="5">
        <v>59736</v>
      </c>
      <c r="B5577" s="7" t="s">
        <v>5669</v>
      </c>
      <c r="C5577" s="7" t="s">
        <v>4891</v>
      </c>
      <c r="D5577" s="7" t="s">
        <v>110</v>
      </c>
      <c r="E5577" s="5" t="s">
        <v>26</v>
      </c>
      <c r="F5577" s="5"/>
      <c r="G5577" s="9">
        <f>H5577*(1-15%)*(1-F5577)</f>
        <v>93.415000000000006</v>
      </c>
      <c r="H5577" s="9">
        <v>109.90000000000001</v>
      </c>
      <c r="I5577" s="9">
        <f>H5577-G5577</f>
        <v>16.484999999999999</v>
      </c>
    </row>
    <row r="5578" ht="14.25">
      <c r="A5578" s="5">
        <v>59737</v>
      </c>
      <c r="B5578" s="7" t="s">
        <v>5670</v>
      </c>
      <c r="C5578" s="7" t="s">
        <v>4891</v>
      </c>
      <c r="D5578" s="7" t="s">
        <v>110</v>
      </c>
      <c r="E5578" s="5" t="s">
        <v>26</v>
      </c>
      <c r="F5578" s="5"/>
      <c r="G5578" s="9">
        <f>H5578*(1-15%)*(1-F5578)</f>
        <v>93.415000000000006</v>
      </c>
      <c r="H5578" s="9">
        <v>109.90000000000001</v>
      </c>
      <c r="I5578" s="9">
        <f>H5578-G5578</f>
        <v>16.484999999999999</v>
      </c>
    </row>
    <row r="5579" ht="14.25">
      <c r="A5579" s="5">
        <v>59738</v>
      </c>
      <c r="B5579" s="7" t="s">
        <v>5671</v>
      </c>
      <c r="C5579" s="7" t="s">
        <v>4891</v>
      </c>
      <c r="D5579" s="7" t="s">
        <v>110</v>
      </c>
      <c r="E5579" s="5" t="s">
        <v>26</v>
      </c>
      <c r="F5579" s="5"/>
      <c r="G5579" s="9">
        <f>H5579*(1-15%)*(1-F5579)</f>
        <v>93.415000000000006</v>
      </c>
      <c r="H5579" s="9">
        <v>109.90000000000001</v>
      </c>
      <c r="I5579" s="9">
        <f>H5579-G5579</f>
        <v>16.484999999999999</v>
      </c>
    </row>
    <row r="5580" ht="14.25">
      <c r="A5580" s="5">
        <v>59739</v>
      </c>
      <c r="B5580" s="7" t="s">
        <v>5672</v>
      </c>
      <c r="C5580" s="7" t="s">
        <v>4891</v>
      </c>
      <c r="D5580" s="7" t="s">
        <v>110</v>
      </c>
      <c r="E5580" s="5" t="s">
        <v>26</v>
      </c>
      <c r="F5580" s="5"/>
      <c r="G5580" s="9">
        <f>H5580*(1-15%)*(1-F5580)</f>
        <v>93.415000000000006</v>
      </c>
      <c r="H5580" s="9">
        <v>109.90000000000001</v>
      </c>
      <c r="I5580" s="9">
        <f>H5580-G5580</f>
        <v>16.484999999999999</v>
      </c>
    </row>
    <row r="5581" ht="14.25">
      <c r="A5581" s="5">
        <v>59741</v>
      </c>
      <c r="B5581" s="7" t="s">
        <v>5673</v>
      </c>
      <c r="C5581" s="7" t="s">
        <v>4891</v>
      </c>
      <c r="D5581" s="7" t="s">
        <v>110</v>
      </c>
      <c r="E5581" s="5" t="s">
        <v>26</v>
      </c>
      <c r="F5581" s="5"/>
      <c r="G5581" s="9">
        <f>H5581*(1-15%)*(1-F5581)</f>
        <v>93.415000000000006</v>
      </c>
      <c r="H5581" s="9">
        <v>109.90000000000001</v>
      </c>
      <c r="I5581" s="9">
        <f>H5581-G5581</f>
        <v>16.484999999999999</v>
      </c>
    </row>
    <row r="5582" ht="14.25">
      <c r="A5582" s="5">
        <v>59760</v>
      </c>
      <c r="B5582" s="7" t="s">
        <v>5674</v>
      </c>
      <c r="C5582" s="7" t="s">
        <v>4891</v>
      </c>
      <c r="D5582" s="7" t="s">
        <v>110</v>
      </c>
      <c r="E5582" s="5" t="s">
        <v>26</v>
      </c>
      <c r="F5582" s="5"/>
      <c r="G5582" s="9">
        <f>H5582*(1-15%)*(1-F5582)</f>
        <v>93.415000000000006</v>
      </c>
      <c r="H5582" s="9">
        <v>109.90000000000001</v>
      </c>
      <c r="I5582" s="9">
        <f>H5582-G5582</f>
        <v>16.484999999999999</v>
      </c>
    </row>
    <row r="5583" ht="14.25">
      <c r="A5583" s="5">
        <v>59762</v>
      </c>
      <c r="B5583" s="7" t="s">
        <v>5675</v>
      </c>
      <c r="C5583" s="7" t="s">
        <v>4891</v>
      </c>
      <c r="D5583" s="7" t="s">
        <v>110</v>
      </c>
      <c r="E5583" s="5" t="s">
        <v>26</v>
      </c>
      <c r="F5583" s="5"/>
      <c r="G5583" s="9">
        <f>H5583*(1-15%)*(1-F5583)</f>
        <v>93.415000000000006</v>
      </c>
      <c r="H5583" s="9">
        <v>109.90000000000001</v>
      </c>
      <c r="I5583" s="9">
        <f>H5583-G5583</f>
        <v>16.484999999999999</v>
      </c>
    </row>
    <row r="5584" ht="14.25">
      <c r="A5584" s="5">
        <v>59766</v>
      </c>
      <c r="B5584" s="7" t="s">
        <v>5676</v>
      </c>
      <c r="C5584" s="7" t="s">
        <v>4891</v>
      </c>
      <c r="D5584" s="7" t="s">
        <v>219</v>
      </c>
      <c r="E5584" s="5" t="s">
        <v>26</v>
      </c>
      <c r="F5584" s="5"/>
      <c r="G5584" s="9">
        <f>H5584*(1-15%)*(1-F5584)</f>
        <v>49.214999999999996</v>
      </c>
      <c r="H5584" s="9">
        <v>57.899999999999999</v>
      </c>
      <c r="I5584" s="9">
        <f>H5584-G5584</f>
        <v>8.6850000000000023</v>
      </c>
    </row>
    <row r="5585" ht="14.25">
      <c r="A5585" s="5">
        <v>59832</v>
      </c>
      <c r="B5585" s="7" t="s">
        <v>5677</v>
      </c>
      <c r="C5585" s="7" t="s">
        <v>4891</v>
      </c>
      <c r="D5585" s="7" t="s">
        <v>219</v>
      </c>
      <c r="E5585" s="5" t="s">
        <v>703</v>
      </c>
      <c r="F5585" s="5"/>
      <c r="G5585" s="9">
        <f>H5585*(1-15%)*(1-F5585)</f>
        <v>36.464999999999996</v>
      </c>
      <c r="H5585" s="9">
        <v>42.899999999999999</v>
      </c>
      <c r="I5585" s="9">
        <f>H5585-G5585</f>
        <v>6.4350000000000023</v>
      </c>
    </row>
    <row r="5586" ht="14.25">
      <c r="A5586" s="5">
        <v>59837</v>
      </c>
      <c r="B5586" s="7" t="s">
        <v>5678</v>
      </c>
      <c r="C5586" s="7" t="s">
        <v>4891</v>
      </c>
      <c r="D5586" s="7" t="s">
        <v>219</v>
      </c>
      <c r="E5586" s="5" t="s">
        <v>703</v>
      </c>
      <c r="F5586" s="5"/>
      <c r="G5586" s="9">
        <f>H5586*(1-15%)*(1-F5586)</f>
        <v>39.015000000000001</v>
      </c>
      <c r="H5586" s="9">
        <v>45.899999999999999</v>
      </c>
      <c r="I5586" s="9">
        <f>H5586-G5586</f>
        <v>6.884999999999998</v>
      </c>
    </row>
    <row r="5587" ht="14.25">
      <c r="A5587" s="5">
        <v>59838</v>
      </c>
      <c r="B5587" s="7" t="s">
        <v>5679</v>
      </c>
      <c r="C5587" s="7" t="s">
        <v>4891</v>
      </c>
      <c r="D5587" s="7" t="s">
        <v>219</v>
      </c>
      <c r="E5587" s="5" t="s">
        <v>703</v>
      </c>
      <c r="F5587" s="5"/>
      <c r="G5587" s="9">
        <f>H5587*(1-15%)*(1-F5587)</f>
        <v>36.464999999999996</v>
      </c>
      <c r="H5587" s="9">
        <v>42.899999999999999</v>
      </c>
      <c r="I5587" s="9">
        <f>H5587-G5587</f>
        <v>6.4350000000000023</v>
      </c>
    </row>
    <row r="5588" ht="14.25">
      <c r="A5588" s="5">
        <v>70152</v>
      </c>
      <c r="B5588" s="7" t="s">
        <v>5680</v>
      </c>
      <c r="C5588" s="7" t="s">
        <v>4891</v>
      </c>
      <c r="D5588" s="7" t="s">
        <v>110</v>
      </c>
      <c r="E5588" s="5" t="s">
        <v>26</v>
      </c>
      <c r="F5588" s="5"/>
      <c r="G5588" s="9">
        <f>H5588*(1-15%)*(1-F5588)</f>
        <v>41.564999999999998</v>
      </c>
      <c r="H5588" s="9">
        <v>48.899999999999999</v>
      </c>
      <c r="I5588" s="9">
        <f>H5588-G5588</f>
        <v>7.3350000000000009</v>
      </c>
    </row>
    <row r="5589" ht="14.25">
      <c r="A5589" s="5">
        <v>70193</v>
      </c>
      <c r="B5589" s="7" t="s">
        <v>5681</v>
      </c>
      <c r="C5589" s="7" t="s">
        <v>4891</v>
      </c>
      <c r="D5589" s="7" t="s">
        <v>110</v>
      </c>
      <c r="E5589" s="5" t="s">
        <v>26</v>
      </c>
      <c r="F5589" s="5"/>
      <c r="G5589" s="9">
        <f>H5589*(1-15%)*(1-F5589)</f>
        <v>41.564999999999998</v>
      </c>
      <c r="H5589" s="9">
        <v>48.899999999999999</v>
      </c>
      <c r="I5589" s="9">
        <f>H5589-G5589</f>
        <v>7.3350000000000009</v>
      </c>
    </row>
    <row r="5590" ht="14.25">
      <c r="A5590" s="5">
        <v>70313</v>
      </c>
      <c r="B5590" s="7" t="s">
        <v>5682</v>
      </c>
      <c r="C5590" s="7" t="s">
        <v>4891</v>
      </c>
      <c r="D5590" s="7" t="s">
        <v>110</v>
      </c>
      <c r="E5590" s="5" t="s">
        <v>26</v>
      </c>
      <c r="F5590" s="5"/>
      <c r="G5590" s="9">
        <f>H5590*(1-15%)*(1-F5590)</f>
        <v>67.915000000000006</v>
      </c>
      <c r="H5590" s="9">
        <v>79.900000000000006</v>
      </c>
      <c r="I5590" s="9">
        <f>H5590-G5590</f>
        <v>11.984999999999999</v>
      </c>
    </row>
    <row r="5591" ht="14.25">
      <c r="A5591" s="5">
        <v>74238</v>
      </c>
      <c r="B5591" s="7" t="s">
        <v>5683</v>
      </c>
      <c r="C5591" s="7" t="s">
        <v>4891</v>
      </c>
      <c r="D5591" s="7" t="s">
        <v>11</v>
      </c>
      <c r="E5591" s="5" t="s">
        <v>15</v>
      </c>
      <c r="F5591" s="5"/>
      <c r="G5591" s="9">
        <f>H5591*(1-15%)*(1-F5591)</f>
        <v>35.614999999999995</v>
      </c>
      <c r="H5591" s="9">
        <v>41.899999999999999</v>
      </c>
      <c r="I5591" s="9">
        <f>H5591-G5591</f>
        <v>6.2850000000000037</v>
      </c>
    </row>
    <row r="5592" ht="14.25">
      <c r="A5592" s="5">
        <v>74240</v>
      </c>
      <c r="B5592" s="7" t="s">
        <v>5684</v>
      </c>
      <c r="C5592" s="7" t="s">
        <v>4891</v>
      </c>
      <c r="D5592" s="7" t="s">
        <v>11</v>
      </c>
      <c r="E5592" s="5" t="s">
        <v>15</v>
      </c>
      <c r="F5592" s="5"/>
      <c r="G5592" s="9">
        <f>H5592*(1-15%)*(1-F5592)</f>
        <v>35.614999999999995</v>
      </c>
      <c r="H5592" s="9">
        <v>41.899999999999999</v>
      </c>
      <c r="I5592" s="9">
        <f>H5592-G5592</f>
        <v>6.2850000000000037</v>
      </c>
    </row>
    <row r="5593" ht="14.25">
      <c r="A5593" s="5">
        <v>75381</v>
      </c>
      <c r="B5593" s="7" t="s">
        <v>5685</v>
      </c>
      <c r="C5593" s="7" t="s">
        <v>4891</v>
      </c>
      <c r="D5593" s="7" t="s">
        <v>110</v>
      </c>
      <c r="E5593" s="5" t="s">
        <v>26</v>
      </c>
      <c r="F5593" s="5"/>
      <c r="G5593" s="9">
        <f>H5593*(1-15%)*(1-F5593)</f>
        <v>67.915000000000006</v>
      </c>
      <c r="H5593" s="9">
        <v>79.900000000000006</v>
      </c>
      <c r="I5593" s="9">
        <f>H5593-G5593</f>
        <v>11.984999999999999</v>
      </c>
    </row>
    <row r="5594" ht="14.25">
      <c r="A5594" s="5">
        <v>77815</v>
      </c>
      <c r="B5594" s="7" t="s">
        <v>5686</v>
      </c>
      <c r="C5594" s="7" t="s">
        <v>4891</v>
      </c>
      <c r="D5594" s="7" t="s">
        <v>110</v>
      </c>
      <c r="E5594" s="5" t="s">
        <v>43</v>
      </c>
      <c r="F5594" s="5"/>
      <c r="G5594" s="9">
        <f>H5594*(1-15%)*(1-F5594)</f>
        <v>40.714999999999996</v>
      </c>
      <c r="H5594" s="9">
        <v>47.899999999999999</v>
      </c>
      <c r="I5594" s="9">
        <f>H5594-G5594</f>
        <v>7.1850000000000023</v>
      </c>
    </row>
    <row r="5595" ht="14.25">
      <c r="A5595" s="5">
        <v>77860</v>
      </c>
      <c r="B5595" s="7" t="s">
        <v>5687</v>
      </c>
      <c r="C5595" s="7" t="s">
        <v>4891</v>
      </c>
      <c r="D5595" s="7" t="s">
        <v>110</v>
      </c>
      <c r="E5595" s="5" t="s">
        <v>26</v>
      </c>
      <c r="F5595" s="5"/>
      <c r="G5595" s="9">
        <f>H5595*(1-15%)*(1-F5595)</f>
        <v>41.564999999999998</v>
      </c>
      <c r="H5595" s="9">
        <v>48.899999999999999</v>
      </c>
      <c r="I5595" s="9">
        <f>H5595-G5595</f>
        <v>7.3350000000000009</v>
      </c>
    </row>
    <row r="5596" ht="14.25">
      <c r="A5596" s="5">
        <v>77864</v>
      </c>
      <c r="B5596" s="7" t="s">
        <v>5688</v>
      </c>
      <c r="C5596" s="7" t="s">
        <v>4891</v>
      </c>
      <c r="D5596" s="7" t="s">
        <v>110</v>
      </c>
      <c r="E5596" s="5" t="s">
        <v>26</v>
      </c>
      <c r="F5596" s="5"/>
      <c r="G5596" s="9">
        <f>H5596*(1-15%)*(1-F5596)</f>
        <v>41.564999999999998</v>
      </c>
      <c r="H5596" s="9">
        <v>48.899999999999999</v>
      </c>
      <c r="I5596" s="9">
        <f>H5596-G5596</f>
        <v>7.3350000000000009</v>
      </c>
    </row>
    <row r="5597" ht="14.25">
      <c r="A5597" s="5">
        <v>77866</v>
      </c>
      <c r="B5597" s="7" t="s">
        <v>5689</v>
      </c>
      <c r="C5597" s="7" t="s">
        <v>4891</v>
      </c>
      <c r="D5597" s="7" t="s">
        <v>110</v>
      </c>
      <c r="E5597" s="5" t="s">
        <v>26</v>
      </c>
      <c r="F5597" s="5"/>
      <c r="G5597" s="9">
        <f>H5597*(1-15%)*(1-F5597)</f>
        <v>41.564999999999998</v>
      </c>
      <c r="H5597" s="9">
        <v>48.899999999999999</v>
      </c>
      <c r="I5597" s="9">
        <f>H5597-G5597</f>
        <v>7.3350000000000009</v>
      </c>
    </row>
    <row r="5598" ht="14.25">
      <c r="A5598" s="5">
        <v>84752</v>
      </c>
      <c r="B5598" s="7" t="s">
        <v>5690</v>
      </c>
      <c r="C5598" s="7" t="s">
        <v>4891</v>
      </c>
      <c r="D5598" s="7" t="s">
        <v>110</v>
      </c>
      <c r="E5598" s="5" t="s">
        <v>39</v>
      </c>
      <c r="F5598" s="5"/>
      <c r="G5598" s="9">
        <f>H5598*(1-15%)*(1-F5598)</f>
        <v>33.914999999999999</v>
      </c>
      <c r="H5598" s="9">
        <v>39.899999999999999</v>
      </c>
      <c r="I5598" s="9">
        <f>H5598-G5598</f>
        <v>5.9849999999999994</v>
      </c>
    </row>
    <row r="5599" ht="14.25">
      <c r="A5599" s="5">
        <v>84753</v>
      </c>
      <c r="B5599" s="7" t="s">
        <v>5691</v>
      </c>
      <c r="C5599" s="7" t="s">
        <v>4891</v>
      </c>
      <c r="D5599" s="7" t="s">
        <v>110</v>
      </c>
      <c r="E5599" s="5" t="s">
        <v>39</v>
      </c>
      <c r="F5599" s="5"/>
      <c r="G5599" s="9">
        <f>H5599*(1-15%)*(1-F5599)</f>
        <v>33.914999999999999</v>
      </c>
      <c r="H5599" s="9">
        <v>39.899999999999999</v>
      </c>
      <c r="I5599" s="9">
        <f>H5599-G5599</f>
        <v>5.9849999999999994</v>
      </c>
    </row>
    <row r="5600" ht="14.25">
      <c r="A5600" s="5">
        <v>85585</v>
      </c>
      <c r="B5600" s="7" t="s">
        <v>5692</v>
      </c>
      <c r="C5600" s="7" t="s">
        <v>4891</v>
      </c>
      <c r="D5600" s="7" t="s">
        <v>110</v>
      </c>
      <c r="E5600" s="5" t="s">
        <v>15</v>
      </c>
      <c r="F5600" s="5"/>
      <c r="G5600" s="9">
        <f>H5600*(1-15%)*(1-F5600)</f>
        <v>57.715000000000003</v>
      </c>
      <c r="H5600" s="9">
        <v>67.900000000000006</v>
      </c>
      <c r="I5600" s="9">
        <f>H5600-G5600</f>
        <v>10.185000000000002</v>
      </c>
    </row>
    <row r="5601" ht="14.25">
      <c r="A5601" s="5">
        <v>85586</v>
      </c>
      <c r="B5601" s="7" t="s">
        <v>5693</v>
      </c>
      <c r="C5601" s="7" t="s">
        <v>4891</v>
      </c>
      <c r="D5601" s="7" t="s">
        <v>110</v>
      </c>
      <c r="E5601" s="5" t="s">
        <v>133</v>
      </c>
      <c r="F5601" s="5"/>
      <c r="G5601" s="9">
        <f>H5601*(1-15%)*(1-F5601)</f>
        <v>57.715000000000003</v>
      </c>
      <c r="H5601" s="9">
        <v>67.900000000000006</v>
      </c>
      <c r="I5601" s="9">
        <f>H5601-G5601</f>
        <v>10.185000000000002</v>
      </c>
    </row>
    <row r="5602" ht="14.25">
      <c r="A5602" s="5">
        <v>85712</v>
      </c>
      <c r="B5602" s="7" t="s">
        <v>5694</v>
      </c>
      <c r="C5602" s="7" t="s">
        <v>4891</v>
      </c>
      <c r="D5602" s="7" t="s">
        <v>110</v>
      </c>
      <c r="E5602" s="5" t="s">
        <v>43</v>
      </c>
      <c r="F5602" s="5"/>
      <c r="G5602" s="9">
        <f>H5602*(1-15%)*(1-F5602)</f>
        <v>76.415000000000006</v>
      </c>
      <c r="H5602" s="9">
        <v>89.900000000000006</v>
      </c>
      <c r="I5602" s="9">
        <f>H5602-G5602</f>
        <v>13.484999999999999</v>
      </c>
    </row>
    <row r="5603" ht="14.25">
      <c r="A5603" s="5">
        <v>86114</v>
      </c>
      <c r="B5603" s="7" t="s">
        <v>5695</v>
      </c>
      <c r="C5603" s="7" t="s">
        <v>4891</v>
      </c>
      <c r="D5603" s="7" t="s">
        <v>110</v>
      </c>
      <c r="E5603" s="5" t="s">
        <v>43</v>
      </c>
      <c r="F5603" s="5"/>
      <c r="G5603" s="9">
        <f>H5603*(1-15%)*(1-F5603)</f>
        <v>40.714999999999996</v>
      </c>
      <c r="H5603" s="9">
        <v>47.899999999999999</v>
      </c>
      <c r="I5603" s="9">
        <f>H5603-G5603</f>
        <v>7.1850000000000023</v>
      </c>
    </row>
    <row r="5604" ht="14.25">
      <c r="A5604" s="5">
        <v>86115</v>
      </c>
      <c r="B5604" s="7" t="s">
        <v>5696</v>
      </c>
      <c r="C5604" s="7" t="s">
        <v>4891</v>
      </c>
      <c r="D5604" s="7" t="s">
        <v>110</v>
      </c>
      <c r="E5604" s="5" t="s">
        <v>39</v>
      </c>
      <c r="F5604" s="5"/>
      <c r="G5604" s="9">
        <f>H5604*(1-15%)*(1-F5604)</f>
        <v>40.714999999999996</v>
      </c>
      <c r="H5604" s="9">
        <v>47.899999999999999</v>
      </c>
      <c r="I5604" s="9">
        <f>H5604-G5604</f>
        <v>7.1850000000000023</v>
      </c>
    </row>
    <row r="5605" ht="14.25">
      <c r="A5605" s="5">
        <v>86160</v>
      </c>
      <c r="B5605" s="7" t="s">
        <v>5697</v>
      </c>
      <c r="C5605" s="7" t="s">
        <v>4891</v>
      </c>
      <c r="D5605" s="7" t="s">
        <v>110</v>
      </c>
      <c r="E5605" s="5" t="s">
        <v>26</v>
      </c>
      <c r="F5605" s="5"/>
      <c r="G5605" s="9">
        <f>H5605*(1-15%)*(1-F5605)</f>
        <v>33.914999999999999</v>
      </c>
      <c r="H5605" s="9">
        <v>39.899999999999999</v>
      </c>
      <c r="I5605" s="9">
        <f>H5605-G5605</f>
        <v>5.9849999999999994</v>
      </c>
    </row>
    <row r="5606" ht="14.25">
      <c r="A5606" s="5">
        <v>86509</v>
      </c>
      <c r="B5606" s="7" t="s">
        <v>5698</v>
      </c>
      <c r="C5606" s="7" t="s">
        <v>4891</v>
      </c>
      <c r="D5606" s="7" t="s">
        <v>1447</v>
      </c>
      <c r="E5606" s="5" t="s">
        <v>15</v>
      </c>
      <c r="F5606" s="5"/>
      <c r="G5606" s="9">
        <f>H5606*(1-15%)*(1-F5606)</f>
        <v>8.5000000000000006e-003</v>
      </c>
      <c r="H5606" s="9">
        <v>1.e-002</v>
      </c>
      <c r="I5606" s="9">
        <f>H5606-G5606</f>
        <v>1.4999999999999996e-003</v>
      </c>
    </row>
    <row r="5607" ht="14.25">
      <c r="A5607" s="5">
        <v>86973</v>
      </c>
      <c r="B5607" s="7" t="s">
        <v>5699</v>
      </c>
      <c r="C5607" s="7" t="s">
        <v>4891</v>
      </c>
      <c r="D5607" s="7" t="s">
        <v>110</v>
      </c>
      <c r="E5607" s="5" t="s">
        <v>703</v>
      </c>
      <c r="F5607" s="5"/>
      <c r="G5607" s="9">
        <f>H5607*(1-15%)*(1-F5607)</f>
        <v>70.465000000000003</v>
      </c>
      <c r="H5607" s="9">
        <v>82.900000000000006</v>
      </c>
      <c r="I5607" s="9">
        <f>H5607-G5607</f>
        <v>12.435000000000002</v>
      </c>
    </row>
    <row r="5608" ht="14.25">
      <c r="A5608" s="5">
        <v>86974</v>
      </c>
      <c r="B5608" s="7" t="s">
        <v>5700</v>
      </c>
      <c r="C5608" s="7" t="s">
        <v>4891</v>
      </c>
      <c r="D5608" s="7" t="s">
        <v>110</v>
      </c>
      <c r="E5608" s="5" t="s">
        <v>703</v>
      </c>
      <c r="F5608" s="5"/>
      <c r="G5608" s="9">
        <f>H5608*(1-15%)*(1-F5608)</f>
        <v>55.165000000000006</v>
      </c>
      <c r="H5608" s="9">
        <v>64.900000000000006</v>
      </c>
      <c r="I5608" s="9">
        <f>H5608-G5608</f>
        <v>9.7349999999999994</v>
      </c>
    </row>
    <row r="5609" ht="14.25">
      <c r="A5609" s="5">
        <v>86975</v>
      </c>
      <c r="B5609" s="7" t="s">
        <v>5701</v>
      </c>
      <c r="C5609" s="7" t="s">
        <v>4891</v>
      </c>
      <c r="D5609" s="7" t="s">
        <v>110</v>
      </c>
      <c r="E5609" s="5" t="s">
        <v>703</v>
      </c>
      <c r="F5609" s="5"/>
      <c r="G5609" s="9">
        <f>H5609*(1-15%)*(1-F5609)</f>
        <v>55.165000000000006</v>
      </c>
      <c r="H5609" s="9">
        <v>64.900000000000006</v>
      </c>
      <c r="I5609" s="9">
        <f>H5609-G5609</f>
        <v>9.7349999999999994</v>
      </c>
    </row>
    <row r="5610" ht="14.25">
      <c r="A5610" s="5">
        <v>86977</v>
      </c>
      <c r="B5610" s="7" t="s">
        <v>5702</v>
      </c>
      <c r="C5610" s="7" t="s">
        <v>4891</v>
      </c>
      <c r="D5610" s="7" t="s">
        <v>110</v>
      </c>
      <c r="E5610" s="5" t="s">
        <v>703</v>
      </c>
      <c r="F5610" s="5"/>
      <c r="G5610" s="9">
        <f>H5610*(1-15%)*(1-F5610)</f>
        <v>55.165000000000006</v>
      </c>
      <c r="H5610" s="9">
        <v>64.900000000000006</v>
      </c>
      <c r="I5610" s="9">
        <f>H5610-G5610</f>
        <v>9.7349999999999994</v>
      </c>
    </row>
    <row r="5611" ht="14.25">
      <c r="A5611" s="5">
        <v>87223</v>
      </c>
      <c r="B5611" s="7" t="s">
        <v>5703</v>
      </c>
      <c r="C5611" s="7" t="s">
        <v>4891</v>
      </c>
      <c r="D5611" s="7" t="s">
        <v>219</v>
      </c>
      <c r="E5611" s="5" t="s">
        <v>26</v>
      </c>
      <c r="F5611" s="5"/>
      <c r="G5611" s="9">
        <f>H5611*(1-15%)*(1-F5611)</f>
        <v>39.015000000000001</v>
      </c>
      <c r="H5611" s="9">
        <v>45.899999999999999</v>
      </c>
      <c r="I5611" s="9">
        <f>H5611-G5611</f>
        <v>6.884999999999998</v>
      </c>
    </row>
    <row r="5612" ht="14.25">
      <c r="A5612" s="5">
        <v>87384</v>
      </c>
      <c r="B5612" s="7" t="s">
        <v>5704</v>
      </c>
      <c r="C5612" s="7" t="s">
        <v>4891</v>
      </c>
      <c r="D5612" s="7" t="s">
        <v>1447</v>
      </c>
      <c r="E5612" s="5" t="s">
        <v>15</v>
      </c>
      <c r="F5612" s="5"/>
      <c r="G5612" s="9">
        <f>H5612*(1-15%)*(1-F5612)</f>
        <v>3.0514999999999999</v>
      </c>
      <c r="H5612" s="9">
        <v>3.5899999999999999</v>
      </c>
      <c r="I5612" s="9">
        <f>H5612-G5612</f>
        <v>0.53849999999999998</v>
      </c>
    </row>
    <row r="5613" ht="14.25">
      <c r="A5613" s="5">
        <v>87476</v>
      </c>
      <c r="B5613" s="7" t="s">
        <v>5705</v>
      </c>
      <c r="C5613" s="7" t="s">
        <v>4891</v>
      </c>
      <c r="D5613" s="7" t="s">
        <v>110</v>
      </c>
      <c r="E5613" s="5" t="s">
        <v>43</v>
      </c>
      <c r="F5613" s="5"/>
      <c r="G5613" s="9">
        <f>H5613*(1-15%)*(1-F5613)</f>
        <v>44.964999999999996</v>
      </c>
      <c r="H5613" s="9">
        <v>52.899999999999999</v>
      </c>
      <c r="I5613" s="9">
        <f>H5613-G5613</f>
        <v>7.9350000000000023</v>
      </c>
    </row>
    <row r="5614" ht="14.25">
      <c r="A5614" s="5">
        <v>87477</v>
      </c>
      <c r="B5614" s="7" t="s">
        <v>5706</v>
      </c>
      <c r="C5614" s="7" t="s">
        <v>4891</v>
      </c>
      <c r="D5614" s="7" t="s">
        <v>110</v>
      </c>
      <c r="E5614" s="5" t="s">
        <v>43</v>
      </c>
      <c r="F5614" s="5"/>
      <c r="G5614" s="9">
        <f>H5614*(1-15%)*(1-F5614)</f>
        <v>44.964999999999996</v>
      </c>
      <c r="H5614" s="9">
        <v>52.899999999999999</v>
      </c>
      <c r="I5614" s="9">
        <f>H5614-G5614</f>
        <v>7.9350000000000023</v>
      </c>
    </row>
    <row r="5615" ht="14.25">
      <c r="A5615" s="5">
        <v>87479</v>
      </c>
      <c r="B5615" s="7" t="s">
        <v>5707</v>
      </c>
      <c r="C5615" s="7" t="s">
        <v>4891</v>
      </c>
      <c r="D5615" s="7" t="s">
        <v>219</v>
      </c>
      <c r="E5615" s="5" t="s">
        <v>26</v>
      </c>
      <c r="F5615" s="5"/>
      <c r="G5615" s="9">
        <f>H5615*(1-15%)*(1-F5615)</f>
        <v>101.91500000000001</v>
      </c>
      <c r="H5615" s="9">
        <v>119.90000000000001</v>
      </c>
      <c r="I5615" s="9">
        <f>H5615-G5615</f>
        <v>17.984999999999999</v>
      </c>
    </row>
    <row r="5616" ht="14.25">
      <c r="A5616" s="5">
        <v>87480</v>
      </c>
      <c r="B5616" s="7" t="s">
        <v>5708</v>
      </c>
      <c r="C5616" s="7" t="s">
        <v>4891</v>
      </c>
      <c r="D5616" s="7" t="s">
        <v>219</v>
      </c>
      <c r="E5616" s="5" t="s">
        <v>26</v>
      </c>
      <c r="F5616" s="5"/>
      <c r="G5616" s="9">
        <f>H5616*(1-15%)*(1-F5616)</f>
        <v>101.91500000000001</v>
      </c>
      <c r="H5616" s="9">
        <v>119.90000000000001</v>
      </c>
      <c r="I5616" s="9">
        <f>H5616-G5616</f>
        <v>17.984999999999999</v>
      </c>
    </row>
    <row r="5617" ht="14.25">
      <c r="A5617" s="5">
        <v>87481</v>
      </c>
      <c r="B5617" s="7" t="s">
        <v>5709</v>
      </c>
      <c r="C5617" s="7" t="s">
        <v>4891</v>
      </c>
      <c r="D5617" s="7" t="s">
        <v>219</v>
      </c>
      <c r="E5617" s="5" t="s">
        <v>26</v>
      </c>
      <c r="F5617" s="5"/>
      <c r="G5617" s="9">
        <f>H5617*(1-15%)*(1-F5617)</f>
        <v>84.915000000000006</v>
      </c>
      <c r="H5617" s="9">
        <v>99.900000000000006</v>
      </c>
      <c r="I5617" s="9">
        <f>H5617-G5617</f>
        <v>14.984999999999999</v>
      </c>
    </row>
    <row r="5618" ht="14.25">
      <c r="A5618" s="5">
        <v>87605</v>
      </c>
      <c r="B5618" s="7" t="s">
        <v>5710</v>
      </c>
      <c r="C5618" s="7" t="s">
        <v>4891</v>
      </c>
      <c r="D5618" s="7" t="s">
        <v>110</v>
      </c>
      <c r="E5618" s="5" t="s">
        <v>43</v>
      </c>
      <c r="F5618" s="5"/>
      <c r="G5618" s="9">
        <f>H5618*(1-15%)*(1-F5618)</f>
        <v>44.964999999999996</v>
      </c>
      <c r="H5618" s="9">
        <v>52.899999999999999</v>
      </c>
      <c r="I5618" s="9">
        <f>H5618-G5618</f>
        <v>7.9350000000000023</v>
      </c>
    </row>
    <row r="5619" ht="14.25">
      <c r="A5619" s="5">
        <v>87606</v>
      </c>
      <c r="B5619" s="7" t="s">
        <v>5711</v>
      </c>
      <c r="C5619" s="7" t="s">
        <v>4891</v>
      </c>
      <c r="D5619" s="7" t="s">
        <v>110</v>
      </c>
      <c r="E5619" s="5" t="s">
        <v>43</v>
      </c>
      <c r="F5619" s="5"/>
      <c r="G5619" s="9">
        <f>H5619*(1-15%)*(1-F5619)</f>
        <v>44.964999999999996</v>
      </c>
      <c r="H5619" s="9">
        <v>52.899999999999999</v>
      </c>
      <c r="I5619" s="9">
        <f>H5619-G5619</f>
        <v>7.9350000000000023</v>
      </c>
    </row>
    <row r="5620" ht="14.25">
      <c r="A5620" s="5">
        <v>87628</v>
      </c>
      <c r="B5620" s="7" t="s">
        <v>5712</v>
      </c>
      <c r="C5620" s="7" t="s">
        <v>4891</v>
      </c>
      <c r="D5620" s="7" t="s">
        <v>110</v>
      </c>
      <c r="E5620" s="5" t="s">
        <v>43</v>
      </c>
      <c r="F5620" s="5"/>
      <c r="G5620" s="9">
        <f>H5620*(1-15%)*(1-F5620)</f>
        <v>44.964999999999996</v>
      </c>
      <c r="H5620" s="9">
        <v>52.899999999999999</v>
      </c>
      <c r="I5620" s="9">
        <f>H5620-G5620</f>
        <v>7.9350000000000023</v>
      </c>
    </row>
    <row r="5621" ht="14.25">
      <c r="A5621" s="5">
        <v>87631</v>
      </c>
      <c r="B5621" s="7" t="s">
        <v>5713</v>
      </c>
      <c r="C5621" s="7" t="s">
        <v>4891</v>
      </c>
      <c r="D5621" s="7" t="s">
        <v>110</v>
      </c>
      <c r="E5621" s="5" t="s">
        <v>43</v>
      </c>
      <c r="F5621" s="5"/>
      <c r="G5621" s="9">
        <f>H5621*(1-15%)*(1-F5621)</f>
        <v>44.964999999999996</v>
      </c>
      <c r="H5621" s="9">
        <v>52.899999999999999</v>
      </c>
      <c r="I5621" s="9">
        <f>H5621-G5621</f>
        <v>7.9350000000000023</v>
      </c>
    </row>
    <row r="5622" ht="14.25">
      <c r="A5622" s="5">
        <v>88127</v>
      </c>
      <c r="B5622" s="7" t="s">
        <v>5714</v>
      </c>
      <c r="C5622" s="7" t="s">
        <v>4891</v>
      </c>
      <c r="D5622" s="7" t="s">
        <v>1447</v>
      </c>
      <c r="E5622" s="5" t="s">
        <v>15</v>
      </c>
      <c r="F5622" s="5"/>
      <c r="G5622" s="9">
        <f>H5622*(1-15%)*(1-F5622)</f>
        <v>3.23</v>
      </c>
      <c r="H5622" s="9">
        <v>3.7999999999999998</v>
      </c>
      <c r="I5622" s="9">
        <f>H5622-G5622</f>
        <v>0.56999999999999984</v>
      </c>
    </row>
    <row r="5623" ht="14.25">
      <c r="A5623" s="5">
        <v>88335</v>
      </c>
      <c r="B5623" s="7" t="s">
        <v>5715</v>
      </c>
      <c r="C5623" s="7" t="s">
        <v>4891</v>
      </c>
      <c r="D5623" s="7" t="s">
        <v>183</v>
      </c>
      <c r="E5623" s="5" t="s">
        <v>703</v>
      </c>
      <c r="F5623" s="5"/>
      <c r="G5623" s="9">
        <f>H5623*(1-15%)*(1-F5623)</f>
        <v>50.914999999999999</v>
      </c>
      <c r="H5623" s="9">
        <v>59.899999999999999</v>
      </c>
      <c r="I5623" s="9">
        <f>H5623-G5623</f>
        <v>8.9849999999999994</v>
      </c>
    </row>
    <row r="5624" ht="14.25">
      <c r="A5624" s="5">
        <v>88721</v>
      </c>
      <c r="B5624" s="7" t="s">
        <v>5716</v>
      </c>
      <c r="C5624" s="7" t="s">
        <v>4891</v>
      </c>
      <c r="D5624" s="7" t="s">
        <v>110</v>
      </c>
      <c r="E5624" s="5" t="s">
        <v>703</v>
      </c>
      <c r="F5624" s="5"/>
      <c r="G5624" s="9">
        <f>H5624*(1-15%)*(1-F5624)</f>
        <v>59.415000000000006</v>
      </c>
      <c r="H5624" s="9">
        <v>69.900000000000006</v>
      </c>
      <c r="I5624" s="9">
        <f>H5624-G5624</f>
        <v>10.484999999999999</v>
      </c>
    </row>
    <row r="5625" ht="14.25">
      <c r="A5625" s="5">
        <v>88722</v>
      </c>
      <c r="B5625" s="7" t="s">
        <v>5717</v>
      </c>
      <c r="C5625" s="7" t="s">
        <v>4891</v>
      </c>
      <c r="D5625" s="7" t="s">
        <v>110</v>
      </c>
      <c r="E5625" s="5" t="s">
        <v>703</v>
      </c>
      <c r="F5625" s="5"/>
      <c r="G5625" s="9">
        <f>H5625*(1-15%)*(1-F5625)</f>
        <v>59.415000000000006</v>
      </c>
      <c r="H5625" s="9">
        <v>69.900000000000006</v>
      </c>
      <c r="I5625" s="9">
        <f>H5625-G5625</f>
        <v>10.484999999999999</v>
      </c>
    </row>
    <row r="5626" ht="14.25">
      <c r="A5626" s="5">
        <v>88723</v>
      </c>
      <c r="B5626" s="7" t="s">
        <v>5718</v>
      </c>
      <c r="C5626" s="7" t="s">
        <v>4891</v>
      </c>
      <c r="D5626" s="7" t="s">
        <v>110</v>
      </c>
      <c r="E5626" s="5" t="s">
        <v>703</v>
      </c>
      <c r="F5626" s="5"/>
      <c r="G5626" s="9">
        <f>H5626*(1-15%)*(1-F5626)</f>
        <v>59.415000000000006</v>
      </c>
      <c r="H5626" s="9">
        <v>69.900000000000006</v>
      </c>
      <c r="I5626" s="9">
        <f>H5626-G5626</f>
        <v>10.484999999999999</v>
      </c>
    </row>
    <row r="5627" ht="14.25">
      <c r="A5627" s="5">
        <v>88888</v>
      </c>
      <c r="B5627" s="7" t="s">
        <v>5719</v>
      </c>
      <c r="C5627" s="7" t="s">
        <v>4891</v>
      </c>
      <c r="D5627" s="7" t="s">
        <v>45</v>
      </c>
      <c r="E5627" s="5" t="s">
        <v>703</v>
      </c>
      <c r="F5627" s="5"/>
      <c r="G5627" s="9">
        <f>H5627*(1-15%)*(1-F5627)</f>
        <v>36.464999999999996</v>
      </c>
      <c r="H5627" s="9">
        <v>42.899999999999999</v>
      </c>
      <c r="I5627" s="9">
        <f>H5627-G5627</f>
        <v>6.4350000000000023</v>
      </c>
    </row>
    <row r="5628" ht="14.25">
      <c r="A5628" s="5">
        <v>90451</v>
      </c>
      <c r="B5628" s="7" t="s">
        <v>5720</v>
      </c>
      <c r="C5628" s="7" t="s">
        <v>4891</v>
      </c>
      <c r="D5628" s="7" t="s">
        <v>1447</v>
      </c>
      <c r="E5628" s="5" t="s">
        <v>15</v>
      </c>
      <c r="F5628" s="5"/>
      <c r="G5628" s="9">
        <f>H5628*(1-15%)*(1-F5628)</f>
        <v>1.7424999999999997</v>
      </c>
      <c r="H5628" s="9">
        <v>2.0499999999999998</v>
      </c>
      <c r="I5628" s="9">
        <f>H5628-G5628</f>
        <v>0.30750000000000011</v>
      </c>
    </row>
    <row r="5629" ht="14.25">
      <c r="A5629" s="5">
        <v>90452</v>
      </c>
      <c r="B5629" s="7" t="s">
        <v>5721</v>
      </c>
      <c r="C5629" s="7" t="s">
        <v>4891</v>
      </c>
      <c r="D5629" s="7" t="s">
        <v>1447</v>
      </c>
      <c r="E5629" s="5" t="s">
        <v>15</v>
      </c>
      <c r="F5629" s="5"/>
      <c r="G5629" s="9">
        <f>H5629*(1-15%)*(1-F5629)</f>
        <v>4.0800000000000001</v>
      </c>
      <c r="H5629" s="9">
        <v>4.7999999999999998</v>
      </c>
      <c r="I5629" s="9">
        <f>H5629-G5629</f>
        <v>0.71999999999999975</v>
      </c>
    </row>
    <row r="5630" ht="14.25">
      <c r="A5630" s="5">
        <v>87425</v>
      </c>
      <c r="B5630" s="7" t="s">
        <v>5722</v>
      </c>
      <c r="C5630" s="7" t="s">
        <v>4891</v>
      </c>
      <c r="D5630" s="7" t="s">
        <v>183</v>
      </c>
      <c r="E5630" s="5" t="s">
        <v>26</v>
      </c>
      <c r="F5630" s="5"/>
      <c r="G5630" s="9">
        <f>H5630*(1-15%)*(1-F5630)</f>
        <v>42.414999999999999</v>
      </c>
      <c r="H5630" s="9">
        <v>49.899999999999999</v>
      </c>
      <c r="I5630" s="9">
        <f>H5630-G5630</f>
        <v>7.4849999999999994</v>
      </c>
    </row>
    <row r="5631" ht="14.25">
      <c r="A5631" s="5">
        <v>87886</v>
      </c>
      <c r="B5631" s="7" t="s">
        <v>5723</v>
      </c>
      <c r="C5631" s="7" t="s">
        <v>4891</v>
      </c>
      <c r="D5631" s="7" t="s">
        <v>110</v>
      </c>
      <c r="E5631" s="5" t="s">
        <v>43</v>
      </c>
      <c r="F5631" s="5"/>
      <c r="G5631" s="9">
        <f>H5631*(1-15%)*(1-F5631)</f>
        <v>46.664999999999999</v>
      </c>
      <c r="H5631" s="9">
        <v>54.899999999999999</v>
      </c>
      <c r="I5631" s="9">
        <f>H5631-G5631</f>
        <v>8.2349999999999994</v>
      </c>
    </row>
    <row r="5632" ht="14.25">
      <c r="A5632" s="5">
        <v>87887</v>
      </c>
      <c r="B5632" s="7" t="s">
        <v>5724</v>
      </c>
      <c r="C5632" s="7" t="s">
        <v>4891</v>
      </c>
      <c r="D5632" s="7" t="s">
        <v>110</v>
      </c>
      <c r="E5632" s="5" t="s">
        <v>43</v>
      </c>
      <c r="F5632" s="5"/>
      <c r="G5632" s="9">
        <f>H5632*(1-15%)*(1-F5632)</f>
        <v>46.664999999999999</v>
      </c>
      <c r="H5632" s="9">
        <v>54.899999999999999</v>
      </c>
      <c r="I5632" s="9">
        <f>H5632-G5632</f>
        <v>8.2349999999999994</v>
      </c>
    </row>
    <row r="5633" ht="14.25">
      <c r="A5633" s="5">
        <v>85922</v>
      </c>
      <c r="B5633" s="7" t="s">
        <v>5725</v>
      </c>
      <c r="C5633" s="7" t="s">
        <v>4891</v>
      </c>
      <c r="D5633" s="7" t="s">
        <v>110</v>
      </c>
      <c r="E5633" s="5" t="s">
        <v>26</v>
      </c>
      <c r="F5633" s="5"/>
      <c r="G5633" s="9">
        <f>H5633*(1-15%)*(1-F5633)</f>
        <v>33.914999999999999</v>
      </c>
      <c r="H5633" s="9">
        <v>39.899999999999999</v>
      </c>
      <c r="I5633" s="9">
        <f>H5633-G5633</f>
        <v>5.9849999999999994</v>
      </c>
    </row>
    <row r="5634" ht="14.25">
      <c r="A5634" s="5">
        <v>85923</v>
      </c>
      <c r="B5634" s="7" t="s">
        <v>5726</v>
      </c>
      <c r="C5634" s="7" t="s">
        <v>4891</v>
      </c>
      <c r="D5634" s="7" t="s">
        <v>110</v>
      </c>
      <c r="E5634" s="5" t="s">
        <v>26</v>
      </c>
      <c r="F5634" s="5"/>
      <c r="G5634" s="9">
        <f>H5634*(1-15%)*(1-F5634)</f>
        <v>33.914999999999999</v>
      </c>
      <c r="H5634" s="9">
        <v>39.899999999999999</v>
      </c>
      <c r="I5634" s="9">
        <f>H5634-G5634</f>
        <v>5.9849999999999994</v>
      </c>
    </row>
    <row r="5635" ht="14.25">
      <c r="A5635" s="5">
        <v>87520</v>
      </c>
      <c r="B5635" s="7" t="s">
        <v>5727</v>
      </c>
      <c r="C5635" s="7" t="s">
        <v>4891</v>
      </c>
      <c r="D5635" s="7" t="s">
        <v>110</v>
      </c>
      <c r="E5635" s="5" t="s">
        <v>43</v>
      </c>
      <c r="F5635" s="5"/>
      <c r="G5635" s="9">
        <f>H5635*(1-15%)*(1-F5635)</f>
        <v>40.714999999999996</v>
      </c>
      <c r="H5635" s="9">
        <v>47.899999999999999</v>
      </c>
      <c r="I5635" s="9">
        <f>H5635-G5635</f>
        <v>7.1850000000000023</v>
      </c>
    </row>
    <row r="5636" ht="14.25">
      <c r="A5636" s="5">
        <v>59383</v>
      </c>
      <c r="B5636" s="7" t="s">
        <v>5728</v>
      </c>
      <c r="C5636" s="7" t="s">
        <v>4891</v>
      </c>
      <c r="D5636" s="7" t="s">
        <v>110</v>
      </c>
      <c r="E5636" s="5" t="s">
        <v>43</v>
      </c>
      <c r="F5636" s="5"/>
      <c r="G5636" s="9">
        <f>H5636*(1-15%)*(1-F5636)</f>
        <v>73.015000000000001</v>
      </c>
      <c r="H5636" s="9">
        <v>85.900000000000006</v>
      </c>
      <c r="I5636" s="9">
        <f>H5636-G5636</f>
        <v>12.885000000000005</v>
      </c>
    </row>
    <row r="5637" ht="14.25">
      <c r="A5637" s="5">
        <v>59384</v>
      </c>
      <c r="B5637" s="7" t="s">
        <v>5729</v>
      </c>
      <c r="C5637" s="7" t="s">
        <v>4891</v>
      </c>
      <c r="D5637" s="7" t="s">
        <v>110</v>
      </c>
      <c r="E5637" s="5" t="s">
        <v>43</v>
      </c>
      <c r="F5637" s="5"/>
      <c r="G5637" s="9">
        <f>H5637*(1-15%)*(1-F5637)</f>
        <v>73.015000000000001</v>
      </c>
      <c r="H5637" s="9">
        <v>85.900000000000006</v>
      </c>
      <c r="I5637" s="9">
        <f>H5637-G5637</f>
        <v>12.885000000000005</v>
      </c>
    </row>
    <row r="5638" ht="14.25">
      <c r="A5638" s="5">
        <v>85533</v>
      </c>
      <c r="B5638" s="7" t="s">
        <v>5730</v>
      </c>
      <c r="C5638" s="7" t="s">
        <v>4891</v>
      </c>
      <c r="D5638" s="7" t="s">
        <v>110</v>
      </c>
      <c r="E5638" s="5" t="s">
        <v>43</v>
      </c>
      <c r="F5638" s="5"/>
      <c r="G5638" s="9">
        <f>H5638*(1-15%)*(1-F5638)</f>
        <v>73.015000000000001</v>
      </c>
      <c r="H5638" s="9">
        <v>85.900000000000006</v>
      </c>
      <c r="I5638" s="9">
        <f>H5638-G5638</f>
        <v>12.885000000000005</v>
      </c>
    </row>
    <row r="5639" ht="14.25">
      <c r="A5639" s="5">
        <v>86366</v>
      </c>
      <c r="B5639" s="7" t="s">
        <v>5731</v>
      </c>
      <c r="C5639" s="7" t="s">
        <v>4891</v>
      </c>
      <c r="D5639" s="7" t="s">
        <v>110</v>
      </c>
      <c r="E5639" s="5" t="s">
        <v>43</v>
      </c>
      <c r="F5639" s="5"/>
      <c r="G5639" s="9">
        <f>H5639*(1-15%)*(1-F5639)</f>
        <v>73.015000000000001</v>
      </c>
      <c r="H5639" s="9">
        <v>85.900000000000006</v>
      </c>
      <c r="I5639" s="9">
        <f>H5639-G5639</f>
        <v>12.885000000000005</v>
      </c>
    </row>
    <row r="5640" ht="14.25">
      <c r="A5640" s="5">
        <v>87762</v>
      </c>
      <c r="B5640" s="7" t="s">
        <v>5732</v>
      </c>
      <c r="C5640" s="7" t="s">
        <v>4891</v>
      </c>
      <c r="D5640" s="7" t="s">
        <v>110</v>
      </c>
      <c r="E5640" s="5" t="s">
        <v>43</v>
      </c>
      <c r="F5640" s="5"/>
      <c r="G5640" s="9">
        <f>H5640*(1-15%)*(1-F5640)</f>
        <v>110.41500000000001</v>
      </c>
      <c r="H5640" s="9">
        <v>129.90000000000001</v>
      </c>
      <c r="I5640" s="9">
        <f>H5640-G5640</f>
        <v>19.484999999999999</v>
      </c>
    </row>
    <row r="5641" ht="14.25">
      <c r="A5641" s="5">
        <v>89268</v>
      </c>
      <c r="B5641" s="7" t="s">
        <v>5733</v>
      </c>
      <c r="C5641" s="7" t="s">
        <v>4891</v>
      </c>
      <c r="D5641" s="7" t="s">
        <v>110</v>
      </c>
      <c r="E5641" s="5" t="s">
        <v>43</v>
      </c>
      <c r="F5641" s="5"/>
      <c r="G5641" s="9">
        <f>H5641*(1-15%)*(1-F5641)</f>
        <v>73.015000000000001</v>
      </c>
      <c r="H5641" s="9">
        <v>85.900000000000006</v>
      </c>
      <c r="I5641" s="9">
        <f>H5641-G5641</f>
        <v>12.885000000000005</v>
      </c>
    </row>
    <row r="5642" ht="14.25">
      <c r="A5642" s="5">
        <v>89991</v>
      </c>
      <c r="B5642" s="7" t="s">
        <v>5734</v>
      </c>
      <c r="C5642" s="7" t="s">
        <v>4891</v>
      </c>
      <c r="D5642" s="7" t="s">
        <v>103</v>
      </c>
      <c r="E5642" s="5" t="s">
        <v>39</v>
      </c>
      <c r="F5642" s="5"/>
      <c r="G5642" s="9">
        <f>H5642*(1-15%)*(1-F5642)</f>
        <v>50.914999999999999</v>
      </c>
      <c r="H5642" s="9">
        <v>59.899999999999999</v>
      </c>
      <c r="I5642" s="9">
        <f>H5642-G5642</f>
        <v>8.9849999999999994</v>
      </c>
    </row>
    <row r="5643" ht="14.25">
      <c r="A5643" s="15">
        <v>88586</v>
      </c>
      <c r="B5643" s="7" t="s">
        <v>5735</v>
      </c>
      <c r="C5643" s="7" t="s">
        <v>4891</v>
      </c>
      <c r="D5643" s="7" t="s">
        <v>110</v>
      </c>
      <c r="E5643" s="5" t="s">
        <v>43</v>
      </c>
      <c r="F5643" s="5"/>
      <c r="G5643" s="9">
        <f>H5643*(1-15%)*(1-F5643)</f>
        <v>44.964999999999996</v>
      </c>
      <c r="H5643" s="9">
        <v>52.899999999999999</v>
      </c>
      <c r="I5643" s="9">
        <f>H5643-G5643</f>
        <v>7.9350000000000023</v>
      </c>
    </row>
    <row r="5644" ht="14.25">
      <c r="A5644" s="15">
        <v>88587</v>
      </c>
      <c r="B5644" s="7" t="s">
        <v>5736</v>
      </c>
      <c r="C5644" s="7" t="s">
        <v>4891</v>
      </c>
      <c r="D5644" s="7" t="s">
        <v>110</v>
      </c>
      <c r="E5644" s="5" t="s">
        <v>43</v>
      </c>
      <c r="F5644" s="5"/>
      <c r="G5644" s="9">
        <f>H5644*(1-15%)*(1-F5644)</f>
        <v>44.964999999999996</v>
      </c>
      <c r="H5644" s="9">
        <v>52.899999999999999</v>
      </c>
      <c r="I5644" s="9">
        <f>H5644-G5644</f>
        <v>7.9350000000000023</v>
      </c>
    </row>
    <row r="5645" ht="14.25">
      <c r="A5645" s="15">
        <v>88588</v>
      </c>
      <c r="B5645" s="7" t="s">
        <v>5737</v>
      </c>
      <c r="C5645" s="7" t="s">
        <v>4891</v>
      </c>
      <c r="D5645" s="7" t="s">
        <v>110</v>
      </c>
      <c r="E5645" s="5" t="s">
        <v>43</v>
      </c>
      <c r="F5645" s="5"/>
      <c r="G5645" s="9">
        <f>H5645*(1-15%)*(1-F5645)</f>
        <v>44.964999999999996</v>
      </c>
      <c r="H5645" s="9">
        <v>52.899999999999999</v>
      </c>
      <c r="I5645" s="9">
        <f>H5645-G5645</f>
        <v>7.9350000000000023</v>
      </c>
    </row>
    <row r="5646" ht="14.25">
      <c r="A5646" s="15">
        <v>88589</v>
      </c>
      <c r="B5646" s="7" t="s">
        <v>5738</v>
      </c>
      <c r="C5646" s="7" t="s">
        <v>4891</v>
      </c>
      <c r="D5646" s="7" t="s">
        <v>110</v>
      </c>
      <c r="E5646" s="5" t="s">
        <v>43</v>
      </c>
      <c r="F5646" s="5"/>
      <c r="G5646" s="9">
        <f>H5646*(1-15%)*(1-F5646)</f>
        <v>44.964999999999996</v>
      </c>
      <c r="H5646" s="9">
        <v>52.899999999999999</v>
      </c>
      <c r="I5646" s="9">
        <f>H5646-G5646</f>
        <v>7.9350000000000023</v>
      </c>
    </row>
    <row r="5647" ht="14.25">
      <c r="A5647" s="15">
        <v>88590</v>
      </c>
      <c r="B5647" s="7" t="s">
        <v>5739</v>
      </c>
      <c r="C5647" s="7" t="s">
        <v>4891</v>
      </c>
      <c r="D5647" s="7" t="s">
        <v>110</v>
      </c>
      <c r="E5647" s="5" t="s">
        <v>43</v>
      </c>
      <c r="F5647" s="5"/>
      <c r="G5647" s="9">
        <f>H5647*(1-15%)*(1-F5647)</f>
        <v>44.964999999999996</v>
      </c>
      <c r="H5647" s="9">
        <v>52.899999999999999</v>
      </c>
      <c r="I5647" s="9">
        <f>H5647-G5647</f>
        <v>7.9350000000000023</v>
      </c>
    </row>
    <row r="5648" ht="14.25">
      <c r="A5648" s="15">
        <v>88591</v>
      </c>
      <c r="B5648" s="7" t="s">
        <v>5740</v>
      </c>
      <c r="C5648" s="7" t="s">
        <v>4891</v>
      </c>
      <c r="D5648" s="7" t="s">
        <v>110</v>
      </c>
      <c r="E5648" s="5" t="s">
        <v>43</v>
      </c>
      <c r="F5648" s="5"/>
      <c r="G5648" s="9">
        <f>H5648*(1-15%)*(1-F5648)</f>
        <v>44.964999999999996</v>
      </c>
      <c r="H5648" s="9">
        <v>52.899999999999999</v>
      </c>
      <c r="I5648" s="9">
        <f>H5648-G5648</f>
        <v>7.9350000000000023</v>
      </c>
    </row>
    <row r="5649" ht="14.25">
      <c r="A5649" s="15">
        <v>88592</v>
      </c>
      <c r="B5649" s="7" t="s">
        <v>5741</v>
      </c>
      <c r="C5649" s="7" t="s">
        <v>4891</v>
      </c>
      <c r="D5649" s="7" t="s">
        <v>110</v>
      </c>
      <c r="E5649" s="5" t="s">
        <v>43</v>
      </c>
      <c r="F5649" s="5"/>
      <c r="G5649" s="9">
        <f>H5649*(1-15%)*(1-F5649)</f>
        <v>44.964999999999996</v>
      </c>
      <c r="H5649" s="9">
        <v>52.899999999999999</v>
      </c>
      <c r="I5649" s="9">
        <f>H5649-G5649</f>
        <v>7.9350000000000023</v>
      </c>
    </row>
    <row r="5650" ht="14.25">
      <c r="A5650" s="15">
        <v>88597</v>
      </c>
      <c r="B5650" s="7" t="s">
        <v>5742</v>
      </c>
      <c r="C5650" s="7" t="s">
        <v>4891</v>
      </c>
      <c r="D5650" s="7" t="s">
        <v>110</v>
      </c>
      <c r="E5650" s="5" t="s">
        <v>43</v>
      </c>
      <c r="F5650" s="5"/>
      <c r="G5650" s="9">
        <f>H5650*(1-15%)*(1-F5650)</f>
        <v>44.964999999999996</v>
      </c>
      <c r="H5650" s="9">
        <v>52.899999999999999</v>
      </c>
      <c r="I5650" s="9">
        <f>H5650-G5650</f>
        <v>7.9350000000000023</v>
      </c>
    </row>
    <row r="5651" ht="14.25">
      <c r="A5651" s="15">
        <v>90302</v>
      </c>
      <c r="B5651" s="7" t="s">
        <v>5743</v>
      </c>
      <c r="C5651" s="7" t="s">
        <v>4891</v>
      </c>
      <c r="D5651" s="7" t="s">
        <v>1447</v>
      </c>
      <c r="E5651" s="5" t="s">
        <v>3192</v>
      </c>
      <c r="F5651" s="5"/>
      <c r="G5651" s="9">
        <f>H5651*(1-15%)*(1-F5651)</f>
        <v>17.8415</v>
      </c>
      <c r="H5651" s="9">
        <v>20.989999999999998</v>
      </c>
      <c r="I5651" s="9">
        <f>H5651-G5651</f>
        <v>3.1484999999999985</v>
      </c>
    </row>
    <row r="5652" ht="14.25">
      <c r="A5652" s="5">
        <v>86119</v>
      </c>
      <c r="B5652" s="7" t="s">
        <v>5744</v>
      </c>
      <c r="C5652" s="7" t="s">
        <v>4891</v>
      </c>
      <c r="D5652" s="7" t="s">
        <v>110</v>
      </c>
      <c r="E5652" s="5" t="s">
        <v>43</v>
      </c>
      <c r="F5652" s="5"/>
      <c r="G5652" s="9">
        <f>H5652*(1-15%)*(1-F5652)</f>
        <v>29.664999999999999</v>
      </c>
      <c r="H5652" s="9">
        <v>34.899999999999999</v>
      </c>
      <c r="I5652" s="9">
        <f>H5652-G5652</f>
        <v>5.2349999999999994</v>
      </c>
    </row>
    <row r="5653" ht="14.25">
      <c r="A5653" s="5">
        <v>86120</v>
      </c>
      <c r="B5653" s="7" t="s">
        <v>5745</v>
      </c>
      <c r="C5653" s="7" t="s">
        <v>4891</v>
      </c>
      <c r="D5653" s="7" t="s">
        <v>110</v>
      </c>
      <c r="E5653" s="5" t="s">
        <v>26</v>
      </c>
      <c r="F5653" s="5"/>
      <c r="G5653" s="9">
        <f>H5653*(1-15%)*(1-F5653)</f>
        <v>29.664999999999999</v>
      </c>
      <c r="H5653" s="9">
        <v>34.899999999999999</v>
      </c>
      <c r="I5653" s="9">
        <f>H5653-G5653</f>
        <v>5.2349999999999994</v>
      </c>
    </row>
    <row r="5654" ht="14.25">
      <c r="A5654" s="5">
        <v>86121</v>
      </c>
      <c r="B5654" s="7" t="s">
        <v>5746</v>
      </c>
      <c r="C5654" s="7" t="s">
        <v>4891</v>
      </c>
      <c r="D5654" s="7" t="s">
        <v>110</v>
      </c>
      <c r="E5654" s="5" t="s">
        <v>26</v>
      </c>
      <c r="F5654" s="5"/>
      <c r="G5654" s="9">
        <f>H5654*(1-15%)*(1-F5654)</f>
        <v>29.664999999999999</v>
      </c>
      <c r="H5654" s="9">
        <v>34.899999999999999</v>
      </c>
      <c r="I5654" s="9">
        <f>H5654-G5654</f>
        <v>5.2349999999999994</v>
      </c>
    </row>
    <row r="5655" ht="14.25">
      <c r="A5655" s="5">
        <v>86122</v>
      </c>
      <c r="B5655" s="7" t="s">
        <v>5747</v>
      </c>
      <c r="C5655" s="7" t="s">
        <v>4891</v>
      </c>
      <c r="D5655" s="7" t="s">
        <v>110</v>
      </c>
      <c r="E5655" s="5" t="s">
        <v>26</v>
      </c>
      <c r="F5655" s="5"/>
      <c r="G5655" s="9">
        <f>H5655*(1-15%)*(1-F5655)</f>
        <v>29.664999999999999</v>
      </c>
      <c r="H5655" s="9">
        <v>34.899999999999999</v>
      </c>
      <c r="I5655" s="9">
        <f>H5655-G5655</f>
        <v>5.2349999999999994</v>
      </c>
    </row>
    <row r="5656" ht="14.25">
      <c r="A5656" s="5">
        <v>86123</v>
      </c>
      <c r="B5656" s="7" t="s">
        <v>5748</v>
      </c>
      <c r="C5656" s="7" t="s">
        <v>4891</v>
      </c>
      <c r="D5656" s="7" t="s">
        <v>110</v>
      </c>
      <c r="E5656" s="5" t="s">
        <v>26</v>
      </c>
      <c r="F5656" s="5"/>
      <c r="G5656" s="9">
        <f>H5656*(1-15%)*(1-F5656)</f>
        <v>29.664999999999999</v>
      </c>
      <c r="H5656" s="9">
        <v>34.899999999999999</v>
      </c>
      <c r="I5656" s="9">
        <f>H5656-G5656</f>
        <v>5.2349999999999994</v>
      </c>
    </row>
    <row r="5657" ht="14.25">
      <c r="A5657" s="5">
        <v>86124</v>
      </c>
      <c r="B5657" s="7" t="s">
        <v>5749</v>
      </c>
      <c r="C5657" s="7" t="s">
        <v>4891</v>
      </c>
      <c r="D5657" s="7" t="s">
        <v>110</v>
      </c>
      <c r="E5657" s="5" t="s">
        <v>26</v>
      </c>
      <c r="F5657" s="5"/>
      <c r="G5657" s="9">
        <f>H5657*(1-15%)*(1-F5657)</f>
        <v>29.664999999999999</v>
      </c>
      <c r="H5657" s="9">
        <v>34.899999999999999</v>
      </c>
      <c r="I5657" s="9">
        <f>H5657-G5657</f>
        <v>5.2349999999999994</v>
      </c>
    </row>
    <row r="5658" ht="14.25">
      <c r="A5658" s="5">
        <v>86125</v>
      </c>
      <c r="B5658" s="7" t="s">
        <v>5750</v>
      </c>
      <c r="C5658" s="7" t="s">
        <v>4891</v>
      </c>
      <c r="D5658" s="7" t="s">
        <v>110</v>
      </c>
      <c r="E5658" s="5" t="s">
        <v>26</v>
      </c>
      <c r="F5658" s="5"/>
      <c r="G5658" s="9">
        <f>H5658*(1-15%)*(1-F5658)</f>
        <v>29.664999999999999</v>
      </c>
      <c r="H5658" s="9">
        <v>34.899999999999999</v>
      </c>
      <c r="I5658" s="9">
        <f>H5658-G5658</f>
        <v>5.2349999999999994</v>
      </c>
    </row>
    <row r="5659" ht="14.25">
      <c r="A5659" s="5">
        <v>86126</v>
      </c>
      <c r="B5659" s="7" t="s">
        <v>5751</v>
      </c>
      <c r="C5659" s="7" t="s">
        <v>4891</v>
      </c>
      <c r="D5659" s="7" t="s">
        <v>110</v>
      </c>
      <c r="E5659" s="5" t="s">
        <v>26</v>
      </c>
      <c r="F5659" s="5"/>
      <c r="G5659" s="9">
        <f>H5659*(1-15%)*(1-F5659)</f>
        <v>29.664999999999999</v>
      </c>
      <c r="H5659" s="9">
        <v>34.899999999999999</v>
      </c>
      <c r="I5659" s="9">
        <f>H5659-G5659</f>
        <v>5.2349999999999994</v>
      </c>
    </row>
    <row r="5660" ht="14.25">
      <c r="A5660" s="5">
        <v>86127</v>
      </c>
      <c r="B5660" s="7" t="s">
        <v>5752</v>
      </c>
      <c r="C5660" s="7" t="s">
        <v>4891</v>
      </c>
      <c r="D5660" s="7" t="s">
        <v>110</v>
      </c>
      <c r="E5660" s="5" t="s">
        <v>26</v>
      </c>
      <c r="F5660" s="5"/>
      <c r="G5660" s="9">
        <f>H5660*(1-15%)*(1-F5660)</f>
        <v>29.664999999999999</v>
      </c>
      <c r="H5660" s="9">
        <v>34.899999999999999</v>
      </c>
      <c r="I5660" s="9">
        <f>H5660-G5660</f>
        <v>5.2349999999999994</v>
      </c>
    </row>
    <row r="5661" ht="14.25">
      <c r="A5661" s="5">
        <v>86128</v>
      </c>
      <c r="B5661" s="7" t="s">
        <v>5753</v>
      </c>
      <c r="C5661" s="7" t="s">
        <v>4891</v>
      </c>
      <c r="D5661" s="7" t="s">
        <v>110</v>
      </c>
      <c r="E5661" s="5" t="s">
        <v>26</v>
      </c>
      <c r="F5661" s="5"/>
      <c r="G5661" s="9">
        <f>H5661*(1-15%)*(1-F5661)</f>
        <v>29.664999999999999</v>
      </c>
      <c r="H5661" s="9">
        <v>34.899999999999999</v>
      </c>
      <c r="I5661" s="9">
        <f>H5661-G5661</f>
        <v>5.2349999999999994</v>
      </c>
    </row>
    <row r="5662" ht="14.25">
      <c r="A5662" s="5">
        <v>86129</v>
      </c>
      <c r="B5662" s="7" t="s">
        <v>5754</v>
      </c>
      <c r="C5662" s="7" t="s">
        <v>4891</v>
      </c>
      <c r="D5662" s="7" t="s">
        <v>110</v>
      </c>
      <c r="E5662" s="5" t="s">
        <v>26</v>
      </c>
      <c r="F5662" s="5"/>
      <c r="G5662" s="9">
        <f>H5662*(1-15%)*(1-F5662)</f>
        <v>29.664999999999999</v>
      </c>
      <c r="H5662" s="9">
        <v>34.899999999999999</v>
      </c>
      <c r="I5662" s="9">
        <f>H5662-G5662</f>
        <v>5.2349999999999994</v>
      </c>
    </row>
    <row r="5663" ht="14.25">
      <c r="A5663" s="5">
        <v>86130</v>
      </c>
      <c r="B5663" s="7" t="s">
        <v>5755</v>
      </c>
      <c r="C5663" s="7" t="s">
        <v>4891</v>
      </c>
      <c r="D5663" s="7" t="s">
        <v>110</v>
      </c>
      <c r="E5663" s="5" t="s">
        <v>26</v>
      </c>
      <c r="F5663" s="5"/>
      <c r="G5663" s="9">
        <f>H5663*(1-15%)*(1-F5663)</f>
        <v>29.664999999999999</v>
      </c>
      <c r="H5663" s="9">
        <v>34.899999999999999</v>
      </c>
      <c r="I5663" s="9">
        <f>H5663-G5663</f>
        <v>5.2349999999999994</v>
      </c>
    </row>
    <row r="5664" ht="14.25">
      <c r="A5664" s="5">
        <v>86131</v>
      </c>
      <c r="B5664" s="7" t="s">
        <v>5756</v>
      </c>
      <c r="C5664" s="7" t="s">
        <v>4891</v>
      </c>
      <c r="D5664" s="7" t="s">
        <v>110</v>
      </c>
      <c r="E5664" s="5" t="s">
        <v>26</v>
      </c>
      <c r="F5664" s="5"/>
      <c r="G5664" s="9">
        <f>H5664*(1-15%)*(1-F5664)</f>
        <v>29.664999999999999</v>
      </c>
      <c r="H5664" s="9">
        <v>34.899999999999999</v>
      </c>
      <c r="I5664" s="9">
        <f>H5664-G5664</f>
        <v>5.2349999999999994</v>
      </c>
    </row>
    <row r="5665" ht="14.25">
      <c r="A5665" s="5">
        <v>86132</v>
      </c>
      <c r="B5665" s="7" t="s">
        <v>5757</v>
      </c>
      <c r="C5665" s="7" t="s">
        <v>4891</v>
      </c>
      <c r="D5665" s="7" t="s">
        <v>110</v>
      </c>
      <c r="E5665" s="5" t="s">
        <v>26</v>
      </c>
      <c r="F5665" s="5"/>
      <c r="G5665" s="9">
        <f>H5665*(1-15%)*(1-F5665)</f>
        <v>16.064999999999998</v>
      </c>
      <c r="H5665" s="9">
        <v>18.899999999999999</v>
      </c>
      <c r="I5665" s="9">
        <f>H5665-G5665</f>
        <v>2.8350000000000009</v>
      </c>
    </row>
    <row r="5666" ht="14.25">
      <c r="A5666" s="5">
        <v>86133</v>
      </c>
      <c r="B5666" s="7" t="s">
        <v>5758</v>
      </c>
      <c r="C5666" s="7" t="s">
        <v>4891</v>
      </c>
      <c r="D5666" s="7" t="s">
        <v>110</v>
      </c>
      <c r="E5666" s="5" t="s">
        <v>26</v>
      </c>
      <c r="F5666" s="5"/>
      <c r="G5666" s="9">
        <f>H5666*(1-15%)*(1-F5666)</f>
        <v>16.064999999999998</v>
      </c>
      <c r="H5666" s="9">
        <v>18.899999999999999</v>
      </c>
      <c r="I5666" s="9">
        <f>H5666-G5666</f>
        <v>2.8350000000000009</v>
      </c>
    </row>
    <row r="5667" ht="14.25">
      <c r="A5667" s="5">
        <v>86134</v>
      </c>
      <c r="B5667" s="7" t="s">
        <v>5759</v>
      </c>
      <c r="C5667" s="7" t="s">
        <v>4891</v>
      </c>
      <c r="D5667" s="7" t="s">
        <v>110</v>
      </c>
      <c r="E5667" s="5" t="s">
        <v>26</v>
      </c>
      <c r="F5667" s="5"/>
      <c r="G5667" s="9">
        <f>H5667*(1-15%)*(1-F5667)</f>
        <v>16.064999999999998</v>
      </c>
      <c r="H5667" s="9">
        <v>18.899999999999999</v>
      </c>
      <c r="I5667" s="9">
        <f>H5667-G5667</f>
        <v>2.8350000000000009</v>
      </c>
    </row>
    <row r="5668" ht="14.25">
      <c r="A5668" s="5">
        <v>86135</v>
      </c>
      <c r="B5668" s="7" t="s">
        <v>5760</v>
      </c>
      <c r="C5668" s="7" t="s">
        <v>4891</v>
      </c>
      <c r="D5668" s="7" t="s">
        <v>110</v>
      </c>
      <c r="E5668" s="5" t="s">
        <v>26</v>
      </c>
      <c r="F5668" s="5"/>
      <c r="G5668" s="9">
        <f>H5668*(1-15%)*(1-F5668)</f>
        <v>16.064999999999998</v>
      </c>
      <c r="H5668" s="9">
        <v>18.899999999999999</v>
      </c>
      <c r="I5668" s="9">
        <f>H5668-G5668</f>
        <v>2.8350000000000009</v>
      </c>
    </row>
    <row r="5669" ht="14.25">
      <c r="A5669" s="5">
        <v>86136</v>
      </c>
      <c r="B5669" s="7" t="s">
        <v>5761</v>
      </c>
      <c r="C5669" s="7" t="s">
        <v>4891</v>
      </c>
      <c r="D5669" s="7" t="s">
        <v>110</v>
      </c>
      <c r="E5669" s="5" t="s">
        <v>26</v>
      </c>
      <c r="F5669" s="5"/>
      <c r="G5669" s="9">
        <f>H5669*(1-15%)*(1-F5669)</f>
        <v>16.064999999999998</v>
      </c>
      <c r="H5669" s="9">
        <v>18.899999999999999</v>
      </c>
      <c r="I5669" s="9">
        <f>H5669-G5669</f>
        <v>2.8350000000000009</v>
      </c>
    </row>
    <row r="5670" ht="14.25">
      <c r="A5670" s="5">
        <v>86137</v>
      </c>
      <c r="B5670" s="7" t="s">
        <v>5762</v>
      </c>
      <c r="C5670" s="7" t="s">
        <v>4891</v>
      </c>
      <c r="D5670" s="7" t="s">
        <v>110</v>
      </c>
      <c r="E5670" s="5" t="s">
        <v>26</v>
      </c>
      <c r="F5670" s="5"/>
      <c r="G5670" s="9">
        <f>H5670*(1-15%)*(1-F5670)</f>
        <v>16.064999999999998</v>
      </c>
      <c r="H5670" s="9">
        <v>18.899999999999999</v>
      </c>
      <c r="I5670" s="9">
        <f>H5670-G5670</f>
        <v>2.8350000000000009</v>
      </c>
    </row>
    <row r="5671" ht="14.25">
      <c r="A5671" s="5">
        <v>89234</v>
      </c>
      <c r="B5671" s="7" t="s">
        <v>5763</v>
      </c>
      <c r="C5671" s="7" t="s">
        <v>4891</v>
      </c>
      <c r="D5671" s="7" t="s">
        <v>110</v>
      </c>
      <c r="E5671" s="5" t="s">
        <v>26</v>
      </c>
      <c r="F5671" s="5"/>
      <c r="G5671" s="9">
        <f>H5671*(1-15%)*(1-F5671)</f>
        <v>29.664999999999999</v>
      </c>
      <c r="H5671" s="9">
        <v>34.899999999999999</v>
      </c>
      <c r="I5671" s="9">
        <f>H5671-G5671</f>
        <v>5.2349999999999994</v>
      </c>
    </row>
    <row r="5672" ht="14.25">
      <c r="A5672" s="5">
        <v>89235</v>
      </c>
      <c r="B5672" s="7" t="s">
        <v>5764</v>
      </c>
      <c r="C5672" s="7" t="s">
        <v>4891</v>
      </c>
      <c r="D5672" s="7" t="s">
        <v>110</v>
      </c>
      <c r="E5672" s="5" t="s">
        <v>26</v>
      </c>
      <c r="F5672" s="5"/>
      <c r="G5672" s="9">
        <f>H5672*(1-15%)*(1-F5672)</f>
        <v>29.664999999999999</v>
      </c>
      <c r="H5672" s="9">
        <v>34.899999999999999</v>
      </c>
      <c r="I5672" s="9">
        <f>H5672-G5672</f>
        <v>5.2349999999999994</v>
      </c>
    </row>
    <row r="5673" ht="14.25">
      <c r="A5673" s="5">
        <v>89236</v>
      </c>
      <c r="B5673" s="7" t="s">
        <v>5765</v>
      </c>
      <c r="C5673" s="7" t="s">
        <v>4891</v>
      </c>
      <c r="D5673" s="7" t="s">
        <v>110</v>
      </c>
      <c r="E5673" s="5" t="s">
        <v>26</v>
      </c>
      <c r="F5673" s="5"/>
      <c r="G5673" s="9">
        <f>H5673*(1-15%)*(1-F5673)</f>
        <v>29.664999999999999</v>
      </c>
      <c r="H5673" s="9">
        <v>34.899999999999999</v>
      </c>
      <c r="I5673" s="9">
        <f>H5673-G5673</f>
        <v>5.2349999999999994</v>
      </c>
    </row>
    <row r="5674" ht="14.25">
      <c r="A5674" s="5">
        <v>89255</v>
      </c>
      <c r="B5674" s="7" t="s">
        <v>5766</v>
      </c>
      <c r="C5674" s="7" t="s">
        <v>4891</v>
      </c>
      <c r="D5674" s="7" t="s">
        <v>110</v>
      </c>
      <c r="E5674" s="5" t="s">
        <v>26</v>
      </c>
      <c r="F5674" s="5"/>
      <c r="G5674" s="9">
        <f>H5674*(1-15%)*(1-F5674)</f>
        <v>29.664999999999999</v>
      </c>
      <c r="H5674" s="9">
        <v>34.899999999999999</v>
      </c>
      <c r="I5674" s="9">
        <f>H5674-G5674</f>
        <v>5.2349999999999994</v>
      </c>
    </row>
    <row r="5675" ht="14.25">
      <c r="A5675" s="5">
        <v>57204</v>
      </c>
      <c r="B5675" s="6" t="s">
        <v>5767</v>
      </c>
      <c r="C5675" s="7" t="s">
        <v>5768</v>
      </c>
      <c r="D5675" s="7" t="s">
        <v>5769</v>
      </c>
      <c r="E5675" s="16" t="s">
        <v>43</v>
      </c>
      <c r="F5675" s="5"/>
      <c r="G5675" s="9">
        <f>H5675*(1-15%)*(1-F5675)</f>
        <v>46.664999999999999</v>
      </c>
      <c r="H5675" s="9">
        <v>54.899999999999999</v>
      </c>
      <c r="I5675" s="9">
        <f>H5675-G5675</f>
        <v>8.2349999999999994</v>
      </c>
    </row>
    <row r="5676" ht="14.25">
      <c r="A5676" s="5">
        <v>57205</v>
      </c>
      <c r="B5676" s="6" t="s">
        <v>5770</v>
      </c>
      <c r="C5676" s="7" t="s">
        <v>5768</v>
      </c>
      <c r="D5676" s="7" t="s">
        <v>5769</v>
      </c>
      <c r="E5676" s="16" t="s">
        <v>39</v>
      </c>
      <c r="F5676" s="5"/>
      <c r="G5676" s="9">
        <f>H5676*(1-15%)*(1-F5676)</f>
        <v>46.664999999999999</v>
      </c>
      <c r="H5676" s="9">
        <v>54.899999999999999</v>
      </c>
      <c r="I5676" s="9">
        <f>H5676-G5676</f>
        <v>8.2349999999999994</v>
      </c>
    </row>
    <row r="5677" ht="14.25">
      <c r="A5677" s="5">
        <v>57206</v>
      </c>
      <c r="B5677" s="6" t="s">
        <v>5771</v>
      </c>
      <c r="C5677" s="7" t="s">
        <v>5768</v>
      </c>
      <c r="D5677" s="7" t="s">
        <v>5769</v>
      </c>
      <c r="E5677" s="16" t="s">
        <v>26</v>
      </c>
      <c r="F5677" s="5"/>
      <c r="G5677" s="9">
        <f>H5677*(1-15%)*(1-F5677)</f>
        <v>37.314999999999998</v>
      </c>
      <c r="H5677" s="9">
        <v>43.899999999999999</v>
      </c>
      <c r="I5677" s="9">
        <f>H5677-G5677</f>
        <v>6.5850000000000009</v>
      </c>
    </row>
    <row r="5678" ht="14.25">
      <c r="A5678" s="5">
        <v>57207</v>
      </c>
      <c r="B5678" s="6" t="s">
        <v>5772</v>
      </c>
      <c r="C5678" s="7" t="s">
        <v>5768</v>
      </c>
      <c r="D5678" s="7" t="s">
        <v>5769</v>
      </c>
      <c r="E5678" s="16" t="s">
        <v>26</v>
      </c>
      <c r="F5678" s="5"/>
      <c r="G5678" s="9">
        <f>H5678*(1-15%)*(1-F5678)</f>
        <v>46.664999999999999</v>
      </c>
      <c r="H5678" s="9">
        <v>54.899999999999999</v>
      </c>
      <c r="I5678" s="9">
        <f>H5678-G5678</f>
        <v>8.2349999999999994</v>
      </c>
    </row>
    <row r="5679" ht="14.25">
      <c r="A5679" s="5">
        <v>57208</v>
      </c>
      <c r="B5679" s="6" t="s">
        <v>5773</v>
      </c>
      <c r="C5679" s="7" t="s">
        <v>5768</v>
      </c>
      <c r="D5679" s="7" t="s">
        <v>5769</v>
      </c>
      <c r="E5679" s="16" t="s">
        <v>43</v>
      </c>
      <c r="F5679" s="5"/>
      <c r="G5679" s="9">
        <f>H5679*(1-15%)*(1-F5679)</f>
        <v>46.664999999999999</v>
      </c>
      <c r="H5679" s="9">
        <v>54.899999999999999</v>
      </c>
      <c r="I5679" s="9">
        <f>H5679-G5679</f>
        <v>8.2349999999999994</v>
      </c>
    </row>
    <row r="5680" ht="14.25">
      <c r="A5680" s="5">
        <v>57209</v>
      </c>
      <c r="B5680" s="6" t="s">
        <v>5774</v>
      </c>
      <c r="C5680" s="7" t="s">
        <v>5768</v>
      </c>
      <c r="D5680" s="7" t="s">
        <v>5769</v>
      </c>
      <c r="E5680" s="16" t="s">
        <v>26</v>
      </c>
      <c r="F5680" s="5"/>
      <c r="G5680" s="9">
        <f>H5680*(1-15%)*(1-F5680)</f>
        <v>56.015000000000001</v>
      </c>
      <c r="H5680" s="9">
        <v>65.900000000000006</v>
      </c>
      <c r="I5680" s="9">
        <f>H5680-G5680</f>
        <v>9.8850000000000051</v>
      </c>
    </row>
    <row r="5681" ht="14.25">
      <c r="A5681" s="5">
        <v>57210</v>
      </c>
      <c r="B5681" s="6" t="s">
        <v>5775</v>
      </c>
      <c r="C5681" s="7" t="s">
        <v>5768</v>
      </c>
      <c r="D5681" s="7" t="s">
        <v>5769</v>
      </c>
      <c r="E5681" s="16" t="s">
        <v>39</v>
      </c>
      <c r="F5681" s="5"/>
      <c r="G5681" s="9">
        <f>H5681*(1-15%)*(1-F5681)</f>
        <v>46.664999999999999</v>
      </c>
      <c r="H5681" s="9">
        <v>54.899999999999999</v>
      </c>
      <c r="I5681" s="9">
        <f>H5681-G5681</f>
        <v>8.2349999999999994</v>
      </c>
    </row>
    <row r="5682" ht="14.25">
      <c r="A5682" s="5">
        <v>57211</v>
      </c>
      <c r="B5682" s="6" t="s">
        <v>5776</v>
      </c>
      <c r="C5682" s="7" t="s">
        <v>5768</v>
      </c>
      <c r="D5682" s="7" t="s">
        <v>5769</v>
      </c>
      <c r="E5682" s="16" t="s">
        <v>43</v>
      </c>
      <c r="F5682" s="5"/>
      <c r="G5682" s="9">
        <f>H5682*(1-15%)*(1-F5682)</f>
        <v>56.015000000000001</v>
      </c>
      <c r="H5682" s="9">
        <v>65.900000000000006</v>
      </c>
      <c r="I5682" s="9">
        <f>H5682-G5682</f>
        <v>9.8850000000000051</v>
      </c>
    </row>
    <row r="5683" ht="14.25">
      <c r="A5683" s="5">
        <v>58299</v>
      </c>
      <c r="B5683" s="6" t="s">
        <v>5777</v>
      </c>
      <c r="C5683" s="7" t="s">
        <v>5768</v>
      </c>
      <c r="D5683" s="7" t="s">
        <v>5769</v>
      </c>
      <c r="E5683" s="16" t="s">
        <v>26</v>
      </c>
      <c r="F5683" s="5"/>
      <c r="G5683" s="9">
        <f>H5683*(1-15%)*(1-F5683)</f>
        <v>24.564999999999998</v>
      </c>
      <c r="H5683" s="9">
        <v>28.899999999999999</v>
      </c>
      <c r="I5683" s="9">
        <f>H5683-G5683</f>
        <v>4.3350000000000009</v>
      </c>
    </row>
    <row r="5684" ht="14.25">
      <c r="A5684" s="5">
        <v>88301</v>
      </c>
      <c r="B5684" s="6" t="s">
        <v>5778</v>
      </c>
      <c r="C5684" s="7" t="s">
        <v>5768</v>
      </c>
      <c r="D5684" s="7" t="s">
        <v>5769</v>
      </c>
      <c r="E5684" s="16" t="s">
        <v>26</v>
      </c>
      <c r="F5684" s="5"/>
      <c r="G5684" s="9">
        <f>H5684*(1-15%)*(1-F5684)</f>
        <v>59.415000000000006</v>
      </c>
      <c r="H5684" s="9">
        <v>69.900000000000006</v>
      </c>
      <c r="I5684" s="9">
        <f>H5684-G5684</f>
        <v>10.484999999999999</v>
      </c>
    </row>
    <row r="5685" ht="14.25">
      <c r="A5685" s="5">
        <v>2940</v>
      </c>
      <c r="B5685" s="7" t="s">
        <v>5779</v>
      </c>
      <c r="C5685" s="7" t="s">
        <v>5780</v>
      </c>
      <c r="D5685" s="7" t="s">
        <v>11</v>
      </c>
      <c r="E5685" s="5" t="s">
        <v>26</v>
      </c>
      <c r="F5685" s="5"/>
      <c r="G5685" s="9">
        <f>H5685*(1-15%)*(1-F5685)</f>
        <v>313.64999999999998</v>
      </c>
      <c r="H5685" s="9">
        <v>369</v>
      </c>
      <c r="I5685" s="9">
        <f>H5685-G5685</f>
        <v>55.350000000000023</v>
      </c>
    </row>
    <row r="5686" ht="14.25">
      <c r="A5686" s="5">
        <v>3219</v>
      </c>
      <c r="B5686" s="7" t="s">
        <v>5781</v>
      </c>
      <c r="C5686" s="7" t="s">
        <v>5780</v>
      </c>
      <c r="D5686" s="7" t="s">
        <v>11</v>
      </c>
      <c r="E5686" s="5" t="s">
        <v>26</v>
      </c>
      <c r="F5686" s="5"/>
      <c r="G5686" s="9">
        <f>H5686*(1-15%)*(1-F5686)</f>
        <v>313.64999999999998</v>
      </c>
      <c r="H5686" s="9">
        <v>369</v>
      </c>
      <c r="I5686" s="9">
        <f>H5686-G5686</f>
        <v>55.350000000000023</v>
      </c>
    </row>
    <row r="5687" ht="14.25">
      <c r="A5687" s="5">
        <v>3220</v>
      </c>
      <c r="B5687" s="7" t="s">
        <v>5782</v>
      </c>
      <c r="C5687" s="7" t="s">
        <v>5780</v>
      </c>
      <c r="D5687" s="7" t="s">
        <v>11</v>
      </c>
      <c r="E5687" s="5" t="s">
        <v>26</v>
      </c>
      <c r="F5687" s="5"/>
      <c r="G5687" s="9">
        <f>H5687*(1-15%)*(1-F5687)</f>
        <v>313.64999999999998</v>
      </c>
      <c r="H5687" s="9">
        <v>369</v>
      </c>
      <c r="I5687" s="9">
        <f>H5687-G5687</f>
        <v>55.350000000000023</v>
      </c>
    </row>
    <row r="5688" ht="14.25">
      <c r="A5688" s="5">
        <v>46885</v>
      </c>
      <c r="B5688" s="7" t="s">
        <v>5783</v>
      </c>
      <c r="C5688" s="7" t="s">
        <v>5780</v>
      </c>
      <c r="D5688" s="7" t="s">
        <v>1447</v>
      </c>
      <c r="E5688" s="5" t="s">
        <v>15</v>
      </c>
      <c r="F5688" s="5"/>
      <c r="G5688" s="9">
        <f>H5688*(1-15%)*(1-F5688)</f>
        <v>4.25</v>
      </c>
      <c r="H5688" s="9">
        <v>5</v>
      </c>
      <c r="I5688" s="9">
        <f>H5688-G5688</f>
        <v>0.75</v>
      </c>
    </row>
    <row r="5689" ht="14.25">
      <c r="A5689" s="5">
        <v>46886</v>
      </c>
      <c r="B5689" s="7" t="s">
        <v>5784</v>
      </c>
      <c r="C5689" s="7" t="s">
        <v>5780</v>
      </c>
      <c r="D5689" s="7" t="s">
        <v>1447</v>
      </c>
      <c r="E5689" s="5" t="s">
        <v>15</v>
      </c>
      <c r="F5689" s="5"/>
      <c r="G5689" s="9">
        <f>H5689*(1-15%)*(1-F5689)</f>
        <v>5.0999999999999996</v>
      </c>
      <c r="H5689" s="9">
        <v>6</v>
      </c>
      <c r="I5689" s="9">
        <f>H5689-G5689</f>
        <v>0.90000000000000036</v>
      </c>
    </row>
    <row r="5690" ht="14.25">
      <c r="A5690" s="5">
        <v>46887</v>
      </c>
      <c r="B5690" s="7" t="s">
        <v>5785</v>
      </c>
      <c r="C5690" s="7" t="s">
        <v>5780</v>
      </c>
      <c r="D5690" s="7" t="s">
        <v>1447</v>
      </c>
      <c r="E5690" s="5" t="s">
        <v>15</v>
      </c>
      <c r="F5690" s="5"/>
      <c r="G5690" s="9">
        <f>H5690*(1-15%)*(1-F5690)</f>
        <v>6.7999999999999998</v>
      </c>
      <c r="H5690" s="9">
        <v>8</v>
      </c>
      <c r="I5690" s="9">
        <f>H5690-G5690</f>
        <v>1.2000000000000002</v>
      </c>
    </row>
    <row r="5691" ht="14.25">
      <c r="A5691" s="5">
        <v>46888</v>
      </c>
      <c r="B5691" s="7" t="s">
        <v>5786</v>
      </c>
      <c r="C5691" s="7" t="s">
        <v>5780</v>
      </c>
      <c r="D5691" s="7" t="s">
        <v>1447</v>
      </c>
      <c r="E5691" s="5" t="s">
        <v>15</v>
      </c>
      <c r="F5691" s="5"/>
      <c r="G5691" s="9">
        <f>H5691*(1-15%)*(1-F5691)</f>
        <v>9.7750000000000004</v>
      </c>
      <c r="H5691" s="9">
        <v>11.5</v>
      </c>
      <c r="I5691" s="9">
        <f>H5691-G5691</f>
        <v>1.7249999999999996</v>
      </c>
    </row>
    <row r="5692" ht="14.25">
      <c r="A5692" s="5">
        <v>46890</v>
      </c>
      <c r="B5692" s="7" t="s">
        <v>5787</v>
      </c>
      <c r="C5692" s="7" t="s">
        <v>5780</v>
      </c>
      <c r="D5692" s="7" t="s">
        <v>1447</v>
      </c>
      <c r="E5692" s="5" t="s">
        <v>15</v>
      </c>
      <c r="F5692" s="5"/>
      <c r="G5692" s="9">
        <f>H5692*(1-15%)*(1-F5692)</f>
        <v>11.815</v>
      </c>
      <c r="H5692" s="9">
        <v>13.9</v>
      </c>
      <c r="I5692" s="9">
        <f>H5692-G5692</f>
        <v>2.0850000000000009</v>
      </c>
    </row>
    <row r="5693" ht="14.25">
      <c r="A5693" s="5">
        <v>46891</v>
      </c>
      <c r="B5693" s="7" t="s">
        <v>5788</v>
      </c>
      <c r="C5693" s="7" t="s">
        <v>5780</v>
      </c>
      <c r="D5693" s="7" t="s">
        <v>1447</v>
      </c>
      <c r="E5693" s="5" t="s">
        <v>15</v>
      </c>
      <c r="F5693" s="5"/>
      <c r="G5693" s="9">
        <f>H5693*(1-15%)*(1-F5693)</f>
        <v>20.824999999999999</v>
      </c>
      <c r="H5693" s="9">
        <v>24.5</v>
      </c>
      <c r="I5693" s="9">
        <f>H5693-G5693</f>
        <v>3.6750000000000007</v>
      </c>
    </row>
    <row r="5694" ht="14.25">
      <c r="A5694" s="5">
        <v>47378</v>
      </c>
      <c r="B5694" s="7" t="s">
        <v>5789</v>
      </c>
      <c r="C5694" s="7" t="s">
        <v>5780</v>
      </c>
      <c r="D5694" s="7" t="s">
        <v>11</v>
      </c>
      <c r="E5694" s="5" t="s">
        <v>26</v>
      </c>
      <c r="F5694" s="5"/>
      <c r="G5694" s="9">
        <f>H5694*(1-15%)*(1-F5694)</f>
        <v>313.64999999999998</v>
      </c>
      <c r="H5694" s="9">
        <v>369</v>
      </c>
      <c r="I5694" s="9">
        <f>H5694-G5694</f>
        <v>55.350000000000023</v>
      </c>
    </row>
    <row r="5695" ht="14.25">
      <c r="A5695" s="5">
        <v>47407</v>
      </c>
      <c r="B5695" s="7" t="s">
        <v>5790</v>
      </c>
      <c r="C5695" s="7" t="s">
        <v>5780</v>
      </c>
      <c r="D5695" s="7" t="s">
        <v>11</v>
      </c>
      <c r="E5695" s="5" t="s">
        <v>26</v>
      </c>
      <c r="F5695" s="5"/>
      <c r="G5695" s="9">
        <f>H5695*(1-15%)*(1-F5695)</f>
        <v>313.64999999999998</v>
      </c>
      <c r="H5695" s="9">
        <v>369</v>
      </c>
      <c r="I5695" s="9">
        <f>H5695-G5695</f>
        <v>55.350000000000023</v>
      </c>
    </row>
    <row r="5696" ht="14.25">
      <c r="A5696" s="5">
        <v>47415</v>
      </c>
      <c r="B5696" s="7" t="s">
        <v>5791</v>
      </c>
      <c r="C5696" s="7" t="s">
        <v>5780</v>
      </c>
      <c r="D5696" s="7" t="s">
        <v>103</v>
      </c>
      <c r="E5696" s="5" t="s">
        <v>39</v>
      </c>
      <c r="F5696" s="5"/>
      <c r="G5696" s="9">
        <f>H5696*(1-15%)*(1-F5696)</f>
        <v>33.149999999999999</v>
      </c>
      <c r="H5696" s="9">
        <v>39</v>
      </c>
      <c r="I5696" s="9">
        <f>H5696-G5696</f>
        <v>5.8500000000000014</v>
      </c>
    </row>
    <row r="5697" ht="14.25">
      <c r="A5697" s="5">
        <v>47416</v>
      </c>
      <c r="B5697" s="7" t="s">
        <v>5792</v>
      </c>
      <c r="C5697" s="7" t="s">
        <v>5780</v>
      </c>
      <c r="D5697" s="7" t="s">
        <v>103</v>
      </c>
      <c r="E5697" s="5" t="s">
        <v>26</v>
      </c>
      <c r="F5697" s="5"/>
      <c r="G5697" s="9">
        <f>H5697*(1-15%)*(1-F5697)</f>
        <v>33.149999999999999</v>
      </c>
      <c r="H5697" s="9">
        <v>39</v>
      </c>
      <c r="I5697" s="9">
        <f>H5697-G5697</f>
        <v>5.8500000000000014</v>
      </c>
    </row>
    <row r="5698" ht="14.25">
      <c r="A5698" s="5">
        <v>47486</v>
      </c>
      <c r="B5698" s="7" t="s">
        <v>5793</v>
      </c>
      <c r="C5698" s="7" t="s">
        <v>5780</v>
      </c>
      <c r="D5698" s="7" t="s">
        <v>11</v>
      </c>
      <c r="E5698" s="5" t="s">
        <v>39</v>
      </c>
      <c r="F5698" s="5"/>
      <c r="G5698" s="9">
        <f>H5698*(1-15%)*(1-F5698)</f>
        <v>220.15000000000001</v>
      </c>
      <c r="H5698" s="9">
        <v>259</v>
      </c>
      <c r="I5698" s="9">
        <f>H5698-G5698</f>
        <v>38.849999999999994</v>
      </c>
    </row>
    <row r="5699" ht="14.25">
      <c r="A5699" s="5">
        <v>47611</v>
      </c>
      <c r="B5699" s="7" t="s">
        <v>5794</v>
      </c>
      <c r="C5699" s="7" t="s">
        <v>5780</v>
      </c>
      <c r="D5699" s="7" t="s">
        <v>11</v>
      </c>
      <c r="E5699" s="5" t="s">
        <v>26</v>
      </c>
      <c r="F5699" s="5"/>
      <c r="G5699" s="9">
        <f>H5699*(1-15%)*(1-F5699)</f>
        <v>220.15000000000001</v>
      </c>
      <c r="H5699" s="9">
        <v>259</v>
      </c>
      <c r="I5699" s="9">
        <f>H5699-G5699</f>
        <v>38.849999999999994</v>
      </c>
    </row>
    <row r="5700" ht="14.25">
      <c r="A5700" s="5">
        <v>47618</v>
      </c>
      <c r="B5700" s="7" t="s">
        <v>5795</v>
      </c>
      <c r="C5700" s="7" t="s">
        <v>5780</v>
      </c>
      <c r="D5700" s="7" t="s">
        <v>11</v>
      </c>
      <c r="E5700" s="5" t="s">
        <v>43</v>
      </c>
      <c r="F5700" s="5"/>
      <c r="G5700" s="9">
        <f>H5700*(1-15%)*(1-F5700)</f>
        <v>220.15000000000001</v>
      </c>
      <c r="H5700" s="9">
        <v>259</v>
      </c>
      <c r="I5700" s="9">
        <f>H5700-G5700</f>
        <v>38.849999999999994</v>
      </c>
    </row>
    <row r="5701" ht="14.25">
      <c r="A5701" s="5">
        <v>47619</v>
      </c>
      <c r="B5701" s="7" t="s">
        <v>5796</v>
      </c>
      <c r="C5701" s="7" t="s">
        <v>5780</v>
      </c>
      <c r="D5701" s="7" t="s">
        <v>11</v>
      </c>
      <c r="E5701" s="5" t="s">
        <v>26</v>
      </c>
      <c r="F5701" s="5"/>
      <c r="G5701" s="9">
        <f>H5701*(1-15%)*(1-F5701)</f>
        <v>220.15000000000001</v>
      </c>
      <c r="H5701" s="9">
        <v>259</v>
      </c>
      <c r="I5701" s="9">
        <f>H5701-G5701</f>
        <v>38.849999999999994</v>
      </c>
    </row>
    <row r="5702" ht="14.25">
      <c r="A5702" s="5">
        <v>47620</v>
      </c>
      <c r="B5702" s="7" t="s">
        <v>5797</v>
      </c>
      <c r="C5702" s="7" t="s">
        <v>5780</v>
      </c>
      <c r="D5702" s="7" t="s">
        <v>45</v>
      </c>
      <c r="E5702" s="5" t="s">
        <v>39</v>
      </c>
      <c r="F5702" s="5"/>
      <c r="G5702" s="9">
        <f>H5702*(1-15%)*(1-F5702)</f>
        <v>92.649999999999991</v>
      </c>
      <c r="H5702" s="9">
        <v>109</v>
      </c>
      <c r="I5702" s="9">
        <f>H5702-G5702</f>
        <v>16.350000000000009</v>
      </c>
    </row>
    <row r="5703" ht="14.25">
      <c r="A5703" s="5">
        <v>47625</v>
      </c>
      <c r="B5703" s="7" t="s">
        <v>5798</v>
      </c>
      <c r="C5703" s="7" t="s">
        <v>5780</v>
      </c>
      <c r="D5703" s="7" t="s">
        <v>174</v>
      </c>
      <c r="E5703" s="5" t="s">
        <v>26</v>
      </c>
      <c r="F5703" s="5"/>
      <c r="G5703" s="9">
        <f>H5703*(1-15%)*(1-F5703)</f>
        <v>41.649999999999999</v>
      </c>
      <c r="H5703" s="9">
        <v>49</v>
      </c>
      <c r="I5703" s="9">
        <f>H5703-G5703</f>
        <v>7.3500000000000014</v>
      </c>
    </row>
    <row r="5704" ht="14.25">
      <c r="A5704" s="5">
        <v>48504</v>
      </c>
      <c r="B5704" s="7" t="s">
        <v>5799</v>
      </c>
      <c r="C5704" s="7" t="s">
        <v>5780</v>
      </c>
      <c r="D5704" s="7" t="s">
        <v>11</v>
      </c>
      <c r="E5704" s="5" t="s">
        <v>26</v>
      </c>
      <c r="F5704" s="5"/>
      <c r="G5704" s="9">
        <f>H5704*(1-15%)*(1-F5704)</f>
        <v>169.15000000000001</v>
      </c>
      <c r="H5704" s="9">
        <v>199</v>
      </c>
      <c r="I5704" s="9">
        <f>H5704-G5704</f>
        <v>29.849999999999994</v>
      </c>
    </row>
    <row r="5705" ht="14.25">
      <c r="A5705" s="5">
        <v>48505</v>
      </c>
      <c r="B5705" s="7" t="s">
        <v>5800</v>
      </c>
      <c r="C5705" s="7" t="s">
        <v>5780</v>
      </c>
      <c r="D5705" s="7" t="s">
        <v>11</v>
      </c>
      <c r="E5705" s="5" t="s">
        <v>26</v>
      </c>
      <c r="F5705" s="5"/>
      <c r="G5705" s="9">
        <f>H5705*(1-15%)*(1-F5705)</f>
        <v>169.15000000000001</v>
      </c>
      <c r="H5705" s="9">
        <v>199</v>
      </c>
      <c r="I5705" s="9">
        <f>H5705-G5705</f>
        <v>29.849999999999994</v>
      </c>
    </row>
    <row r="5706" ht="14.25">
      <c r="A5706" s="5">
        <v>48555</v>
      </c>
      <c r="B5706" s="7" t="s">
        <v>5801</v>
      </c>
      <c r="C5706" s="7" t="s">
        <v>5780</v>
      </c>
      <c r="D5706" s="7" t="s">
        <v>103</v>
      </c>
      <c r="E5706" s="5" t="s">
        <v>26</v>
      </c>
      <c r="F5706" s="5"/>
      <c r="G5706" s="9">
        <f>H5706*(1-15%)*(1-F5706)</f>
        <v>33.149999999999999</v>
      </c>
      <c r="H5706" s="9">
        <v>39</v>
      </c>
      <c r="I5706" s="9">
        <f>H5706-G5706</f>
        <v>5.8500000000000014</v>
      </c>
    </row>
    <row r="5707" ht="14.25">
      <c r="A5707" s="5">
        <v>49926</v>
      </c>
      <c r="B5707" s="7" t="s">
        <v>5802</v>
      </c>
      <c r="C5707" s="7" t="s">
        <v>5780</v>
      </c>
      <c r="D5707" s="7" t="s">
        <v>183</v>
      </c>
      <c r="E5707" s="5" t="s">
        <v>39</v>
      </c>
      <c r="F5707" s="5"/>
      <c r="G5707" s="9">
        <f>H5707*(1-15%)*(1-F5707)</f>
        <v>84.149999999999991</v>
      </c>
      <c r="H5707" s="9">
        <v>99</v>
      </c>
      <c r="I5707" s="9">
        <f>H5707-G5707</f>
        <v>14.850000000000009</v>
      </c>
    </row>
    <row r="5708" ht="14.25">
      <c r="A5708" s="5">
        <v>49927</v>
      </c>
      <c r="B5708" s="7" t="s">
        <v>5803</v>
      </c>
      <c r="C5708" s="7" t="s">
        <v>5780</v>
      </c>
      <c r="D5708" s="7" t="s">
        <v>183</v>
      </c>
      <c r="E5708" s="5" t="s">
        <v>39</v>
      </c>
      <c r="F5708" s="5"/>
      <c r="G5708" s="9">
        <f>H5708*(1-15%)*(1-F5708)</f>
        <v>84.149999999999991</v>
      </c>
      <c r="H5708" s="9">
        <v>99</v>
      </c>
      <c r="I5708" s="9">
        <f>H5708-G5708</f>
        <v>14.850000000000009</v>
      </c>
    </row>
    <row r="5709" ht="14.25">
      <c r="A5709" s="5">
        <v>50805</v>
      </c>
      <c r="B5709" s="7" t="s">
        <v>5804</v>
      </c>
      <c r="C5709" s="7" t="s">
        <v>5780</v>
      </c>
      <c r="D5709" s="7" t="s">
        <v>11</v>
      </c>
      <c r="E5709" s="5" t="s">
        <v>26</v>
      </c>
      <c r="F5709" s="5"/>
      <c r="G5709" s="9">
        <f>H5709*(1-15%)*(1-F5709)</f>
        <v>203.15000000000001</v>
      </c>
      <c r="H5709" s="9">
        <v>239</v>
      </c>
      <c r="I5709" s="9">
        <f>H5709-G5709</f>
        <v>35.849999999999994</v>
      </c>
    </row>
    <row r="5710" ht="14.25">
      <c r="A5710" s="5">
        <v>51782</v>
      </c>
      <c r="B5710" s="7" t="s">
        <v>5805</v>
      </c>
      <c r="C5710" s="7" t="s">
        <v>5780</v>
      </c>
      <c r="D5710" s="7" t="s">
        <v>11</v>
      </c>
      <c r="E5710" s="5" t="s">
        <v>43</v>
      </c>
      <c r="F5710" s="5"/>
      <c r="G5710" s="9">
        <f>H5710*(1-15%)*(1-F5710)</f>
        <v>203.15000000000001</v>
      </c>
      <c r="H5710" s="9">
        <v>239</v>
      </c>
      <c r="I5710" s="9">
        <f>H5710-G5710</f>
        <v>35.849999999999994</v>
      </c>
    </row>
    <row r="5711" ht="14.25">
      <c r="A5711" s="5">
        <v>51783</v>
      </c>
      <c r="B5711" s="7" t="s">
        <v>5806</v>
      </c>
      <c r="C5711" s="7" t="s">
        <v>5780</v>
      </c>
      <c r="D5711" s="7" t="s">
        <v>11</v>
      </c>
      <c r="E5711" s="5" t="s">
        <v>43</v>
      </c>
      <c r="F5711" s="5"/>
      <c r="G5711" s="9">
        <f>H5711*(1-15%)*(1-F5711)</f>
        <v>313.64999999999998</v>
      </c>
      <c r="H5711" s="9">
        <v>369</v>
      </c>
      <c r="I5711" s="9">
        <f>H5711-G5711</f>
        <v>55.350000000000023</v>
      </c>
    </row>
    <row r="5712" ht="14.25">
      <c r="A5712" s="5">
        <v>51787</v>
      </c>
      <c r="B5712" s="7" t="s">
        <v>5807</v>
      </c>
      <c r="C5712" s="7" t="s">
        <v>5780</v>
      </c>
      <c r="D5712" s="7" t="s">
        <v>11</v>
      </c>
      <c r="E5712" s="5" t="s">
        <v>26</v>
      </c>
      <c r="F5712" s="5"/>
      <c r="G5712" s="9">
        <f>H5712*(1-15%)*(1-F5712)</f>
        <v>203.15000000000001</v>
      </c>
      <c r="H5712" s="9">
        <v>239</v>
      </c>
      <c r="I5712" s="9">
        <f>H5712-G5712</f>
        <v>35.849999999999994</v>
      </c>
    </row>
    <row r="5713" ht="14.25">
      <c r="A5713" s="5">
        <v>51793</v>
      </c>
      <c r="B5713" s="7" t="s">
        <v>5808</v>
      </c>
      <c r="C5713" s="7" t="s">
        <v>5780</v>
      </c>
      <c r="D5713" s="7" t="s">
        <v>103</v>
      </c>
      <c r="E5713" s="5" t="s">
        <v>26</v>
      </c>
      <c r="F5713" s="5"/>
      <c r="G5713" s="9">
        <f>H5713*(1-15%)*(1-F5713)</f>
        <v>101.14999999999999</v>
      </c>
      <c r="H5713" s="9">
        <v>119</v>
      </c>
      <c r="I5713" s="9">
        <f>H5713-G5713</f>
        <v>17.850000000000009</v>
      </c>
    </row>
    <row r="5714" ht="14.25">
      <c r="A5714" s="5">
        <v>51796</v>
      </c>
      <c r="B5714" s="7" t="s">
        <v>5809</v>
      </c>
      <c r="C5714" s="7" t="s">
        <v>5780</v>
      </c>
      <c r="D5714" s="7" t="s">
        <v>103</v>
      </c>
      <c r="E5714" s="5" t="s">
        <v>39</v>
      </c>
      <c r="F5714" s="5"/>
      <c r="G5714" s="9">
        <f>H5714*(1-15%)*(1-F5714)</f>
        <v>33.149999999999999</v>
      </c>
      <c r="H5714" s="9">
        <v>39</v>
      </c>
      <c r="I5714" s="9">
        <f>H5714-G5714</f>
        <v>5.8500000000000014</v>
      </c>
    </row>
    <row r="5715" ht="14.25">
      <c r="A5715" s="5">
        <v>51797</v>
      </c>
      <c r="B5715" s="7" t="s">
        <v>5810</v>
      </c>
      <c r="C5715" s="7" t="s">
        <v>5780</v>
      </c>
      <c r="D5715" s="7" t="s">
        <v>45</v>
      </c>
      <c r="E5715" s="5" t="s">
        <v>43</v>
      </c>
      <c r="F5715" s="5"/>
      <c r="G5715" s="9">
        <f>H5715*(1-15%)*(1-F5715)</f>
        <v>105.39999999999999</v>
      </c>
      <c r="H5715" s="9">
        <v>124</v>
      </c>
      <c r="I5715" s="9">
        <f>H5715-G5715</f>
        <v>18.600000000000009</v>
      </c>
    </row>
    <row r="5716" ht="14.25">
      <c r="A5716" s="5">
        <v>51859</v>
      </c>
      <c r="B5716" s="7" t="s">
        <v>5811</v>
      </c>
      <c r="C5716" s="7" t="s">
        <v>5780</v>
      </c>
      <c r="D5716" s="7" t="s">
        <v>45</v>
      </c>
      <c r="E5716" s="5" t="s">
        <v>43</v>
      </c>
      <c r="F5716" s="5"/>
      <c r="G5716" s="9">
        <f>H5716*(1-15%)*(1-F5716)</f>
        <v>41.649999999999999</v>
      </c>
      <c r="H5716" s="9">
        <v>49</v>
      </c>
      <c r="I5716" s="9">
        <f>H5716-G5716</f>
        <v>7.3500000000000014</v>
      </c>
    </row>
    <row r="5717" ht="14.25">
      <c r="A5717" s="5">
        <v>51975</v>
      </c>
      <c r="B5717" s="7" t="s">
        <v>5812</v>
      </c>
      <c r="C5717" s="7" t="s">
        <v>5780</v>
      </c>
      <c r="D5717" s="7" t="s">
        <v>45</v>
      </c>
      <c r="E5717" s="5" t="s">
        <v>43</v>
      </c>
      <c r="F5717" s="5"/>
      <c r="G5717" s="9">
        <f>H5717*(1-15%)*(1-F5717)</f>
        <v>143.65000000000001</v>
      </c>
      <c r="H5717" s="9">
        <v>169</v>
      </c>
      <c r="I5717" s="9">
        <f>H5717-G5717</f>
        <v>25.349999999999994</v>
      </c>
    </row>
    <row r="5718" ht="14.25">
      <c r="A5718" s="5">
        <v>51984</v>
      </c>
      <c r="B5718" s="7" t="s">
        <v>5813</v>
      </c>
      <c r="C5718" s="7" t="s">
        <v>5780</v>
      </c>
      <c r="D5718" s="7" t="s">
        <v>174</v>
      </c>
      <c r="E5718" s="5" t="s">
        <v>39</v>
      </c>
      <c r="F5718" s="5"/>
      <c r="G5718" s="9">
        <f>H5718*(1-15%)*(1-F5718)</f>
        <v>84.149999999999991</v>
      </c>
      <c r="H5718" s="9">
        <v>99</v>
      </c>
      <c r="I5718" s="9">
        <f>H5718-G5718</f>
        <v>14.850000000000009</v>
      </c>
    </row>
    <row r="5719" ht="14.25">
      <c r="A5719" s="5">
        <v>51991</v>
      </c>
      <c r="B5719" s="7" t="s">
        <v>5814</v>
      </c>
      <c r="C5719" s="7" t="s">
        <v>5780</v>
      </c>
      <c r="D5719" s="7" t="s">
        <v>11</v>
      </c>
      <c r="E5719" s="5" t="s">
        <v>43</v>
      </c>
      <c r="F5719" s="5"/>
      <c r="G5719" s="9">
        <f>H5719*(1-15%)*(1-F5719)</f>
        <v>313.64999999999998</v>
      </c>
      <c r="H5719" s="9">
        <v>369</v>
      </c>
      <c r="I5719" s="9">
        <f>H5719-G5719</f>
        <v>55.350000000000023</v>
      </c>
    </row>
    <row r="5720" ht="14.25">
      <c r="A5720" s="5">
        <v>52279</v>
      </c>
      <c r="B5720" s="7" t="s">
        <v>5815</v>
      </c>
      <c r="C5720" s="7" t="s">
        <v>5780</v>
      </c>
      <c r="D5720" s="7" t="s">
        <v>174</v>
      </c>
      <c r="E5720" s="5" t="s">
        <v>26</v>
      </c>
      <c r="F5720" s="5"/>
      <c r="G5720" s="9">
        <f>H5720*(1-15%)*(1-F5720)</f>
        <v>75.649999999999991</v>
      </c>
      <c r="H5720" s="9">
        <v>89</v>
      </c>
      <c r="I5720" s="9">
        <f>H5720-G5720</f>
        <v>13.350000000000009</v>
      </c>
    </row>
    <row r="5721" ht="14.25">
      <c r="A5721" s="5">
        <v>52280</v>
      </c>
      <c r="B5721" s="7" t="s">
        <v>5816</v>
      </c>
      <c r="C5721" s="7" t="s">
        <v>5780</v>
      </c>
      <c r="D5721" s="7" t="s">
        <v>45</v>
      </c>
      <c r="E5721" s="5" t="s">
        <v>43</v>
      </c>
      <c r="F5721" s="5"/>
      <c r="G5721" s="9">
        <f>H5721*(1-15%)*(1-F5721)</f>
        <v>105.39999999999999</v>
      </c>
      <c r="H5721" s="9">
        <v>124</v>
      </c>
      <c r="I5721" s="9">
        <f>H5721-G5721</f>
        <v>18.600000000000009</v>
      </c>
    </row>
    <row r="5722" ht="14.25">
      <c r="A5722" s="5">
        <v>54006</v>
      </c>
      <c r="B5722" s="7" t="s">
        <v>5817</v>
      </c>
      <c r="C5722" s="7" t="s">
        <v>5780</v>
      </c>
      <c r="D5722" s="7" t="s">
        <v>71</v>
      </c>
      <c r="E5722" s="5" t="s">
        <v>26</v>
      </c>
      <c r="F5722" s="5"/>
      <c r="G5722" s="9">
        <f>H5722*(1-15%)*(1-F5722)</f>
        <v>41.649999999999999</v>
      </c>
      <c r="H5722" s="9">
        <v>49</v>
      </c>
      <c r="I5722" s="9">
        <f>H5722-G5722</f>
        <v>7.3500000000000014</v>
      </c>
    </row>
    <row r="5723" ht="14.25">
      <c r="A5723" s="5">
        <v>54028</v>
      </c>
      <c r="B5723" s="7" t="s">
        <v>5818</v>
      </c>
      <c r="C5723" s="7" t="s">
        <v>5780</v>
      </c>
      <c r="D5723" s="7" t="s">
        <v>174</v>
      </c>
      <c r="E5723" s="5" t="s">
        <v>39</v>
      </c>
      <c r="F5723" s="5"/>
      <c r="G5723" s="9">
        <f>H5723*(1-15%)*(1-F5723)</f>
        <v>67.149999999999991</v>
      </c>
      <c r="H5723" s="9">
        <v>79</v>
      </c>
      <c r="I5723" s="9">
        <f>H5723-G5723</f>
        <v>11.850000000000009</v>
      </c>
    </row>
    <row r="5724" ht="14.25">
      <c r="A5724" s="5">
        <v>55208</v>
      </c>
      <c r="B5724" s="7" t="s">
        <v>5819</v>
      </c>
      <c r="C5724" s="7" t="s">
        <v>5780</v>
      </c>
      <c r="D5724" s="7" t="s">
        <v>45</v>
      </c>
      <c r="E5724" s="5" t="s">
        <v>39</v>
      </c>
      <c r="F5724" s="5"/>
      <c r="G5724" s="9">
        <f>H5724*(1-15%)*(1-F5724)</f>
        <v>41.649999999999999</v>
      </c>
      <c r="H5724" s="9">
        <v>49</v>
      </c>
      <c r="I5724" s="9">
        <f>H5724-G5724</f>
        <v>7.3500000000000014</v>
      </c>
    </row>
    <row r="5725" ht="14.25">
      <c r="A5725" s="5">
        <v>56278</v>
      </c>
      <c r="B5725" s="7" t="s">
        <v>5820</v>
      </c>
      <c r="C5725" s="7" t="s">
        <v>5780</v>
      </c>
      <c r="D5725" s="7" t="s">
        <v>71</v>
      </c>
      <c r="E5725" s="5" t="s">
        <v>26</v>
      </c>
      <c r="F5725" s="5"/>
      <c r="G5725" s="9">
        <f>H5725*(1-15%)*(1-F5725)</f>
        <v>41.649999999999999</v>
      </c>
      <c r="H5725" s="9">
        <v>49</v>
      </c>
      <c r="I5725" s="9">
        <f>H5725-G5725</f>
        <v>7.3500000000000014</v>
      </c>
    </row>
    <row r="5726" ht="14.25">
      <c r="A5726" s="5">
        <v>56279</v>
      </c>
      <c r="B5726" s="7" t="s">
        <v>5821</v>
      </c>
      <c r="C5726" s="7" t="s">
        <v>5780</v>
      </c>
      <c r="D5726" s="7" t="s">
        <v>71</v>
      </c>
      <c r="E5726" s="5" t="s">
        <v>26</v>
      </c>
      <c r="F5726" s="5"/>
      <c r="G5726" s="9">
        <f>H5726*(1-15%)*(1-F5726)</f>
        <v>41.649999999999999</v>
      </c>
      <c r="H5726" s="9">
        <v>49</v>
      </c>
      <c r="I5726" s="9">
        <f>H5726-G5726</f>
        <v>7.3500000000000014</v>
      </c>
    </row>
    <row r="5727" ht="14.25">
      <c r="A5727" s="5">
        <v>56487</v>
      </c>
      <c r="B5727" s="7" t="s">
        <v>5822</v>
      </c>
      <c r="C5727" s="7" t="s">
        <v>5780</v>
      </c>
      <c r="D5727" s="7" t="s">
        <v>103</v>
      </c>
      <c r="E5727" s="5" t="s">
        <v>26</v>
      </c>
      <c r="F5727" s="5"/>
      <c r="G5727" s="9">
        <f>H5727*(1-15%)*(1-F5727)</f>
        <v>75.649999999999991</v>
      </c>
      <c r="H5727" s="9">
        <v>89</v>
      </c>
      <c r="I5727" s="9">
        <f>H5727-G5727</f>
        <v>13.350000000000009</v>
      </c>
    </row>
    <row r="5728" ht="14.25">
      <c r="A5728" s="5">
        <v>56488</v>
      </c>
      <c r="B5728" s="7" t="s">
        <v>5823</v>
      </c>
      <c r="C5728" s="7" t="s">
        <v>5780</v>
      </c>
      <c r="D5728" s="7" t="s">
        <v>11</v>
      </c>
      <c r="E5728" s="5" t="s">
        <v>26</v>
      </c>
      <c r="F5728" s="5"/>
      <c r="G5728" s="9">
        <f>H5728*(1-15%)*(1-F5728)</f>
        <v>313.64999999999998</v>
      </c>
      <c r="H5728" s="9">
        <v>369</v>
      </c>
      <c r="I5728" s="9">
        <f>H5728-G5728</f>
        <v>55.350000000000023</v>
      </c>
    </row>
    <row r="5729" ht="14.25">
      <c r="A5729" s="5">
        <v>56554</v>
      </c>
      <c r="B5729" s="7" t="s">
        <v>5824</v>
      </c>
      <c r="C5729" s="7" t="s">
        <v>5780</v>
      </c>
      <c r="D5729" s="7" t="s">
        <v>11</v>
      </c>
      <c r="E5729" s="5" t="s">
        <v>26</v>
      </c>
      <c r="F5729" s="5"/>
      <c r="G5729" s="9">
        <f>H5729*(1-15%)*(1-F5729)</f>
        <v>313.64999999999998</v>
      </c>
      <c r="H5729" s="9">
        <v>369</v>
      </c>
      <c r="I5729" s="9">
        <f>H5729-G5729</f>
        <v>55.350000000000023</v>
      </c>
    </row>
    <row r="5730" ht="14.25">
      <c r="A5730" s="5">
        <v>56557</v>
      </c>
      <c r="B5730" s="7" t="s">
        <v>5825</v>
      </c>
      <c r="C5730" s="7" t="s">
        <v>5780</v>
      </c>
      <c r="D5730" s="7" t="s">
        <v>11</v>
      </c>
      <c r="E5730" s="5" t="s">
        <v>26</v>
      </c>
      <c r="F5730" s="5"/>
      <c r="G5730" s="9">
        <f>H5730*(1-15%)*(1-F5730)</f>
        <v>313.64999999999998</v>
      </c>
      <c r="H5730" s="9">
        <v>369</v>
      </c>
      <c r="I5730" s="9">
        <f>H5730-G5730</f>
        <v>55.350000000000023</v>
      </c>
    </row>
    <row r="5731" ht="14.25">
      <c r="A5731" s="5">
        <v>56606</v>
      </c>
      <c r="B5731" s="7" t="s">
        <v>5826</v>
      </c>
      <c r="C5731" s="7" t="s">
        <v>5780</v>
      </c>
      <c r="D5731" s="7" t="s">
        <v>45</v>
      </c>
      <c r="E5731" s="5" t="s">
        <v>43</v>
      </c>
      <c r="F5731" s="5"/>
      <c r="G5731" s="9">
        <f>H5731*(1-15%)*(1-F5731)</f>
        <v>143.65000000000001</v>
      </c>
      <c r="H5731" s="9">
        <v>169</v>
      </c>
      <c r="I5731" s="9">
        <f>H5731-G5731</f>
        <v>25.349999999999994</v>
      </c>
    </row>
    <row r="5732" ht="14.25">
      <c r="A5732" s="5">
        <v>56607</v>
      </c>
      <c r="B5732" s="7" t="s">
        <v>5827</v>
      </c>
      <c r="C5732" s="7" t="s">
        <v>5780</v>
      </c>
      <c r="D5732" s="7" t="s">
        <v>45</v>
      </c>
      <c r="E5732" s="5" t="s">
        <v>43</v>
      </c>
      <c r="F5732" s="5"/>
      <c r="G5732" s="9">
        <f>H5732*(1-15%)*(1-F5732)</f>
        <v>105.39999999999999</v>
      </c>
      <c r="H5732" s="9">
        <v>124</v>
      </c>
      <c r="I5732" s="9">
        <f>H5732-G5732</f>
        <v>18.600000000000009</v>
      </c>
    </row>
    <row r="5733" ht="14.25">
      <c r="A5733" s="5">
        <v>57234</v>
      </c>
      <c r="B5733" s="7" t="s">
        <v>5828</v>
      </c>
      <c r="C5733" s="7" t="s">
        <v>5780</v>
      </c>
      <c r="D5733" s="7" t="s">
        <v>103</v>
      </c>
      <c r="E5733" s="5" t="s">
        <v>26</v>
      </c>
      <c r="F5733" s="5"/>
      <c r="G5733" s="9">
        <f>H5733*(1-15%)*(1-F5733)</f>
        <v>75.649999999999991</v>
      </c>
      <c r="H5733" s="9">
        <v>89</v>
      </c>
      <c r="I5733" s="9">
        <f>H5733-G5733</f>
        <v>13.350000000000009</v>
      </c>
    </row>
    <row r="5734" ht="14.25">
      <c r="A5734" s="5">
        <v>57235</v>
      </c>
      <c r="B5734" s="7" t="s">
        <v>5829</v>
      </c>
      <c r="C5734" s="7" t="s">
        <v>5780</v>
      </c>
      <c r="D5734" s="7" t="s">
        <v>45</v>
      </c>
      <c r="E5734" s="5" t="s">
        <v>26</v>
      </c>
      <c r="F5734" s="5"/>
      <c r="G5734" s="9">
        <f>H5734*(1-15%)*(1-F5734)</f>
        <v>75.649999999999991</v>
      </c>
      <c r="H5734" s="9">
        <v>89</v>
      </c>
      <c r="I5734" s="9">
        <f>H5734-G5734</f>
        <v>13.350000000000009</v>
      </c>
    </row>
    <row r="5735" ht="14.25">
      <c r="A5735" s="5">
        <v>57965</v>
      </c>
      <c r="B5735" s="7" t="s">
        <v>5830</v>
      </c>
      <c r="C5735" s="7" t="s">
        <v>5780</v>
      </c>
      <c r="D5735" s="7" t="s">
        <v>11</v>
      </c>
      <c r="E5735" s="5" t="s">
        <v>43</v>
      </c>
      <c r="F5735" s="5"/>
      <c r="G5735" s="9">
        <f>H5735*(1-15%)*(1-F5735)</f>
        <v>313.64999999999998</v>
      </c>
      <c r="H5735" s="9">
        <v>369</v>
      </c>
      <c r="I5735" s="9">
        <f>H5735-G5735</f>
        <v>55.350000000000023</v>
      </c>
    </row>
    <row r="5736" ht="14.25">
      <c r="A5736" s="5">
        <v>57966</v>
      </c>
      <c r="B5736" s="7" t="s">
        <v>5831</v>
      </c>
      <c r="C5736" s="7" t="s">
        <v>5780</v>
      </c>
      <c r="D5736" s="7" t="s">
        <v>45</v>
      </c>
      <c r="E5736" s="5" t="s">
        <v>43</v>
      </c>
      <c r="F5736" s="5"/>
      <c r="G5736" s="9">
        <f>H5736*(1-15%)*(1-F5736)</f>
        <v>143.65000000000001</v>
      </c>
      <c r="H5736" s="9">
        <v>169</v>
      </c>
      <c r="I5736" s="9">
        <f>H5736-G5736</f>
        <v>25.349999999999994</v>
      </c>
    </row>
    <row r="5737" ht="14.25">
      <c r="A5737" s="5">
        <v>57993</v>
      </c>
      <c r="B5737" s="7" t="s">
        <v>5832</v>
      </c>
      <c r="C5737" s="7" t="s">
        <v>5780</v>
      </c>
      <c r="D5737" s="7" t="s">
        <v>61</v>
      </c>
      <c r="E5737" s="5" t="s">
        <v>43</v>
      </c>
      <c r="F5737" s="5"/>
      <c r="G5737" s="9">
        <f>H5737*(1-15%)*(1-F5737)</f>
        <v>424.14999999999998</v>
      </c>
      <c r="H5737" s="9">
        <v>499</v>
      </c>
      <c r="I5737" s="9">
        <f>H5737-G5737</f>
        <v>74.850000000000023</v>
      </c>
    </row>
    <row r="5738" ht="14.25">
      <c r="A5738" s="5">
        <v>58014</v>
      </c>
      <c r="B5738" s="7" t="s">
        <v>5833</v>
      </c>
      <c r="C5738" s="7" t="s">
        <v>5780</v>
      </c>
      <c r="D5738" s="7" t="s">
        <v>61</v>
      </c>
      <c r="E5738" s="5" t="s">
        <v>43</v>
      </c>
      <c r="F5738" s="5"/>
      <c r="G5738" s="9">
        <f>H5738*(1-15%)*(1-F5738)</f>
        <v>364.64999999999998</v>
      </c>
      <c r="H5738" s="9">
        <v>429</v>
      </c>
      <c r="I5738" s="9">
        <f>H5738-G5738</f>
        <v>64.350000000000023</v>
      </c>
    </row>
    <row r="5739" ht="14.25">
      <c r="A5739" s="5">
        <v>58015</v>
      </c>
      <c r="B5739" s="7" t="s">
        <v>5834</v>
      </c>
      <c r="C5739" s="7" t="s">
        <v>5780</v>
      </c>
      <c r="D5739" s="7" t="s">
        <v>61</v>
      </c>
      <c r="E5739" s="5" t="s">
        <v>43</v>
      </c>
      <c r="F5739" s="5"/>
      <c r="G5739" s="9">
        <f>H5739*(1-15%)*(1-F5739)</f>
        <v>282.19999999999999</v>
      </c>
      <c r="H5739" s="9">
        <v>332</v>
      </c>
      <c r="I5739" s="9">
        <f>H5739-G5739</f>
        <v>49.800000000000011</v>
      </c>
    </row>
    <row r="5740" ht="14.25">
      <c r="A5740" s="5">
        <v>58201</v>
      </c>
      <c r="B5740" s="7" t="s">
        <v>5835</v>
      </c>
      <c r="C5740" s="7" t="s">
        <v>5780</v>
      </c>
      <c r="D5740" s="7" t="s">
        <v>11</v>
      </c>
      <c r="E5740" s="5" t="s">
        <v>43</v>
      </c>
      <c r="F5740" s="5"/>
      <c r="G5740" s="9">
        <f>H5740*(1-15%)*(1-F5740)</f>
        <v>203.15000000000001</v>
      </c>
      <c r="H5740" s="9">
        <v>239</v>
      </c>
      <c r="I5740" s="9">
        <f>H5740-G5740</f>
        <v>35.849999999999994</v>
      </c>
    </row>
    <row r="5741" ht="14.25">
      <c r="A5741" s="5">
        <v>58204</v>
      </c>
      <c r="B5741" s="7" t="s">
        <v>5836</v>
      </c>
      <c r="C5741" s="7" t="s">
        <v>5780</v>
      </c>
      <c r="D5741" s="7" t="s">
        <v>103</v>
      </c>
      <c r="E5741" s="5" t="s">
        <v>26</v>
      </c>
      <c r="F5741" s="5"/>
      <c r="G5741" s="9">
        <f>H5741*(1-15%)*(1-F5741)</f>
        <v>67.149999999999991</v>
      </c>
      <c r="H5741" s="9">
        <v>79</v>
      </c>
      <c r="I5741" s="9">
        <f>H5741-G5741</f>
        <v>11.850000000000009</v>
      </c>
    </row>
    <row r="5742" ht="14.25">
      <c r="A5742" s="5">
        <v>58205</v>
      </c>
      <c r="B5742" s="7" t="s">
        <v>5837</v>
      </c>
      <c r="C5742" s="7" t="s">
        <v>5780</v>
      </c>
      <c r="D5742" s="7" t="s">
        <v>45</v>
      </c>
      <c r="E5742" s="5" t="s">
        <v>26</v>
      </c>
      <c r="F5742" s="5"/>
      <c r="G5742" s="9">
        <f>H5742*(1-15%)*(1-F5742)</f>
        <v>41.649999999999999</v>
      </c>
      <c r="H5742" s="9">
        <v>49</v>
      </c>
      <c r="I5742" s="9">
        <f>H5742-G5742</f>
        <v>7.3500000000000014</v>
      </c>
    </row>
    <row r="5743" ht="14.25">
      <c r="A5743" s="5">
        <v>58206</v>
      </c>
      <c r="B5743" s="7" t="s">
        <v>5838</v>
      </c>
      <c r="C5743" s="7" t="s">
        <v>5780</v>
      </c>
      <c r="D5743" s="7" t="s">
        <v>45</v>
      </c>
      <c r="E5743" s="5" t="s">
        <v>26</v>
      </c>
      <c r="F5743" s="5"/>
      <c r="G5743" s="9">
        <f>H5743*(1-15%)*(1-F5743)</f>
        <v>75.649999999999991</v>
      </c>
      <c r="H5743" s="9">
        <v>89</v>
      </c>
      <c r="I5743" s="9">
        <f>H5743-G5743</f>
        <v>13.350000000000009</v>
      </c>
    </row>
    <row r="5744" ht="14.25">
      <c r="A5744" s="5">
        <v>58208</v>
      </c>
      <c r="B5744" s="7" t="s">
        <v>5839</v>
      </c>
      <c r="C5744" s="7" t="s">
        <v>5780</v>
      </c>
      <c r="D5744" s="7" t="s">
        <v>103</v>
      </c>
      <c r="E5744" s="5" t="s">
        <v>26</v>
      </c>
      <c r="F5744" s="5"/>
      <c r="G5744" s="9">
        <f>H5744*(1-15%)*(1-F5744)</f>
        <v>33.149999999999999</v>
      </c>
      <c r="H5744" s="9">
        <v>39</v>
      </c>
      <c r="I5744" s="9">
        <f>H5744-G5744</f>
        <v>5.8500000000000014</v>
      </c>
    </row>
    <row r="5745" ht="14.25">
      <c r="A5745" s="5">
        <v>58716</v>
      </c>
      <c r="B5745" s="7" t="s">
        <v>5840</v>
      </c>
      <c r="C5745" s="7" t="s">
        <v>5780</v>
      </c>
      <c r="D5745" s="7" t="s">
        <v>11</v>
      </c>
      <c r="E5745" s="5" t="s">
        <v>26</v>
      </c>
      <c r="F5745" s="5"/>
      <c r="G5745" s="9">
        <f>H5745*(1-15%)*(1-F5745)</f>
        <v>313.64999999999998</v>
      </c>
      <c r="H5745" s="9">
        <v>369</v>
      </c>
      <c r="I5745" s="9">
        <f>H5745-G5745</f>
        <v>55.350000000000023</v>
      </c>
    </row>
    <row r="5746" ht="14.25">
      <c r="A5746" s="5">
        <v>58724</v>
      </c>
      <c r="B5746" s="7" t="s">
        <v>5841</v>
      </c>
      <c r="C5746" s="7" t="s">
        <v>5780</v>
      </c>
      <c r="D5746" s="7" t="s">
        <v>45</v>
      </c>
      <c r="E5746" s="5" t="s">
        <v>26</v>
      </c>
      <c r="F5746" s="5"/>
      <c r="G5746" s="9">
        <f>H5746*(1-15%)*(1-F5746)</f>
        <v>84.149999999999991</v>
      </c>
      <c r="H5746" s="9">
        <v>99</v>
      </c>
      <c r="I5746" s="9">
        <f>H5746-G5746</f>
        <v>14.850000000000009</v>
      </c>
    </row>
    <row r="5747" ht="14.25">
      <c r="A5747" s="5">
        <v>59129</v>
      </c>
      <c r="B5747" s="7" t="s">
        <v>5842</v>
      </c>
      <c r="C5747" s="7" t="s">
        <v>5780</v>
      </c>
      <c r="D5747" s="7" t="s">
        <v>61</v>
      </c>
      <c r="E5747" s="5" t="s">
        <v>26</v>
      </c>
      <c r="F5747" s="5"/>
      <c r="G5747" s="9">
        <f>H5747*(1-15%)*(1-F5747)</f>
        <v>92.649999999999991</v>
      </c>
      <c r="H5747" s="9">
        <v>109</v>
      </c>
      <c r="I5747" s="9">
        <f>H5747-G5747</f>
        <v>16.350000000000009</v>
      </c>
    </row>
    <row r="5748" ht="14.25">
      <c r="A5748" s="5">
        <v>59130</v>
      </c>
      <c r="B5748" s="7" t="s">
        <v>5843</v>
      </c>
      <c r="C5748" s="7" t="s">
        <v>5780</v>
      </c>
      <c r="D5748" s="7" t="s">
        <v>61</v>
      </c>
      <c r="E5748" s="5" t="s">
        <v>26</v>
      </c>
      <c r="F5748" s="5"/>
      <c r="G5748" s="9">
        <f>H5748*(1-15%)*(1-F5748)</f>
        <v>92.649999999999991</v>
      </c>
      <c r="H5748" s="9">
        <v>109</v>
      </c>
      <c r="I5748" s="9">
        <f>H5748-G5748</f>
        <v>16.350000000000009</v>
      </c>
    </row>
    <row r="5749" ht="14.25">
      <c r="A5749" s="5">
        <v>59158</v>
      </c>
      <c r="B5749" s="7" t="s">
        <v>5844</v>
      </c>
      <c r="C5749" s="7" t="s">
        <v>5780</v>
      </c>
      <c r="D5749" s="7" t="s">
        <v>45</v>
      </c>
      <c r="E5749" s="5" t="s">
        <v>26</v>
      </c>
      <c r="F5749" s="5"/>
      <c r="G5749" s="9">
        <f>H5749*(1-15%)*(1-F5749)</f>
        <v>99.450000000000003</v>
      </c>
      <c r="H5749" s="9">
        <v>117</v>
      </c>
      <c r="I5749" s="9">
        <f>H5749-G5749</f>
        <v>17.549999999999997</v>
      </c>
    </row>
    <row r="5750" ht="14.25">
      <c r="A5750" s="5">
        <v>59256</v>
      </c>
      <c r="B5750" s="7" t="s">
        <v>5845</v>
      </c>
      <c r="C5750" s="7" t="s">
        <v>5780</v>
      </c>
      <c r="D5750" s="7" t="s">
        <v>103</v>
      </c>
      <c r="E5750" s="5" t="s">
        <v>26</v>
      </c>
      <c r="F5750" s="5"/>
      <c r="G5750" s="9">
        <f>H5750*(1-15%)*(1-F5750)</f>
        <v>67.149999999999991</v>
      </c>
      <c r="H5750" s="9">
        <v>79</v>
      </c>
      <c r="I5750" s="9">
        <f>H5750-G5750</f>
        <v>11.850000000000009</v>
      </c>
    </row>
    <row r="5751" ht="14.25">
      <c r="A5751" s="5">
        <v>82059</v>
      </c>
      <c r="B5751" s="7" t="s">
        <v>5846</v>
      </c>
      <c r="C5751" s="7" t="s">
        <v>5780</v>
      </c>
      <c r="D5751" s="7" t="s">
        <v>11</v>
      </c>
      <c r="E5751" s="5" t="s">
        <v>26</v>
      </c>
      <c r="F5751" s="5"/>
      <c r="G5751" s="9">
        <f>H5751*(1-15%)*(1-F5751)</f>
        <v>313.64999999999998</v>
      </c>
      <c r="H5751" s="9">
        <v>369</v>
      </c>
      <c r="I5751" s="9">
        <f>H5751-G5751</f>
        <v>55.350000000000023</v>
      </c>
    </row>
    <row r="5752" ht="14.25">
      <c r="A5752" s="5">
        <v>82060</v>
      </c>
      <c r="B5752" s="7" t="s">
        <v>5847</v>
      </c>
      <c r="C5752" s="7" t="s">
        <v>5780</v>
      </c>
      <c r="D5752" s="7" t="s">
        <v>11</v>
      </c>
      <c r="E5752" s="5" t="s">
        <v>26</v>
      </c>
      <c r="F5752" s="5"/>
      <c r="G5752" s="9">
        <f>H5752*(1-15%)*(1-F5752)</f>
        <v>313.64999999999998</v>
      </c>
      <c r="H5752" s="9">
        <v>369</v>
      </c>
      <c r="I5752" s="9">
        <f>H5752-G5752</f>
        <v>55.350000000000023</v>
      </c>
    </row>
    <row r="5753" ht="14.25">
      <c r="A5753" s="5">
        <v>82061</v>
      </c>
      <c r="B5753" s="7" t="s">
        <v>5848</v>
      </c>
      <c r="C5753" s="7" t="s">
        <v>5780</v>
      </c>
      <c r="D5753" s="7" t="s">
        <v>11</v>
      </c>
      <c r="E5753" s="5" t="s">
        <v>26</v>
      </c>
      <c r="F5753" s="5"/>
      <c r="G5753" s="9">
        <f>H5753*(1-15%)*(1-F5753)</f>
        <v>313.64999999999998</v>
      </c>
      <c r="H5753" s="9">
        <v>369</v>
      </c>
      <c r="I5753" s="9">
        <f>H5753-G5753</f>
        <v>55.350000000000023</v>
      </c>
    </row>
    <row r="5754" ht="14.25">
      <c r="A5754" s="5">
        <v>82062</v>
      </c>
      <c r="B5754" s="7" t="s">
        <v>5849</v>
      </c>
      <c r="C5754" s="7" t="s">
        <v>5780</v>
      </c>
      <c r="D5754" s="7" t="s">
        <v>11</v>
      </c>
      <c r="E5754" s="5" t="s">
        <v>43</v>
      </c>
      <c r="F5754" s="5"/>
      <c r="G5754" s="9">
        <f>H5754*(1-15%)*(1-F5754)</f>
        <v>313.64999999999998</v>
      </c>
      <c r="H5754" s="9">
        <v>369</v>
      </c>
      <c r="I5754" s="9">
        <f>H5754-G5754</f>
        <v>55.350000000000023</v>
      </c>
    </row>
    <row r="5755" ht="14.25">
      <c r="A5755" s="5">
        <v>82063</v>
      </c>
      <c r="B5755" s="7" t="s">
        <v>5850</v>
      </c>
      <c r="C5755" s="7" t="s">
        <v>5780</v>
      </c>
      <c r="D5755" s="7" t="s">
        <v>11</v>
      </c>
      <c r="E5755" s="5" t="s">
        <v>43</v>
      </c>
      <c r="F5755" s="5"/>
      <c r="G5755" s="9">
        <f>H5755*(1-15%)*(1-F5755)</f>
        <v>313.64999999999998</v>
      </c>
      <c r="H5755" s="9">
        <v>369</v>
      </c>
      <c r="I5755" s="9">
        <f>H5755-G5755</f>
        <v>55.350000000000023</v>
      </c>
    </row>
    <row r="5756" ht="14.25">
      <c r="A5756" s="5">
        <v>82064</v>
      </c>
      <c r="B5756" s="7" t="s">
        <v>5851</v>
      </c>
      <c r="C5756" s="7" t="s">
        <v>5780</v>
      </c>
      <c r="D5756" s="7" t="s">
        <v>11</v>
      </c>
      <c r="E5756" s="5" t="s">
        <v>43</v>
      </c>
      <c r="F5756" s="5"/>
      <c r="G5756" s="9">
        <f>H5756*(1-15%)*(1-F5756)</f>
        <v>313.64999999999998</v>
      </c>
      <c r="H5756" s="9">
        <v>369</v>
      </c>
      <c r="I5756" s="9">
        <f>H5756-G5756</f>
        <v>55.350000000000023</v>
      </c>
    </row>
    <row r="5757" ht="14.25">
      <c r="A5757" s="5">
        <v>82066</v>
      </c>
      <c r="B5757" s="7" t="s">
        <v>5852</v>
      </c>
      <c r="C5757" s="7" t="s">
        <v>5780</v>
      </c>
      <c r="D5757" s="7" t="s">
        <v>11</v>
      </c>
      <c r="E5757" s="5" t="s">
        <v>26</v>
      </c>
      <c r="F5757" s="5"/>
      <c r="G5757" s="9">
        <f>H5757*(1-15%)*(1-F5757)</f>
        <v>203.15000000000001</v>
      </c>
      <c r="H5757" s="9">
        <v>239</v>
      </c>
      <c r="I5757" s="9">
        <f>H5757-G5757</f>
        <v>35.849999999999994</v>
      </c>
    </row>
    <row r="5758" ht="14.25">
      <c r="A5758" s="5">
        <v>82067</v>
      </c>
      <c r="B5758" s="7" t="s">
        <v>5853</v>
      </c>
      <c r="C5758" s="7" t="s">
        <v>5780</v>
      </c>
      <c r="D5758" s="7" t="s">
        <v>11</v>
      </c>
      <c r="E5758" s="5" t="s">
        <v>26</v>
      </c>
      <c r="F5758" s="5"/>
      <c r="G5758" s="9">
        <f>H5758*(1-15%)*(1-F5758)</f>
        <v>220.15000000000001</v>
      </c>
      <c r="H5758" s="9">
        <v>259</v>
      </c>
      <c r="I5758" s="9">
        <f>H5758-G5758</f>
        <v>38.849999999999994</v>
      </c>
    </row>
    <row r="5759" ht="14.25">
      <c r="A5759" s="5">
        <v>82068</v>
      </c>
      <c r="B5759" s="7" t="s">
        <v>5854</v>
      </c>
      <c r="C5759" s="7" t="s">
        <v>5780</v>
      </c>
      <c r="D5759" s="7" t="s">
        <v>11</v>
      </c>
      <c r="E5759" s="5" t="s">
        <v>26</v>
      </c>
      <c r="F5759" s="5"/>
      <c r="G5759" s="9">
        <f>H5759*(1-15%)*(1-F5759)</f>
        <v>220.15000000000001</v>
      </c>
      <c r="H5759" s="9">
        <v>259</v>
      </c>
      <c r="I5759" s="9">
        <f>H5759-G5759</f>
        <v>38.849999999999994</v>
      </c>
    </row>
    <row r="5760" ht="14.25">
      <c r="A5760" s="5">
        <v>82069</v>
      </c>
      <c r="B5760" s="7" t="s">
        <v>5855</v>
      </c>
      <c r="C5760" s="7" t="s">
        <v>5780</v>
      </c>
      <c r="D5760" s="7" t="s">
        <v>11</v>
      </c>
      <c r="E5760" s="5" t="s">
        <v>43</v>
      </c>
      <c r="F5760" s="5"/>
      <c r="G5760" s="9">
        <f>H5760*(1-15%)*(1-F5760)</f>
        <v>220.15000000000001</v>
      </c>
      <c r="H5760" s="9">
        <v>259</v>
      </c>
      <c r="I5760" s="9">
        <f>H5760-G5760</f>
        <v>38.849999999999994</v>
      </c>
    </row>
    <row r="5761" ht="14.25">
      <c r="A5761" s="5">
        <v>82083</v>
      </c>
      <c r="B5761" s="7" t="s">
        <v>5856</v>
      </c>
      <c r="C5761" s="7" t="s">
        <v>5780</v>
      </c>
      <c r="D5761" s="7" t="s">
        <v>45</v>
      </c>
      <c r="E5761" s="5" t="s">
        <v>43</v>
      </c>
      <c r="F5761" s="5"/>
      <c r="G5761" s="9">
        <f>H5761*(1-15%)*(1-F5761)</f>
        <v>143.65000000000001</v>
      </c>
      <c r="H5761" s="9">
        <v>169</v>
      </c>
      <c r="I5761" s="9">
        <f>H5761-G5761</f>
        <v>25.349999999999994</v>
      </c>
    </row>
    <row r="5762" ht="14.25">
      <c r="A5762" s="5">
        <v>82084</v>
      </c>
      <c r="B5762" s="7" t="s">
        <v>5857</v>
      </c>
      <c r="C5762" s="7" t="s">
        <v>5780</v>
      </c>
      <c r="D5762" s="7" t="s">
        <v>45</v>
      </c>
      <c r="E5762" s="5" t="s">
        <v>39</v>
      </c>
      <c r="F5762" s="5"/>
      <c r="G5762" s="9">
        <f>H5762*(1-15%)*(1-F5762)</f>
        <v>92.649999999999991</v>
      </c>
      <c r="H5762" s="9">
        <v>109</v>
      </c>
      <c r="I5762" s="9">
        <f>H5762-G5762</f>
        <v>16.350000000000009</v>
      </c>
    </row>
    <row r="5763" ht="14.25">
      <c r="A5763" s="5">
        <v>82086</v>
      </c>
      <c r="B5763" s="7" t="s">
        <v>5858</v>
      </c>
      <c r="C5763" s="7" t="s">
        <v>5780</v>
      </c>
      <c r="D5763" s="7" t="s">
        <v>45</v>
      </c>
      <c r="E5763" s="5" t="s">
        <v>39</v>
      </c>
      <c r="F5763" s="5"/>
      <c r="G5763" s="9">
        <f>H5763*(1-15%)*(1-F5763)</f>
        <v>143.65000000000001</v>
      </c>
      <c r="H5763" s="9">
        <v>169</v>
      </c>
      <c r="I5763" s="9">
        <f>H5763-G5763</f>
        <v>25.349999999999994</v>
      </c>
    </row>
    <row r="5764" ht="14.25">
      <c r="A5764" s="5">
        <v>82091</v>
      </c>
      <c r="B5764" s="7" t="s">
        <v>5859</v>
      </c>
      <c r="C5764" s="7" t="s">
        <v>5780</v>
      </c>
      <c r="D5764" s="7" t="s">
        <v>45</v>
      </c>
      <c r="E5764" s="5" t="s">
        <v>43</v>
      </c>
      <c r="F5764" s="5"/>
      <c r="G5764" s="9">
        <f>H5764*(1-15%)*(1-F5764)</f>
        <v>105.39999999999999</v>
      </c>
      <c r="H5764" s="9">
        <v>124</v>
      </c>
      <c r="I5764" s="9">
        <f>H5764-G5764</f>
        <v>18.600000000000009</v>
      </c>
    </row>
    <row r="5765" ht="14.25">
      <c r="A5765" s="5">
        <v>82092</v>
      </c>
      <c r="B5765" s="7" t="s">
        <v>5860</v>
      </c>
      <c r="C5765" s="7" t="s">
        <v>5780</v>
      </c>
      <c r="D5765" s="7" t="s">
        <v>45</v>
      </c>
      <c r="E5765" s="5" t="s">
        <v>39</v>
      </c>
      <c r="F5765" s="5"/>
      <c r="G5765" s="9">
        <f>H5765*(1-15%)*(1-F5765)</f>
        <v>105.39999999999999</v>
      </c>
      <c r="H5765" s="9">
        <v>124</v>
      </c>
      <c r="I5765" s="9">
        <f>H5765-G5765</f>
        <v>18.600000000000009</v>
      </c>
    </row>
    <row r="5766" ht="14.25">
      <c r="A5766" s="5">
        <v>82093</v>
      </c>
      <c r="B5766" s="7" t="s">
        <v>5861</v>
      </c>
      <c r="C5766" s="7" t="s">
        <v>5780</v>
      </c>
      <c r="D5766" s="7" t="s">
        <v>45</v>
      </c>
      <c r="E5766" s="5" t="s">
        <v>39</v>
      </c>
      <c r="F5766" s="5"/>
      <c r="G5766" s="9">
        <f>H5766*(1-15%)*(1-F5766)</f>
        <v>41.649999999999999</v>
      </c>
      <c r="H5766" s="9">
        <v>49</v>
      </c>
      <c r="I5766" s="9">
        <f>H5766-G5766</f>
        <v>7.3500000000000014</v>
      </c>
    </row>
    <row r="5767" ht="14.25">
      <c r="A5767" s="5">
        <v>82094</v>
      </c>
      <c r="B5767" s="7" t="s">
        <v>5862</v>
      </c>
      <c r="C5767" s="7" t="s">
        <v>5780</v>
      </c>
      <c r="D5767" s="7" t="s">
        <v>45</v>
      </c>
      <c r="E5767" s="5" t="s">
        <v>26</v>
      </c>
      <c r="F5767" s="5"/>
      <c r="G5767" s="9">
        <f>H5767*(1-15%)*(1-F5767)</f>
        <v>41.649999999999999</v>
      </c>
      <c r="H5767" s="9">
        <v>49</v>
      </c>
      <c r="I5767" s="9">
        <f>H5767-G5767</f>
        <v>7.3500000000000014</v>
      </c>
    </row>
    <row r="5768" ht="14.25">
      <c r="A5768" s="5">
        <v>82097</v>
      </c>
      <c r="B5768" s="7" t="s">
        <v>5863</v>
      </c>
      <c r="C5768" s="7" t="s">
        <v>5780</v>
      </c>
      <c r="D5768" s="7" t="s">
        <v>103</v>
      </c>
      <c r="E5768" s="5" t="s">
        <v>39</v>
      </c>
      <c r="F5768" s="5"/>
      <c r="G5768" s="9">
        <f>H5768*(1-15%)*(1-F5768)</f>
        <v>58.649999999999999</v>
      </c>
      <c r="H5768" s="9">
        <v>69</v>
      </c>
      <c r="I5768" s="9">
        <f>H5768-G5768</f>
        <v>10.350000000000001</v>
      </c>
    </row>
    <row r="5769" ht="14.25">
      <c r="A5769" s="5">
        <v>82098</v>
      </c>
      <c r="B5769" s="7" t="s">
        <v>5864</v>
      </c>
      <c r="C5769" s="7" t="s">
        <v>5780</v>
      </c>
      <c r="D5769" s="7" t="s">
        <v>103</v>
      </c>
      <c r="E5769" s="5" t="s">
        <v>43</v>
      </c>
      <c r="F5769" s="5"/>
      <c r="G5769" s="9">
        <f>H5769*(1-15%)*(1-F5769)</f>
        <v>58.649999999999999</v>
      </c>
      <c r="H5769" s="9">
        <v>69</v>
      </c>
      <c r="I5769" s="9">
        <f>H5769-G5769</f>
        <v>10.350000000000001</v>
      </c>
    </row>
    <row r="5770" ht="14.25">
      <c r="A5770" s="5">
        <v>82099</v>
      </c>
      <c r="B5770" s="7" t="s">
        <v>5865</v>
      </c>
      <c r="C5770" s="7" t="s">
        <v>5780</v>
      </c>
      <c r="D5770" s="7" t="s">
        <v>103</v>
      </c>
      <c r="E5770" s="5" t="s">
        <v>43</v>
      </c>
      <c r="F5770" s="5"/>
      <c r="G5770" s="9">
        <f>H5770*(1-15%)*(1-F5770)</f>
        <v>101.14999999999999</v>
      </c>
      <c r="H5770" s="9">
        <v>119</v>
      </c>
      <c r="I5770" s="9">
        <f>H5770-G5770</f>
        <v>17.850000000000009</v>
      </c>
    </row>
    <row r="5771" ht="14.25">
      <c r="A5771" s="5">
        <v>82100</v>
      </c>
      <c r="B5771" s="7" t="s">
        <v>5866</v>
      </c>
      <c r="C5771" s="7" t="s">
        <v>5780</v>
      </c>
      <c r="D5771" s="7" t="s">
        <v>45</v>
      </c>
      <c r="E5771" s="5" t="s">
        <v>26</v>
      </c>
      <c r="F5771" s="5"/>
      <c r="G5771" s="9">
        <f>H5771*(1-15%)*(1-F5771)</f>
        <v>160.65000000000001</v>
      </c>
      <c r="H5771" s="9">
        <v>189</v>
      </c>
      <c r="I5771" s="9">
        <f>H5771-G5771</f>
        <v>28.349999999999994</v>
      </c>
    </row>
    <row r="5772" ht="14.25">
      <c r="A5772" s="5">
        <v>82101</v>
      </c>
      <c r="B5772" s="7" t="s">
        <v>5867</v>
      </c>
      <c r="C5772" s="7" t="s">
        <v>5780</v>
      </c>
      <c r="D5772" s="7" t="s">
        <v>583</v>
      </c>
      <c r="E5772" s="5" t="s">
        <v>39</v>
      </c>
      <c r="F5772" s="5"/>
      <c r="G5772" s="9">
        <f>H5772*(1-15%)*(1-F5772)</f>
        <v>160.65000000000001</v>
      </c>
      <c r="H5772" s="9">
        <v>189</v>
      </c>
      <c r="I5772" s="9">
        <f>H5772-G5772</f>
        <v>28.349999999999994</v>
      </c>
    </row>
    <row r="5773" ht="14.25">
      <c r="A5773" s="5">
        <v>82102</v>
      </c>
      <c r="B5773" s="7" t="s">
        <v>5868</v>
      </c>
      <c r="C5773" s="7" t="s">
        <v>5780</v>
      </c>
      <c r="D5773" s="7" t="s">
        <v>110</v>
      </c>
      <c r="E5773" s="5" t="s">
        <v>26</v>
      </c>
      <c r="F5773" s="5"/>
      <c r="G5773" s="9">
        <f>H5773*(1-15%)*(1-F5773)</f>
        <v>70.465000000000003</v>
      </c>
      <c r="H5773" s="9">
        <v>82.900000000000006</v>
      </c>
      <c r="I5773" s="9">
        <f>H5773-G5773</f>
        <v>12.435000000000002</v>
      </c>
    </row>
    <row r="5774" ht="14.25">
      <c r="A5774" s="5">
        <v>82149</v>
      </c>
      <c r="B5774" s="7" t="s">
        <v>5869</v>
      </c>
      <c r="C5774" s="7" t="s">
        <v>5780</v>
      </c>
      <c r="D5774" s="7" t="s">
        <v>61</v>
      </c>
      <c r="E5774" s="5" t="s">
        <v>26</v>
      </c>
      <c r="F5774" s="5"/>
      <c r="G5774" s="9">
        <f>H5774*(1-15%)*(1-F5774)</f>
        <v>92.649999999999991</v>
      </c>
      <c r="H5774" s="9">
        <v>109</v>
      </c>
      <c r="I5774" s="9">
        <f>H5774-G5774</f>
        <v>16.350000000000009</v>
      </c>
    </row>
    <row r="5775" ht="14.25">
      <c r="A5775" s="5">
        <v>83085</v>
      </c>
      <c r="B5775" s="7" t="s">
        <v>5870</v>
      </c>
      <c r="C5775" s="7" t="s">
        <v>5780</v>
      </c>
      <c r="D5775" s="7" t="s">
        <v>11</v>
      </c>
      <c r="E5775" s="5" t="s">
        <v>26</v>
      </c>
      <c r="F5775" s="5"/>
      <c r="G5775" s="9">
        <f>H5775*(1-15%)*(1-F5775)</f>
        <v>313.64999999999998</v>
      </c>
      <c r="H5775" s="9">
        <v>369</v>
      </c>
      <c r="I5775" s="9">
        <f>H5775-G5775</f>
        <v>55.350000000000023</v>
      </c>
    </row>
    <row r="5776" ht="14.25">
      <c r="A5776" s="5">
        <v>83823</v>
      </c>
      <c r="B5776" s="7" t="s">
        <v>5871</v>
      </c>
      <c r="C5776" s="7" t="s">
        <v>5780</v>
      </c>
      <c r="D5776" s="7" t="s">
        <v>45</v>
      </c>
      <c r="E5776" s="5" t="s">
        <v>26</v>
      </c>
      <c r="F5776" s="5"/>
      <c r="G5776" s="9">
        <f>H5776*(1-15%)*(1-F5776)</f>
        <v>105.39999999999999</v>
      </c>
      <c r="H5776" s="9">
        <v>124</v>
      </c>
      <c r="I5776" s="9">
        <f>H5776-G5776</f>
        <v>18.600000000000009</v>
      </c>
    </row>
    <row r="5777" ht="14.25">
      <c r="A5777" s="5">
        <v>83824</v>
      </c>
      <c r="B5777" s="7" t="s">
        <v>5872</v>
      </c>
      <c r="C5777" s="7" t="s">
        <v>5780</v>
      </c>
      <c r="D5777" s="7" t="s">
        <v>45</v>
      </c>
      <c r="E5777" s="5" t="s">
        <v>43</v>
      </c>
      <c r="F5777" s="5"/>
      <c r="G5777" s="9">
        <f>H5777*(1-15%)*(1-F5777)</f>
        <v>105.39999999999999</v>
      </c>
      <c r="H5777" s="9">
        <v>124</v>
      </c>
      <c r="I5777" s="9">
        <f>H5777-G5777</f>
        <v>18.600000000000009</v>
      </c>
    </row>
    <row r="5778" ht="14.25">
      <c r="A5778" s="5">
        <v>83836</v>
      </c>
      <c r="B5778" s="7" t="s">
        <v>5873</v>
      </c>
      <c r="C5778" s="7" t="s">
        <v>5780</v>
      </c>
      <c r="D5778" s="7" t="s">
        <v>45</v>
      </c>
      <c r="E5778" s="5" t="s">
        <v>43</v>
      </c>
      <c r="F5778" s="5"/>
      <c r="G5778" s="9">
        <f>H5778*(1-15%)*(1-F5778)</f>
        <v>143.65000000000001</v>
      </c>
      <c r="H5778" s="9">
        <v>169</v>
      </c>
      <c r="I5778" s="9">
        <f>H5778-G5778</f>
        <v>25.349999999999994</v>
      </c>
    </row>
    <row r="5779" ht="14.25">
      <c r="A5779" s="5">
        <v>83837</v>
      </c>
      <c r="B5779" s="7" t="s">
        <v>5874</v>
      </c>
      <c r="C5779" s="7" t="s">
        <v>5780</v>
      </c>
      <c r="D5779" s="7" t="s">
        <v>45</v>
      </c>
      <c r="E5779" s="5" t="s">
        <v>43</v>
      </c>
      <c r="F5779" s="5"/>
      <c r="G5779" s="9">
        <f>H5779*(1-15%)*(1-F5779)</f>
        <v>143.65000000000001</v>
      </c>
      <c r="H5779" s="9">
        <v>169</v>
      </c>
      <c r="I5779" s="9">
        <f>H5779-G5779</f>
        <v>25.349999999999994</v>
      </c>
    </row>
    <row r="5780" ht="14.25">
      <c r="A5780" s="5">
        <v>83838</v>
      </c>
      <c r="B5780" s="7" t="s">
        <v>5875</v>
      </c>
      <c r="C5780" s="7" t="s">
        <v>5780</v>
      </c>
      <c r="D5780" s="7" t="s">
        <v>11</v>
      </c>
      <c r="E5780" s="5" t="s">
        <v>26</v>
      </c>
      <c r="F5780" s="5"/>
      <c r="G5780" s="9">
        <f>H5780*(1-15%)*(1-F5780)</f>
        <v>169.15000000000001</v>
      </c>
      <c r="H5780" s="9">
        <v>199</v>
      </c>
      <c r="I5780" s="9">
        <f>H5780-G5780</f>
        <v>29.849999999999994</v>
      </c>
    </row>
    <row r="5781" ht="14.25">
      <c r="A5781" s="5">
        <v>83839</v>
      </c>
      <c r="B5781" s="7" t="s">
        <v>5876</v>
      </c>
      <c r="C5781" s="7" t="s">
        <v>5780</v>
      </c>
      <c r="D5781" s="7" t="s">
        <v>11</v>
      </c>
      <c r="E5781" s="5" t="s">
        <v>26</v>
      </c>
      <c r="F5781" s="5"/>
      <c r="G5781" s="9">
        <f>H5781*(1-15%)*(1-F5781)</f>
        <v>169.15000000000001</v>
      </c>
      <c r="H5781" s="9">
        <v>199</v>
      </c>
      <c r="I5781" s="9">
        <f>H5781-G5781</f>
        <v>29.849999999999994</v>
      </c>
    </row>
    <row r="5782" ht="14.25">
      <c r="A5782" s="5">
        <v>83840</v>
      </c>
      <c r="B5782" s="7" t="s">
        <v>5877</v>
      </c>
      <c r="C5782" s="7" t="s">
        <v>5780</v>
      </c>
      <c r="D5782" s="7" t="s">
        <v>11</v>
      </c>
      <c r="E5782" s="5" t="s">
        <v>43</v>
      </c>
      <c r="F5782" s="5"/>
      <c r="G5782" s="9">
        <f>H5782*(1-15%)*(1-F5782)</f>
        <v>169.15000000000001</v>
      </c>
      <c r="H5782" s="9">
        <v>199</v>
      </c>
      <c r="I5782" s="9">
        <f>H5782-G5782</f>
        <v>29.849999999999994</v>
      </c>
    </row>
    <row r="5783" ht="14.25">
      <c r="A5783" s="5">
        <v>83841</v>
      </c>
      <c r="B5783" s="7" t="s">
        <v>5878</v>
      </c>
      <c r="C5783" s="7" t="s">
        <v>5780</v>
      </c>
      <c r="D5783" s="7" t="s">
        <v>11</v>
      </c>
      <c r="E5783" s="5" t="s">
        <v>43</v>
      </c>
      <c r="F5783" s="5"/>
      <c r="G5783" s="9">
        <f>H5783*(1-15%)*(1-F5783)</f>
        <v>169.15000000000001</v>
      </c>
      <c r="H5783" s="9">
        <v>199</v>
      </c>
      <c r="I5783" s="9">
        <f>H5783-G5783</f>
        <v>29.849999999999994</v>
      </c>
    </row>
    <row r="5784" ht="14.25">
      <c r="A5784" s="5">
        <v>83842</v>
      </c>
      <c r="B5784" s="7" t="s">
        <v>5879</v>
      </c>
      <c r="C5784" s="7" t="s">
        <v>5780</v>
      </c>
      <c r="D5784" s="7" t="s">
        <v>11</v>
      </c>
      <c r="E5784" s="5" t="s">
        <v>43</v>
      </c>
      <c r="F5784" s="5"/>
      <c r="G5784" s="9">
        <f>H5784*(1-15%)*(1-F5784)</f>
        <v>169.15000000000001</v>
      </c>
      <c r="H5784" s="9">
        <v>199</v>
      </c>
      <c r="I5784" s="9">
        <f>H5784-G5784</f>
        <v>29.849999999999994</v>
      </c>
    </row>
    <row r="5785" ht="14.25">
      <c r="A5785" s="5">
        <v>83843</v>
      </c>
      <c r="B5785" s="7" t="s">
        <v>5880</v>
      </c>
      <c r="C5785" s="7" t="s">
        <v>5780</v>
      </c>
      <c r="D5785" s="7" t="s">
        <v>11</v>
      </c>
      <c r="E5785" s="5" t="s">
        <v>43</v>
      </c>
      <c r="F5785" s="5"/>
      <c r="G5785" s="9">
        <f>H5785*(1-15%)*(1-F5785)</f>
        <v>169.15000000000001</v>
      </c>
      <c r="H5785" s="9">
        <v>199</v>
      </c>
      <c r="I5785" s="9">
        <f>H5785-G5785</f>
        <v>29.849999999999994</v>
      </c>
    </row>
    <row r="5786" ht="14.25">
      <c r="A5786" s="5">
        <v>83844</v>
      </c>
      <c r="B5786" s="7" t="s">
        <v>5881</v>
      </c>
      <c r="C5786" s="7" t="s">
        <v>5780</v>
      </c>
      <c r="D5786" s="7" t="s">
        <v>11</v>
      </c>
      <c r="E5786" s="5" t="s">
        <v>43</v>
      </c>
      <c r="F5786" s="5"/>
      <c r="G5786" s="9">
        <f>H5786*(1-15%)*(1-F5786)</f>
        <v>313.64999999999998</v>
      </c>
      <c r="H5786" s="9">
        <v>369</v>
      </c>
      <c r="I5786" s="9">
        <f>H5786-G5786</f>
        <v>55.350000000000023</v>
      </c>
    </row>
    <row r="5787" ht="14.25">
      <c r="A5787" s="5">
        <v>83845</v>
      </c>
      <c r="B5787" s="7" t="s">
        <v>5882</v>
      </c>
      <c r="C5787" s="7" t="s">
        <v>5780</v>
      </c>
      <c r="D5787" s="7" t="s">
        <v>11</v>
      </c>
      <c r="E5787" s="5" t="s">
        <v>43</v>
      </c>
      <c r="F5787" s="5"/>
      <c r="G5787" s="9">
        <f>H5787*(1-15%)*(1-F5787)</f>
        <v>313.64999999999998</v>
      </c>
      <c r="H5787" s="9">
        <v>369</v>
      </c>
      <c r="I5787" s="9">
        <f>H5787-G5787</f>
        <v>55.350000000000023</v>
      </c>
    </row>
    <row r="5788" ht="14.25">
      <c r="A5788" s="5">
        <v>83847</v>
      </c>
      <c r="B5788" s="7" t="s">
        <v>5883</v>
      </c>
      <c r="C5788" s="7" t="s">
        <v>5780</v>
      </c>
      <c r="D5788" s="7" t="s">
        <v>11</v>
      </c>
      <c r="E5788" s="5" t="s">
        <v>39</v>
      </c>
      <c r="F5788" s="5"/>
      <c r="G5788" s="9">
        <f>H5788*(1-15%)*(1-F5788)</f>
        <v>169.15000000000001</v>
      </c>
      <c r="H5788" s="9">
        <v>199</v>
      </c>
      <c r="I5788" s="9">
        <f>H5788-G5788</f>
        <v>29.849999999999994</v>
      </c>
    </row>
    <row r="5789" ht="14.25">
      <c r="A5789" s="5">
        <v>83851</v>
      </c>
      <c r="B5789" s="7" t="s">
        <v>5884</v>
      </c>
      <c r="C5789" s="7" t="s">
        <v>5780</v>
      </c>
      <c r="D5789" s="7" t="s">
        <v>45</v>
      </c>
      <c r="E5789" s="5" t="s">
        <v>43</v>
      </c>
      <c r="F5789" s="5"/>
      <c r="G5789" s="9">
        <f>H5789*(1-15%)*(1-F5789)</f>
        <v>41.649999999999999</v>
      </c>
      <c r="H5789" s="9">
        <v>49</v>
      </c>
      <c r="I5789" s="9">
        <f>H5789-G5789</f>
        <v>7.3500000000000014</v>
      </c>
    </row>
    <row r="5790" ht="14.25">
      <c r="A5790" s="5">
        <v>84454</v>
      </c>
      <c r="B5790" s="7" t="s">
        <v>5885</v>
      </c>
      <c r="C5790" s="7" t="s">
        <v>5780</v>
      </c>
      <c r="D5790" s="7" t="s">
        <v>103</v>
      </c>
      <c r="E5790" s="5" t="s">
        <v>26</v>
      </c>
      <c r="F5790" s="5"/>
      <c r="G5790" s="9">
        <f>H5790*(1-15%)*(1-F5790)</f>
        <v>58.649999999999999</v>
      </c>
      <c r="H5790" s="9">
        <v>69</v>
      </c>
      <c r="I5790" s="9">
        <f>H5790-G5790</f>
        <v>10.350000000000001</v>
      </c>
    </row>
    <row r="5791" ht="14.25">
      <c r="A5791" s="5">
        <v>85826</v>
      </c>
      <c r="B5791" s="7" t="s">
        <v>5886</v>
      </c>
      <c r="C5791" s="7" t="s">
        <v>5780</v>
      </c>
      <c r="D5791" s="7" t="s">
        <v>11</v>
      </c>
      <c r="E5791" s="5" t="s">
        <v>26</v>
      </c>
      <c r="F5791" s="5"/>
      <c r="G5791" s="9">
        <f>H5791*(1-15%)*(1-F5791)</f>
        <v>313.64999999999998</v>
      </c>
      <c r="H5791" s="9">
        <v>369</v>
      </c>
      <c r="I5791" s="9">
        <f>H5791-G5791</f>
        <v>55.350000000000023</v>
      </c>
    </row>
    <row r="5792" ht="14.25">
      <c r="A5792" s="5">
        <v>85827</v>
      </c>
      <c r="B5792" s="7" t="s">
        <v>5887</v>
      </c>
      <c r="C5792" s="7" t="s">
        <v>5780</v>
      </c>
      <c r="D5792" s="7" t="s">
        <v>11</v>
      </c>
      <c r="E5792" s="5" t="s">
        <v>43</v>
      </c>
      <c r="F5792" s="5"/>
      <c r="G5792" s="9">
        <f>H5792*(1-15%)*(1-F5792)</f>
        <v>313.64999999999998</v>
      </c>
      <c r="H5792" s="9">
        <v>369</v>
      </c>
      <c r="I5792" s="9">
        <f>H5792-G5792</f>
        <v>55.350000000000023</v>
      </c>
    </row>
    <row r="5793" ht="14.25">
      <c r="A5793" s="5">
        <v>85828</v>
      </c>
      <c r="B5793" s="7" t="s">
        <v>5888</v>
      </c>
      <c r="C5793" s="7" t="s">
        <v>5780</v>
      </c>
      <c r="D5793" s="7" t="s">
        <v>11</v>
      </c>
      <c r="E5793" s="5" t="s">
        <v>43</v>
      </c>
      <c r="F5793" s="5"/>
      <c r="G5793" s="9">
        <f>H5793*(1-15%)*(1-F5793)</f>
        <v>313.64999999999998</v>
      </c>
      <c r="H5793" s="9">
        <v>369</v>
      </c>
      <c r="I5793" s="9">
        <f>H5793-G5793</f>
        <v>55.350000000000023</v>
      </c>
    </row>
    <row r="5794" ht="14.25">
      <c r="A5794" s="5">
        <v>85829</v>
      </c>
      <c r="B5794" s="7" t="s">
        <v>5889</v>
      </c>
      <c r="C5794" s="7" t="s">
        <v>5780</v>
      </c>
      <c r="D5794" s="7" t="s">
        <v>11</v>
      </c>
      <c r="E5794" s="5" t="s">
        <v>43</v>
      </c>
      <c r="F5794" s="5"/>
      <c r="G5794" s="9">
        <f>H5794*(1-15%)*(1-F5794)</f>
        <v>313.64999999999998</v>
      </c>
      <c r="H5794" s="9">
        <v>369</v>
      </c>
      <c r="I5794" s="9">
        <f>H5794-G5794</f>
        <v>55.350000000000023</v>
      </c>
    </row>
    <row r="5795" ht="14.25">
      <c r="A5795" s="5">
        <v>87447</v>
      </c>
      <c r="B5795" s="7" t="s">
        <v>5890</v>
      </c>
      <c r="C5795" s="7" t="s">
        <v>5780</v>
      </c>
      <c r="D5795" s="7" t="s">
        <v>183</v>
      </c>
      <c r="E5795" s="5" t="s">
        <v>43</v>
      </c>
      <c r="F5795" s="5"/>
      <c r="G5795" s="9">
        <f>H5795*(1-15%)*(1-F5795)</f>
        <v>84.149999999999991</v>
      </c>
      <c r="H5795" s="9">
        <v>99</v>
      </c>
      <c r="I5795" s="9">
        <f>H5795-G5795</f>
        <v>14.850000000000009</v>
      </c>
    </row>
    <row r="5796" ht="14.25">
      <c r="A5796" s="5">
        <v>86327</v>
      </c>
      <c r="B5796" s="7" t="s">
        <v>5891</v>
      </c>
      <c r="C5796" s="7" t="s">
        <v>5780</v>
      </c>
      <c r="D5796" s="7" t="s">
        <v>61</v>
      </c>
      <c r="E5796" s="5" t="s">
        <v>26</v>
      </c>
      <c r="F5796" s="5"/>
      <c r="G5796" s="9">
        <f>H5796*(1-15%)*(1-F5796)</f>
        <v>92.649999999999991</v>
      </c>
      <c r="H5796" s="9">
        <v>109</v>
      </c>
      <c r="I5796" s="9">
        <f>H5796-G5796</f>
        <v>16.350000000000009</v>
      </c>
    </row>
    <row r="5797" ht="14.25">
      <c r="A5797" s="5">
        <v>79360</v>
      </c>
      <c r="B5797" s="7" t="s">
        <v>5892</v>
      </c>
      <c r="C5797" s="7" t="s">
        <v>5780</v>
      </c>
      <c r="D5797" s="7" t="s">
        <v>61</v>
      </c>
      <c r="E5797" s="5" t="s">
        <v>43</v>
      </c>
      <c r="F5797" s="5"/>
      <c r="G5797" s="9">
        <f>H5797*(1-15%)*(1-F5797)</f>
        <v>424.14999999999998</v>
      </c>
      <c r="H5797" s="9">
        <v>499</v>
      </c>
      <c r="I5797" s="9">
        <f>H5797-G5797</f>
        <v>74.850000000000023</v>
      </c>
    </row>
    <row r="5798" ht="14.25">
      <c r="A5798" s="5">
        <v>85605</v>
      </c>
      <c r="B5798" s="7" t="s">
        <v>5893</v>
      </c>
      <c r="C5798" s="7" t="s">
        <v>5780</v>
      </c>
      <c r="D5798" s="7" t="s">
        <v>61</v>
      </c>
      <c r="E5798" s="5" t="s">
        <v>43</v>
      </c>
      <c r="F5798" s="5"/>
      <c r="G5798" s="9">
        <f>H5798*(1-15%)*(1-F5798)</f>
        <v>376.55000000000001</v>
      </c>
      <c r="H5798" s="9">
        <v>443</v>
      </c>
      <c r="I5798" s="9">
        <f>H5798-G5798</f>
        <v>66.449999999999989</v>
      </c>
    </row>
    <row r="5799" ht="14.25">
      <c r="A5799" s="15">
        <v>88219</v>
      </c>
      <c r="B5799" s="7" t="s">
        <v>5894</v>
      </c>
      <c r="C5799" s="7" t="s">
        <v>5780</v>
      </c>
      <c r="D5799" s="7" t="s">
        <v>45</v>
      </c>
      <c r="E5799" s="5" t="s">
        <v>43</v>
      </c>
      <c r="F5799" s="5"/>
      <c r="G5799" s="9">
        <f>H5799*(1-15%)*(1-F5799)</f>
        <v>105.39999999999999</v>
      </c>
      <c r="H5799" s="9">
        <v>124</v>
      </c>
      <c r="I5799" s="9">
        <f>H5799-G5799</f>
        <v>18.600000000000009</v>
      </c>
    </row>
    <row r="5800" ht="14.25">
      <c r="A5800" s="15">
        <v>86148</v>
      </c>
      <c r="B5800" s="7" t="s">
        <v>5895</v>
      </c>
      <c r="C5800" s="7" t="s">
        <v>5780</v>
      </c>
      <c r="D5800" s="7" t="s">
        <v>11</v>
      </c>
      <c r="E5800" s="5" t="s">
        <v>43</v>
      </c>
      <c r="F5800" s="5"/>
      <c r="G5800" s="9">
        <f>H5800*(1-15%)*(1-F5800)</f>
        <v>220.15000000000001</v>
      </c>
      <c r="H5800" s="9">
        <v>259</v>
      </c>
      <c r="I5800" s="9">
        <f>H5800-G5800</f>
        <v>38.849999999999994</v>
      </c>
    </row>
    <row r="5801" ht="14.25">
      <c r="A5801" s="5"/>
      <c r="B5801" s="7"/>
      <c r="C5801" s="7"/>
      <c r="D5801" s="7"/>
      <c r="E5801" s="5"/>
      <c r="F5801" s="5"/>
      <c r="G5801" s="9"/>
      <c r="H5801" s="9"/>
      <c r="I5801" s="9"/>
    </row>
    <row r="5802" ht="14.25">
      <c r="A5802" s="5"/>
      <c r="B5802" s="7"/>
      <c r="C5802" s="7"/>
      <c r="D5802" s="7"/>
      <c r="E5802" s="5"/>
      <c r="F5802" s="5"/>
      <c r="G5802" s="9"/>
      <c r="H5802" s="9"/>
      <c r="I5802" s="9"/>
    </row>
    <row r="5803" ht="14.25">
      <c r="A5803" s="5"/>
      <c r="B5803" s="7"/>
      <c r="C5803" s="7"/>
      <c r="D5803" s="7"/>
      <c r="E5803" s="5"/>
      <c r="F5803" s="5"/>
      <c r="G5803" s="9"/>
      <c r="H5803" s="9"/>
      <c r="I5803" s="9"/>
    </row>
    <row r="5804" ht="14.25">
      <c r="A5804" s="5"/>
      <c r="B5804" s="7"/>
      <c r="C5804" s="7"/>
      <c r="D5804" s="7"/>
      <c r="E5804" s="5"/>
      <c r="F5804" s="5"/>
      <c r="G5804" s="9"/>
      <c r="H5804" s="9"/>
      <c r="I5804" s="9"/>
    </row>
    <row r="5805" ht="14.25">
      <c r="A5805" s="5"/>
      <c r="B5805" s="7"/>
      <c r="C5805" s="7"/>
      <c r="D5805" s="7"/>
      <c r="E5805" s="5"/>
      <c r="F5805" s="5"/>
      <c r="G5805" s="9"/>
      <c r="H5805" s="9"/>
      <c r="I5805" s="9"/>
    </row>
    <row r="5806" ht="14.25">
      <c r="A5806" s="5"/>
      <c r="B5806" s="7"/>
      <c r="C5806" s="7"/>
      <c r="D5806" s="7"/>
      <c r="E5806" s="5"/>
      <c r="F5806" s="5"/>
      <c r="G5806" s="9"/>
      <c r="H5806" s="9"/>
      <c r="I5806" s="9"/>
    </row>
    <row r="5807" ht="14.25">
      <c r="A5807" s="5"/>
      <c r="B5807" s="7"/>
      <c r="C5807" s="7"/>
      <c r="D5807" s="7"/>
      <c r="E5807" s="5"/>
      <c r="F5807" s="5"/>
      <c r="G5807" s="9"/>
      <c r="H5807" s="9"/>
      <c r="I5807" s="9"/>
    </row>
    <row r="5808" ht="14.25">
      <c r="A5808" s="5"/>
      <c r="B5808" s="7"/>
      <c r="C5808" s="7"/>
      <c r="D5808" s="7"/>
      <c r="E5808" s="5"/>
      <c r="F5808" s="5"/>
      <c r="G5808" s="9"/>
      <c r="H5808" s="9"/>
      <c r="I5808" s="9"/>
    </row>
    <row r="5809" ht="14.25">
      <c r="A5809" s="5"/>
      <c r="B5809" s="7"/>
      <c r="C5809" s="7"/>
      <c r="D5809" s="7"/>
      <c r="E5809" s="5"/>
      <c r="F5809" s="5"/>
      <c r="G5809" s="9"/>
      <c r="H5809" s="9"/>
      <c r="I5809" s="9"/>
    </row>
    <row r="5810" ht="14.25">
      <c r="A5810" s="5"/>
      <c r="B5810" s="7"/>
      <c r="C5810" s="7"/>
      <c r="D5810" s="7"/>
      <c r="E5810" s="5"/>
      <c r="F5810" s="5"/>
      <c r="G5810" s="9"/>
      <c r="H5810" s="9"/>
      <c r="I5810" s="9"/>
    </row>
    <row r="5811" ht="14.25">
      <c r="A5811" s="5"/>
      <c r="B5811" s="7"/>
      <c r="C5811" s="7"/>
      <c r="D5811" s="7"/>
      <c r="E5811" s="5"/>
      <c r="F5811" s="5"/>
      <c r="G5811" s="9"/>
      <c r="H5811" s="9"/>
      <c r="I5811" s="9"/>
    </row>
    <row r="5812" ht="14.25">
      <c r="A5812" s="5"/>
      <c r="B5812" s="7"/>
      <c r="C5812" s="7"/>
      <c r="D5812" s="7"/>
      <c r="E5812" s="5"/>
      <c r="F5812" s="5"/>
      <c r="G5812" s="9"/>
      <c r="H5812" s="9"/>
      <c r="I5812" s="9"/>
    </row>
    <row r="5813" ht="14.25">
      <c r="A5813" s="5"/>
      <c r="B5813" s="7"/>
      <c r="C5813" s="7"/>
      <c r="D5813" s="7"/>
      <c r="E5813" s="5"/>
      <c r="F5813" s="5"/>
      <c r="G5813" s="9"/>
      <c r="H5813" s="9"/>
      <c r="I5813" s="9"/>
    </row>
    <row r="5814" ht="14.25">
      <c r="A5814" s="5"/>
      <c r="B5814" s="7"/>
      <c r="C5814" s="7"/>
      <c r="D5814" s="7"/>
      <c r="E5814" s="5"/>
      <c r="F5814" s="5"/>
      <c r="G5814" s="9"/>
      <c r="H5814" s="9"/>
      <c r="I5814" s="9"/>
    </row>
    <row r="5815" ht="14.25">
      <c r="A5815" s="5"/>
      <c r="B5815" s="7"/>
      <c r="C5815" s="7"/>
      <c r="D5815" s="7"/>
      <c r="E5815" s="5"/>
      <c r="F5815" s="5"/>
      <c r="G5815" s="9"/>
      <c r="H5815" s="9"/>
      <c r="I5815" s="9"/>
    </row>
    <row r="5816" ht="14.25">
      <c r="A5816" s="5"/>
      <c r="B5816" s="7"/>
      <c r="C5816" s="7"/>
      <c r="D5816" s="7"/>
      <c r="E5816" s="5"/>
      <c r="F5816" s="5"/>
      <c r="G5816" s="9"/>
      <c r="H5816" s="9"/>
      <c r="I5816" s="9"/>
    </row>
    <row r="5817" ht="14.25">
      <c r="A5817" s="5"/>
      <c r="B5817" s="7"/>
      <c r="C5817" s="7"/>
      <c r="D5817" s="7"/>
      <c r="E5817" s="5"/>
      <c r="F5817" s="5"/>
      <c r="G5817" s="9"/>
      <c r="H5817" s="9"/>
      <c r="I5817" s="9"/>
    </row>
    <row r="5818" ht="14.25">
      <c r="A5818" s="5"/>
      <c r="B5818" s="7"/>
      <c r="C5818" s="7"/>
      <c r="D5818" s="7"/>
      <c r="E5818" s="5"/>
      <c r="F5818" s="5"/>
      <c r="G5818" s="9"/>
      <c r="H5818" s="9"/>
      <c r="I5818" s="9"/>
    </row>
    <row r="5819" ht="14.25">
      <c r="A5819" s="5"/>
      <c r="B5819" s="7"/>
      <c r="C5819" s="7"/>
      <c r="D5819" s="7"/>
      <c r="E5819" s="5"/>
      <c r="F5819" s="5"/>
      <c r="G5819" s="9"/>
      <c r="H5819" s="9"/>
      <c r="I5819" s="9"/>
    </row>
    <row r="5820" ht="14.25">
      <c r="A5820" s="5"/>
      <c r="B5820" s="7"/>
      <c r="C5820" s="7"/>
      <c r="D5820" s="7"/>
      <c r="E5820" s="5"/>
      <c r="F5820" s="5"/>
      <c r="G5820" s="9"/>
      <c r="H5820" s="9"/>
      <c r="I5820" s="9"/>
    </row>
    <row r="5821" ht="14.25">
      <c r="A5821" s="5"/>
      <c r="B5821" s="7"/>
      <c r="C5821" s="7"/>
      <c r="D5821" s="7"/>
      <c r="E5821" s="5"/>
      <c r="F5821" s="5"/>
      <c r="G5821" s="9"/>
      <c r="H5821" s="9"/>
      <c r="I5821" s="9"/>
    </row>
    <row r="5822" ht="14.25">
      <c r="A5822" s="5"/>
      <c r="B5822" s="7"/>
      <c r="C5822" s="7"/>
      <c r="D5822" s="7"/>
      <c r="E5822" s="5"/>
      <c r="F5822" s="5"/>
      <c r="G5822" s="9"/>
      <c r="H5822" s="9"/>
      <c r="I5822" s="9"/>
    </row>
    <row r="5823" ht="14.25">
      <c r="A5823" s="5"/>
      <c r="B5823" s="7"/>
      <c r="C5823" s="7"/>
      <c r="D5823" s="7"/>
      <c r="E5823" s="5"/>
      <c r="F5823" s="5"/>
      <c r="G5823" s="9"/>
      <c r="H5823" s="9"/>
      <c r="I5823" s="9"/>
    </row>
    <row r="5824" ht="14.25">
      <c r="A5824" s="5"/>
      <c r="B5824" s="7"/>
      <c r="C5824" s="7"/>
      <c r="D5824" s="7"/>
      <c r="E5824" s="5"/>
      <c r="F5824" s="5"/>
      <c r="G5824" s="9"/>
      <c r="H5824" s="9"/>
      <c r="I5824" s="9"/>
    </row>
    <row r="5825" ht="14.25">
      <c r="A5825" s="5"/>
      <c r="B5825" s="7"/>
      <c r="C5825" s="7"/>
      <c r="D5825" s="7"/>
      <c r="E5825" s="5"/>
      <c r="F5825" s="5"/>
      <c r="G5825" s="9"/>
      <c r="H5825" s="9"/>
      <c r="I5825" s="9"/>
    </row>
    <row r="5826" ht="14.25">
      <c r="A5826" s="5"/>
      <c r="B5826" s="7"/>
      <c r="C5826" s="7"/>
      <c r="D5826" s="7"/>
      <c r="E5826" s="5"/>
      <c r="F5826" s="5"/>
      <c r="G5826" s="9"/>
      <c r="H5826" s="9"/>
      <c r="I5826" s="9"/>
    </row>
    <row r="5827" ht="14.25">
      <c r="A5827" s="5"/>
      <c r="B5827" s="7"/>
      <c r="C5827" s="7"/>
      <c r="D5827" s="7"/>
      <c r="E5827" s="5"/>
      <c r="F5827" s="5"/>
      <c r="G5827" s="9"/>
      <c r="H5827" s="9"/>
      <c r="I5827" s="9"/>
    </row>
    <row r="5828" ht="14.25">
      <c r="A5828" s="5"/>
      <c r="B5828" s="7"/>
      <c r="C5828" s="7"/>
      <c r="D5828" s="7"/>
      <c r="E5828" s="5"/>
      <c r="F5828" s="5"/>
      <c r="G5828" s="9"/>
      <c r="H5828" s="9"/>
      <c r="I5828" s="9"/>
    </row>
    <row r="5829" ht="14.25">
      <c r="A5829" s="5"/>
      <c r="B5829" s="7"/>
      <c r="C5829" s="7"/>
      <c r="D5829" s="7"/>
      <c r="E5829" s="5"/>
      <c r="F5829" s="5"/>
      <c r="G5829" s="9"/>
      <c r="H5829" s="9"/>
      <c r="I5829" s="9"/>
    </row>
    <row r="5830" ht="14.25">
      <c r="A5830" s="5"/>
      <c r="B5830" s="7"/>
      <c r="C5830" s="7"/>
      <c r="D5830" s="7"/>
      <c r="E5830" s="5"/>
      <c r="F5830" s="5"/>
      <c r="G5830" s="9"/>
      <c r="H5830" s="9"/>
      <c r="I5830" s="9"/>
    </row>
    <row r="5831" ht="14.25">
      <c r="A5831" s="5"/>
      <c r="B5831" s="7"/>
      <c r="C5831" s="7"/>
      <c r="D5831" s="7"/>
      <c r="E5831" s="5"/>
      <c r="F5831" s="5"/>
      <c r="G5831" s="9"/>
      <c r="H5831" s="9"/>
      <c r="I5831" s="9"/>
    </row>
    <row r="5832" ht="14.25">
      <c r="A5832" s="5"/>
      <c r="B5832" s="7"/>
      <c r="C5832" s="7"/>
      <c r="D5832" s="7"/>
      <c r="E5832" s="5"/>
      <c r="F5832" s="5"/>
      <c r="G5832" s="9"/>
      <c r="H5832" s="9"/>
      <c r="I5832" s="9"/>
    </row>
    <row r="5833" ht="14.25">
      <c r="A5833" s="5"/>
      <c r="B5833" s="7"/>
      <c r="C5833" s="7"/>
      <c r="D5833" s="7"/>
      <c r="E5833" s="5"/>
      <c r="F5833" s="5"/>
      <c r="G5833" s="9"/>
      <c r="H5833" s="9"/>
      <c r="I5833" s="9"/>
    </row>
    <row r="5834" ht="14.25">
      <c r="A5834" s="5"/>
      <c r="B5834" s="7"/>
      <c r="C5834" s="7"/>
      <c r="D5834" s="7"/>
      <c r="E5834" s="5"/>
      <c r="F5834" s="5"/>
      <c r="G5834" s="9"/>
      <c r="H5834" s="9"/>
      <c r="I5834" s="9"/>
    </row>
    <row r="5835" ht="14.25">
      <c r="A5835" s="5"/>
      <c r="B5835" s="7"/>
      <c r="C5835" s="7"/>
      <c r="D5835" s="7"/>
      <c r="E5835" s="5"/>
      <c r="F5835" s="5"/>
      <c r="G5835" s="9"/>
      <c r="H5835" s="9"/>
      <c r="I5835" s="9"/>
    </row>
    <row r="5836" ht="14.25">
      <c r="A5836" s="5"/>
      <c r="B5836" s="7"/>
      <c r="C5836" s="7"/>
      <c r="D5836" s="7"/>
      <c r="E5836" s="5"/>
      <c r="F5836" s="5"/>
      <c r="G5836" s="9"/>
      <c r="H5836" s="9"/>
      <c r="I5836" s="9"/>
    </row>
    <row r="5837" ht="14.25">
      <c r="A5837" s="5"/>
      <c r="B5837" s="7"/>
      <c r="C5837" s="7"/>
      <c r="D5837" s="7"/>
      <c r="E5837" s="5"/>
      <c r="F5837" s="5"/>
      <c r="G5837" s="9"/>
      <c r="H5837" s="9"/>
      <c r="I5837" s="9"/>
    </row>
    <row r="5838" ht="14.25">
      <c r="A5838" s="5"/>
      <c r="B5838" s="7"/>
      <c r="C5838" s="7"/>
      <c r="D5838" s="7"/>
      <c r="E5838" s="5"/>
      <c r="F5838" s="5"/>
      <c r="G5838" s="9"/>
      <c r="H5838" s="9"/>
      <c r="I5838" s="9"/>
    </row>
    <row r="5839" ht="14.25">
      <c r="A5839" s="5"/>
      <c r="B5839" s="7"/>
      <c r="C5839" s="7"/>
      <c r="D5839" s="7"/>
      <c r="E5839" s="5"/>
      <c r="F5839" s="5"/>
      <c r="G5839" s="9"/>
      <c r="H5839" s="9"/>
      <c r="I5839" s="9"/>
    </row>
    <row r="5840" ht="14.25">
      <c r="A5840" s="5"/>
      <c r="B5840" s="7"/>
      <c r="C5840" s="7"/>
      <c r="D5840" s="7"/>
      <c r="E5840" s="5"/>
      <c r="F5840" s="5"/>
      <c r="G5840" s="9"/>
      <c r="H5840" s="9"/>
      <c r="I5840" s="9"/>
    </row>
    <row r="5841" ht="14.25">
      <c r="A5841" s="5"/>
      <c r="B5841" s="7"/>
      <c r="C5841" s="7"/>
      <c r="D5841" s="7"/>
      <c r="E5841" s="5"/>
      <c r="F5841" s="5"/>
      <c r="G5841" s="9"/>
      <c r="H5841" s="9"/>
      <c r="I5841" s="9"/>
    </row>
    <row r="5842" ht="14.25">
      <c r="A5842" s="5"/>
      <c r="B5842" s="7"/>
      <c r="C5842" s="7"/>
      <c r="D5842" s="7"/>
      <c r="E5842" s="5"/>
      <c r="F5842" s="5"/>
      <c r="G5842" s="9"/>
      <c r="H5842" s="9"/>
      <c r="I5842" s="9"/>
    </row>
    <row r="5843" ht="14.25">
      <c r="A5843" s="5"/>
      <c r="B5843" s="7"/>
      <c r="C5843" s="7"/>
      <c r="D5843" s="7"/>
      <c r="E5843" s="5"/>
      <c r="F5843" s="5"/>
      <c r="G5843" s="9"/>
      <c r="H5843" s="9"/>
      <c r="I5843" s="9"/>
    </row>
    <row r="5844" ht="14.25">
      <c r="A5844" s="5"/>
      <c r="B5844" s="7"/>
      <c r="C5844" s="7"/>
      <c r="D5844" s="7"/>
      <c r="E5844" s="5"/>
      <c r="F5844" s="5"/>
      <c r="G5844" s="9"/>
      <c r="H5844" s="9"/>
      <c r="I5844" s="9"/>
    </row>
    <row r="5845" ht="14.25">
      <c r="A5845" s="5"/>
      <c r="B5845" s="7"/>
      <c r="C5845" s="7"/>
      <c r="D5845" s="7"/>
      <c r="E5845" s="5"/>
      <c r="F5845" s="5"/>
      <c r="G5845" s="9"/>
      <c r="H5845" s="9"/>
      <c r="I5845" s="9"/>
    </row>
    <row r="5846" ht="14.25">
      <c r="A5846" s="5"/>
      <c r="B5846" s="7"/>
      <c r="C5846" s="7"/>
      <c r="D5846" s="7"/>
      <c r="E5846" s="5"/>
      <c r="F5846" s="5"/>
      <c r="G5846" s="9"/>
      <c r="H5846" s="9"/>
      <c r="I5846" s="9"/>
    </row>
    <row r="5847" ht="14.25">
      <c r="A5847" s="5"/>
      <c r="B5847" s="7"/>
      <c r="C5847" s="7"/>
      <c r="D5847" s="7"/>
      <c r="E5847" s="5"/>
      <c r="F5847" s="5"/>
      <c r="G5847" s="9"/>
      <c r="H5847" s="9"/>
      <c r="I5847" s="9"/>
    </row>
    <row r="5848" ht="14.25">
      <c r="A5848" s="5"/>
      <c r="B5848" s="7"/>
      <c r="C5848" s="7"/>
      <c r="D5848" s="7"/>
      <c r="E5848" s="5"/>
      <c r="F5848" s="5"/>
      <c r="G5848" s="9"/>
      <c r="H5848" s="9"/>
      <c r="I5848" s="9"/>
    </row>
    <row r="5849" ht="14.25">
      <c r="A5849" s="5"/>
      <c r="B5849" s="7"/>
      <c r="C5849" s="7"/>
      <c r="D5849" s="7"/>
      <c r="E5849" s="5"/>
      <c r="F5849" s="5"/>
      <c r="G5849" s="9"/>
      <c r="H5849" s="9"/>
      <c r="I5849" s="9"/>
    </row>
    <row r="5850" ht="14.25">
      <c r="A5850" s="5"/>
      <c r="B5850" s="7"/>
      <c r="C5850" s="7"/>
      <c r="D5850" s="7"/>
      <c r="E5850" s="5"/>
      <c r="F5850" s="5"/>
      <c r="G5850" s="9"/>
      <c r="H5850" s="9"/>
      <c r="I5850" s="9"/>
    </row>
    <row r="5851" ht="14.25">
      <c r="A5851" s="5"/>
      <c r="B5851" s="7"/>
      <c r="C5851" s="7"/>
      <c r="D5851" s="7"/>
      <c r="E5851" s="5"/>
      <c r="F5851" s="5"/>
      <c r="G5851" s="9"/>
      <c r="H5851" s="9"/>
      <c r="I5851" s="9"/>
    </row>
    <row r="5852" ht="14.25">
      <c r="A5852" s="5"/>
      <c r="B5852" s="7"/>
      <c r="C5852" s="7"/>
      <c r="D5852" s="7"/>
      <c r="E5852" s="5"/>
      <c r="F5852" s="5"/>
      <c r="G5852" s="9"/>
      <c r="H5852" s="9"/>
      <c r="I5852" s="9"/>
    </row>
    <row r="5853" ht="14.25">
      <c r="A5853" s="5"/>
      <c r="B5853" s="7"/>
      <c r="C5853" s="7"/>
      <c r="D5853" s="7"/>
      <c r="E5853" s="5"/>
      <c r="F5853" s="5"/>
      <c r="G5853" s="9"/>
      <c r="H5853" s="9"/>
      <c r="I5853" s="9"/>
    </row>
    <row r="5854" ht="14.25">
      <c r="A5854" s="5"/>
      <c r="B5854" s="7"/>
      <c r="C5854" s="7"/>
      <c r="D5854" s="7"/>
      <c r="E5854" s="5"/>
      <c r="F5854" s="5"/>
      <c r="G5854" s="9"/>
      <c r="H5854" s="9"/>
      <c r="I5854" s="9"/>
    </row>
    <row r="5855" ht="14.25">
      <c r="A5855" s="5"/>
      <c r="B5855" s="7"/>
      <c r="C5855" s="7"/>
      <c r="D5855" s="7"/>
      <c r="E5855" s="5"/>
      <c r="F5855" s="5"/>
      <c r="G5855" s="9"/>
      <c r="H5855" s="9"/>
      <c r="I5855" s="9"/>
    </row>
    <row r="5856" ht="14.25">
      <c r="A5856" s="5"/>
      <c r="B5856" s="7"/>
      <c r="C5856" s="7"/>
      <c r="D5856" s="7"/>
      <c r="E5856" s="5"/>
      <c r="F5856" s="5"/>
      <c r="G5856" s="9"/>
      <c r="H5856" s="9"/>
      <c r="I5856" s="9"/>
    </row>
    <row r="5857" ht="14.25">
      <c r="A5857" s="5"/>
      <c r="B5857" s="7"/>
      <c r="C5857" s="7"/>
      <c r="D5857" s="7"/>
      <c r="E5857" s="5"/>
      <c r="F5857" s="5"/>
      <c r="G5857" s="9"/>
      <c r="H5857" s="9"/>
      <c r="I5857" s="9"/>
    </row>
    <row r="5858" ht="14.25">
      <c r="A5858" s="5"/>
      <c r="B5858" s="7"/>
      <c r="C5858" s="7"/>
      <c r="D5858" s="7"/>
      <c r="E5858" s="5"/>
      <c r="F5858" s="5"/>
      <c r="G5858" s="9"/>
      <c r="H5858" s="9"/>
      <c r="I5858" s="9"/>
    </row>
    <row r="5859" ht="14.25">
      <c r="A5859" s="5"/>
      <c r="B5859" s="7"/>
      <c r="C5859" s="7"/>
      <c r="D5859" s="7"/>
      <c r="E5859" s="5"/>
      <c r="F5859" s="5"/>
      <c r="G5859" s="9"/>
      <c r="H5859" s="9"/>
      <c r="I5859" s="9"/>
    </row>
    <row r="5860" ht="14.25">
      <c r="A5860" s="5"/>
      <c r="B5860" s="7"/>
      <c r="C5860" s="7"/>
      <c r="D5860" s="7"/>
      <c r="E5860" s="5"/>
      <c r="F5860" s="5"/>
      <c r="G5860" s="9"/>
      <c r="H5860" s="9"/>
      <c r="I5860" s="9"/>
    </row>
    <row r="5861" ht="14.25">
      <c r="A5861" s="5"/>
      <c r="B5861" s="7"/>
      <c r="C5861" s="7"/>
      <c r="D5861" s="7"/>
      <c r="E5861" s="5"/>
      <c r="F5861" s="5"/>
      <c r="G5861" s="9"/>
      <c r="H5861" s="9"/>
      <c r="I5861" s="9"/>
    </row>
    <row r="5862" ht="14.25">
      <c r="A5862" s="5"/>
      <c r="B5862" s="7"/>
      <c r="C5862" s="7"/>
      <c r="D5862" s="7"/>
      <c r="E5862" s="5"/>
      <c r="F5862" s="5"/>
      <c r="G5862" s="9"/>
      <c r="H5862" s="9"/>
      <c r="I5862" s="9"/>
    </row>
    <row r="5863" ht="14.25">
      <c r="A5863" s="5"/>
      <c r="B5863" s="7"/>
      <c r="C5863" s="7"/>
      <c r="D5863" s="7"/>
      <c r="E5863" s="5"/>
      <c r="F5863" s="5"/>
      <c r="G5863" s="9"/>
      <c r="H5863" s="9"/>
      <c r="I5863" s="9"/>
    </row>
    <row r="5864" ht="14.25">
      <c r="A5864" s="5"/>
      <c r="B5864" s="7"/>
      <c r="C5864" s="7"/>
      <c r="D5864" s="7"/>
      <c r="E5864" s="5"/>
      <c r="F5864" s="5"/>
      <c r="G5864" s="9"/>
      <c r="H5864" s="9"/>
      <c r="I5864" s="9"/>
    </row>
    <row r="5865" ht="14.25">
      <c r="A5865" s="5"/>
      <c r="B5865" s="7"/>
      <c r="C5865" s="7"/>
      <c r="D5865" s="7"/>
      <c r="E5865" s="5"/>
      <c r="F5865" s="5"/>
      <c r="G5865" s="9"/>
      <c r="H5865" s="9"/>
      <c r="I5865" s="9"/>
    </row>
    <row r="5866" ht="14.25">
      <c r="A5866" s="5"/>
      <c r="B5866" s="7"/>
      <c r="C5866" s="7"/>
      <c r="D5866" s="7"/>
      <c r="E5866" s="5"/>
      <c r="F5866" s="5"/>
      <c r="G5866" s="9"/>
      <c r="H5866" s="9"/>
      <c r="I5866" s="9"/>
    </row>
    <row r="5867" ht="14.25">
      <c r="A5867" s="5"/>
      <c r="B5867" s="7"/>
      <c r="C5867" s="7"/>
      <c r="D5867" s="7"/>
      <c r="E5867" s="5"/>
      <c r="F5867" s="5"/>
      <c r="G5867" s="9"/>
      <c r="H5867" s="9"/>
      <c r="I5867" s="9"/>
    </row>
    <row r="5868" ht="14.25">
      <c r="A5868" s="5"/>
      <c r="B5868" s="7"/>
      <c r="C5868" s="7"/>
      <c r="D5868" s="7"/>
      <c r="E5868" s="5"/>
      <c r="F5868" s="5"/>
      <c r="G5868" s="9"/>
      <c r="H5868" s="9"/>
      <c r="I5868" s="9"/>
    </row>
    <row r="5869" ht="14.25">
      <c r="A5869" s="5"/>
      <c r="B5869" s="7"/>
      <c r="C5869" s="7"/>
      <c r="D5869" s="7"/>
      <c r="E5869" s="5"/>
      <c r="F5869" s="5"/>
      <c r="G5869" s="9"/>
      <c r="H5869" s="9"/>
      <c r="I5869" s="9"/>
    </row>
    <row r="5870" ht="14.25">
      <c r="A5870" s="5"/>
      <c r="B5870" s="7"/>
      <c r="C5870" s="7"/>
      <c r="D5870" s="7"/>
      <c r="E5870" s="5"/>
      <c r="F5870" s="5"/>
      <c r="G5870" s="9"/>
      <c r="H5870" s="9"/>
      <c r="I5870" s="9"/>
    </row>
    <row r="5871" ht="14.25">
      <c r="A5871" s="5"/>
      <c r="B5871" s="7"/>
      <c r="C5871" s="7"/>
      <c r="D5871" s="7"/>
      <c r="E5871" s="5"/>
      <c r="F5871" s="5"/>
      <c r="G5871" s="9"/>
      <c r="H5871" s="9"/>
      <c r="I5871" s="9"/>
    </row>
    <row r="5872" ht="14.25">
      <c r="A5872" s="5"/>
      <c r="B5872" s="7"/>
      <c r="C5872" s="7"/>
      <c r="D5872" s="7"/>
      <c r="E5872" s="5"/>
      <c r="F5872" s="5"/>
      <c r="G5872" s="9"/>
      <c r="H5872" s="9"/>
      <c r="I5872" s="9"/>
    </row>
    <row r="5873" ht="14.25">
      <c r="A5873" s="5"/>
      <c r="B5873" s="7"/>
      <c r="C5873" s="7"/>
      <c r="D5873" s="7"/>
      <c r="E5873" s="5"/>
      <c r="F5873" s="5"/>
      <c r="G5873" s="9"/>
      <c r="H5873" s="9"/>
      <c r="I5873" s="9"/>
    </row>
    <row r="5874" ht="14.25">
      <c r="A5874" s="5"/>
      <c r="B5874" s="7"/>
      <c r="C5874" s="7"/>
      <c r="D5874" s="7"/>
      <c r="E5874" s="5"/>
      <c r="F5874" s="5"/>
      <c r="G5874" s="9"/>
      <c r="H5874" s="9"/>
      <c r="I5874" s="9"/>
    </row>
    <row r="5875" ht="14.25">
      <c r="A5875" s="5"/>
      <c r="B5875" s="7"/>
      <c r="C5875" s="7"/>
      <c r="D5875" s="7"/>
      <c r="E5875" s="5"/>
      <c r="F5875" s="5"/>
      <c r="G5875" s="9"/>
      <c r="H5875" s="9"/>
      <c r="I5875" s="9"/>
    </row>
    <row r="5876" ht="14.25">
      <c r="A5876" s="5"/>
      <c r="B5876" s="7"/>
      <c r="C5876" s="7"/>
      <c r="D5876" s="7"/>
      <c r="E5876" s="5"/>
      <c r="F5876" s="5"/>
      <c r="G5876" s="9"/>
      <c r="H5876" s="9"/>
      <c r="I5876" s="9"/>
    </row>
    <row r="5877" ht="14.25">
      <c r="A5877" s="5"/>
      <c r="B5877" s="7"/>
      <c r="C5877" s="7"/>
      <c r="D5877" s="7"/>
      <c r="E5877" s="5"/>
      <c r="F5877" s="5"/>
      <c r="G5877" s="9"/>
      <c r="H5877" s="9"/>
      <c r="I5877" s="9"/>
    </row>
    <row r="5878" ht="14.25">
      <c r="A5878" s="5"/>
      <c r="B5878" s="7"/>
      <c r="C5878" s="7"/>
      <c r="D5878" s="7"/>
      <c r="E5878" s="5"/>
      <c r="F5878" s="5"/>
      <c r="G5878" s="9"/>
      <c r="H5878" s="9"/>
      <c r="I5878" s="9"/>
    </row>
    <row r="5879" ht="14.25">
      <c r="A5879" s="5"/>
      <c r="B5879" s="7"/>
      <c r="C5879" s="7"/>
      <c r="D5879" s="7"/>
      <c r="E5879" s="5"/>
      <c r="F5879" s="5"/>
      <c r="G5879" s="9"/>
      <c r="H5879" s="9"/>
      <c r="I5879" s="9"/>
    </row>
    <row r="5880" ht="14.25">
      <c r="A5880" s="5"/>
      <c r="B5880" s="7"/>
      <c r="C5880" s="7"/>
      <c r="D5880" s="7"/>
      <c r="E5880" s="5"/>
      <c r="F5880" s="5"/>
      <c r="G5880" s="9"/>
      <c r="H5880" s="9"/>
      <c r="I5880" s="9"/>
    </row>
    <row r="5881" ht="14.25">
      <c r="A5881" s="5"/>
      <c r="B5881" s="7"/>
      <c r="C5881" s="7"/>
      <c r="D5881" s="7"/>
      <c r="E5881" s="5"/>
      <c r="F5881" s="5"/>
      <c r="G5881" s="9"/>
      <c r="H5881" s="9"/>
      <c r="I5881" s="9"/>
    </row>
    <row r="5882" ht="14.25">
      <c r="A5882" s="5"/>
      <c r="B5882" s="7"/>
      <c r="C5882" s="7"/>
      <c r="D5882" s="7"/>
      <c r="E5882" s="5"/>
      <c r="F5882" s="5"/>
      <c r="G5882" s="9"/>
      <c r="H5882" s="9"/>
      <c r="I5882" s="9"/>
    </row>
    <row r="5883" ht="14.25">
      <c r="A5883" s="5"/>
      <c r="B5883" s="7"/>
      <c r="C5883" s="7"/>
      <c r="D5883" s="7"/>
      <c r="E5883" s="5"/>
      <c r="F5883" s="5"/>
      <c r="G5883" s="9"/>
      <c r="H5883" s="9"/>
      <c r="I5883" s="9"/>
    </row>
    <row r="5884" ht="14.25">
      <c r="A5884" s="5"/>
      <c r="B5884" s="7"/>
      <c r="C5884" s="7"/>
      <c r="D5884" s="7"/>
      <c r="E5884" s="5"/>
      <c r="F5884" s="5"/>
      <c r="G5884" s="9"/>
      <c r="H5884" s="9"/>
      <c r="I5884" s="9"/>
    </row>
    <row r="5885" ht="14.25">
      <c r="A5885" s="5"/>
      <c r="B5885" s="7"/>
      <c r="C5885" s="7"/>
      <c r="D5885" s="7"/>
      <c r="E5885" s="5"/>
      <c r="F5885" s="5"/>
      <c r="G5885" s="9"/>
      <c r="H5885" s="9"/>
      <c r="I5885" s="9"/>
    </row>
    <row r="5886" ht="14.25">
      <c r="A5886" s="5"/>
      <c r="B5886" s="7"/>
      <c r="C5886" s="7"/>
      <c r="D5886" s="7"/>
      <c r="E5886" s="5"/>
      <c r="F5886" s="5"/>
      <c r="G5886" s="9"/>
      <c r="H5886" s="9"/>
      <c r="I5886" s="9"/>
    </row>
    <row r="5887" ht="14.25">
      <c r="A5887" s="5"/>
      <c r="B5887" s="7"/>
      <c r="C5887" s="7"/>
      <c r="D5887" s="7"/>
      <c r="E5887" s="5"/>
      <c r="F5887" s="5"/>
      <c r="G5887" s="9"/>
      <c r="H5887" s="9"/>
      <c r="I5887" s="9"/>
    </row>
    <row r="5888" ht="14.25">
      <c r="A5888" s="5"/>
      <c r="B5888" s="7"/>
      <c r="C5888" s="7"/>
      <c r="D5888" s="7"/>
      <c r="E5888" s="5"/>
      <c r="F5888" s="5"/>
      <c r="G5888" s="9"/>
      <c r="H5888" s="9"/>
      <c r="I5888" s="9"/>
    </row>
    <row r="5889" ht="14.25">
      <c r="A5889" s="5"/>
      <c r="B5889" s="7"/>
      <c r="C5889" s="7"/>
      <c r="D5889" s="7"/>
      <c r="E5889" s="5"/>
      <c r="F5889" s="5"/>
      <c r="G5889" s="9"/>
      <c r="H5889" s="9"/>
      <c r="I5889" s="9"/>
    </row>
    <row r="5890" ht="14.25">
      <c r="A5890" s="5"/>
      <c r="B5890" s="7"/>
      <c r="C5890" s="7"/>
      <c r="D5890" s="7"/>
      <c r="E5890" s="5"/>
      <c r="F5890" s="5"/>
      <c r="G5890" s="9"/>
      <c r="H5890" s="9"/>
      <c r="I5890" s="9"/>
    </row>
    <row r="5891" ht="14.25">
      <c r="A5891" s="5"/>
      <c r="B5891" s="7"/>
      <c r="C5891" s="7"/>
      <c r="D5891" s="7"/>
      <c r="E5891" s="5"/>
      <c r="F5891" s="5"/>
      <c r="G5891" s="9"/>
      <c r="H5891" s="9"/>
      <c r="I5891" s="9"/>
    </row>
    <row r="5892" ht="14.25">
      <c r="A5892" s="5"/>
      <c r="B5892" s="7"/>
      <c r="C5892" s="7"/>
      <c r="D5892" s="7"/>
      <c r="E5892" s="5"/>
      <c r="F5892" s="5"/>
      <c r="G5892" s="9"/>
      <c r="H5892" s="9"/>
      <c r="I5892" s="9"/>
    </row>
    <row r="5893" ht="14.25">
      <c r="A5893" s="5"/>
      <c r="B5893" s="7"/>
      <c r="C5893" s="7"/>
      <c r="D5893" s="7"/>
      <c r="E5893" s="5"/>
      <c r="F5893" s="5"/>
      <c r="G5893" s="9"/>
      <c r="H5893" s="9"/>
      <c r="I5893" s="9"/>
    </row>
    <row r="5894" ht="14.25">
      <c r="A5894" s="5"/>
      <c r="B5894" s="7"/>
      <c r="C5894" s="7"/>
      <c r="D5894" s="7"/>
      <c r="E5894" s="5"/>
      <c r="F5894" s="5"/>
      <c r="G5894" s="9"/>
      <c r="H5894" s="9"/>
      <c r="I5894" s="9"/>
    </row>
    <row r="5895" ht="14.25">
      <c r="A5895" s="5"/>
      <c r="B5895" s="7"/>
      <c r="C5895" s="7"/>
      <c r="D5895" s="7"/>
      <c r="E5895" s="5"/>
      <c r="F5895" s="5"/>
      <c r="G5895" s="9"/>
      <c r="H5895" s="9"/>
      <c r="I5895" s="9"/>
    </row>
    <row r="5896" ht="14.25">
      <c r="A5896" s="5"/>
      <c r="B5896" s="7"/>
      <c r="C5896" s="7"/>
      <c r="D5896" s="7"/>
      <c r="E5896" s="5"/>
      <c r="F5896" s="5"/>
      <c r="G5896" s="9"/>
      <c r="H5896" s="9"/>
      <c r="I5896" s="9"/>
    </row>
    <row r="5897" ht="14.25">
      <c r="A5897" s="5"/>
      <c r="B5897" s="7"/>
      <c r="C5897" s="7"/>
      <c r="D5897" s="7"/>
      <c r="E5897" s="5"/>
      <c r="F5897" s="5"/>
      <c r="G5897" s="9"/>
      <c r="H5897" s="9"/>
      <c r="I5897" s="9"/>
    </row>
    <row r="5898" ht="14.25">
      <c r="A5898" s="5"/>
      <c r="B5898" s="7"/>
      <c r="C5898" s="7"/>
      <c r="D5898" s="7"/>
      <c r="E5898" s="5"/>
      <c r="F5898" s="5"/>
      <c r="G5898" s="9"/>
      <c r="H5898" s="9"/>
      <c r="I5898" s="9"/>
    </row>
    <row r="5899" ht="14.25">
      <c r="A5899" s="5"/>
      <c r="B5899" s="7"/>
      <c r="C5899" s="7"/>
      <c r="D5899" s="7"/>
      <c r="E5899" s="5"/>
      <c r="F5899" s="5"/>
      <c r="G5899" s="9"/>
      <c r="H5899" s="9"/>
      <c r="I5899" s="9"/>
    </row>
    <row r="5900" ht="14.25">
      <c r="A5900" s="5"/>
      <c r="B5900" s="7"/>
      <c r="C5900" s="7"/>
      <c r="D5900" s="7"/>
      <c r="E5900" s="5"/>
      <c r="F5900" s="5"/>
      <c r="G5900" s="9"/>
      <c r="H5900" s="9"/>
      <c r="I5900" s="9"/>
    </row>
    <row r="5901" ht="14.25">
      <c r="A5901" s="5"/>
      <c r="B5901" s="7"/>
      <c r="C5901" s="7"/>
      <c r="D5901" s="7"/>
      <c r="E5901" s="5"/>
      <c r="F5901" s="5"/>
      <c r="G5901" s="9"/>
      <c r="H5901" s="9"/>
      <c r="I5901" s="9"/>
    </row>
    <row r="5902" ht="14.25">
      <c r="A5902" s="5"/>
      <c r="B5902" s="7"/>
      <c r="C5902" s="7"/>
      <c r="D5902" s="7"/>
      <c r="E5902" s="5"/>
      <c r="F5902" s="5"/>
      <c r="G5902" s="9"/>
      <c r="H5902" s="9"/>
      <c r="I5902" s="9"/>
    </row>
    <row r="5903" ht="14.25">
      <c r="A5903" s="5"/>
      <c r="B5903" s="7"/>
      <c r="C5903" s="7"/>
      <c r="D5903" s="7"/>
      <c r="E5903" s="5"/>
      <c r="F5903" s="5"/>
      <c r="G5903" s="9"/>
      <c r="H5903" s="9"/>
      <c r="I5903" s="9"/>
    </row>
    <row r="5904" ht="14.25">
      <c r="A5904" s="5"/>
      <c r="B5904" s="7"/>
      <c r="C5904" s="7"/>
      <c r="D5904" s="7"/>
      <c r="E5904" s="5"/>
      <c r="F5904" s="5"/>
      <c r="G5904" s="9"/>
      <c r="H5904" s="9"/>
      <c r="I5904" s="9"/>
    </row>
    <row r="5905" ht="14.25">
      <c r="A5905" s="5"/>
      <c r="B5905" s="7"/>
      <c r="C5905" s="7"/>
      <c r="D5905" s="7"/>
      <c r="E5905" s="5"/>
      <c r="F5905" s="5"/>
      <c r="G5905" s="9"/>
      <c r="H5905" s="9"/>
      <c r="I5905" s="9"/>
    </row>
    <row r="5906" ht="14.25">
      <c r="A5906" s="5"/>
      <c r="B5906" s="7"/>
      <c r="C5906" s="7"/>
      <c r="D5906" s="7"/>
      <c r="E5906" s="5"/>
      <c r="F5906" s="5"/>
      <c r="G5906" s="9"/>
      <c r="H5906" s="9"/>
      <c r="I5906" s="9"/>
    </row>
    <row r="5907" ht="14.25">
      <c r="A5907" s="5"/>
      <c r="B5907" s="7"/>
      <c r="C5907" s="7"/>
      <c r="D5907" s="7"/>
      <c r="E5907" s="5"/>
      <c r="F5907" s="5"/>
      <c r="G5907" s="9"/>
      <c r="H5907" s="9"/>
      <c r="I5907" s="9"/>
    </row>
    <row r="5908" ht="14.25">
      <c r="A5908" s="5"/>
      <c r="B5908" s="7"/>
      <c r="C5908" s="7"/>
      <c r="D5908" s="7"/>
      <c r="E5908" s="5"/>
      <c r="F5908" s="5"/>
      <c r="G5908" s="9"/>
      <c r="H5908" s="9"/>
      <c r="I5908" s="9"/>
    </row>
    <row r="5909" ht="14.25">
      <c r="A5909" s="5"/>
      <c r="B5909" s="7"/>
      <c r="C5909" s="7"/>
      <c r="D5909" s="7"/>
      <c r="E5909" s="5"/>
      <c r="F5909" s="5"/>
      <c r="G5909" s="9"/>
      <c r="H5909" s="9"/>
      <c r="I5909" s="9"/>
    </row>
    <row r="5910" ht="14.25">
      <c r="A5910" s="5"/>
      <c r="B5910" s="7"/>
      <c r="C5910" s="7"/>
      <c r="D5910" s="7"/>
      <c r="E5910" s="5"/>
      <c r="F5910" s="5"/>
      <c r="G5910" s="9"/>
      <c r="H5910" s="9"/>
      <c r="I5910" s="9"/>
    </row>
    <row r="5911" ht="14.25">
      <c r="A5911" s="5"/>
      <c r="B5911" s="7"/>
      <c r="C5911" s="7"/>
      <c r="D5911" s="7"/>
      <c r="E5911" s="5"/>
      <c r="F5911" s="5"/>
      <c r="G5911" s="9"/>
      <c r="H5911" s="9"/>
      <c r="I5911" s="9"/>
    </row>
    <row r="5912" ht="14.25">
      <c r="A5912" s="5"/>
      <c r="B5912" s="7"/>
      <c r="C5912" s="7"/>
      <c r="D5912" s="7"/>
      <c r="E5912" s="5"/>
      <c r="F5912" s="5"/>
      <c r="G5912" s="9"/>
      <c r="H5912" s="9"/>
      <c r="I5912" s="9"/>
    </row>
    <row r="5913" ht="14.25">
      <c r="A5913" s="5"/>
      <c r="B5913" s="7"/>
      <c r="C5913" s="7"/>
      <c r="D5913" s="7"/>
      <c r="E5913" s="5"/>
      <c r="F5913" s="5"/>
      <c r="G5913" s="9"/>
      <c r="H5913" s="9"/>
      <c r="I5913" s="9"/>
    </row>
    <row r="5914" ht="14.25">
      <c r="A5914" s="5"/>
      <c r="B5914" s="7"/>
      <c r="C5914" s="7"/>
      <c r="D5914" s="7"/>
      <c r="E5914" s="5"/>
      <c r="F5914" s="5"/>
      <c r="G5914" s="9"/>
      <c r="H5914" s="9"/>
      <c r="I5914" s="9"/>
    </row>
    <row r="5915" ht="14.25">
      <c r="A5915" s="5"/>
      <c r="B5915" s="7"/>
      <c r="C5915" s="7"/>
      <c r="D5915" s="7"/>
      <c r="E5915" s="5"/>
      <c r="F5915" s="5"/>
      <c r="G5915" s="9"/>
      <c r="H5915" s="9"/>
      <c r="I5915" s="9"/>
    </row>
    <row r="5916" ht="14.25">
      <c r="A5916" s="5"/>
      <c r="B5916" s="7"/>
      <c r="C5916" s="7"/>
      <c r="D5916" s="7"/>
      <c r="E5916" s="5"/>
      <c r="F5916" s="5"/>
      <c r="G5916" s="9"/>
      <c r="H5916" s="9"/>
      <c r="I5916" s="9"/>
    </row>
    <row r="5917" ht="14.25">
      <c r="A5917" s="5"/>
      <c r="B5917" s="7"/>
      <c r="C5917" s="7"/>
      <c r="D5917" s="7"/>
      <c r="E5917" s="5"/>
      <c r="F5917" s="5"/>
      <c r="G5917" s="9"/>
      <c r="H5917" s="9"/>
      <c r="I5917" s="9"/>
    </row>
    <row r="5918" ht="14.25">
      <c r="A5918" s="5"/>
      <c r="B5918" s="7"/>
      <c r="C5918" s="7"/>
      <c r="D5918" s="7"/>
      <c r="E5918" s="5"/>
      <c r="F5918" s="5"/>
      <c r="G5918" s="9"/>
      <c r="H5918" s="9"/>
      <c r="I5918" s="9"/>
    </row>
    <row r="5919" ht="14.25">
      <c r="A5919" s="5"/>
      <c r="B5919" s="7"/>
      <c r="C5919" s="7"/>
      <c r="D5919" s="7"/>
      <c r="E5919" s="5"/>
      <c r="F5919" s="5"/>
      <c r="G5919" s="9"/>
      <c r="H5919" s="9"/>
      <c r="I5919" s="9"/>
    </row>
    <row r="5920" ht="14.25">
      <c r="A5920" s="5"/>
      <c r="B5920" s="7"/>
      <c r="C5920" s="7"/>
      <c r="D5920" s="7"/>
      <c r="E5920" s="5"/>
      <c r="F5920" s="5"/>
      <c r="G5920" s="9"/>
      <c r="H5920" s="9"/>
      <c r="I5920" s="9"/>
    </row>
    <row r="5921" ht="14.25">
      <c r="A5921" s="5"/>
      <c r="B5921" s="7"/>
      <c r="C5921" s="7"/>
      <c r="D5921" s="7"/>
      <c r="E5921" s="5"/>
      <c r="F5921" s="5"/>
      <c r="G5921" s="9"/>
      <c r="H5921" s="9"/>
      <c r="I5921" s="9"/>
    </row>
    <row r="5922" ht="14.25">
      <c r="A5922" s="5"/>
      <c r="B5922" s="7"/>
      <c r="C5922" s="7"/>
      <c r="D5922" s="7"/>
      <c r="E5922" s="5"/>
      <c r="F5922" s="5"/>
      <c r="G5922" s="9"/>
      <c r="H5922" s="9"/>
      <c r="I5922" s="9"/>
    </row>
    <row r="5923" ht="14.25">
      <c r="A5923" s="5"/>
      <c r="B5923" s="7"/>
      <c r="C5923" s="7"/>
      <c r="D5923" s="7"/>
      <c r="E5923" s="5"/>
      <c r="F5923" s="5"/>
      <c r="G5923" s="9"/>
      <c r="H5923" s="9"/>
      <c r="I5923" s="9"/>
    </row>
    <row r="5924" ht="14.25">
      <c r="A5924" s="5"/>
      <c r="B5924" s="7"/>
      <c r="C5924" s="7"/>
      <c r="D5924" s="7"/>
      <c r="E5924" s="5"/>
      <c r="F5924" s="5"/>
      <c r="G5924" s="9"/>
      <c r="H5924" s="9"/>
      <c r="I5924" s="9"/>
    </row>
    <row r="5925" ht="14.25">
      <c r="A5925" s="5"/>
      <c r="B5925" s="7"/>
      <c r="C5925" s="7"/>
      <c r="D5925" s="7"/>
      <c r="E5925" s="5"/>
      <c r="F5925" s="5"/>
      <c r="G5925" s="9"/>
      <c r="H5925" s="9"/>
      <c r="I5925" s="9"/>
    </row>
    <row r="5926" ht="14.25">
      <c r="A5926" s="5"/>
      <c r="B5926" s="7"/>
      <c r="C5926" s="7"/>
      <c r="D5926" s="7"/>
      <c r="E5926" s="5"/>
      <c r="F5926" s="5"/>
      <c r="G5926" s="9"/>
      <c r="H5926" s="9"/>
      <c r="I5926" s="9"/>
    </row>
    <row r="5927" ht="14.25">
      <c r="A5927" s="5"/>
      <c r="B5927" s="7"/>
      <c r="C5927" s="7"/>
      <c r="D5927" s="7"/>
      <c r="E5927" s="5"/>
      <c r="F5927" s="5"/>
      <c r="G5927" s="9"/>
      <c r="H5927" s="9"/>
      <c r="I5927" s="9"/>
    </row>
    <row r="5928" ht="14.25">
      <c r="A5928" s="5"/>
      <c r="B5928" s="7"/>
      <c r="C5928" s="7"/>
      <c r="D5928" s="7"/>
      <c r="E5928" s="5"/>
      <c r="F5928" s="5"/>
      <c r="G5928" s="9"/>
      <c r="H5928" s="9"/>
      <c r="I5928" s="9"/>
    </row>
    <row r="5929" ht="14.25">
      <c r="A5929" s="5"/>
      <c r="B5929" s="7"/>
      <c r="C5929" s="7"/>
      <c r="D5929" s="7"/>
      <c r="E5929" s="5"/>
      <c r="F5929" s="5"/>
      <c r="G5929" s="9"/>
      <c r="H5929" s="9"/>
      <c r="I5929" s="9"/>
    </row>
    <row r="5930" ht="14.25">
      <c r="A5930" s="5"/>
      <c r="B5930" s="7"/>
      <c r="C5930" s="7"/>
      <c r="D5930" s="7"/>
      <c r="E5930" s="5"/>
      <c r="F5930" s="5"/>
      <c r="G5930" s="9"/>
      <c r="H5930" s="9"/>
      <c r="I5930" s="9"/>
    </row>
    <row r="5931" ht="14.25">
      <c r="A5931" s="5"/>
      <c r="B5931" s="7"/>
      <c r="C5931" s="7"/>
      <c r="D5931" s="7"/>
      <c r="E5931" s="5"/>
      <c r="F5931" s="5"/>
      <c r="G5931" s="9"/>
      <c r="H5931" s="9"/>
      <c r="I5931" s="9"/>
    </row>
    <row r="5932" ht="14.25">
      <c r="A5932" s="5"/>
      <c r="B5932" s="7"/>
      <c r="C5932" s="7"/>
      <c r="D5932" s="7"/>
      <c r="E5932" s="5"/>
      <c r="F5932" s="5"/>
      <c r="G5932" s="9"/>
      <c r="H5932" s="9"/>
      <c r="I5932" s="9"/>
    </row>
    <row r="5933" ht="14.25">
      <c r="A5933" s="5"/>
      <c r="B5933" s="7"/>
      <c r="C5933" s="7"/>
      <c r="D5933" s="7"/>
      <c r="E5933" s="5"/>
      <c r="F5933" s="5"/>
      <c r="G5933" s="9"/>
      <c r="H5933" s="9"/>
      <c r="I5933" s="9"/>
    </row>
    <row r="5934" ht="14.25">
      <c r="A5934" s="5"/>
      <c r="B5934" s="7"/>
      <c r="C5934" s="7"/>
      <c r="D5934" s="7"/>
      <c r="E5934" s="5"/>
      <c r="F5934" s="5"/>
      <c r="G5934" s="9"/>
      <c r="H5934" s="9"/>
      <c r="I5934" s="9"/>
    </row>
    <row r="5935" ht="14.25">
      <c r="A5935" s="5"/>
      <c r="B5935" s="7"/>
      <c r="C5935" s="7"/>
      <c r="D5935" s="7"/>
      <c r="E5935" s="5"/>
      <c r="F5935" s="5"/>
      <c r="G5935" s="9"/>
      <c r="H5935" s="9"/>
      <c r="I5935" s="9"/>
    </row>
    <row r="5936" ht="14.25">
      <c r="A5936" s="5"/>
      <c r="B5936" s="7"/>
      <c r="C5936" s="7"/>
      <c r="D5936" s="7"/>
      <c r="E5936" s="5"/>
      <c r="F5936" s="5"/>
      <c r="G5936" s="9"/>
      <c r="H5936" s="9"/>
      <c r="I5936" s="9"/>
    </row>
    <row r="5937" ht="14.25">
      <c r="A5937" s="5"/>
      <c r="B5937" s="7"/>
      <c r="C5937" s="7"/>
      <c r="D5937" s="7"/>
      <c r="E5937" s="5"/>
      <c r="F5937" s="5"/>
      <c r="G5937" s="9"/>
      <c r="H5937" s="9"/>
      <c r="I5937" s="9"/>
    </row>
    <row r="5938" ht="14.25">
      <c r="A5938" s="5"/>
      <c r="B5938" s="7"/>
      <c r="C5938" s="7"/>
      <c r="D5938" s="7"/>
      <c r="E5938" s="5"/>
      <c r="F5938" s="5"/>
      <c r="G5938" s="9"/>
      <c r="H5938" s="9"/>
      <c r="I5938" s="9"/>
    </row>
    <row r="5939" ht="14.25">
      <c r="A5939" s="5"/>
      <c r="B5939" s="7"/>
      <c r="C5939" s="7"/>
      <c r="D5939" s="7"/>
      <c r="E5939" s="5"/>
      <c r="F5939" s="5"/>
      <c r="G5939" s="9"/>
      <c r="H5939" s="9"/>
      <c r="I5939" s="9"/>
    </row>
    <row r="5940" ht="14.25">
      <c r="A5940" s="5"/>
      <c r="B5940" s="7"/>
      <c r="C5940" s="7"/>
      <c r="D5940" s="7"/>
      <c r="E5940" s="5"/>
      <c r="F5940" s="5"/>
      <c r="G5940" s="9"/>
      <c r="H5940" s="9"/>
      <c r="I5940" s="9"/>
    </row>
    <row r="5941" ht="14.25">
      <c r="A5941" s="5"/>
      <c r="B5941" s="7"/>
      <c r="C5941" s="7"/>
      <c r="D5941" s="7"/>
      <c r="E5941" s="5"/>
      <c r="F5941" s="5"/>
      <c r="G5941" s="9"/>
      <c r="H5941" s="9"/>
      <c r="I5941" s="9"/>
    </row>
    <row r="5942" ht="14.25">
      <c r="A5942" s="5"/>
      <c r="B5942" s="7"/>
      <c r="C5942" s="7"/>
      <c r="D5942" s="7"/>
      <c r="E5942" s="5"/>
      <c r="F5942" s="5"/>
      <c r="G5942" s="9"/>
      <c r="H5942" s="9"/>
      <c r="I5942" s="9"/>
    </row>
    <row r="5943" ht="14.25">
      <c r="A5943" s="5"/>
      <c r="B5943" s="7"/>
      <c r="C5943" s="7"/>
      <c r="D5943" s="7"/>
      <c r="E5943" s="5"/>
      <c r="F5943" s="5"/>
      <c r="G5943" s="9"/>
      <c r="H5943" s="9"/>
      <c r="I5943" s="9"/>
    </row>
    <row r="5944" ht="14.25">
      <c r="A5944" s="5"/>
      <c r="B5944" s="7"/>
      <c r="C5944" s="7"/>
      <c r="D5944" s="7"/>
      <c r="E5944" s="5"/>
      <c r="F5944" s="5"/>
      <c r="G5944" s="9"/>
      <c r="H5944" s="9"/>
      <c r="I5944" s="9"/>
    </row>
    <row r="5945" ht="14.25">
      <c r="A5945" s="5"/>
      <c r="B5945" s="7"/>
      <c r="C5945" s="7"/>
      <c r="D5945" s="7"/>
      <c r="E5945" s="5"/>
      <c r="F5945" s="5"/>
      <c r="G5945" s="9"/>
      <c r="H5945" s="9"/>
      <c r="I5945" s="9"/>
    </row>
    <row r="5946" ht="14.25">
      <c r="A5946" s="5"/>
      <c r="B5946" s="7"/>
      <c r="C5946" s="7"/>
      <c r="D5946" s="7"/>
      <c r="E5946" s="5"/>
      <c r="F5946" s="5"/>
      <c r="G5946" s="9"/>
      <c r="H5946" s="9"/>
      <c r="I5946" s="9"/>
    </row>
    <row r="5947" ht="14.25">
      <c r="A5947" s="5"/>
      <c r="B5947" s="7"/>
      <c r="C5947" s="7"/>
      <c r="D5947" s="7"/>
      <c r="E5947" s="5"/>
      <c r="F5947" s="5"/>
      <c r="G5947" s="9"/>
      <c r="H5947" s="9"/>
      <c r="I5947" s="9"/>
    </row>
    <row r="5948" ht="14.25">
      <c r="A5948" s="5"/>
      <c r="B5948" s="7"/>
      <c r="C5948" s="7"/>
      <c r="D5948" s="7"/>
      <c r="E5948" s="5"/>
      <c r="F5948" s="5"/>
      <c r="G5948" s="9"/>
      <c r="H5948" s="9"/>
      <c r="I5948" s="9"/>
    </row>
    <row r="5949" ht="14.25">
      <c r="A5949" s="5"/>
      <c r="B5949" s="7"/>
      <c r="C5949" s="7"/>
      <c r="D5949" s="7"/>
      <c r="E5949" s="5"/>
      <c r="F5949" s="5"/>
      <c r="G5949" s="9"/>
      <c r="H5949" s="9"/>
      <c r="I5949" s="9"/>
    </row>
    <row r="5950" ht="14.25">
      <c r="A5950" s="5"/>
      <c r="B5950" s="7"/>
      <c r="C5950" s="7"/>
      <c r="D5950" s="7"/>
      <c r="E5950" s="5"/>
      <c r="F5950" s="5"/>
      <c r="G5950" s="9"/>
      <c r="H5950" s="9"/>
      <c r="I5950" s="9"/>
    </row>
    <row r="5951" ht="14.25">
      <c r="A5951" s="5"/>
      <c r="B5951" s="7"/>
      <c r="C5951" s="7"/>
      <c r="D5951" s="7"/>
      <c r="E5951" s="5"/>
      <c r="F5951" s="5"/>
      <c r="G5951" s="9"/>
      <c r="H5951" s="9"/>
      <c r="I5951" s="9"/>
    </row>
    <row r="5952" ht="14.25">
      <c r="A5952" s="5"/>
      <c r="B5952" s="7"/>
      <c r="C5952" s="7"/>
      <c r="D5952" s="7"/>
      <c r="E5952" s="5"/>
      <c r="F5952" s="5"/>
      <c r="G5952" s="9"/>
      <c r="H5952" s="9"/>
      <c r="I5952" s="9"/>
    </row>
    <row r="5953" ht="14.25">
      <c r="A5953" s="5"/>
      <c r="B5953" s="7"/>
      <c r="C5953" s="7"/>
      <c r="D5953" s="7"/>
      <c r="E5953" s="5"/>
      <c r="F5953" s="5"/>
      <c r="G5953" s="9"/>
      <c r="H5953" s="9"/>
      <c r="I5953" s="9"/>
    </row>
    <row r="5954" ht="14.25">
      <c r="A5954" s="5"/>
      <c r="B5954" s="7"/>
      <c r="C5954" s="7"/>
      <c r="D5954" s="7"/>
      <c r="E5954" s="5"/>
      <c r="F5954" s="5"/>
      <c r="G5954" s="9"/>
      <c r="H5954" s="9"/>
      <c r="I5954" s="9"/>
    </row>
    <row r="5955" ht="14.25">
      <c r="A5955" s="5"/>
      <c r="B5955" s="7"/>
      <c r="C5955" s="7"/>
      <c r="D5955" s="7"/>
      <c r="E5955" s="5"/>
      <c r="F5955" s="5"/>
      <c r="G5955" s="9"/>
      <c r="H5955" s="9"/>
      <c r="I5955" s="9"/>
    </row>
    <row r="5956" ht="14.25">
      <c r="A5956" s="5"/>
      <c r="B5956" s="7"/>
      <c r="C5956" s="7"/>
      <c r="D5956" s="7"/>
      <c r="E5956" s="5"/>
      <c r="F5956" s="5"/>
      <c r="G5956" s="9"/>
      <c r="H5956" s="9"/>
      <c r="I5956" s="9"/>
    </row>
    <row r="5957" ht="14.25">
      <c r="A5957" s="5"/>
      <c r="B5957" s="7"/>
      <c r="C5957" s="7"/>
      <c r="D5957" s="7"/>
      <c r="E5957" s="5"/>
      <c r="F5957" s="5"/>
      <c r="G5957" s="9"/>
      <c r="H5957" s="9"/>
      <c r="I5957" s="9"/>
    </row>
    <row r="5958" ht="14.25">
      <c r="A5958" s="5"/>
      <c r="B5958" s="7"/>
      <c r="C5958" s="7"/>
      <c r="D5958" s="7"/>
      <c r="E5958" s="5"/>
      <c r="F5958" s="5"/>
      <c r="G5958" s="9"/>
      <c r="H5958" s="9"/>
      <c r="I5958" s="9"/>
    </row>
    <row r="5959" ht="14.25">
      <c r="A5959" s="5"/>
      <c r="B5959" s="7"/>
      <c r="C5959" s="7"/>
      <c r="D5959" s="7"/>
      <c r="E5959" s="5"/>
      <c r="F5959" s="5"/>
      <c r="G5959" s="9"/>
      <c r="H5959" s="9"/>
      <c r="I5959" s="9"/>
    </row>
    <row r="5960" ht="14.25">
      <c r="A5960" s="5"/>
      <c r="B5960" s="7"/>
      <c r="C5960" s="7"/>
      <c r="D5960" s="7"/>
      <c r="E5960" s="5"/>
      <c r="F5960" s="5"/>
      <c r="G5960" s="9"/>
      <c r="H5960" s="9"/>
      <c r="I5960" s="9"/>
    </row>
    <row r="5961" ht="14.25">
      <c r="A5961" s="5"/>
      <c r="B5961" s="7"/>
      <c r="C5961" s="7"/>
      <c r="D5961" s="7"/>
      <c r="E5961" s="5"/>
      <c r="F5961" s="5"/>
      <c r="G5961" s="9"/>
      <c r="H5961" s="9"/>
      <c r="I5961" s="9"/>
    </row>
    <row r="5962" ht="14.25">
      <c r="A5962" s="5"/>
      <c r="B5962" s="7"/>
      <c r="C5962" s="7"/>
      <c r="D5962" s="7"/>
      <c r="E5962" s="5"/>
      <c r="F5962" s="5"/>
      <c r="G5962" s="9"/>
      <c r="H5962" s="9"/>
      <c r="I5962" s="9"/>
    </row>
    <row r="5963" ht="14.25">
      <c r="A5963" s="5"/>
      <c r="B5963" s="7"/>
      <c r="C5963" s="7"/>
      <c r="D5963" s="7"/>
      <c r="E5963" s="5"/>
      <c r="F5963" s="5"/>
      <c r="G5963" s="9"/>
      <c r="H5963" s="9"/>
      <c r="I5963" s="9"/>
    </row>
    <row r="5964" ht="14.25">
      <c r="A5964" s="5"/>
      <c r="B5964" s="7"/>
      <c r="C5964" s="7"/>
      <c r="D5964" s="7"/>
      <c r="E5964" s="5"/>
      <c r="F5964" s="5"/>
      <c r="G5964" s="9"/>
      <c r="H5964" s="9"/>
      <c r="I5964" s="9"/>
    </row>
    <row r="5965" ht="14.25">
      <c r="A5965" s="5"/>
      <c r="B5965" s="7"/>
      <c r="C5965" s="7"/>
      <c r="D5965" s="7"/>
      <c r="E5965" s="5"/>
      <c r="F5965" s="5"/>
      <c r="G5965" s="9"/>
      <c r="H5965" s="9"/>
      <c r="I5965" s="9"/>
    </row>
    <row r="5966" ht="14.25">
      <c r="A5966" s="5"/>
      <c r="B5966" s="7"/>
      <c r="C5966" s="7"/>
      <c r="D5966" s="7"/>
      <c r="E5966" s="5"/>
      <c r="F5966" s="5"/>
      <c r="G5966" s="9"/>
      <c r="H5966" s="9"/>
      <c r="I5966" s="9"/>
    </row>
    <row r="5967" ht="14.25">
      <c r="A5967" s="5"/>
      <c r="B5967" s="7"/>
      <c r="C5967" s="7"/>
      <c r="D5967" s="7"/>
      <c r="E5967" s="5"/>
      <c r="F5967" s="5"/>
      <c r="G5967" s="9"/>
      <c r="H5967" s="9"/>
      <c r="I5967" s="9"/>
    </row>
    <row r="5968" ht="14.25">
      <c r="A5968" s="5"/>
      <c r="B5968" s="7"/>
      <c r="C5968" s="7"/>
      <c r="D5968" s="7"/>
      <c r="E5968" s="5"/>
      <c r="F5968" s="5"/>
      <c r="G5968" s="9"/>
      <c r="H5968" s="9"/>
      <c r="I5968" s="9"/>
    </row>
    <row r="5969" ht="14.25">
      <c r="A5969" s="5"/>
      <c r="B5969" s="7"/>
      <c r="C5969" s="7"/>
      <c r="D5969" s="7"/>
      <c r="E5969" s="5"/>
      <c r="F5969" s="5"/>
      <c r="G5969" s="9"/>
      <c r="H5969" s="9"/>
      <c r="I5969" s="9"/>
    </row>
    <row r="5970" ht="14.25">
      <c r="A5970" s="5"/>
      <c r="B5970" s="7"/>
      <c r="C5970" s="7"/>
      <c r="D5970" s="7"/>
      <c r="E5970" s="5"/>
      <c r="F5970" s="5"/>
      <c r="G5970" s="9"/>
      <c r="H5970" s="9"/>
      <c r="I5970" s="9"/>
    </row>
    <row r="5971" ht="14.25">
      <c r="A5971" s="5"/>
      <c r="B5971" s="7"/>
      <c r="C5971" s="7"/>
      <c r="D5971" s="7"/>
      <c r="E5971" s="5"/>
      <c r="F5971" s="5"/>
      <c r="G5971" s="9"/>
      <c r="H5971" s="9"/>
      <c r="I5971" s="9"/>
    </row>
    <row r="5972" ht="14.25">
      <c r="A5972" s="5"/>
      <c r="B5972" s="7"/>
      <c r="C5972" s="7"/>
      <c r="D5972" s="7"/>
      <c r="E5972" s="5"/>
      <c r="F5972" s="5"/>
      <c r="G5972" s="9"/>
      <c r="H5972" s="9"/>
      <c r="I5972" s="9"/>
    </row>
    <row r="5973" ht="14.25">
      <c r="A5973" s="5"/>
      <c r="B5973" s="7"/>
      <c r="C5973" s="7"/>
      <c r="D5973" s="7"/>
      <c r="E5973" s="5"/>
      <c r="F5973" s="5"/>
      <c r="G5973" s="9"/>
      <c r="H5973" s="9"/>
      <c r="I5973" s="9"/>
    </row>
    <row r="5974" ht="14.25">
      <c r="A5974" s="5"/>
      <c r="B5974" s="7"/>
      <c r="C5974" s="7"/>
      <c r="D5974" s="7"/>
      <c r="E5974" s="5"/>
      <c r="F5974" s="5"/>
      <c r="G5974" s="9"/>
      <c r="H5974" s="9"/>
      <c r="I5974" s="9"/>
    </row>
    <row r="5975" ht="14.25">
      <c r="A5975" s="5"/>
      <c r="B5975" s="7"/>
      <c r="C5975" s="7"/>
      <c r="D5975" s="7"/>
      <c r="E5975" s="5"/>
      <c r="F5975" s="5"/>
      <c r="G5975" s="9"/>
      <c r="H5975" s="9"/>
      <c r="I5975" s="9"/>
    </row>
    <row r="5976" ht="14.25">
      <c r="A5976" s="5"/>
      <c r="B5976" s="7"/>
      <c r="C5976" s="7"/>
      <c r="D5976" s="7"/>
      <c r="E5976" s="5"/>
      <c r="F5976" s="5"/>
      <c r="G5976" s="9"/>
      <c r="H5976" s="9"/>
      <c r="I5976" s="9"/>
    </row>
    <row r="5977" ht="14.25">
      <c r="A5977" s="5"/>
      <c r="B5977" s="7"/>
      <c r="C5977" s="7"/>
      <c r="D5977" s="7"/>
      <c r="E5977" s="5"/>
      <c r="F5977" s="5"/>
      <c r="G5977" s="9"/>
      <c r="H5977" s="9"/>
      <c r="I5977" s="9"/>
    </row>
    <row r="5978" ht="14.25">
      <c r="A5978" s="5"/>
      <c r="B5978" s="7"/>
      <c r="C5978" s="7"/>
      <c r="D5978" s="7"/>
      <c r="E5978" s="5"/>
      <c r="F5978" s="5"/>
      <c r="G5978" s="9"/>
      <c r="H5978" s="9"/>
      <c r="I5978" s="9"/>
    </row>
    <row r="5979" ht="14.25">
      <c r="A5979" s="5"/>
      <c r="B5979" s="7"/>
      <c r="C5979" s="7"/>
      <c r="D5979" s="7"/>
      <c r="E5979" s="5"/>
      <c r="F5979" s="5"/>
      <c r="G5979" s="9"/>
      <c r="H5979" s="9"/>
      <c r="I5979" s="9"/>
    </row>
    <row r="5980" ht="14.25">
      <c r="A5980" s="5"/>
      <c r="B5980" s="7"/>
      <c r="C5980" s="7"/>
      <c r="D5980" s="7"/>
      <c r="E5980" s="5"/>
      <c r="F5980" s="5"/>
      <c r="G5980" s="9"/>
      <c r="H5980" s="9"/>
      <c r="I5980" s="9"/>
    </row>
    <row r="5981" ht="14.25">
      <c r="A5981" s="5"/>
      <c r="B5981" s="7"/>
      <c r="C5981" s="7"/>
      <c r="D5981" s="7"/>
      <c r="E5981" s="5"/>
      <c r="F5981" s="5"/>
      <c r="G5981" s="9"/>
      <c r="H5981" s="9"/>
      <c r="I5981" s="9"/>
    </row>
    <row r="5982" ht="14.25">
      <c r="A5982" s="5"/>
      <c r="B5982" s="7"/>
      <c r="C5982" s="7"/>
      <c r="D5982" s="7"/>
      <c r="E5982" s="5"/>
      <c r="F5982" s="5"/>
      <c r="G5982" s="9"/>
      <c r="H5982" s="9"/>
      <c r="I5982" s="9"/>
    </row>
    <row r="5983" ht="14.25">
      <c r="A5983" s="5"/>
      <c r="B5983" s="7"/>
      <c r="C5983" s="7"/>
      <c r="D5983" s="7"/>
      <c r="E5983" s="5"/>
      <c r="F5983" s="5"/>
      <c r="G5983" s="9"/>
      <c r="H5983" s="9"/>
      <c r="I5983" s="9"/>
    </row>
    <row r="5984" ht="14.25">
      <c r="A5984" s="5"/>
      <c r="B5984" s="7"/>
      <c r="C5984" s="7"/>
      <c r="D5984" s="7"/>
      <c r="E5984" s="5"/>
      <c r="F5984" s="5"/>
      <c r="G5984" s="9"/>
      <c r="H5984" s="9"/>
      <c r="I5984" s="9"/>
    </row>
    <row r="5985" ht="14.25">
      <c r="A5985" s="5"/>
      <c r="B5985" s="7"/>
      <c r="C5985" s="7"/>
      <c r="D5985" s="7"/>
      <c r="E5985" s="5"/>
      <c r="F5985" s="5"/>
      <c r="G5985" s="9"/>
      <c r="H5985" s="9"/>
      <c r="I5985" s="9"/>
    </row>
    <row r="5986" ht="14.25">
      <c r="A5986" s="5"/>
      <c r="B5986" s="7"/>
      <c r="C5986" s="7"/>
      <c r="D5986" s="7"/>
      <c r="E5986" s="5"/>
      <c r="F5986" s="5"/>
      <c r="G5986" s="9"/>
      <c r="H5986" s="9"/>
      <c r="I5986" s="9"/>
    </row>
    <row r="5987" ht="14.25">
      <c r="A5987" s="5"/>
      <c r="B5987" s="7"/>
      <c r="C5987" s="7"/>
      <c r="D5987" s="7"/>
      <c r="E5987" s="5"/>
      <c r="F5987" s="5"/>
      <c r="G5987" s="9"/>
      <c r="H5987" s="9"/>
      <c r="I5987" s="9"/>
    </row>
    <row r="5988" ht="14.25">
      <c r="A5988" s="5"/>
      <c r="B5988" s="7"/>
      <c r="C5988" s="7"/>
      <c r="D5988" s="7"/>
      <c r="E5988" s="5"/>
      <c r="F5988" s="5"/>
      <c r="G5988" s="9"/>
      <c r="H5988" s="9"/>
      <c r="I5988" s="9"/>
    </row>
    <row r="5989" ht="14.25">
      <c r="A5989" s="5"/>
      <c r="B5989" s="7"/>
      <c r="C5989" s="7"/>
      <c r="D5989" s="7"/>
      <c r="E5989" s="5"/>
      <c r="F5989" s="5"/>
      <c r="G5989" s="9"/>
      <c r="H5989" s="9"/>
      <c r="I5989" s="9"/>
    </row>
    <row r="5990" ht="14.25">
      <c r="A5990" s="5"/>
      <c r="B5990" s="7"/>
      <c r="C5990" s="7"/>
      <c r="D5990" s="7"/>
      <c r="E5990" s="5"/>
      <c r="F5990" s="5"/>
      <c r="G5990" s="9"/>
      <c r="H5990" s="9"/>
      <c r="I5990" s="9"/>
    </row>
    <row r="5991" ht="14.25">
      <c r="A5991" s="5"/>
      <c r="B5991" s="7"/>
      <c r="C5991" s="7"/>
      <c r="D5991" s="7"/>
      <c r="E5991" s="5"/>
      <c r="F5991" s="5"/>
      <c r="G5991" s="9"/>
      <c r="H5991" s="9"/>
      <c r="I5991" s="9"/>
    </row>
    <row r="5992" ht="14.25">
      <c r="A5992" s="5"/>
      <c r="B5992" s="7"/>
      <c r="C5992" s="7"/>
      <c r="D5992" s="7"/>
      <c r="E5992" s="5"/>
      <c r="F5992" s="5"/>
      <c r="G5992" s="9"/>
      <c r="H5992" s="9"/>
      <c r="I5992" s="9"/>
    </row>
    <row r="5993" ht="14.25">
      <c r="A5993" s="5"/>
      <c r="B5993" s="7"/>
      <c r="C5993" s="7"/>
      <c r="D5993" s="7"/>
      <c r="E5993" s="5"/>
      <c r="F5993" s="5"/>
      <c r="G5993" s="9"/>
      <c r="H5993" s="9"/>
      <c r="I5993" s="9"/>
    </row>
    <row r="5994" ht="14.25">
      <c r="A5994" s="5"/>
      <c r="B5994" s="7"/>
      <c r="C5994" s="7"/>
      <c r="D5994" s="7"/>
      <c r="E5994" s="5"/>
      <c r="F5994" s="5"/>
      <c r="G5994" s="9"/>
      <c r="H5994" s="9"/>
      <c r="I5994" s="9"/>
    </row>
    <row r="5995" ht="14.25">
      <c r="A5995" s="5"/>
      <c r="B5995" s="7"/>
      <c r="C5995" s="7"/>
      <c r="D5995" s="7"/>
      <c r="E5995" s="5"/>
      <c r="F5995" s="5"/>
      <c r="G5995" s="9"/>
      <c r="H5995" s="9"/>
      <c r="I5995" s="9"/>
    </row>
    <row r="5996" ht="14.25">
      <c r="A5996" s="5"/>
      <c r="B5996" s="7"/>
      <c r="C5996" s="7"/>
      <c r="D5996" s="7"/>
      <c r="E5996" s="5"/>
      <c r="F5996" s="5"/>
      <c r="G5996" s="9"/>
      <c r="H5996" s="9"/>
      <c r="I5996" s="9"/>
    </row>
    <row r="5997" ht="14.25">
      <c r="A5997" s="5"/>
      <c r="B5997" s="7"/>
      <c r="C5997" s="7"/>
      <c r="D5997" s="7"/>
      <c r="E5997" s="5"/>
      <c r="F5997" s="5"/>
      <c r="G5997" s="9"/>
      <c r="H5997" s="9"/>
      <c r="I5997" s="9"/>
    </row>
    <row r="5998" ht="14.25">
      <c r="A5998" s="5"/>
      <c r="B5998" s="7"/>
      <c r="C5998" s="7"/>
      <c r="D5998" s="7"/>
      <c r="E5998" s="5"/>
      <c r="F5998" s="5"/>
      <c r="G5998" s="9"/>
      <c r="H5998" s="9"/>
      <c r="I5998" s="9"/>
    </row>
    <row r="5999" ht="14.25">
      <c r="A5999" s="5"/>
      <c r="B5999" s="7"/>
      <c r="C5999" s="7"/>
      <c r="D5999" s="7"/>
      <c r="E5999" s="5"/>
      <c r="F5999" s="5"/>
      <c r="G5999" s="9"/>
      <c r="H5999" s="9"/>
      <c r="I5999" s="9"/>
    </row>
    <row r="6000" ht="14.25">
      <c r="A6000" s="5"/>
      <c r="B6000" s="7"/>
      <c r="C6000" s="7"/>
      <c r="D6000" s="7"/>
      <c r="E6000" s="5"/>
      <c r="F6000" s="5"/>
      <c r="G6000" s="9"/>
      <c r="H6000" s="9"/>
      <c r="I6000" s="9"/>
    </row>
    <row r="6001" ht="14.25">
      <c r="A6001" s="5"/>
      <c r="B6001" s="7"/>
      <c r="C6001" s="7"/>
      <c r="D6001" s="7"/>
      <c r="E6001" s="5"/>
      <c r="F6001" s="5"/>
      <c r="G6001" s="9"/>
      <c r="H6001" s="9"/>
      <c r="I6001" s="9"/>
    </row>
    <row r="6002" ht="14.25">
      <c r="A6002" s="5"/>
      <c r="B6002" s="7"/>
      <c r="C6002" s="7"/>
      <c r="D6002" s="7"/>
      <c r="E6002" s="5"/>
      <c r="F6002" s="5"/>
      <c r="G6002" s="9"/>
      <c r="H6002" s="9"/>
      <c r="I6002" s="9"/>
    </row>
    <row r="6003" ht="14.25">
      <c r="A6003" s="5"/>
      <c r="B6003" s="7"/>
      <c r="C6003" s="7"/>
      <c r="D6003" s="7"/>
      <c r="E6003" s="5"/>
      <c r="F6003" s="5"/>
      <c r="G6003" s="9"/>
      <c r="H6003" s="9"/>
      <c r="I6003" s="9"/>
    </row>
    <row r="6004" ht="14.25">
      <c r="A6004" s="5"/>
      <c r="B6004" s="7"/>
      <c r="C6004" s="7"/>
      <c r="D6004" s="7"/>
      <c r="E6004" s="5"/>
      <c r="F6004" s="5"/>
      <c r="G6004" s="9"/>
      <c r="H6004" s="9"/>
      <c r="I6004" s="9"/>
    </row>
    <row r="6005" ht="14.25">
      <c r="A6005" s="5"/>
      <c r="B6005" s="7"/>
      <c r="C6005" s="7"/>
      <c r="D6005" s="7"/>
      <c r="E6005" s="5"/>
      <c r="F6005" s="5"/>
      <c r="G6005" s="9"/>
      <c r="H6005" s="9"/>
      <c r="I6005" s="9"/>
    </row>
    <row r="6006" ht="14.25">
      <c r="A6006" s="5"/>
      <c r="B6006" s="7"/>
      <c r="C6006" s="7"/>
      <c r="D6006" s="7"/>
      <c r="E6006" s="5"/>
      <c r="F6006" s="5"/>
      <c r="G6006" s="9"/>
      <c r="H6006" s="9"/>
      <c r="I6006" s="9"/>
    </row>
    <row r="6007" ht="14.25">
      <c r="A6007" s="5"/>
      <c r="B6007" s="7"/>
      <c r="C6007" s="7"/>
      <c r="D6007" s="7"/>
      <c r="E6007" s="5"/>
      <c r="F6007" s="5"/>
      <c r="G6007" s="9"/>
      <c r="H6007" s="9"/>
      <c r="I6007" s="9"/>
    </row>
    <row r="6008" ht="14.25">
      <c r="A6008" s="5"/>
      <c r="B6008" s="7"/>
      <c r="C6008" s="7"/>
      <c r="D6008" s="7"/>
      <c r="E6008" s="5"/>
      <c r="F6008" s="5"/>
      <c r="G6008" s="9"/>
      <c r="H6008" s="9"/>
      <c r="I6008" s="9"/>
    </row>
    <row r="6009" ht="14.25">
      <c r="A6009" s="5"/>
      <c r="B6009" s="7"/>
      <c r="C6009" s="7"/>
      <c r="D6009" s="7"/>
      <c r="E6009" s="5"/>
      <c r="F6009" s="5"/>
      <c r="G6009" s="9"/>
      <c r="H6009" s="9"/>
      <c r="I6009" s="9"/>
    </row>
    <row r="6010" ht="14.25">
      <c r="A6010" s="5"/>
      <c r="B6010" s="7"/>
      <c r="C6010" s="7"/>
      <c r="D6010" s="7"/>
      <c r="E6010" s="5"/>
      <c r="F6010" s="5"/>
      <c r="G6010" s="9"/>
      <c r="H6010" s="9"/>
      <c r="I6010" s="9"/>
    </row>
    <row r="6011" ht="14.25">
      <c r="A6011" s="5"/>
      <c r="B6011" s="7"/>
      <c r="C6011" s="7"/>
      <c r="D6011" s="7"/>
      <c r="E6011" s="5"/>
      <c r="F6011" s="5"/>
      <c r="G6011" s="9"/>
      <c r="H6011" s="9"/>
      <c r="I6011" s="9"/>
    </row>
    <row r="6012" ht="14.25">
      <c r="A6012" s="5"/>
      <c r="B6012" s="7"/>
      <c r="C6012" s="7"/>
      <c r="D6012" s="7"/>
      <c r="E6012" s="5"/>
      <c r="F6012" s="5"/>
      <c r="G6012" s="9"/>
      <c r="H6012" s="9"/>
      <c r="I6012" s="9"/>
    </row>
    <row r="6013" ht="14.25">
      <c r="A6013" s="5"/>
      <c r="B6013" s="7"/>
      <c r="C6013" s="7"/>
      <c r="D6013" s="7"/>
      <c r="E6013" s="5"/>
      <c r="F6013" s="5"/>
      <c r="G6013" s="9"/>
      <c r="H6013" s="9"/>
      <c r="I6013" s="9"/>
    </row>
    <row r="6014" ht="14.25">
      <c r="A6014" s="5"/>
      <c r="B6014" s="7"/>
      <c r="C6014" s="7"/>
      <c r="D6014" s="7"/>
      <c r="E6014" s="5"/>
      <c r="F6014" s="5"/>
      <c r="G6014" s="9"/>
      <c r="H6014" s="9"/>
      <c r="I6014" s="9"/>
    </row>
    <row r="6015" ht="14.25">
      <c r="A6015" s="5"/>
      <c r="B6015" s="7"/>
      <c r="C6015" s="7"/>
      <c r="D6015" s="7"/>
      <c r="E6015" s="5"/>
      <c r="F6015" s="5"/>
      <c r="G6015" s="9"/>
      <c r="H6015" s="9"/>
      <c r="I6015" s="9"/>
    </row>
    <row r="6016" ht="14.25">
      <c r="A6016" s="5"/>
      <c r="B6016" s="7"/>
      <c r="C6016" s="7"/>
      <c r="D6016" s="7"/>
      <c r="E6016" s="5"/>
      <c r="F6016" s="5"/>
      <c r="G6016" s="9"/>
      <c r="H6016" s="9"/>
      <c r="I6016" s="9"/>
    </row>
    <row r="6017" ht="14.25">
      <c r="A6017" s="5"/>
      <c r="B6017" s="7"/>
      <c r="C6017" s="7"/>
      <c r="D6017" s="7"/>
      <c r="E6017" s="5"/>
      <c r="F6017" s="5"/>
      <c r="G6017" s="9"/>
      <c r="H6017" s="9"/>
      <c r="I6017" s="9"/>
    </row>
    <row r="6018" ht="14.25">
      <c r="A6018" s="5"/>
      <c r="B6018" s="7"/>
      <c r="C6018" s="7"/>
      <c r="D6018" s="7"/>
      <c r="E6018" s="5"/>
      <c r="F6018" s="5"/>
      <c r="G6018" s="9"/>
      <c r="H6018" s="9"/>
      <c r="I6018" s="9"/>
    </row>
    <row r="6019" ht="14.25">
      <c r="A6019" s="5"/>
      <c r="B6019" s="7"/>
      <c r="C6019" s="7"/>
      <c r="D6019" s="7"/>
      <c r="E6019" s="5"/>
      <c r="F6019" s="5"/>
      <c r="G6019" s="9"/>
      <c r="H6019" s="9"/>
      <c r="I6019" s="9"/>
    </row>
    <row r="6020" ht="14.25">
      <c r="A6020" s="5"/>
      <c r="B6020" s="7"/>
      <c r="C6020" s="7"/>
      <c r="D6020" s="7"/>
      <c r="E6020" s="5"/>
      <c r="F6020" s="5"/>
      <c r="G6020" s="9"/>
      <c r="H6020" s="9"/>
      <c r="I6020" s="9"/>
    </row>
    <row r="6021" ht="14.25">
      <c r="A6021" s="5"/>
      <c r="B6021" s="7"/>
      <c r="C6021" s="7"/>
      <c r="D6021" s="7"/>
      <c r="E6021" s="5"/>
      <c r="F6021" s="5"/>
      <c r="G6021" s="9"/>
      <c r="H6021" s="9"/>
      <c r="I6021" s="9"/>
    </row>
    <row r="6022" ht="14.25">
      <c r="A6022" s="5"/>
      <c r="B6022" s="7"/>
      <c r="C6022" s="7"/>
      <c r="D6022" s="7"/>
      <c r="E6022" s="5"/>
      <c r="F6022" s="5"/>
      <c r="G6022" s="9"/>
      <c r="H6022" s="9"/>
      <c r="I6022" s="9"/>
    </row>
    <row r="6023" ht="14.25">
      <c r="A6023" s="5"/>
      <c r="B6023" s="7"/>
      <c r="C6023" s="7"/>
      <c r="D6023" s="7"/>
      <c r="E6023" s="5"/>
      <c r="F6023" s="5"/>
      <c r="G6023" s="9"/>
      <c r="H6023" s="9"/>
      <c r="I6023" s="9"/>
    </row>
    <row r="6024" ht="14.25">
      <c r="A6024" s="5"/>
      <c r="B6024" s="7"/>
      <c r="C6024" s="7"/>
      <c r="D6024" s="7"/>
      <c r="E6024" s="5"/>
      <c r="F6024" s="5"/>
      <c r="G6024" s="9"/>
      <c r="H6024" s="9"/>
      <c r="I6024" s="9"/>
    </row>
    <row r="6025" ht="14.25">
      <c r="A6025" s="5"/>
      <c r="B6025" s="7"/>
      <c r="C6025" s="7"/>
      <c r="D6025" s="7"/>
      <c r="E6025" s="5"/>
      <c r="F6025" s="5"/>
      <c r="G6025" s="9"/>
      <c r="H6025" s="9"/>
      <c r="I6025" s="9"/>
    </row>
    <row r="6026" ht="14.25">
      <c r="A6026" s="5"/>
      <c r="B6026" s="7"/>
      <c r="C6026" s="7"/>
      <c r="D6026" s="7"/>
      <c r="E6026" s="5"/>
      <c r="F6026" s="5"/>
      <c r="G6026" s="9"/>
      <c r="H6026" s="9"/>
      <c r="I6026" s="9"/>
    </row>
    <row r="6027" ht="14.25">
      <c r="A6027" s="5"/>
      <c r="B6027" s="7"/>
      <c r="C6027" s="7"/>
      <c r="D6027" s="7"/>
      <c r="E6027" s="5"/>
      <c r="F6027" s="5"/>
      <c r="G6027" s="9"/>
      <c r="H6027" s="9"/>
      <c r="I6027" s="9"/>
    </row>
    <row r="6028" ht="14.25">
      <c r="A6028" s="5"/>
      <c r="B6028" s="7"/>
      <c r="C6028" s="7"/>
      <c r="D6028" s="7"/>
      <c r="E6028" s="5"/>
      <c r="F6028" s="5"/>
      <c r="G6028" s="9"/>
      <c r="H6028" s="9"/>
      <c r="I6028" s="9"/>
    </row>
    <row r="6029" ht="14.25">
      <c r="A6029" s="5"/>
      <c r="B6029" s="7"/>
      <c r="C6029" s="7"/>
      <c r="D6029" s="7"/>
      <c r="E6029" s="5"/>
      <c r="F6029" s="5"/>
      <c r="G6029" s="9"/>
      <c r="H6029" s="9"/>
      <c r="I6029" s="9"/>
    </row>
    <row r="6030" ht="14.25">
      <c r="A6030" s="5"/>
      <c r="B6030" s="7"/>
      <c r="C6030" s="7"/>
      <c r="D6030" s="7"/>
      <c r="E6030" s="5"/>
      <c r="F6030" s="5"/>
      <c r="G6030" s="9"/>
      <c r="H6030" s="9"/>
      <c r="I6030" s="9"/>
    </row>
    <row r="6031" ht="14.25">
      <c r="A6031" s="5"/>
      <c r="B6031" s="7"/>
      <c r="C6031" s="7"/>
      <c r="D6031" s="7"/>
      <c r="E6031" s="5"/>
      <c r="F6031" s="5"/>
      <c r="G6031" s="9"/>
      <c r="H6031" s="9"/>
      <c r="I6031" s="9"/>
    </row>
    <row r="6032" ht="14.25">
      <c r="A6032" s="5"/>
      <c r="B6032" s="7"/>
      <c r="C6032" s="7"/>
      <c r="D6032" s="7"/>
      <c r="E6032" s="5"/>
      <c r="F6032" s="5"/>
      <c r="G6032" s="9"/>
      <c r="H6032" s="9"/>
      <c r="I6032" s="9"/>
    </row>
    <row r="6033" ht="14.25">
      <c r="A6033" s="5"/>
      <c r="B6033" s="7"/>
      <c r="C6033" s="7"/>
      <c r="D6033" s="7"/>
      <c r="E6033" s="5"/>
      <c r="F6033" s="5"/>
      <c r="G6033" s="9"/>
      <c r="H6033" s="9"/>
      <c r="I6033" s="9"/>
    </row>
    <row r="6034" ht="14.25">
      <c r="A6034" s="5"/>
      <c r="B6034" s="7"/>
      <c r="C6034" s="7"/>
      <c r="D6034" s="7"/>
      <c r="E6034" s="5"/>
      <c r="F6034" s="5"/>
      <c r="G6034" s="9"/>
      <c r="H6034" s="9"/>
      <c r="I6034" s="9"/>
    </row>
    <row r="6035" ht="14.25">
      <c r="A6035" s="5"/>
      <c r="B6035" s="7"/>
      <c r="C6035" s="7"/>
      <c r="D6035" s="7"/>
      <c r="E6035" s="5"/>
      <c r="F6035" s="5"/>
      <c r="G6035" s="9"/>
      <c r="H6035" s="9"/>
      <c r="I6035" s="9"/>
    </row>
    <row r="6036" ht="14.25">
      <c r="A6036" s="5"/>
      <c r="B6036" s="7"/>
      <c r="C6036" s="7"/>
      <c r="D6036" s="7"/>
      <c r="E6036" s="5"/>
      <c r="F6036" s="5"/>
      <c r="G6036" s="9"/>
      <c r="H6036" s="9"/>
      <c r="I6036" s="9"/>
    </row>
    <row r="6037" ht="14.25">
      <c r="A6037" s="5"/>
      <c r="B6037" s="7"/>
      <c r="C6037" s="7"/>
      <c r="D6037" s="7"/>
      <c r="E6037" s="5"/>
      <c r="F6037" s="5"/>
      <c r="G6037" s="9"/>
      <c r="H6037" s="9"/>
      <c r="I6037" s="9"/>
    </row>
    <row r="6038" ht="14.25">
      <c r="A6038" s="5"/>
      <c r="B6038" s="7"/>
      <c r="C6038" s="7"/>
      <c r="D6038" s="7"/>
      <c r="E6038" s="5"/>
      <c r="F6038" s="5"/>
      <c r="G6038" s="9"/>
      <c r="H6038" s="9"/>
      <c r="I6038" s="9"/>
    </row>
    <row r="6039" ht="14.25">
      <c r="A6039" s="5"/>
      <c r="B6039" s="7"/>
      <c r="C6039" s="7"/>
      <c r="D6039" s="7"/>
      <c r="E6039" s="5"/>
      <c r="F6039" s="5"/>
      <c r="G6039" s="9"/>
      <c r="H6039" s="9"/>
      <c r="I6039" s="9"/>
    </row>
    <row r="6040" ht="14.25">
      <c r="A6040" s="5"/>
      <c r="B6040" s="7"/>
      <c r="C6040" s="7"/>
      <c r="D6040" s="7"/>
      <c r="E6040" s="5"/>
      <c r="F6040" s="5"/>
      <c r="G6040" s="9"/>
      <c r="H6040" s="9"/>
      <c r="I6040" s="9"/>
    </row>
    <row r="6041" ht="14.25">
      <c r="A6041" s="5"/>
      <c r="B6041" s="7"/>
      <c r="C6041" s="7"/>
      <c r="D6041" s="7"/>
      <c r="E6041" s="5"/>
      <c r="F6041" s="5"/>
      <c r="G6041" s="9"/>
      <c r="H6041" s="9"/>
      <c r="I6041" s="9"/>
    </row>
    <row r="6042" ht="14.25">
      <c r="A6042" s="5"/>
      <c r="B6042" s="7"/>
      <c r="C6042" s="7"/>
      <c r="D6042" s="7"/>
      <c r="E6042" s="5"/>
      <c r="F6042" s="5"/>
      <c r="G6042" s="9"/>
      <c r="H6042" s="9"/>
      <c r="I6042" s="9"/>
    </row>
    <row r="6043" ht="14.25">
      <c r="A6043" s="5"/>
      <c r="B6043" s="7"/>
      <c r="C6043" s="7"/>
      <c r="D6043" s="7"/>
      <c r="E6043" s="5"/>
      <c r="F6043" s="5"/>
      <c r="G6043" s="9"/>
      <c r="H6043" s="9"/>
      <c r="I6043" s="9"/>
    </row>
    <row r="6044" ht="14.25">
      <c r="A6044" s="5"/>
      <c r="B6044" s="7"/>
      <c r="C6044" s="7"/>
      <c r="D6044" s="7"/>
      <c r="E6044" s="5"/>
      <c r="F6044" s="5"/>
      <c r="G6044" s="9"/>
      <c r="H6044" s="9"/>
      <c r="I6044" s="9"/>
    </row>
    <row r="6045" ht="14.25">
      <c r="A6045" s="5"/>
      <c r="B6045" s="7"/>
      <c r="C6045" s="7"/>
      <c r="D6045" s="7"/>
      <c r="E6045" s="5"/>
      <c r="F6045" s="5"/>
      <c r="G6045" s="9"/>
      <c r="H6045" s="9"/>
      <c r="I6045" s="9"/>
    </row>
    <row r="6046" ht="14.25">
      <c r="A6046" s="5"/>
      <c r="B6046" s="7"/>
      <c r="C6046" s="7"/>
      <c r="D6046" s="7"/>
      <c r="E6046" s="5"/>
      <c r="F6046" s="5"/>
      <c r="G6046" s="9"/>
      <c r="H6046" s="9"/>
      <c r="I6046" s="9"/>
    </row>
    <row r="6047" ht="14.25">
      <c r="A6047" s="5"/>
      <c r="B6047" s="7"/>
      <c r="C6047" s="7"/>
      <c r="D6047" s="7"/>
      <c r="E6047" s="5"/>
      <c r="F6047" s="5"/>
      <c r="G6047" s="9"/>
      <c r="H6047" s="9"/>
      <c r="I6047" s="9"/>
    </row>
    <row r="6048" ht="14.25">
      <c r="A6048" s="5"/>
      <c r="B6048" s="7"/>
      <c r="C6048" s="7"/>
      <c r="D6048" s="7"/>
      <c r="E6048" s="5"/>
      <c r="F6048" s="5"/>
      <c r="G6048" s="9"/>
      <c r="H6048" s="9"/>
      <c r="I6048" s="9"/>
    </row>
    <row r="6049" ht="14.25">
      <c r="A6049" s="5"/>
      <c r="B6049" s="7"/>
      <c r="C6049" s="7"/>
      <c r="D6049" s="7"/>
      <c r="E6049" s="5"/>
      <c r="F6049" s="5"/>
      <c r="G6049" s="9"/>
      <c r="H6049" s="9"/>
      <c r="I6049" s="9"/>
    </row>
    <row r="6050" ht="14.25">
      <c r="A6050" s="5"/>
      <c r="B6050" s="7"/>
      <c r="C6050" s="7"/>
      <c r="D6050" s="7"/>
      <c r="E6050" s="5"/>
      <c r="F6050" s="5"/>
      <c r="G6050" s="9"/>
      <c r="H6050" s="9"/>
      <c r="I6050" s="9"/>
    </row>
    <row r="6051" ht="14.25">
      <c r="A6051" s="5"/>
      <c r="B6051" s="7"/>
      <c r="C6051" s="7"/>
      <c r="D6051" s="7"/>
      <c r="E6051" s="5"/>
      <c r="F6051" s="5"/>
      <c r="G6051" s="9"/>
      <c r="H6051" s="9"/>
      <c r="I6051" s="9"/>
    </row>
    <row r="6052" ht="14.25">
      <c r="A6052" s="5"/>
      <c r="B6052" s="7"/>
      <c r="C6052" s="7"/>
      <c r="D6052" s="7"/>
      <c r="E6052" s="5"/>
      <c r="F6052" s="5"/>
      <c r="G6052" s="9"/>
      <c r="H6052" s="9"/>
      <c r="I6052" s="9"/>
    </row>
    <row r="6053" ht="14.25">
      <c r="A6053" s="5"/>
      <c r="B6053" s="7"/>
      <c r="C6053" s="7"/>
      <c r="D6053" s="7"/>
      <c r="E6053" s="5"/>
      <c r="F6053" s="5"/>
      <c r="G6053" s="9"/>
      <c r="H6053" s="9"/>
      <c r="I6053" s="9"/>
    </row>
    <row r="6054" ht="14.25">
      <c r="A6054" s="5"/>
      <c r="B6054" s="7"/>
      <c r="C6054" s="7"/>
      <c r="D6054" s="7"/>
      <c r="E6054" s="5"/>
      <c r="F6054" s="5"/>
      <c r="G6054" s="9"/>
      <c r="H6054" s="9"/>
      <c r="I6054" s="9"/>
    </row>
    <row r="6055" ht="14.25">
      <c r="A6055" s="5"/>
      <c r="B6055" s="7"/>
      <c r="C6055" s="7"/>
      <c r="D6055" s="7"/>
      <c r="E6055" s="5"/>
      <c r="F6055" s="5"/>
      <c r="G6055" s="9"/>
      <c r="H6055" s="9"/>
      <c r="I6055" s="9"/>
    </row>
    <row r="6056" ht="14.25">
      <c r="A6056" s="5"/>
      <c r="B6056" s="7"/>
      <c r="C6056" s="7"/>
      <c r="D6056" s="7"/>
      <c r="E6056" s="5"/>
      <c r="F6056" s="5"/>
      <c r="G6056" s="9"/>
      <c r="H6056" s="9"/>
      <c r="I6056" s="9"/>
    </row>
    <row r="6057" ht="14.25">
      <c r="A6057" s="5"/>
      <c r="B6057" s="7"/>
      <c r="C6057" s="7"/>
      <c r="D6057" s="7"/>
      <c r="E6057" s="5"/>
      <c r="F6057" s="5"/>
      <c r="G6057" s="9"/>
      <c r="H6057" s="9"/>
      <c r="I6057" s="9"/>
    </row>
    <row r="6058" ht="14.25">
      <c r="A6058" s="5"/>
      <c r="B6058" s="7"/>
      <c r="C6058" s="7"/>
      <c r="D6058" s="7"/>
      <c r="E6058" s="5"/>
      <c r="F6058" s="5"/>
      <c r="G6058" s="9"/>
      <c r="H6058" s="9"/>
      <c r="I6058" s="9"/>
    </row>
    <row r="6059" ht="14.25">
      <c r="A6059" s="5"/>
      <c r="B6059" s="7"/>
      <c r="C6059" s="7"/>
      <c r="D6059" s="7"/>
      <c r="E6059" s="5"/>
      <c r="F6059" s="5"/>
      <c r="G6059" s="9"/>
      <c r="H6059" s="9"/>
      <c r="I6059" s="9"/>
    </row>
    <row r="6060" ht="14.25">
      <c r="A6060" s="5"/>
      <c r="B6060" s="7"/>
      <c r="C6060" s="7"/>
      <c r="D6060" s="7"/>
      <c r="E6060" s="5"/>
      <c r="F6060" s="5"/>
      <c r="G6060" s="9"/>
      <c r="H6060" s="9"/>
      <c r="I6060" s="9"/>
    </row>
    <row r="6061" ht="14.25">
      <c r="A6061" s="5"/>
      <c r="B6061" s="7"/>
      <c r="C6061" s="7"/>
      <c r="D6061" s="7"/>
      <c r="E6061" s="5"/>
      <c r="F6061" s="5"/>
      <c r="G6061" s="9"/>
      <c r="H6061" s="9"/>
      <c r="I6061" s="9"/>
    </row>
    <row r="6062" ht="14.25">
      <c r="A6062" s="5"/>
      <c r="B6062" s="7"/>
      <c r="C6062" s="7"/>
      <c r="D6062" s="7"/>
      <c r="E6062" s="5"/>
      <c r="F6062" s="5"/>
      <c r="G6062" s="9"/>
      <c r="H6062" s="9"/>
      <c r="I6062" s="9"/>
    </row>
    <row r="6063" ht="14.25">
      <c r="A6063" s="5"/>
      <c r="B6063" s="7"/>
      <c r="C6063" s="7"/>
      <c r="D6063" s="7"/>
      <c r="E6063" s="5"/>
      <c r="F6063" s="5"/>
      <c r="G6063" s="9"/>
      <c r="H6063" s="9"/>
      <c r="I6063" s="9"/>
    </row>
    <row r="6064" ht="14.25">
      <c r="A6064" s="5"/>
      <c r="B6064" s="7"/>
      <c r="C6064" s="7"/>
      <c r="D6064" s="7"/>
      <c r="E6064" s="5"/>
      <c r="F6064" s="5"/>
      <c r="G6064" s="9"/>
      <c r="H6064" s="9"/>
      <c r="I6064" s="9"/>
    </row>
    <row r="6065" ht="14.25">
      <c r="A6065" s="5"/>
      <c r="B6065" s="7"/>
      <c r="C6065" s="7"/>
      <c r="D6065" s="7"/>
      <c r="E6065" s="5"/>
      <c r="F6065" s="5"/>
      <c r="G6065" s="9"/>
      <c r="H6065" s="9"/>
      <c r="I6065" s="9"/>
    </row>
    <row r="6066" ht="14.25">
      <c r="A6066" s="5"/>
      <c r="B6066" s="7"/>
      <c r="C6066" s="7"/>
      <c r="D6066" s="7"/>
      <c r="E6066" s="5"/>
      <c r="F6066" s="5"/>
      <c r="G6066" s="9"/>
      <c r="H6066" s="9"/>
      <c r="I6066" s="9"/>
    </row>
    <row r="6067" ht="14.25">
      <c r="A6067" s="5"/>
      <c r="B6067" s="7"/>
      <c r="C6067" s="7"/>
      <c r="D6067" s="7"/>
      <c r="E6067" s="5"/>
      <c r="F6067" s="5"/>
      <c r="G6067" s="9"/>
      <c r="H6067" s="9"/>
      <c r="I6067" s="9"/>
    </row>
    <row r="6068" ht="14.25">
      <c r="A6068" s="5"/>
      <c r="B6068" s="7"/>
      <c r="C6068" s="7"/>
      <c r="D6068" s="7"/>
      <c r="E6068" s="5"/>
      <c r="F6068" s="5"/>
      <c r="G6068" s="9"/>
      <c r="H6068" s="9"/>
      <c r="I6068" s="9"/>
    </row>
    <row r="6069" ht="14.25">
      <c r="A6069" s="5"/>
      <c r="B6069" s="7"/>
      <c r="C6069" s="7"/>
      <c r="D6069" s="7"/>
      <c r="E6069" s="5"/>
      <c r="F6069" s="5"/>
      <c r="G6069" s="9"/>
      <c r="H6069" s="9"/>
      <c r="I6069" s="9"/>
    </row>
    <row r="6070" ht="14.25">
      <c r="A6070" s="5"/>
      <c r="B6070" s="7"/>
      <c r="C6070" s="7"/>
      <c r="D6070" s="7"/>
      <c r="E6070" s="5"/>
      <c r="F6070" s="5"/>
      <c r="G6070" s="9"/>
      <c r="H6070" s="9"/>
      <c r="I6070" s="9"/>
    </row>
    <row r="6071" ht="14.25">
      <c r="A6071" s="5"/>
      <c r="B6071" s="7"/>
      <c r="C6071" s="7"/>
      <c r="D6071" s="7"/>
      <c r="E6071" s="5"/>
      <c r="F6071" s="5"/>
      <c r="G6071" s="9"/>
      <c r="H6071" s="9"/>
      <c r="I6071" s="9"/>
    </row>
    <row r="6072" ht="14.25">
      <c r="A6072" s="5"/>
      <c r="B6072" s="7"/>
      <c r="C6072" s="7"/>
      <c r="D6072" s="7"/>
      <c r="E6072" s="5"/>
      <c r="F6072" s="5"/>
      <c r="G6072" s="9"/>
      <c r="H6072" s="9"/>
      <c r="I6072" s="9"/>
    </row>
    <row r="6073" ht="14.25">
      <c r="A6073" s="5"/>
      <c r="B6073" s="7"/>
      <c r="C6073" s="7"/>
      <c r="D6073" s="7"/>
      <c r="E6073" s="5"/>
      <c r="F6073" s="5"/>
      <c r="G6073" s="9"/>
      <c r="H6073" s="9"/>
      <c r="I6073" s="9"/>
    </row>
    <row r="6074" ht="14.25">
      <c r="A6074" s="5"/>
      <c r="B6074" s="7"/>
      <c r="C6074" s="7"/>
      <c r="D6074" s="7"/>
      <c r="E6074" s="5"/>
      <c r="F6074" s="5"/>
      <c r="G6074" s="9"/>
      <c r="H6074" s="9"/>
      <c r="I6074" s="9"/>
    </row>
    <row r="6075" ht="14.25">
      <c r="A6075" s="5"/>
      <c r="B6075" s="7"/>
      <c r="C6075" s="7"/>
      <c r="D6075" s="7"/>
      <c r="E6075" s="5"/>
      <c r="F6075" s="5"/>
      <c r="G6075" s="9"/>
      <c r="H6075" s="9"/>
      <c r="I6075" s="9"/>
    </row>
    <row r="6076" ht="14.25">
      <c r="A6076" s="5"/>
      <c r="B6076" s="7"/>
      <c r="C6076" s="7"/>
      <c r="D6076" s="7"/>
      <c r="E6076" s="5"/>
      <c r="F6076" s="5"/>
      <c r="G6076" s="9"/>
      <c r="H6076" s="9"/>
      <c r="I6076" s="9"/>
    </row>
    <row r="6077" ht="14.25">
      <c r="A6077" s="5"/>
      <c r="B6077" s="7"/>
      <c r="C6077" s="7"/>
      <c r="D6077" s="7"/>
      <c r="E6077" s="5"/>
      <c r="F6077" s="5"/>
      <c r="G6077" s="9"/>
      <c r="H6077" s="9"/>
      <c r="I6077" s="9"/>
    </row>
    <row r="6078" ht="14.25">
      <c r="A6078" s="5"/>
      <c r="B6078" s="7"/>
      <c r="C6078" s="7"/>
      <c r="D6078" s="7"/>
      <c r="E6078" s="5"/>
      <c r="F6078" s="5"/>
      <c r="G6078" s="9"/>
      <c r="H6078" s="9"/>
      <c r="I6078" s="9"/>
    </row>
    <row r="6079" ht="14.25">
      <c r="A6079" s="5"/>
      <c r="B6079" s="7"/>
      <c r="C6079" s="7"/>
      <c r="D6079" s="7"/>
      <c r="E6079" s="5"/>
      <c r="F6079" s="5"/>
      <c r="G6079" s="9"/>
      <c r="H6079" s="9"/>
      <c r="I6079" s="9"/>
    </row>
    <row r="6080" ht="14.25">
      <c r="A6080" s="5"/>
      <c r="B6080" s="7"/>
      <c r="C6080" s="7"/>
      <c r="D6080" s="7"/>
      <c r="E6080" s="5"/>
      <c r="F6080" s="5"/>
      <c r="G6080" s="9"/>
      <c r="H6080" s="9"/>
      <c r="I6080" s="9"/>
    </row>
    <row r="6081" ht="14.25">
      <c r="A6081" s="5"/>
      <c r="B6081" s="7"/>
      <c r="C6081" s="7"/>
      <c r="D6081" s="7"/>
      <c r="E6081" s="5"/>
      <c r="F6081" s="5"/>
      <c r="G6081" s="9"/>
      <c r="H6081" s="9"/>
      <c r="I6081" s="9"/>
    </row>
    <row r="6082" ht="14.25">
      <c r="A6082" s="5"/>
      <c r="B6082" s="7"/>
      <c r="C6082" s="7"/>
      <c r="D6082" s="7"/>
      <c r="E6082" s="5"/>
      <c r="F6082" s="5"/>
      <c r="G6082" s="9"/>
      <c r="H6082" s="9"/>
      <c r="I6082" s="9"/>
    </row>
    <row r="6083" ht="14.25">
      <c r="A6083" s="5"/>
      <c r="B6083" s="7"/>
      <c r="C6083" s="7"/>
      <c r="D6083" s="7"/>
      <c r="E6083" s="5"/>
      <c r="F6083" s="5"/>
      <c r="G6083" s="9"/>
      <c r="H6083" s="9"/>
      <c r="I6083" s="9"/>
    </row>
    <row r="6084" ht="14.25">
      <c r="A6084" s="5"/>
      <c r="B6084" s="7"/>
      <c r="C6084" s="7"/>
      <c r="D6084" s="7"/>
      <c r="E6084" s="5"/>
      <c r="F6084" s="5"/>
      <c r="G6084" s="9"/>
      <c r="H6084" s="9"/>
      <c r="I6084" s="9"/>
    </row>
    <row r="6085" ht="14.25">
      <c r="A6085" s="5"/>
      <c r="B6085" s="7"/>
      <c r="C6085" s="7"/>
      <c r="D6085" s="7"/>
      <c r="E6085" s="5"/>
      <c r="F6085" s="5"/>
      <c r="G6085" s="9"/>
      <c r="H6085" s="9"/>
      <c r="I6085" s="9"/>
    </row>
    <row r="6086" ht="14.25">
      <c r="A6086" s="5"/>
      <c r="B6086" s="7"/>
      <c r="C6086" s="7"/>
      <c r="D6086" s="7"/>
      <c r="E6086" s="5"/>
      <c r="F6086" s="5"/>
      <c r="G6086" s="9"/>
      <c r="H6086" s="9"/>
      <c r="I6086" s="9"/>
    </row>
    <row r="6087" ht="14.25">
      <c r="A6087" s="5"/>
      <c r="B6087" s="7"/>
      <c r="C6087" s="7"/>
      <c r="D6087" s="7"/>
      <c r="E6087" s="5"/>
      <c r="F6087" s="5"/>
      <c r="G6087" s="9"/>
      <c r="H6087" s="9"/>
      <c r="I6087" s="9"/>
    </row>
    <row r="6088" ht="14.25">
      <c r="A6088" s="5"/>
      <c r="B6088" s="7"/>
      <c r="C6088" s="7"/>
      <c r="D6088" s="7"/>
      <c r="E6088" s="5"/>
      <c r="F6088" s="5"/>
      <c r="G6088" s="9"/>
      <c r="H6088" s="9"/>
      <c r="I6088" s="9"/>
    </row>
    <row r="6089" ht="14.25">
      <c r="A6089" s="5"/>
      <c r="B6089" s="7"/>
      <c r="C6089" s="7"/>
      <c r="D6089" s="7"/>
      <c r="E6089" s="5"/>
      <c r="F6089" s="5"/>
      <c r="G6089" s="9"/>
      <c r="H6089" s="9"/>
      <c r="I6089" s="9"/>
    </row>
    <row r="6090" ht="14.25">
      <c r="A6090" s="5"/>
      <c r="B6090" s="7"/>
      <c r="C6090" s="7"/>
      <c r="D6090" s="7"/>
      <c r="E6090" s="5"/>
      <c r="F6090" s="5"/>
      <c r="G6090" s="9"/>
      <c r="H6090" s="9"/>
      <c r="I6090" s="9"/>
    </row>
    <row r="6091" ht="14.25">
      <c r="A6091" s="5"/>
      <c r="B6091" s="7"/>
      <c r="C6091" s="7"/>
      <c r="D6091" s="7"/>
      <c r="E6091" s="5"/>
      <c r="F6091" s="5"/>
      <c r="G6091" s="9"/>
      <c r="H6091" s="9"/>
      <c r="I6091" s="9"/>
    </row>
    <row r="6092" ht="14.25">
      <c r="A6092" s="5"/>
      <c r="B6092" s="7"/>
      <c r="C6092" s="7"/>
      <c r="D6092" s="7"/>
      <c r="E6092" s="5"/>
      <c r="F6092" s="5"/>
      <c r="G6092" s="9"/>
      <c r="H6092" s="9"/>
      <c r="I6092" s="9"/>
    </row>
    <row r="6093" ht="14.25">
      <c r="A6093" s="5"/>
      <c r="B6093" s="7"/>
      <c r="C6093" s="7"/>
      <c r="D6093" s="7"/>
      <c r="E6093" s="5"/>
      <c r="F6093" s="5"/>
      <c r="G6093" s="9"/>
      <c r="H6093" s="9"/>
      <c r="I6093" s="9"/>
    </row>
    <row r="6094" ht="14.25">
      <c r="A6094" s="5"/>
      <c r="B6094" s="7"/>
      <c r="C6094" s="7"/>
      <c r="D6094" s="7"/>
      <c r="E6094" s="5"/>
      <c r="F6094" s="5"/>
      <c r="G6094" s="9"/>
      <c r="H6094" s="9"/>
      <c r="I6094" s="9"/>
    </row>
    <row r="6095" ht="14.25">
      <c r="A6095" s="5"/>
      <c r="B6095" s="7"/>
      <c r="C6095" s="7"/>
      <c r="D6095" s="7"/>
      <c r="E6095" s="5"/>
      <c r="F6095" s="5"/>
      <c r="G6095" s="9"/>
      <c r="H6095" s="9"/>
      <c r="I6095" s="9"/>
    </row>
    <row r="6096" ht="14.25">
      <c r="A6096" s="5"/>
      <c r="B6096" s="7"/>
      <c r="C6096" s="7"/>
      <c r="D6096" s="7"/>
      <c r="E6096" s="5"/>
      <c r="F6096" s="5"/>
      <c r="G6096" s="9"/>
      <c r="H6096" s="9"/>
      <c r="I6096" s="9"/>
    </row>
    <row r="6097" ht="14.25">
      <c r="A6097" s="5"/>
      <c r="B6097" s="7"/>
      <c r="C6097" s="7"/>
      <c r="D6097" s="7"/>
      <c r="E6097" s="5"/>
      <c r="F6097" s="5"/>
      <c r="G6097" s="9"/>
      <c r="H6097" s="9"/>
      <c r="I6097" s="9"/>
    </row>
    <row r="6098" ht="14.25">
      <c r="A6098" s="5"/>
      <c r="B6098" s="7"/>
      <c r="C6098" s="7"/>
      <c r="D6098" s="7"/>
      <c r="E6098" s="5"/>
      <c r="F6098" s="5"/>
      <c r="G6098" s="9"/>
      <c r="H6098" s="9"/>
      <c r="I6098" s="9"/>
    </row>
    <row r="6099" ht="14.25">
      <c r="A6099" s="5"/>
      <c r="B6099" s="7"/>
      <c r="C6099" s="7"/>
      <c r="D6099" s="7"/>
      <c r="E6099" s="5"/>
      <c r="F6099" s="5"/>
      <c r="G6099" s="9"/>
      <c r="H6099" s="9"/>
      <c r="I6099" s="9"/>
    </row>
    <row r="6100" ht="14.25">
      <c r="A6100" s="5"/>
      <c r="B6100" s="7"/>
      <c r="C6100" s="7"/>
      <c r="D6100" s="7"/>
      <c r="E6100" s="5"/>
      <c r="F6100" s="5"/>
      <c r="G6100" s="9"/>
      <c r="H6100" s="9"/>
      <c r="I6100" s="9"/>
    </row>
    <row r="6101" ht="14.25">
      <c r="A6101" s="5"/>
      <c r="B6101" s="7"/>
      <c r="C6101" s="7"/>
      <c r="D6101" s="7"/>
      <c r="E6101" s="5"/>
      <c r="F6101" s="5"/>
      <c r="G6101" s="9"/>
      <c r="H6101" s="9"/>
      <c r="I6101" s="9"/>
    </row>
    <row r="6102" ht="14.25">
      <c r="A6102" s="5"/>
      <c r="B6102" s="7"/>
      <c r="C6102" s="7"/>
      <c r="D6102" s="7"/>
      <c r="E6102" s="5"/>
      <c r="F6102" s="5"/>
      <c r="G6102" s="9"/>
      <c r="H6102" s="9"/>
      <c r="I6102" s="9"/>
    </row>
    <row r="6103" ht="14.25">
      <c r="A6103" s="5"/>
      <c r="B6103" s="7"/>
      <c r="C6103" s="7"/>
      <c r="D6103" s="7"/>
      <c r="E6103" s="5"/>
      <c r="F6103" s="5"/>
      <c r="G6103" s="9"/>
      <c r="H6103" s="9"/>
      <c r="I6103" s="9"/>
    </row>
    <row r="6104" ht="14.25">
      <c r="A6104" s="5"/>
      <c r="B6104" s="7"/>
      <c r="C6104" s="7"/>
      <c r="D6104" s="7"/>
      <c r="E6104" s="5"/>
      <c r="F6104" s="5"/>
      <c r="G6104" s="9"/>
      <c r="H6104" s="9"/>
      <c r="I6104" s="9"/>
    </row>
    <row r="6105" ht="14.25">
      <c r="A6105" s="5"/>
      <c r="B6105" s="7"/>
      <c r="C6105" s="7"/>
      <c r="D6105" s="7"/>
      <c r="E6105" s="5"/>
      <c r="F6105" s="5"/>
      <c r="G6105" s="9"/>
      <c r="H6105" s="9"/>
      <c r="I6105" s="9"/>
    </row>
    <row r="6106" ht="14.25">
      <c r="A6106" s="5"/>
      <c r="B6106" s="7"/>
      <c r="C6106" s="7"/>
      <c r="D6106" s="7"/>
      <c r="E6106" s="5"/>
      <c r="F6106" s="5"/>
      <c r="G6106" s="9"/>
      <c r="H6106" s="9"/>
      <c r="I6106" s="9"/>
    </row>
    <row r="6107" ht="14.25">
      <c r="A6107" s="5"/>
      <c r="B6107" s="7"/>
      <c r="C6107" s="7"/>
      <c r="D6107" s="7"/>
      <c r="E6107" s="5"/>
      <c r="F6107" s="5"/>
      <c r="G6107" s="9"/>
      <c r="H6107" s="9"/>
      <c r="I6107" s="9"/>
    </row>
    <row r="6108" ht="14.25">
      <c r="A6108" s="5"/>
      <c r="B6108" s="7"/>
      <c r="C6108" s="7"/>
      <c r="D6108" s="7"/>
      <c r="E6108" s="5"/>
      <c r="F6108" s="5"/>
      <c r="G6108" s="9"/>
      <c r="H6108" s="9"/>
      <c r="I6108" s="9"/>
    </row>
    <row r="6109" ht="14.25">
      <c r="A6109" s="5"/>
      <c r="B6109" s="7"/>
      <c r="C6109" s="7"/>
      <c r="D6109" s="7"/>
      <c r="E6109" s="5"/>
      <c r="F6109" s="5"/>
      <c r="G6109" s="9"/>
      <c r="H6109" s="9"/>
      <c r="I6109" s="9"/>
    </row>
    <row r="6110" ht="14.25">
      <c r="A6110" s="5"/>
      <c r="B6110" s="7"/>
      <c r="C6110" s="7"/>
      <c r="D6110" s="7"/>
      <c r="E6110" s="5"/>
      <c r="F6110" s="5"/>
      <c r="G6110" s="9"/>
      <c r="H6110" s="9"/>
      <c r="I6110" s="9"/>
    </row>
    <row r="6111" ht="14.25">
      <c r="A6111" s="5"/>
      <c r="B6111" s="7"/>
      <c r="C6111" s="7"/>
      <c r="D6111" s="7"/>
      <c r="E6111" s="5"/>
      <c r="F6111" s="5"/>
      <c r="G6111" s="9"/>
      <c r="H6111" s="9"/>
      <c r="I6111" s="9"/>
    </row>
    <row r="6112" ht="14.25">
      <c r="A6112" s="5"/>
      <c r="B6112" s="7"/>
      <c r="C6112" s="7"/>
      <c r="D6112" s="7"/>
      <c r="E6112" s="5"/>
      <c r="F6112" s="5"/>
      <c r="G6112" s="9"/>
      <c r="H6112" s="9"/>
      <c r="I6112" s="9"/>
    </row>
    <row r="6113" ht="14.25">
      <c r="A6113" s="5"/>
      <c r="B6113" s="7"/>
      <c r="C6113" s="7"/>
      <c r="D6113" s="7"/>
      <c r="E6113" s="5"/>
      <c r="F6113" s="5"/>
      <c r="G6113" s="9"/>
      <c r="H6113" s="9"/>
      <c r="I6113" s="9"/>
    </row>
    <row r="6114" ht="14.25">
      <c r="A6114" s="5"/>
      <c r="B6114" s="7"/>
      <c r="C6114" s="7"/>
      <c r="D6114" s="7"/>
      <c r="E6114" s="5"/>
      <c r="F6114" s="5"/>
      <c r="G6114" s="9"/>
      <c r="H6114" s="9"/>
      <c r="I6114" s="9"/>
    </row>
    <row r="6115" ht="14.25">
      <c r="A6115" s="5"/>
      <c r="B6115" s="7"/>
      <c r="C6115" s="7"/>
      <c r="D6115" s="7"/>
      <c r="E6115" s="5"/>
      <c r="F6115" s="5"/>
      <c r="G6115" s="9"/>
      <c r="H6115" s="9"/>
      <c r="I6115" s="9"/>
    </row>
    <row r="6116" ht="14.25">
      <c r="A6116" s="5"/>
      <c r="B6116" s="7"/>
      <c r="C6116" s="7"/>
      <c r="D6116" s="7"/>
      <c r="E6116" s="5"/>
      <c r="F6116" s="5"/>
      <c r="G6116" s="9"/>
      <c r="H6116" s="9"/>
      <c r="I6116" s="9"/>
    </row>
    <row r="6117" ht="14.25">
      <c r="A6117" s="5"/>
      <c r="B6117" s="7"/>
      <c r="C6117" s="7"/>
      <c r="D6117" s="7"/>
      <c r="E6117" s="5"/>
      <c r="F6117" s="5"/>
      <c r="G6117" s="9"/>
      <c r="H6117" s="9"/>
      <c r="I6117" s="9"/>
    </row>
    <row r="6118" ht="14.25">
      <c r="A6118" s="5"/>
      <c r="B6118" s="7"/>
      <c r="C6118" s="7"/>
      <c r="D6118" s="7"/>
      <c r="E6118" s="5"/>
      <c r="F6118" s="5"/>
      <c r="G6118" s="9"/>
      <c r="H6118" s="9"/>
      <c r="I6118" s="9"/>
    </row>
    <row r="6119" ht="14.25">
      <c r="A6119" s="5"/>
      <c r="B6119" s="7"/>
      <c r="C6119" s="7"/>
      <c r="D6119" s="7"/>
      <c r="E6119" s="5"/>
      <c r="F6119" s="5"/>
      <c r="G6119" s="9"/>
      <c r="H6119" s="9"/>
      <c r="I6119" s="9"/>
    </row>
    <row r="6120" ht="14.25">
      <c r="A6120" s="5"/>
      <c r="B6120" s="7"/>
      <c r="C6120" s="7"/>
      <c r="D6120" s="7"/>
      <c r="E6120" s="5"/>
      <c r="F6120" s="5"/>
      <c r="G6120" s="9"/>
      <c r="H6120" s="9"/>
      <c r="I6120" s="9"/>
    </row>
    <row r="6121" ht="14.25">
      <c r="A6121" s="5"/>
      <c r="B6121" s="7"/>
      <c r="C6121" s="7"/>
      <c r="D6121" s="7"/>
      <c r="E6121" s="5"/>
      <c r="F6121" s="5"/>
      <c r="G6121" s="9"/>
      <c r="H6121" s="9"/>
      <c r="I6121" s="9"/>
    </row>
    <row r="6122" ht="14.25">
      <c r="A6122" s="5"/>
      <c r="B6122" s="7"/>
      <c r="C6122" s="7"/>
      <c r="D6122" s="7"/>
      <c r="E6122" s="5"/>
      <c r="F6122" s="5"/>
      <c r="G6122" s="9"/>
      <c r="H6122" s="9"/>
      <c r="I6122" s="9"/>
    </row>
    <row r="6123" ht="14.25">
      <c r="A6123" s="5"/>
      <c r="B6123" s="7"/>
      <c r="C6123" s="7"/>
      <c r="D6123" s="7"/>
      <c r="E6123" s="5"/>
      <c r="F6123" s="5"/>
      <c r="G6123" s="9"/>
      <c r="H6123" s="9"/>
      <c r="I6123" s="9"/>
    </row>
    <row r="6124" ht="14.25">
      <c r="A6124" s="5"/>
      <c r="B6124" s="7"/>
      <c r="C6124" s="7"/>
      <c r="D6124" s="7"/>
      <c r="E6124" s="5"/>
      <c r="F6124" s="5"/>
      <c r="G6124" s="9"/>
      <c r="H6124" s="9"/>
      <c r="I6124" s="9"/>
    </row>
    <row r="6125" ht="14.25">
      <c r="A6125" s="5"/>
      <c r="B6125" s="7"/>
      <c r="C6125" s="7"/>
      <c r="D6125" s="7"/>
      <c r="E6125" s="5"/>
      <c r="F6125" s="5"/>
      <c r="G6125" s="9"/>
      <c r="H6125" s="9"/>
      <c r="I6125" s="9"/>
    </row>
    <row r="6126" ht="14.25">
      <c r="A6126" s="5"/>
      <c r="B6126" s="7"/>
      <c r="C6126" s="7"/>
      <c r="D6126" s="7"/>
      <c r="E6126" s="5"/>
      <c r="F6126" s="5"/>
      <c r="G6126" s="9"/>
      <c r="H6126" s="9"/>
      <c r="I6126" s="9"/>
    </row>
    <row r="6127" ht="14.25">
      <c r="A6127" s="5"/>
      <c r="B6127" s="7"/>
      <c r="C6127" s="7"/>
      <c r="D6127" s="7"/>
      <c r="E6127" s="5"/>
      <c r="F6127" s="5"/>
      <c r="G6127" s="9"/>
      <c r="H6127" s="9"/>
      <c r="I6127" s="9"/>
    </row>
    <row r="6128" ht="14.25">
      <c r="A6128" s="5"/>
      <c r="B6128" s="7"/>
      <c r="C6128" s="7"/>
      <c r="D6128" s="7"/>
      <c r="E6128" s="5"/>
      <c r="F6128" s="5"/>
      <c r="G6128" s="9"/>
      <c r="H6128" s="9"/>
      <c r="I6128" s="9"/>
    </row>
    <row r="6129" ht="14.25">
      <c r="A6129" s="5"/>
      <c r="B6129" s="7"/>
      <c r="C6129" s="7"/>
      <c r="D6129" s="7"/>
      <c r="E6129" s="5"/>
      <c r="F6129" s="5"/>
      <c r="G6129" s="9"/>
      <c r="H6129" s="9"/>
      <c r="I6129" s="9"/>
    </row>
    <row r="6130" ht="14.25">
      <c r="A6130" s="5"/>
      <c r="B6130" s="7"/>
      <c r="C6130" s="7"/>
      <c r="D6130" s="7"/>
      <c r="E6130" s="5"/>
      <c r="F6130" s="5"/>
      <c r="G6130" s="9"/>
      <c r="H6130" s="9"/>
      <c r="I6130" s="9"/>
    </row>
    <row r="6131" ht="14.25">
      <c r="A6131" s="5"/>
      <c r="B6131" s="7"/>
      <c r="C6131" s="7"/>
      <c r="D6131" s="7"/>
      <c r="E6131" s="5"/>
      <c r="F6131" s="5"/>
      <c r="G6131" s="9"/>
      <c r="H6131" s="9"/>
      <c r="I6131" s="9"/>
    </row>
    <row r="6132" ht="14.25">
      <c r="A6132" s="5"/>
      <c r="B6132" s="7"/>
      <c r="C6132" s="7"/>
      <c r="D6132" s="7"/>
      <c r="E6132" s="5"/>
      <c r="F6132" s="5"/>
      <c r="G6132" s="9"/>
      <c r="H6132" s="9"/>
      <c r="I6132" s="9"/>
    </row>
    <row r="6133" ht="14.25">
      <c r="A6133" s="5"/>
      <c r="B6133" s="7"/>
      <c r="C6133" s="7"/>
      <c r="D6133" s="7"/>
      <c r="E6133" s="5"/>
      <c r="F6133" s="5"/>
      <c r="G6133" s="9"/>
      <c r="H6133" s="9"/>
      <c r="I6133" s="9"/>
    </row>
    <row r="6134" ht="14.25">
      <c r="A6134" s="5"/>
      <c r="B6134" s="7"/>
      <c r="C6134" s="7"/>
      <c r="D6134" s="7"/>
      <c r="E6134" s="5"/>
      <c r="F6134" s="5"/>
      <c r="G6134" s="9"/>
      <c r="H6134" s="9"/>
      <c r="I6134" s="9"/>
    </row>
    <row r="6135" ht="14.25">
      <c r="A6135" s="5"/>
      <c r="B6135" s="7"/>
      <c r="C6135" s="7"/>
      <c r="D6135" s="7"/>
      <c r="E6135" s="5"/>
      <c r="F6135" s="5"/>
      <c r="G6135" s="9"/>
      <c r="H6135" s="9"/>
      <c r="I6135" s="9"/>
    </row>
    <row r="6136" ht="14.25">
      <c r="A6136" s="5"/>
      <c r="B6136" s="7"/>
      <c r="C6136" s="7"/>
      <c r="D6136" s="7"/>
      <c r="E6136" s="5"/>
      <c r="F6136" s="5"/>
      <c r="G6136" s="9"/>
      <c r="H6136" s="9"/>
      <c r="I6136" s="9"/>
    </row>
    <row r="6137" ht="14.25">
      <c r="A6137" s="5"/>
      <c r="B6137" s="7"/>
      <c r="C6137" s="7"/>
      <c r="D6137" s="7"/>
      <c r="E6137" s="5"/>
      <c r="F6137" s="5"/>
      <c r="G6137" s="9"/>
      <c r="H6137" s="9"/>
      <c r="I6137" s="9"/>
    </row>
    <row r="6138" ht="14.25">
      <c r="A6138" s="5"/>
      <c r="B6138" s="7"/>
      <c r="C6138" s="7"/>
      <c r="D6138" s="7"/>
      <c r="E6138" s="5"/>
      <c r="F6138" s="5"/>
      <c r="G6138" s="9"/>
      <c r="H6138" s="9"/>
      <c r="I6138" s="9"/>
    </row>
    <row r="6139" ht="14.25">
      <c r="A6139" s="5"/>
      <c r="B6139" s="7"/>
      <c r="C6139" s="7"/>
      <c r="D6139" s="7"/>
      <c r="E6139" s="5"/>
      <c r="F6139" s="5"/>
      <c r="G6139" s="9"/>
      <c r="H6139" s="9"/>
      <c r="I6139" s="9"/>
    </row>
    <row r="6140" ht="14.25">
      <c r="A6140" s="5"/>
      <c r="B6140" s="7"/>
      <c r="C6140" s="7"/>
      <c r="D6140" s="7"/>
      <c r="E6140" s="5"/>
      <c r="F6140" s="5"/>
      <c r="G6140" s="9"/>
      <c r="H6140" s="9"/>
      <c r="I6140" s="9"/>
    </row>
    <row r="6141" ht="14.25">
      <c r="A6141" s="5"/>
      <c r="B6141" s="7"/>
      <c r="C6141" s="7"/>
      <c r="D6141" s="7"/>
      <c r="E6141" s="5"/>
      <c r="F6141" s="5"/>
      <c r="G6141" s="9"/>
      <c r="H6141" s="9"/>
      <c r="I6141" s="9"/>
    </row>
    <row r="6142" ht="14.25">
      <c r="A6142" s="5"/>
      <c r="B6142" s="7"/>
      <c r="C6142" s="7"/>
      <c r="D6142" s="7"/>
      <c r="E6142" s="5"/>
      <c r="F6142" s="5"/>
      <c r="G6142" s="9"/>
      <c r="H6142" s="9"/>
      <c r="I6142" s="9"/>
    </row>
    <row r="6143" ht="14.25">
      <c r="A6143" s="5"/>
      <c r="B6143" s="7"/>
      <c r="C6143" s="7"/>
      <c r="D6143" s="7"/>
      <c r="E6143" s="5"/>
      <c r="F6143" s="5"/>
      <c r="G6143" s="9"/>
      <c r="H6143" s="9"/>
      <c r="I6143" s="9"/>
    </row>
    <row r="6144" ht="14.25">
      <c r="A6144" s="5"/>
      <c r="B6144" s="7"/>
      <c r="C6144" s="7"/>
      <c r="D6144" s="7"/>
      <c r="E6144" s="5"/>
      <c r="F6144" s="5"/>
      <c r="G6144" s="9"/>
      <c r="H6144" s="9"/>
      <c r="I6144" s="9"/>
    </row>
    <row r="6145" ht="14.25">
      <c r="A6145" s="5"/>
      <c r="B6145" s="7"/>
      <c r="C6145" s="7"/>
      <c r="D6145" s="7"/>
      <c r="E6145" s="5"/>
      <c r="F6145" s="5"/>
      <c r="G6145" s="9"/>
      <c r="H6145" s="9"/>
      <c r="I6145" s="9"/>
    </row>
    <row r="6146" ht="14.25">
      <c r="A6146" s="5"/>
      <c r="B6146" s="7"/>
      <c r="C6146" s="7"/>
      <c r="D6146" s="7"/>
      <c r="E6146" s="5"/>
      <c r="F6146" s="5"/>
      <c r="G6146" s="9"/>
      <c r="H6146" s="9"/>
      <c r="I6146" s="9"/>
    </row>
    <row r="6147" ht="14.25">
      <c r="A6147" s="5"/>
      <c r="B6147" s="7"/>
      <c r="C6147" s="7"/>
      <c r="D6147" s="7"/>
      <c r="E6147" s="5"/>
      <c r="F6147" s="5"/>
      <c r="G6147" s="9"/>
      <c r="H6147" s="9"/>
      <c r="I6147" s="9"/>
    </row>
    <row r="6148" ht="14.25">
      <c r="A6148" s="5"/>
      <c r="B6148" s="7"/>
      <c r="C6148" s="7"/>
      <c r="D6148" s="7"/>
      <c r="E6148" s="5"/>
      <c r="F6148" s="5"/>
      <c r="G6148" s="9"/>
      <c r="H6148" s="9"/>
      <c r="I6148" s="9"/>
    </row>
    <row r="6149" ht="14.25">
      <c r="A6149" s="5"/>
      <c r="B6149" s="7"/>
      <c r="C6149" s="7"/>
      <c r="D6149" s="7"/>
      <c r="E6149" s="5"/>
      <c r="F6149" s="5"/>
      <c r="G6149" s="9"/>
      <c r="H6149" s="9"/>
      <c r="I6149" s="9"/>
    </row>
    <row r="6150" ht="14.25">
      <c r="A6150" s="5"/>
      <c r="B6150" s="7"/>
      <c r="C6150" s="7"/>
      <c r="D6150" s="7"/>
      <c r="E6150" s="5"/>
      <c r="F6150" s="5"/>
      <c r="G6150" s="9"/>
      <c r="H6150" s="9"/>
      <c r="I6150" s="9"/>
    </row>
    <row r="6151" ht="14.25">
      <c r="A6151" s="5"/>
      <c r="B6151" s="7"/>
      <c r="C6151" s="7"/>
      <c r="D6151" s="7"/>
      <c r="E6151" s="5"/>
      <c r="F6151" s="5"/>
      <c r="G6151" s="9"/>
      <c r="H6151" s="9"/>
      <c r="I6151" s="9"/>
    </row>
    <row r="6152" ht="14.25">
      <c r="A6152" s="5"/>
      <c r="B6152" s="7"/>
      <c r="C6152" s="7"/>
      <c r="D6152" s="7"/>
      <c r="E6152" s="5"/>
      <c r="F6152" s="5"/>
      <c r="G6152" s="9"/>
      <c r="H6152" s="9"/>
      <c r="I6152" s="9"/>
    </row>
    <row r="6153" ht="14.25">
      <c r="A6153" s="5"/>
      <c r="B6153" s="7"/>
      <c r="C6153" s="7"/>
      <c r="D6153" s="7"/>
      <c r="E6153" s="5"/>
      <c r="F6153" s="5"/>
      <c r="G6153" s="9"/>
      <c r="H6153" s="9"/>
      <c r="I6153" s="9"/>
    </row>
    <row r="6154" ht="14.25">
      <c r="A6154" s="5"/>
      <c r="B6154" s="7"/>
      <c r="C6154" s="7"/>
      <c r="D6154" s="7"/>
      <c r="E6154" s="5"/>
      <c r="F6154" s="5"/>
      <c r="G6154" s="9"/>
      <c r="H6154" s="9"/>
      <c r="I6154" s="9"/>
    </row>
    <row r="6155" ht="14.25">
      <c r="A6155" s="5"/>
      <c r="B6155" s="7"/>
      <c r="C6155" s="7"/>
      <c r="D6155" s="7"/>
      <c r="E6155" s="5"/>
      <c r="F6155" s="5"/>
      <c r="G6155" s="9"/>
      <c r="H6155" s="9"/>
      <c r="I6155" s="9"/>
    </row>
    <row r="6156" ht="14.25">
      <c r="A6156" s="5"/>
      <c r="B6156" s="7"/>
      <c r="C6156" s="7"/>
      <c r="D6156" s="7"/>
      <c r="E6156" s="5"/>
      <c r="F6156" s="5"/>
      <c r="G6156" s="9"/>
      <c r="H6156" s="9"/>
      <c r="I6156" s="9"/>
    </row>
    <row r="6157" ht="14.25">
      <c r="A6157" s="5"/>
      <c r="B6157" s="7"/>
      <c r="C6157" s="7"/>
      <c r="D6157" s="7"/>
      <c r="E6157" s="5"/>
      <c r="F6157" s="5"/>
      <c r="G6157" s="9"/>
      <c r="H6157" s="9"/>
      <c r="I6157" s="9"/>
    </row>
    <row r="6158" ht="14.25">
      <c r="A6158" s="5"/>
      <c r="B6158" s="7"/>
      <c r="C6158" s="7"/>
      <c r="D6158" s="7"/>
      <c r="E6158" s="5"/>
      <c r="F6158" s="5"/>
      <c r="G6158" s="9"/>
      <c r="H6158" s="9"/>
      <c r="I6158" s="9"/>
    </row>
    <row r="6159" ht="14.25">
      <c r="A6159" s="5"/>
      <c r="B6159" s="7"/>
      <c r="C6159" s="7"/>
      <c r="D6159" s="7"/>
      <c r="E6159" s="5"/>
      <c r="F6159" s="5"/>
      <c r="G6159" s="9"/>
      <c r="H6159" s="9"/>
      <c r="I6159" s="9"/>
    </row>
    <row r="6160" ht="14.25">
      <c r="A6160" s="5"/>
      <c r="B6160" s="7"/>
      <c r="C6160" s="7"/>
      <c r="D6160" s="7"/>
      <c r="E6160" s="5"/>
      <c r="F6160" s="5"/>
      <c r="G6160" s="9"/>
      <c r="H6160" s="9"/>
      <c r="I6160" s="9"/>
    </row>
    <row r="6161" ht="14.25">
      <c r="A6161" s="5"/>
      <c r="B6161" s="7"/>
      <c r="C6161" s="7"/>
      <c r="D6161" s="7"/>
      <c r="E6161" s="5"/>
      <c r="F6161" s="5"/>
      <c r="G6161" s="9"/>
      <c r="H6161" s="9"/>
      <c r="I6161" s="9"/>
    </row>
    <row r="6162" ht="14.25">
      <c r="A6162" s="5"/>
      <c r="B6162" s="7"/>
      <c r="C6162" s="7"/>
      <c r="D6162" s="7"/>
      <c r="E6162" s="5"/>
      <c r="F6162" s="5"/>
      <c r="G6162" s="9"/>
      <c r="H6162" s="9"/>
      <c r="I6162" s="9"/>
    </row>
    <row r="6163" ht="14.25">
      <c r="A6163" s="5"/>
      <c r="B6163" s="7"/>
      <c r="C6163" s="7"/>
      <c r="D6163" s="7"/>
      <c r="E6163" s="5"/>
      <c r="F6163" s="5"/>
      <c r="G6163" s="9"/>
      <c r="H6163" s="9"/>
      <c r="I6163" s="9"/>
    </row>
    <row r="6164" ht="14.25">
      <c r="A6164" s="5"/>
      <c r="B6164" s="7"/>
      <c r="C6164" s="7"/>
      <c r="D6164" s="7"/>
      <c r="E6164" s="5"/>
      <c r="F6164" s="5"/>
      <c r="G6164" s="9"/>
      <c r="H6164" s="9"/>
      <c r="I6164" s="9"/>
    </row>
    <row r="6165" ht="14.25">
      <c r="A6165" s="5"/>
      <c r="B6165" s="7"/>
      <c r="C6165" s="7"/>
      <c r="D6165" s="7"/>
      <c r="E6165" s="5"/>
      <c r="F6165" s="5"/>
      <c r="G6165" s="9"/>
      <c r="H6165" s="9"/>
      <c r="I6165" s="9"/>
    </row>
    <row r="6166" ht="14.25">
      <c r="A6166" s="5"/>
      <c r="B6166" s="7"/>
      <c r="C6166" s="7"/>
      <c r="D6166" s="7"/>
      <c r="E6166" s="5"/>
      <c r="F6166" s="5"/>
      <c r="G6166" s="9"/>
      <c r="H6166" s="9"/>
      <c r="I6166" s="9"/>
    </row>
    <row r="6167" ht="14.25">
      <c r="A6167" s="5"/>
      <c r="B6167" s="7"/>
      <c r="C6167" s="7"/>
      <c r="D6167" s="7"/>
      <c r="E6167" s="5"/>
      <c r="F6167" s="5"/>
      <c r="G6167" s="9"/>
      <c r="H6167" s="9"/>
      <c r="I6167" s="9"/>
    </row>
    <row r="6168" ht="14.25">
      <c r="A6168" s="5"/>
      <c r="B6168" s="7"/>
      <c r="C6168" s="7"/>
      <c r="D6168" s="7"/>
      <c r="E6168" s="5"/>
      <c r="F6168" s="5"/>
      <c r="G6168" s="9"/>
      <c r="H6168" s="9"/>
      <c r="I6168" s="9"/>
    </row>
    <row r="6169" ht="14.25">
      <c r="A6169" s="5"/>
      <c r="B6169" s="7"/>
      <c r="C6169" s="7"/>
      <c r="D6169" s="7"/>
      <c r="E6169" s="5"/>
      <c r="F6169" s="5"/>
      <c r="G6169" s="9"/>
      <c r="H6169" s="9"/>
      <c r="I6169" s="9"/>
    </row>
    <row r="6170" ht="14.25">
      <c r="A6170" s="5"/>
      <c r="B6170" s="7"/>
      <c r="C6170" s="7"/>
      <c r="D6170" s="7"/>
      <c r="E6170" s="5"/>
      <c r="F6170" s="5"/>
      <c r="G6170" s="9"/>
      <c r="H6170" s="9"/>
      <c r="I6170" s="9"/>
    </row>
    <row r="6171" ht="14.25">
      <c r="A6171" s="5"/>
      <c r="B6171" s="7"/>
      <c r="C6171" s="7"/>
      <c r="D6171" s="7"/>
      <c r="E6171" s="5"/>
      <c r="F6171" s="5"/>
      <c r="G6171" s="9"/>
      <c r="H6171" s="9"/>
      <c r="I6171" s="9"/>
    </row>
    <row r="6172" ht="14.25">
      <c r="A6172" s="5"/>
      <c r="B6172" s="7"/>
      <c r="C6172" s="7"/>
      <c r="D6172" s="7"/>
      <c r="E6172" s="5"/>
      <c r="F6172" s="5"/>
      <c r="G6172" s="9"/>
      <c r="H6172" s="9"/>
      <c r="I6172" s="9"/>
    </row>
    <row r="6173" ht="14.25">
      <c r="A6173" s="5"/>
      <c r="B6173" s="7"/>
      <c r="C6173" s="7"/>
      <c r="D6173" s="7"/>
      <c r="E6173" s="5"/>
      <c r="F6173" s="5"/>
      <c r="G6173" s="9"/>
      <c r="H6173" s="9"/>
      <c r="I6173" s="9"/>
    </row>
    <row r="6174" ht="14.25">
      <c r="A6174" s="5"/>
      <c r="B6174" s="7"/>
      <c r="C6174" s="7"/>
      <c r="D6174" s="7"/>
      <c r="E6174" s="5"/>
      <c r="F6174" s="5"/>
      <c r="G6174" s="9"/>
      <c r="H6174" s="9"/>
      <c r="I6174" s="9"/>
    </row>
    <row r="6175" ht="14.25">
      <c r="A6175" s="5"/>
      <c r="B6175" s="7"/>
      <c r="C6175" s="7"/>
      <c r="D6175" s="7"/>
      <c r="E6175" s="5"/>
      <c r="F6175" s="5"/>
      <c r="G6175" s="9"/>
      <c r="H6175" s="9"/>
      <c r="I6175" s="9"/>
    </row>
    <row r="6176" ht="14.25">
      <c r="A6176" s="5"/>
      <c r="B6176" s="7"/>
      <c r="C6176" s="7"/>
      <c r="D6176" s="7"/>
      <c r="E6176" s="5"/>
      <c r="F6176" s="5"/>
      <c r="G6176" s="9"/>
      <c r="H6176" s="9"/>
      <c r="I6176" s="9"/>
    </row>
    <row r="6177" ht="14.25">
      <c r="A6177" s="5"/>
      <c r="B6177" s="7"/>
      <c r="C6177" s="7"/>
      <c r="D6177" s="7"/>
      <c r="E6177" s="5"/>
      <c r="F6177" s="5"/>
      <c r="G6177" s="9"/>
      <c r="H6177" s="9"/>
      <c r="I6177" s="9"/>
    </row>
    <row r="6178" ht="14.25">
      <c r="A6178" s="5"/>
      <c r="B6178" s="7"/>
      <c r="C6178" s="7"/>
      <c r="D6178" s="7"/>
      <c r="E6178" s="5"/>
      <c r="F6178" s="5"/>
      <c r="G6178" s="9"/>
      <c r="H6178" s="9"/>
      <c r="I6178" s="9"/>
    </row>
    <row r="6179" ht="14.25">
      <c r="A6179" s="5"/>
      <c r="B6179" s="7"/>
      <c r="C6179" s="7"/>
      <c r="D6179" s="7"/>
      <c r="E6179" s="5"/>
      <c r="F6179" s="5"/>
      <c r="G6179" s="9"/>
      <c r="H6179" s="9"/>
      <c r="I6179" s="9"/>
    </row>
    <row r="6180" ht="14.25">
      <c r="A6180" s="5"/>
      <c r="B6180" s="7"/>
      <c r="C6180" s="7"/>
      <c r="D6180" s="7"/>
      <c r="E6180" s="5"/>
      <c r="F6180" s="5"/>
      <c r="G6180" s="9"/>
      <c r="H6180" s="9"/>
      <c r="I6180" s="9"/>
    </row>
    <row r="6181" ht="14.25">
      <c r="A6181" s="5"/>
      <c r="B6181" s="7"/>
      <c r="C6181" s="7"/>
      <c r="D6181" s="7"/>
      <c r="E6181" s="5"/>
      <c r="F6181" s="5"/>
      <c r="G6181" s="9"/>
      <c r="H6181" s="9"/>
      <c r="I6181" s="9"/>
    </row>
    <row r="6182" ht="14.25">
      <c r="A6182" s="5"/>
      <c r="B6182" s="7"/>
      <c r="C6182" s="7"/>
      <c r="D6182" s="7"/>
      <c r="E6182" s="5"/>
      <c r="F6182" s="5"/>
      <c r="G6182" s="9"/>
      <c r="H6182" s="9"/>
      <c r="I6182" s="9"/>
    </row>
    <row r="6183" ht="14.25">
      <c r="A6183" s="5"/>
      <c r="B6183" s="7"/>
      <c r="C6183" s="7"/>
      <c r="D6183" s="7"/>
      <c r="E6183" s="5"/>
      <c r="F6183" s="5"/>
      <c r="G6183" s="9"/>
      <c r="H6183" s="9"/>
      <c r="I6183" s="9"/>
    </row>
    <row r="6184" ht="14.25">
      <c r="A6184" s="5"/>
      <c r="B6184" s="7"/>
      <c r="C6184" s="7"/>
      <c r="D6184" s="7"/>
      <c r="E6184" s="5"/>
      <c r="F6184" s="5"/>
      <c r="G6184" s="9"/>
      <c r="H6184" s="9"/>
      <c r="I6184" s="9"/>
    </row>
    <row r="6185" ht="14.25">
      <c r="A6185" s="5"/>
      <c r="B6185" s="7"/>
      <c r="C6185" s="7"/>
      <c r="D6185" s="7"/>
      <c r="E6185" s="5"/>
      <c r="F6185" s="5"/>
      <c r="G6185" s="9"/>
      <c r="H6185" s="9"/>
      <c r="I6185" s="9"/>
    </row>
    <row r="6186" ht="14.25">
      <c r="A6186" s="5"/>
      <c r="B6186" s="7"/>
      <c r="C6186" s="7"/>
      <c r="D6186" s="7"/>
      <c r="E6186" s="5"/>
      <c r="F6186" s="5"/>
      <c r="G6186" s="9"/>
      <c r="H6186" s="9"/>
      <c r="I6186" s="9"/>
    </row>
    <row r="6187" ht="14.25">
      <c r="A6187" s="5"/>
      <c r="B6187" s="7"/>
      <c r="C6187" s="7"/>
      <c r="D6187" s="7"/>
      <c r="E6187" s="5"/>
      <c r="F6187" s="5"/>
      <c r="G6187" s="9"/>
      <c r="H6187" s="9"/>
      <c r="I6187" s="9"/>
    </row>
    <row r="6188" ht="14.25">
      <c r="A6188" s="5"/>
      <c r="B6188" s="7"/>
      <c r="C6188" s="7"/>
      <c r="D6188" s="7"/>
      <c r="E6188" s="5"/>
      <c r="F6188" s="5"/>
      <c r="G6188" s="9"/>
      <c r="H6188" s="9"/>
      <c r="I6188" s="9"/>
    </row>
    <row r="6189" ht="14.25">
      <c r="A6189" s="5"/>
      <c r="B6189" s="7"/>
      <c r="C6189" s="7"/>
      <c r="D6189" s="7"/>
      <c r="E6189" s="5"/>
      <c r="F6189" s="5"/>
      <c r="G6189" s="9"/>
      <c r="H6189" s="9"/>
      <c r="I6189" s="9"/>
    </row>
    <row r="6190" ht="14.25">
      <c r="A6190" s="5"/>
      <c r="B6190" s="7"/>
      <c r="C6190" s="7"/>
      <c r="D6190" s="7"/>
      <c r="E6190" s="5"/>
      <c r="F6190" s="5"/>
      <c r="G6190" s="9"/>
      <c r="H6190" s="9"/>
      <c r="I6190" s="9"/>
    </row>
    <row r="6191" ht="14.25">
      <c r="A6191" s="5"/>
      <c r="B6191" s="7"/>
      <c r="C6191" s="7"/>
      <c r="D6191" s="7"/>
      <c r="E6191" s="5"/>
      <c r="F6191" s="5"/>
      <c r="G6191" s="9"/>
      <c r="H6191" s="9"/>
      <c r="I6191" s="9"/>
    </row>
    <row r="6192" ht="14.25">
      <c r="A6192" s="5"/>
      <c r="B6192" s="7"/>
      <c r="C6192" s="7"/>
      <c r="D6192" s="7"/>
      <c r="E6192" s="5"/>
      <c r="F6192" s="5"/>
      <c r="G6192" s="9"/>
      <c r="H6192" s="9"/>
      <c r="I6192" s="9"/>
    </row>
    <row r="6193" ht="14.25">
      <c r="A6193" s="5"/>
      <c r="B6193" s="7"/>
      <c r="C6193" s="7"/>
      <c r="D6193" s="7"/>
      <c r="E6193" s="5"/>
      <c r="F6193" s="5"/>
      <c r="G6193" s="9"/>
      <c r="H6193" s="9"/>
      <c r="I6193" s="9"/>
    </row>
    <row r="6194" ht="14.25">
      <c r="A6194" s="5"/>
      <c r="B6194" s="7"/>
      <c r="C6194" s="7"/>
      <c r="D6194" s="7"/>
      <c r="E6194" s="5"/>
      <c r="F6194" s="5"/>
      <c r="G6194" s="9"/>
      <c r="H6194" s="9"/>
      <c r="I6194" s="9"/>
    </row>
    <row r="6195" ht="14.25">
      <c r="A6195" s="5"/>
      <c r="B6195" s="7"/>
      <c r="C6195" s="7"/>
      <c r="D6195" s="7"/>
      <c r="E6195" s="5"/>
      <c r="F6195" s="5"/>
      <c r="G6195" s="9"/>
      <c r="H6195" s="9"/>
      <c r="I6195" s="9"/>
    </row>
    <row r="6196" ht="14.25">
      <c r="A6196" s="5"/>
      <c r="B6196" s="7"/>
      <c r="C6196" s="7"/>
      <c r="D6196" s="7"/>
      <c r="E6196" s="5"/>
      <c r="F6196" s="5"/>
      <c r="G6196" s="9"/>
      <c r="H6196" s="9"/>
      <c r="I6196" s="9"/>
    </row>
    <row r="6197" ht="14.25">
      <c r="A6197" s="5"/>
      <c r="B6197" s="7"/>
      <c r="C6197" s="7"/>
      <c r="D6197" s="7"/>
      <c r="E6197" s="5"/>
      <c r="F6197" s="5"/>
      <c r="G6197" s="9"/>
      <c r="H6197" s="9"/>
      <c r="I6197" s="9"/>
    </row>
    <row r="6198" ht="14.25">
      <c r="A6198" s="5"/>
      <c r="B6198" s="7"/>
      <c r="C6198" s="7"/>
      <c r="D6198" s="7"/>
      <c r="E6198" s="5"/>
      <c r="F6198" s="5"/>
      <c r="G6198" s="9"/>
      <c r="H6198" s="9"/>
      <c r="I6198" s="9"/>
    </row>
    <row r="6199" ht="14.25">
      <c r="A6199" s="5"/>
      <c r="B6199" s="7"/>
      <c r="C6199" s="7"/>
      <c r="D6199" s="7"/>
      <c r="E6199" s="5"/>
      <c r="F6199" s="5"/>
      <c r="G6199" s="9"/>
      <c r="H6199" s="9"/>
      <c r="I6199" s="9"/>
    </row>
    <row r="6200" ht="14.25">
      <c r="A6200" s="5"/>
      <c r="B6200" s="7"/>
      <c r="C6200" s="7"/>
      <c r="D6200" s="7"/>
      <c r="E6200" s="5"/>
      <c r="F6200" s="5"/>
      <c r="G6200" s="9"/>
      <c r="H6200" s="9"/>
      <c r="I6200" s="9"/>
    </row>
    <row r="6201" ht="14.25">
      <c r="A6201" s="5"/>
      <c r="B6201" s="7"/>
      <c r="C6201" s="7"/>
      <c r="D6201" s="7"/>
      <c r="E6201" s="5"/>
      <c r="F6201" s="5"/>
      <c r="G6201" s="9"/>
      <c r="H6201" s="9"/>
      <c r="I6201" s="9"/>
    </row>
    <row r="6202" ht="14.25">
      <c r="A6202" s="5"/>
      <c r="B6202" s="7"/>
      <c r="C6202" s="7"/>
      <c r="D6202" s="7"/>
      <c r="E6202" s="5"/>
      <c r="F6202" s="5"/>
      <c r="G6202" s="9"/>
      <c r="H6202" s="9"/>
      <c r="I6202" s="9"/>
    </row>
    <row r="6203" ht="14.25">
      <c r="A6203" s="5"/>
      <c r="B6203" s="7"/>
      <c r="C6203" s="7"/>
      <c r="D6203" s="7"/>
      <c r="E6203" s="5"/>
      <c r="F6203" s="5"/>
      <c r="G6203" s="9"/>
      <c r="H6203" s="9"/>
      <c r="I6203" s="9"/>
    </row>
    <row r="6204" ht="14.25">
      <c r="A6204" s="5"/>
      <c r="B6204" s="7"/>
      <c r="C6204" s="7"/>
      <c r="D6204" s="7"/>
      <c r="E6204" s="5"/>
      <c r="F6204" s="5"/>
      <c r="G6204" s="9"/>
      <c r="H6204" s="9"/>
      <c r="I6204" s="9"/>
    </row>
    <row r="6205" ht="14.25">
      <c r="A6205" s="5"/>
      <c r="B6205" s="7"/>
      <c r="C6205" s="7"/>
      <c r="D6205" s="7"/>
      <c r="E6205" s="5"/>
      <c r="F6205" s="5"/>
      <c r="G6205" s="9"/>
      <c r="H6205" s="9"/>
      <c r="I6205" s="9"/>
    </row>
    <row r="6206" ht="14.25">
      <c r="A6206" s="5"/>
      <c r="B6206" s="7"/>
      <c r="C6206" s="7"/>
      <c r="D6206" s="7"/>
      <c r="E6206" s="5"/>
      <c r="F6206" s="5"/>
      <c r="G6206" s="9"/>
      <c r="H6206" s="9"/>
      <c r="I6206" s="9"/>
    </row>
    <row r="6207" ht="14.25">
      <c r="A6207" s="5"/>
      <c r="B6207" s="7"/>
      <c r="C6207" s="7"/>
      <c r="D6207" s="7"/>
      <c r="E6207" s="5"/>
      <c r="F6207" s="5"/>
      <c r="G6207" s="9"/>
      <c r="H6207" s="9"/>
      <c r="I6207" s="9"/>
    </row>
    <row r="6208" ht="14.25">
      <c r="A6208" s="5"/>
      <c r="B6208" s="7"/>
      <c r="C6208" s="7"/>
      <c r="D6208" s="7"/>
      <c r="E6208" s="5"/>
      <c r="F6208" s="5"/>
      <c r="G6208" s="9"/>
      <c r="H6208" s="9"/>
      <c r="I6208" s="9"/>
    </row>
    <row r="6209" ht="14.25">
      <c r="A6209" s="5"/>
      <c r="B6209" s="7"/>
      <c r="C6209" s="7"/>
      <c r="D6209" s="7"/>
      <c r="E6209" s="5"/>
      <c r="F6209" s="5"/>
      <c r="G6209" s="9"/>
      <c r="H6209" s="9"/>
      <c r="I6209" s="9"/>
    </row>
    <row r="6210" ht="14.25">
      <c r="A6210" s="5"/>
      <c r="B6210" s="7"/>
      <c r="C6210" s="7"/>
      <c r="D6210" s="7"/>
      <c r="E6210" s="5"/>
      <c r="F6210" s="5"/>
      <c r="G6210" s="9"/>
      <c r="H6210" s="9"/>
      <c r="I6210" s="9"/>
    </row>
    <row r="6211" ht="14.25">
      <c r="A6211" s="5"/>
      <c r="B6211" s="7"/>
      <c r="C6211" s="7"/>
      <c r="D6211" s="7"/>
      <c r="E6211" s="5"/>
      <c r="F6211" s="5"/>
      <c r="G6211" s="9"/>
      <c r="H6211" s="9"/>
      <c r="I6211" s="9"/>
    </row>
    <row r="6212" ht="14.25">
      <c r="A6212" s="5"/>
      <c r="B6212" s="7"/>
      <c r="C6212" s="7"/>
      <c r="D6212" s="7"/>
      <c r="E6212" s="5"/>
      <c r="F6212" s="5"/>
      <c r="G6212" s="9"/>
      <c r="H6212" s="9"/>
      <c r="I6212" s="9"/>
    </row>
    <row r="6213" ht="14.25">
      <c r="A6213" s="5"/>
      <c r="B6213" s="7"/>
      <c r="C6213" s="7"/>
      <c r="D6213" s="7"/>
      <c r="E6213" s="5"/>
      <c r="F6213" s="5"/>
      <c r="G6213" s="9"/>
      <c r="H6213" s="9"/>
      <c r="I6213" s="9"/>
    </row>
    <row r="6214" ht="14.25">
      <c r="A6214" s="5"/>
      <c r="B6214" s="7"/>
      <c r="C6214" s="7"/>
      <c r="D6214" s="7"/>
      <c r="E6214" s="5"/>
      <c r="F6214" s="5"/>
      <c r="G6214" s="9"/>
      <c r="H6214" s="9"/>
      <c r="I6214" s="9"/>
    </row>
    <row r="6215" ht="14.25">
      <c r="A6215" s="5"/>
      <c r="B6215" s="7"/>
      <c r="C6215" s="7"/>
      <c r="D6215" s="7"/>
      <c r="E6215" s="5"/>
      <c r="F6215" s="5"/>
      <c r="G6215" s="9"/>
      <c r="H6215" s="9"/>
      <c r="I6215" s="9"/>
    </row>
    <row r="6216" ht="14.25">
      <c r="A6216" s="5"/>
      <c r="B6216" s="7"/>
      <c r="C6216" s="7"/>
      <c r="D6216" s="7"/>
      <c r="E6216" s="5"/>
      <c r="F6216" s="5"/>
      <c r="G6216" s="9"/>
      <c r="H6216" s="9"/>
      <c r="I6216" s="9"/>
    </row>
    <row r="6217" ht="14.25">
      <c r="A6217" s="5"/>
      <c r="B6217" s="7"/>
      <c r="C6217" s="7"/>
      <c r="D6217" s="7"/>
      <c r="E6217" s="5"/>
      <c r="F6217" s="5"/>
      <c r="G6217" s="9"/>
      <c r="H6217" s="9"/>
      <c r="I6217" s="9"/>
    </row>
    <row r="6218" ht="14.25">
      <c r="A6218" s="5"/>
      <c r="B6218" s="7"/>
      <c r="C6218" s="7"/>
      <c r="D6218" s="7"/>
      <c r="E6218" s="5"/>
      <c r="F6218" s="5"/>
      <c r="G6218" s="9"/>
      <c r="H6218" s="9"/>
      <c r="I6218" s="9"/>
    </row>
    <row r="6219" ht="14.25">
      <c r="A6219" s="5"/>
      <c r="B6219" s="7"/>
      <c r="C6219" s="7"/>
      <c r="D6219" s="7"/>
      <c r="E6219" s="5"/>
      <c r="F6219" s="5"/>
      <c r="G6219" s="9"/>
      <c r="H6219" s="9"/>
      <c r="I6219" s="9"/>
    </row>
    <row r="6220" ht="14.25">
      <c r="A6220" s="5"/>
      <c r="B6220" s="7"/>
      <c r="C6220" s="7"/>
      <c r="D6220" s="7"/>
      <c r="E6220" s="5"/>
      <c r="F6220" s="5"/>
      <c r="G6220" s="9"/>
      <c r="H6220" s="9"/>
      <c r="I6220" s="9"/>
    </row>
    <row r="6221" ht="14.25">
      <c r="A6221" s="5"/>
      <c r="B6221" s="7"/>
      <c r="C6221" s="7"/>
      <c r="D6221" s="7"/>
      <c r="E6221" s="5"/>
      <c r="F6221" s="5"/>
      <c r="G6221" s="9"/>
      <c r="H6221" s="9"/>
      <c r="I6221" s="9"/>
    </row>
    <row r="6222" ht="14.25">
      <c r="A6222" s="5"/>
      <c r="B6222" s="7"/>
      <c r="C6222" s="7"/>
      <c r="D6222" s="7"/>
      <c r="E6222" s="5"/>
      <c r="F6222" s="5"/>
      <c r="G6222" s="9"/>
      <c r="H6222" s="9"/>
      <c r="I6222" s="9"/>
    </row>
    <row r="6223" ht="14.25">
      <c r="A6223" s="5"/>
      <c r="B6223" s="7"/>
      <c r="C6223" s="7"/>
      <c r="D6223" s="7"/>
      <c r="E6223" s="5"/>
      <c r="F6223" s="5"/>
      <c r="G6223" s="9"/>
      <c r="H6223" s="9"/>
      <c r="I6223" s="9"/>
    </row>
    <row r="6224" ht="14.25">
      <c r="A6224" s="5"/>
      <c r="B6224" s="7"/>
      <c r="C6224" s="7"/>
      <c r="D6224" s="7"/>
      <c r="E6224" s="5"/>
      <c r="F6224" s="5"/>
      <c r="G6224" s="9"/>
      <c r="H6224" s="9"/>
      <c r="I6224" s="9"/>
    </row>
    <row r="6225" ht="14.25">
      <c r="A6225" s="5"/>
      <c r="B6225" s="7"/>
      <c r="C6225" s="7"/>
      <c r="D6225" s="7"/>
      <c r="E6225" s="5"/>
      <c r="F6225" s="5"/>
      <c r="G6225" s="9"/>
      <c r="H6225" s="9"/>
      <c r="I6225" s="9"/>
    </row>
    <row r="6226" ht="14.25">
      <c r="A6226" s="5"/>
      <c r="B6226" s="7"/>
      <c r="C6226" s="7"/>
      <c r="D6226" s="7"/>
      <c r="E6226" s="5"/>
      <c r="F6226" s="5"/>
      <c r="G6226" s="9"/>
      <c r="H6226" s="9"/>
      <c r="I6226" s="9"/>
    </row>
    <row r="6227" ht="14.25">
      <c r="A6227" s="5"/>
      <c r="B6227" s="7"/>
      <c r="C6227" s="7"/>
      <c r="D6227" s="7"/>
      <c r="E6227" s="5"/>
      <c r="F6227" s="5"/>
      <c r="G6227" s="9"/>
      <c r="H6227" s="9"/>
      <c r="I6227" s="9"/>
    </row>
    <row r="6228" ht="14.25">
      <c r="A6228" s="5"/>
      <c r="B6228" s="7"/>
      <c r="C6228" s="7"/>
      <c r="D6228" s="7"/>
      <c r="E6228" s="5"/>
      <c r="F6228" s="5"/>
      <c r="G6228" s="9"/>
      <c r="H6228" s="9"/>
      <c r="I6228" s="9"/>
    </row>
    <row r="6229" ht="14.25">
      <c r="A6229" s="5"/>
      <c r="B6229" s="7"/>
      <c r="C6229" s="7"/>
      <c r="D6229" s="7"/>
      <c r="E6229" s="5"/>
      <c r="F6229" s="5"/>
      <c r="G6229" s="9"/>
      <c r="H6229" s="9"/>
      <c r="I6229" s="9"/>
    </row>
    <row r="6230" ht="14.25">
      <c r="A6230" s="5"/>
      <c r="B6230" s="7"/>
      <c r="C6230" s="7"/>
      <c r="D6230" s="7"/>
      <c r="E6230" s="5"/>
      <c r="F6230" s="5"/>
      <c r="G6230" s="9"/>
      <c r="H6230" s="9"/>
      <c r="I6230" s="9"/>
    </row>
    <row r="6231" ht="14.25">
      <c r="A6231" s="5"/>
      <c r="B6231" s="7"/>
      <c r="C6231" s="7"/>
      <c r="D6231" s="7"/>
      <c r="E6231" s="5"/>
      <c r="F6231" s="5"/>
      <c r="G6231" s="9"/>
      <c r="H6231" s="9"/>
      <c r="I6231" s="9"/>
    </row>
    <row r="6232" ht="14.25">
      <c r="A6232" s="5"/>
      <c r="B6232" s="7"/>
      <c r="C6232" s="7"/>
      <c r="D6232" s="7"/>
      <c r="E6232" s="5"/>
      <c r="F6232" s="5"/>
      <c r="G6232" s="9"/>
      <c r="H6232" s="9"/>
      <c r="I6232" s="9"/>
    </row>
    <row r="6233" ht="14.25">
      <c r="A6233" s="5"/>
      <c r="B6233" s="7"/>
      <c r="C6233" s="7"/>
      <c r="D6233" s="7"/>
      <c r="E6233" s="5"/>
      <c r="F6233" s="5"/>
      <c r="G6233" s="9"/>
      <c r="H6233" s="9"/>
      <c r="I6233" s="9"/>
    </row>
    <row r="6234" ht="14.25">
      <c r="A6234" s="5"/>
      <c r="B6234" s="7"/>
      <c r="C6234" s="7"/>
      <c r="D6234" s="7"/>
      <c r="E6234" s="5"/>
      <c r="F6234" s="5"/>
      <c r="G6234" s="9"/>
      <c r="H6234" s="9"/>
      <c r="I6234" s="9"/>
    </row>
    <row r="6235" ht="14.25">
      <c r="A6235" s="5"/>
      <c r="B6235" s="7"/>
      <c r="C6235" s="7"/>
      <c r="D6235" s="7"/>
      <c r="E6235" s="5"/>
      <c r="F6235" s="5"/>
      <c r="G6235" s="9"/>
      <c r="H6235" s="9"/>
      <c r="I6235" s="9"/>
    </row>
    <row r="6236" ht="14.25">
      <c r="A6236" s="5"/>
      <c r="B6236" s="7"/>
      <c r="C6236" s="7"/>
      <c r="D6236" s="7"/>
      <c r="E6236" s="5"/>
      <c r="F6236" s="5"/>
      <c r="G6236" s="9"/>
      <c r="H6236" s="9"/>
      <c r="I6236" s="9"/>
    </row>
    <row r="6237" ht="14.25">
      <c r="A6237" s="5"/>
      <c r="B6237" s="7"/>
      <c r="C6237" s="7"/>
      <c r="D6237" s="7"/>
      <c r="E6237" s="5"/>
      <c r="F6237" s="5"/>
      <c r="G6237" s="9"/>
      <c r="H6237" s="9"/>
      <c r="I6237" s="9"/>
    </row>
    <row r="6238" ht="14.25">
      <c r="A6238" s="5"/>
      <c r="B6238" s="7"/>
      <c r="C6238" s="7"/>
      <c r="D6238" s="7"/>
      <c r="E6238" s="5"/>
      <c r="F6238" s="5"/>
      <c r="G6238" s="9"/>
      <c r="H6238" s="9"/>
      <c r="I6238" s="9"/>
    </row>
    <row r="6239" ht="14.25">
      <c r="A6239" s="5"/>
      <c r="B6239" s="7"/>
      <c r="C6239" s="7"/>
      <c r="D6239" s="7"/>
      <c r="E6239" s="5"/>
      <c r="F6239" s="5"/>
      <c r="G6239" s="9"/>
      <c r="H6239" s="9"/>
      <c r="I6239" s="9"/>
    </row>
    <row r="6240" ht="14.25">
      <c r="A6240" s="5"/>
      <c r="B6240" s="7"/>
      <c r="C6240" s="7"/>
      <c r="D6240" s="7"/>
      <c r="E6240" s="5"/>
      <c r="F6240" s="5"/>
      <c r="G6240" s="9"/>
      <c r="H6240" s="9"/>
      <c r="I6240" s="9"/>
    </row>
    <row r="6241" ht="14.25">
      <c r="A6241" s="5"/>
      <c r="B6241" s="7"/>
      <c r="C6241" s="7"/>
      <c r="D6241" s="7"/>
      <c r="E6241" s="5"/>
      <c r="F6241" s="5"/>
      <c r="G6241" s="9"/>
      <c r="H6241" s="9"/>
      <c r="I6241" s="9"/>
    </row>
    <row r="6242" ht="14.25">
      <c r="A6242" s="5"/>
      <c r="B6242" s="7"/>
      <c r="C6242" s="7"/>
      <c r="D6242" s="7"/>
      <c r="E6242" s="5"/>
      <c r="F6242" s="5"/>
      <c r="G6242" s="9"/>
      <c r="H6242" s="9"/>
      <c r="I6242" s="9"/>
    </row>
    <row r="6243" ht="14.25">
      <c r="A6243" s="5"/>
      <c r="B6243" s="7"/>
      <c r="C6243" s="7"/>
      <c r="D6243" s="7"/>
      <c r="E6243" s="5"/>
      <c r="F6243" s="5"/>
      <c r="G6243" s="9"/>
      <c r="H6243" s="9"/>
      <c r="I6243" s="9"/>
    </row>
    <row r="6244" ht="14.25">
      <c r="A6244" s="5"/>
      <c r="B6244" s="7"/>
      <c r="C6244" s="7"/>
      <c r="D6244" s="7"/>
      <c r="E6244" s="5"/>
      <c r="F6244" s="5"/>
      <c r="G6244" s="9"/>
      <c r="H6244" s="9"/>
      <c r="I6244" s="9"/>
    </row>
    <row r="6245" ht="14.25">
      <c r="A6245" s="5"/>
      <c r="B6245" s="7"/>
      <c r="C6245" s="7"/>
      <c r="D6245" s="7"/>
      <c r="E6245" s="5"/>
      <c r="F6245" s="5"/>
      <c r="G6245" s="9"/>
      <c r="H6245" s="9"/>
      <c r="I6245" s="9"/>
    </row>
    <row r="6246" ht="14.25">
      <c r="A6246" s="5"/>
      <c r="B6246" s="7"/>
      <c r="C6246" s="7"/>
      <c r="D6246" s="7"/>
      <c r="E6246" s="5"/>
      <c r="F6246" s="5"/>
      <c r="G6246" s="9"/>
      <c r="H6246" s="9"/>
      <c r="I6246" s="9"/>
    </row>
    <row r="6247" ht="14.25">
      <c r="A6247" s="5"/>
      <c r="B6247" s="7"/>
      <c r="C6247" s="7"/>
      <c r="D6247" s="7"/>
      <c r="E6247" s="5"/>
      <c r="F6247" s="5"/>
      <c r="G6247" s="9"/>
      <c r="H6247" s="9"/>
      <c r="I6247" s="9"/>
    </row>
    <row r="6248" ht="14.25">
      <c r="A6248" s="5"/>
      <c r="B6248" s="7"/>
      <c r="C6248" s="7"/>
      <c r="D6248" s="7"/>
      <c r="E6248" s="5"/>
      <c r="F6248" s="5"/>
      <c r="G6248" s="9"/>
      <c r="H6248" s="9"/>
      <c r="I6248" s="9"/>
    </row>
    <row r="6249" ht="14.25">
      <c r="A6249" s="5"/>
      <c r="B6249" s="7"/>
      <c r="C6249" s="7"/>
      <c r="D6249" s="7"/>
      <c r="E6249" s="5"/>
      <c r="F6249" s="5"/>
      <c r="G6249" s="9"/>
      <c r="H6249" s="9"/>
      <c r="I6249" s="9"/>
    </row>
    <row r="6250" ht="14.25">
      <c r="A6250" s="5"/>
      <c r="B6250" s="7"/>
      <c r="C6250" s="7"/>
      <c r="D6250" s="7"/>
      <c r="E6250" s="5"/>
      <c r="F6250" s="5"/>
      <c r="G6250" s="9"/>
      <c r="H6250" s="9"/>
      <c r="I6250" s="9"/>
    </row>
    <row r="6251" ht="14.25">
      <c r="A6251" s="5"/>
      <c r="B6251" s="7"/>
      <c r="C6251" s="7"/>
      <c r="D6251" s="7"/>
      <c r="E6251" s="5"/>
      <c r="F6251" s="5"/>
      <c r="G6251" s="9"/>
      <c r="H6251" s="9"/>
      <c r="I6251" s="9"/>
    </row>
    <row r="6252" ht="14.25">
      <c r="A6252" s="5"/>
      <c r="B6252" s="7"/>
      <c r="C6252" s="7"/>
      <c r="D6252" s="7"/>
      <c r="E6252" s="5"/>
      <c r="F6252" s="5"/>
      <c r="G6252" s="9"/>
      <c r="H6252" s="9"/>
      <c r="I6252" s="9"/>
    </row>
    <row r="6253" ht="14.25">
      <c r="A6253" s="5"/>
      <c r="B6253" s="7"/>
      <c r="C6253" s="7"/>
      <c r="D6253" s="7"/>
      <c r="E6253" s="5"/>
      <c r="F6253" s="5"/>
      <c r="G6253" s="9"/>
      <c r="H6253" s="9"/>
      <c r="I6253" s="9"/>
    </row>
    <row r="6254" ht="14.25">
      <c r="A6254" s="5"/>
      <c r="B6254" s="7"/>
      <c r="C6254" s="7"/>
      <c r="D6254" s="7"/>
      <c r="E6254" s="5"/>
      <c r="F6254" s="5"/>
      <c r="G6254" s="9"/>
      <c r="H6254" s="9"/>
      <c r="I6254" s="9"/>
    </row>
    <row r="6255" ht="14.25">
      <c r="A6255" s="5"/>
      <c r="B6255" s="7"/>
      <c r="C6255" s="7"/>
      <c r="D6255" s="7"/>
      <c r="E6255" s="5"/>
      <c r="F6255" s="5"/>
      <c r="G6255" s="9"/>
      <c r="H6255" s="9"/>
      <c r="I6255" s="9"/>
    </row>
    <row r="6256" ht="14.25">
      <c r="A6256" s="5"/>
      <c r="B6256" s="7"/>
      <c r="C6256" s="7"/>
      <c r="D6256" s="7"/>
      <c r="E6256" s="5"/>
      <c r="F6256" s="5"/>
      <c r="G6256" s="9"/>
      <c r="H6256" s="9"/>
      <c r="I6256" s="9"/>
    </row>
    <row r="6257" ht="14.25">
      <c r="A6257" s="5"/>
      <c r="B6257" s="7"/>
      <c r="C6257" s="7"/>
      <c r="D6257" s="7"/>
      <c r="E6257" s="5"/>
      <c r="F6257" s="5"/>
      <c r="G6257" s="9"/>
      <c r="H6257" s="9"/>
      <c r="I6257" s="9"/>
    </row>
    <row r="6258" ht="14.25">
      <c r="A6258" s="5"/>
      <c r="B6258" s="7"/>
      <c r="C6258" s="7"/>
      <c r="D6258" s="7"/>
      <c r="E6258" s="5"/>
      <c r="F6258" s="5"/>
      <c r="G6258" s="9"/>
      <c r="H6258" s="9"/>
      <c r="I6258" s="9"/>
    </row>
    <row r="6259" ht="14.25">
      <c r="A6259" s="5"/>
      <c r="B6259" s="7"/>
      <c r="C6259" s="7"/>
      <c r="D6259" s="7"/>
      <c r="E6259" s="5"/>
      <c r="F6259" s="5"/>
      <c r="G6259" s="9"/>
      <c r="H6259" s="9"/>
      <c r="I6259" s="9"/>
    </row>
    <row r="6260" ht="14.25">
      <c r="A6260" s="5"/>
      <c r="B6260" s="7"/>
      <c r="C6260" s="7"/>
      <c r="D6260" s="7"/>
      <c r="E6260" s="5"/>
      <c r="F6260" s="5"/>
      <c r="G6260" s="9"/>
      <c r="H6260" s="9"/>
      <c r="I6260" s="9"/>
    </row>
    <row r="6261" ht="14.25">
      <c r="A6261" s="5"/>
      <c r="B6261" s="7"/>
      <c r="C6261" s="7"/>
      <c r="D6261" s="7"/>
      <c r="E6261" s="5"/>
      <c r="F6261" s="5"/>
      <c r="G6261" s="9"/>
      <c r="H6261" s="9"/>
      <c r="I6261" s="9"/>
    </row>
    <row r="6262" ht="14.25">
      <c r="A6262" s="5"/>
      <c r="B6262" s="7"/>
      <c r="C6262" s="7"/>
      <c r="D6262" s="7"/>
      <c r="E6262" s="5"/>
      <c r="F6262" s="5"/>
      <c r="G6262" s="9"/>
      <c r="H6262" s="9"/>
      <c r="I6262" s="9"/>
    </row>
    <row r="6263" ht="14.25">
      <c r="A6263" s="5"/>
      <c r="B6263" s="7"/>
      <c r="C6263" s="7"/>
      <c r="D6263" s="7"/>
      <c r="E6263" s="5"/>
      <c r="F6263" s="5"/>
      <c r="G6263" s="9"/>
      <c r="H6263" s="9"/>
      <c r="I6263" s="9"/>
    </row>
    <row r="6264" ht="14.25">
      <c r="A6264" s="5"/>
      <c r="B6264" s="7"/>
      <c r="C6264" s="7"/>
      <c r="D6264" s="7"/>
      <c r="E6264" s="5"/>
      <c r="F6264" s="5"/>
      <c r="G6264" s="9"/>
      <c r="H6264" s="9"/>
      <c r="I6264" s="9"/>
    </row>
    <row r="6265" ht="14.25">
      <c r="A6265" s="5"/>
      <c r="B6265" s="7"/>
      <c r="C6265" s="7"/>
      <c r="D6265" s="7"/>
      <c r="E6265" s="5"/>
      <c r="F6265" s="5"/>
      <c r="G6265" s="9"/>
      <c r="H6265" s="9"/>
      <c r="I6265" s="9"/>
    </row>
    <row r="6266" ht="14.25">
      <c r="A6266" s="5"/>
      <c r="B6266" s="7"/>
      <c r="C6266" s="7"/>
      <c r="D6266" s="7"/>
      <c r="E6266" s="5"/>
      <c r="F6266" s="5"/>
      <c r="G6266" s="9"/>
      <c r="H6266" s="9"/>
      <c r="I6266" s="9"/>
    </row>
    <row r="6267" ht="14.25">
      <c r="A6267" s="5"/>
      <c r="B6267" s="7"/>
      <c r="C6267" s="7"/>
      <c r="D6267" s="7"/>
      <c r="E6267" s="5"/>
      <c r="F6267" s="5"/>
      <c r="G6267" s="9"/>
      <c r="H6267" s="9"/>
      <c r="I6267" s="9"/>
    </row>
    <row r="6268" ht="14.25">
      <c r="A6268" s="5"/>
      <c r="B6268" s="7"/>
      <c r="C6268" s="7"/>
      <c r="D6268" s="7"/>
      <c r="E6268" s="5"/>
      <c r="F6268" s="5"/>
      <c r="G6268" s="9"/>
      <c r="H6268" s="9"/>
      <c r="I6268" s="9"/>
    </row>
    <row r="6269" ht="14.25">
      <c r="A6269" s="5"/>
      <c r="B6269" s="7"/>
      <c r="C6269" s="7"/>
      <c r="D6269" s="7"/>
      <c r="E6269" s="5"/>
      <c r="F6269" s="5"/>
      <c r="G6269" s="9"/>
      <c r="H6269" s="9"/>
      <c r="I6269" s="9"/>
    </row>
    <row r="6270" ht="14.25">
      <c r="A6270" s="5"/>
      <c r="B6270" s="7"/>
      <c r="C6270" s="7"/>
      <c r="D6270" s="7"/>
      <c r="E6270" s="5"/>
      <c r="F6270" s="5"/>
      <c r="G6270" s="9"/>
      <c r="H6270" s="9"/>
      <c r="I6270" s="9"/>
    </row>
    <row r="6271" ht="14.25">
      <c r="A6271" s="5"/>
      <c r="B6271" s="7"/>
      <c r="C6271" s="7"/>
      <c r="D6271" s="7"/>
      <c r="E6271" s="5"/>
      <c r="F6271" s="5"/>
      <c r="G6271" s="9"/>
      <c r="H6271" s="9"/>
      <c r="I6271" s="9"/>
    </row>
    <row r="6272" ht="14.25">
      <c r="A6272" s="5"/>
      <c r="B6272" s="7"/>
      <c r="C6272" s="7"/>
      <c r="D6272" s="7"/>
      <c r="E6272" s="5"/>
      <c r="F6272" s="5"/>
      <c r="G6272" s="9"/>
      <c r="H6272" s="9"/>
      <c r="I6272" s="9"/>
    </row>
    <row r="6273" ht="14.25">
      <c r="A6273" s="5"/>
      <c r="B6273" s="7"/>
      <c r="C6273" s="7"/>
      <c r="D6273" s="7"/>
      <c r="E6273" s="5"/>
      <c r="F6273" s="5"/>
      <c r="G6273" s="9"/>
      <c r="H6273" s="9"/>
      <c r="I6273" s="9"/>
    </row>
    <row r="6274" ht="14.25">
      <c r="A6274" s="5"/>
      <c r="B6274" s="7"/>
      <c r="C6274" s="7"/>
      <c r="D6274" s="7"/>
      <c r="E6274" s="5"/>
      <c r="F6274" s="5"/>
      <c r="G6274" s="9"/>
      <c r="H6274" s="9"/>
      <c r="I6274" s="9"/>
    </row>
    <row r="6275" ht="14.25">
      <c r="A6275" s="5"/>
      <c r="B6275" s="7"/>
      <c r="C6275" s="7"/>
      <c r="D6275" s="7"/>
      <c r="E6275" s="5"/>
      <c r="F6275" s="5"/>
      <c r="G6275" s="9"/>
      <c r="H6275" s="9"/>
      <c r="I6275" s="9"/>
    </row>
    <row r="6276" ht="14.25">
      <c r="A6276" s="5"/>
      <c r="B6276" s="7"/>
      <c r="C6276" s="7"/>
      <c r="D6276" s="7"/>
      <c r="E6276" s="5"/>
      <c r="F6276" s="5"/>
      <c r="G6276" s="9"/>
      <c r="H6276" s="9"/>
      <c r="I6276" s="9"/>
    </row>
    <row r="6277" ht="14.25">
      <c r="A6277" s="5"/>
      <c r="B6277" s="7"/>
      <c r="C6277" s="7"/>
      <c r="D6277" s="7"/>
      <c r="E6277" s="5"/>
      <c r="F6277" s="5"/>
      <c r="G6277" s="9"/>
      <c r="H6277" s="9"/>
      <c r="I6277" s="9"/>
    </row>
    <row r="6278" ht="14.25">
      <c r="A6278" s="5"/>
      <c r="B6278" s="7"/>
      <c r="C6278" s="7"/>
      <c r="D6278" s="7"/>
      <c r="E6278" s="5"/>
      <c r="F6278" s="5"/>
      <c r="G6278" s="9"/>
      <c r="H6278" s="9"/>
      <c r="I6278" s="9"/>
    </row>
    <row r="6279" ht="14.25">
      <c r="A6279" s="5"/>
      <c r="B6279" s="7"/>
      <c r="C6279" s="7"/>
      <c r="D6279" s="7"/>
      <c r="E6279" s="5"/>
      <c r="F6279" s="5"/>
      <c r="G6279" s="9"/>
      <c r="H6279" s="9"/>
      <c r="I6279" s="9"/>
    </row>
    <row r="6280" ht="14.25">
      <c r="A6280" s="5"/>
      <c r="B6280" s="7"/>
      <c r="C6280" s="7"/>
      <c r="D6280" s="7"/>
      <c r="E6280" s="5"/>
      <c r="F6280" s="5"/>
      <c r="G6280" s="9"/>
      <c r="H6280" s="9"/>
      <c r="I6280" s="9"/>
    </row>
    <row r="6281" ht="14.25">
      <c r="A6281" s="5"/>
      <c r="B6281" s="7"/>
      <c r="C6281" s="7"/>
      <c r="D6281" s="7"/>
      <c r="E6281" s="5"/>
      <c r="F6281" s="5"/>
      <c r="G6281" s="9"/>
      <c r="H6281" s="9"/>
      <c r="I6281" s="9"/>
    </row>
    <row r="6282" ht="14.25">
      <c r="A6282" s="5"/>
      <c r="B6282" s="7"/>
      <c r="C6282" s="7"/>
      <c r="D6282" s="7"/>
      <c r="E6282" s="5"/>
      <c r="F6282" s="5"/>
      <c r="G6282" s="9"/>
      <c r="H6282" s="9"/>
      <c r="I6282" s="9"/>
    </row>
    <row r="6283" ht="14.25">
      <c r="A6283" s="5"/>
      <c r="B6283" s="7"/>
      <c r="C6283" s="7"/>
      <c r="D6283" s="7"/>
      <c r="E6283" s="5"/>
      <c r="F6283" s="5"/>
      <c r="G6283" s="9"/>
      <c r="H6283" s="9"/>
      <c r="I6283" s="9"/>
    </row>
    <row r="6284" ht="14.25">
      <c r="A6284" s="5"/>
      <c r="B6284" s="7"/>
      <c r="C6284" s="7"/>
      <c r="D6284" s="7"/>
      <c r="E6284" s="5"/>
      <c r="F6284" s="5"/>
      <c r="G6284" s="9"/>
      <c r="H6284" s="9"/>
      <c r="I6284" s="9"/>
    </row>
    <row r="6285" ht="14.25">
      <c r="A6285" s="5"/>
      <c r="B6285" s="7"/>
      <c r="C6285" s="7"/>
      <c r="D6285" s="7"/>
      <c r="E6285" s="5"/>
      <c r="F6285" s="5"/>
      <c r="G6285" s="9"/>
      <c r="H6285" s="9"/>
      <c r="I6285" s="9"/>
    </row>
    <row r="6286" ht="14.25">
      <c r="A6286" s="5"/>
      <c r="B6286" s="7"/>
      <c r="C6286" s="7"/>
      <c r="D6286" s="7"/>
      <c r="E6286" s="5"/>
      <c r="F6286" s="5"/>
      <c r="G6286" s="9"/>
      <c r="H6286" s="9"/>
      <c r="I6286" s="9"/>
    </row>
    <row r="6287" ht="14.25">
      <c r="A6287" s="5"/>
      <c r="B6287" s="7"/>
      <c r="C6287" s="7"/>
      <c r="D6287" s="7"/>
      <c r="E6287" s="5"/>
      <c r="F6287" s="5"/>
      <c r="G6287" s="9"/>
      <c r="H6287" s="9"/>
      <c r="I6287" s="9"/>
    </row>
    <row r="6288" ht="14.25">
      <c r="A6288" s="5"/>
      <c r="B6288" s="7"/>
      <c r="C6288" s="7"/>
      <c r="D6288" s="7"/>
      <c r="E6288" s="5"/>
      <c r="F6288" s="5"/>
      <c r="G6288" s="9"/>
      <c r="H6288" s="9"/>
      <c r="I6288" s="9"/>
    </row>
    <row r="6289" ht="14.25">
      <c r="A6289" s="5"/>
      <c r="B6289" s="7"/>
      <c r="C6289" s="7"/>
      <c r="D6289" s="7"/>
      <c r="E6289" s="5"/>
      <c r="F6289" s="5"/>
      <c r="G6289" s="9"/>
      <c r="H6289" s="9"/>
      <c r="I6289" s="9"/>
    </row>
    <row r="6290" ht="14.25">
      <c r="A6290" s="5"/>
      <c r="B6290" s="7"/>
      <c r="C6290" s="7"/>
      <c r="D6290" s="7"/>
      <c r="E6290" s="5"/>
      <c r="F6290" s="5"/>
      <c r="G6290" s="9"/>
      <c r="H6290" s="9"/>
      <c r="I6290" s="9"/>
    </row>
    <row r="6291" ht="14.25">
      <c r="A6291" s="5"/>
      <c r="B6291" s="7"/>
      <c r="C6291" s="7"/>
      <c r="D6291" s="7"/>
      <c r="E6291" s="5"/>
      <c r="F6291" s="5"/>
      <c r="G6291" s="9"/>
      <c r="H6291" s="9"/>
      <c r="I6291" s="9"/>
    </row>
    <row r="6292" ht="14.25">
      <c r="A6292" s="5"/>
      <c r="B6292" s="7"/>
      <c r="C6292" s="7"/>
      <c r="D6292" s="7"/>
      <c r="E6292" s="5"/>
      <c r="F6292" s="5"/>
      <c r="G6292" s="9"/>
      <c r="H6292" s="9"/>
      <c r="I6292" s="9"/>
    </row>
    <row r="6293" ht="14.25">
      <c r="A6293" s="5"/>
      <c r="B6293" s="7"/>
      <c r="C6293" s="7"/>
      <c r="D6293" s="7"/>
      <c r="E6293" s="5"/>
      <c r="F6293" s="5"/>
      <c r="G6293" s="9"/>
      <c r="H6293" s="9"/>
      <c r="I6293" s="9"/>
    </row>
    <row r="6294" ht="14.25">
      <c r="A6294" s="5"/>
      <c r="B6294" s="7"/>
      <c r="C6294" s="7"/>
      <c r="D6294" s="7"/>
      <c r="E6294" s="5"/>
      <c r="F6294" s="5"/>
      <c r="G6294" s="9"/>
      <c r="H6294" s="9"/>
      <c r="I6294" s="9"/>
    </row>
    <row r="6295" ht="14.25">
      <c r="A6295" s="5"/>
      <c r="B6295" s="7"/>
      <c r="C6295" s="7"/>
      <c r="D6295" s="7"/>
      <c r="E6295" s="5"/>
      <c r="F6295" s="5"/>
      <c r="G6295" s="9"/>
      <c r="H6295" s="9"/>
      <c r="I6295" s="9"/>
    </row>
    <row r="6296" ht="14.25">
      <c r="A6296" s="5"/>
      <c r="B6296" s="7"/>
      <c r="C6296" s="7"/>
      <c r="D6296" s="7"/>
      <c r="E6296" s="5"/>
      <c r="F6296" s="5"/>
      <c r="G6296" s="9"/>
      <c r="H6296" s="9"/>
      <c r="I6296" s="9"/>
    </row>
    <row r="6297" ht="14.25">
      <c r="A6297" s="5"/>
      <c r="B6297" s="7"/>
      <c r="C6297" s="7"/>
      <c r="D6297" s="7"/>
      <c r="E6297" s="5"/>
      <c r="F6297" s="5"/>
      <c r="G6297" s="9"/>
      <c r="H6297" s="9"/>
      <c r="I6297" s="9"/>
    </row>
    <row r="6298" ht="14.25">
      <c r="A6298" s="5"/>
      <c r="B6298" s="7"/>
      <c r="C6298" s="7"/>
      <c r="D6298" s="7"/>
      <c r="E6298" s="5"/>
      <c r="F6298" s="5"/>
      <c r="G6298" s="9"/>
      <c r="H6298" s="9"/>
      <c r="I6298" s="9"/>
    </row>
    <row r="6299" ht="14.25">
      <c r="A6299" s="5"/>
      <c r="B6299" s="7"/>
      <c r="C6299" s="7"/>
      <c r="D6299" s="7"/>
      <c r="E6299" s="5"/>
      <c r="F6299" s="5"/>
      <c r="G6299" s="9"/>
      <c r="H6299" s="9"/>
      <c r="I6299" s="9"/>
    </row>
    <row r="6300" ht="14.25">
      <c r="A6300" s="5"/>
      <c r="B6300" s="7"/>
      <c r="C6300" s="7"/>
      <c r="D6300" s="7"/>
      <c r="E6300" s="5"/>
      <c r="F6300" s="5"/>
      <c r="G6300" s="9"/>
      <c r="H6300" s="9"/>
      <c r="I6300" s="9"/>
    </row>
    <row r="6301" ht="14.25">
      <c r="A6301" s="5"/>
      <c r="B6301" s="7"/>
      <c r="C6301" s="7"/>
      <c r="D6301" s="7"/>
      <c r="E6301" s="5"/>
      <c r="F6301" s="5"/>
      <c r="G6301" s="9"/>
      <c r="H6301" s="9"/>
      <c r="I6301" s="9"/>
    </row>
    <row r="6302" ht="14.25">
      <c r="A6302" s="5"/>
      <c r="B6302" s="7"/>
      <c r="C6302" s="7"/>
      <c r="D6302" s="7"/>
      <c r="E6302" s="5"/>
      <c r="F6302" s="5"/>
      <c r="G6302" s="9"/>
      <c r="H6302" s="9"/>
      <c r="I6302" s="9"/>
    </row>
    <row r="6303" ht="14.25">
      <c r="A6303" s="5"/>
      <c r="B6303" s="7"/>
      <c r="C6303" s="7"/>
      <c r="D6303" s="7"/>
      <c r="E6303" s="5"/>
      <c r="F6303" s="5"/>
      <c r="G6303" s="9"/>
      <c r="H6303" s="9"/>
      <c r="I6303" s="9"/>
    </row>
    <row r="6304" ht="14.25">
      <c r="A6304" s="5"/>
      <c r="B6304" s="7"/>
      <c r="C6304" s="7"/>
      <c r="D6304" s="7"/>
      <c r="E6304" s="5"/>
      <c r="F6304" s="5"/>
      <c r="G6304" s="9"/>
      <c r="H6304" s="9"/>
      <c r="I6304" s="9"/>
    </row>
    <row r="6305" ht="14.25">
      <c r="A6305" s="5"/>
      <c r="B6305" s="7"/>
      <c r="C6305" s="7"/>
      <c r="D6305" s="7"/>
      <c r="E6305" s="5"/>
      <c r="F6305" s="5"/>
      <c r="G6305" s="9"/>
      <c r="H6305" s="9"/>
      <c r="I6305" s="9"/>
    </row>
    <row r="6306" ht="14.25">
      <c r="A6306" s="5"/>
      <c r="B6306" s="7"/>
      <c r="C6306" s="7"/>
      <c r="D6306" s="7"/>
      <c r="E6306" s="5"/>
      <c r="F6306" s="5"/>
      <c r="G6306" s="9"/>
      <c r="H6306" s="9"/>
      <c r="I6306" s="9"/>
    </row>
    <row r="6307" ht="14.25">
      <c r="A6307" s="5"/>
      <c r="B6307" s="7"/>
      <c r="C6307" s="7"/>
      <c r="D6307" s="7"/>
      <c r="E6307" s="5"/>
      <c r="F6307" s="5"/>
      <c r="G6307" s="9"/>
      <c r="H6307" s="9"/>
      <c r="I6307" s="9"/>
    </row>
    <row r="6308" ht="14.25">
      <c r="A6308" s="5"/>
      <c r="B6308" s="7"/>
      <c r="C6308" s="7"/>
      <c r="D6308" s="7"/>
      <c r="E6308" s="5"/>
      <c r="F6308" s="5"/>
      <c r="G6308" s="9"/>
      <c r="H6308" s="9"/>
      <c r="I6308" s="9"/>
    </row>
    <row r="6309" ht="14.25">
      <c r="A6309" s="5"/>
      <c r="B6309" s="7"/>
      <c r="C6309" s="7"/>
      <c r="D6309" s="7"/>
      <c r="E6309" s="5"/>
      <c r="F6309" s="5"/>
      <c r="G6309" s="9"/>
      <c r="H6309" s="9"/>
      <c r="I6309" s="9"/>
    </row>
    <row r="6310" ht="14.25">
      <c r="A6310" s="5"/>
      <c r="B6310" s="7"/>
      <c r="C6310" s="7"/>
      <c r="D6310" s="7"/>
      <c r="E6310" s="5"/>
      <c r="F6310" s="5"/>
      <c r="G6310" s="9"/>
      <c r="H6310" s="9"/>
      <c r="I6310" s="9"/>
    </row>
    <row r="6311" ht="14.25">
      <c r="A6311" s="5"/>
      <c r="B6311" s="7"/>
      <c r="C6311" s="7"/>
      <c r="D6311" s="7"/>
      <c r="E6311" s="5"/>
      <c r="F6311" s="5"/>
      <c r="G6311" s="9"/>
      <c r="H6311" s="9"/>
      <c r="I6311" s="9"/>
    </row>
    <row r="6312" ht="14.25">
      <c r="A6312" s="5"/>
      <c r="B6312" s="7"/>
      <c r="C6312" s="7"/>
      <c r="D6312" s="7"/>
      <c r="E6312" s="5"/>
      <c r="F6312" s="5"/>
      <c r="G6312" s="9"/>
      <c r="H6312" s="9"/>
      <c r="I6312" s="9"/>
    </row>
    <row r="6313" ht="14.25">
      <c r="A6313" s="5"/>
      <c r="B6313" s="7"/>
      <c r="C6313" s="7"/>
      <c r="D6313" s="7"/>
      <c r="E6313" s="5"/>
      <c r="F6313" s="5"/>
      <c r="G6313" s="9"/>
      <c r="H6313" s="9"/>
      <c r="I6313" s="9"/>
    </row>
    <row r="6314" ht="14.25">
      <c r="A6314" s="5"/>
      <c r="B6314" s="7"/>
      <c r="C6314" s="7"/>
      <c r="D6314" s="7"/>
      <c r="E6314" s="5"/>
      <c r="F6314" s="5"/>
      <c r="G6314" s="9"/>
      <c r="H6314" s="9"/>
      <c r="I6314" s="9"/>
    </row>
    <row r="6315" ht="14.25">
      <c r="A6315" s="5"/>
      <c r="B6315" s="7"/>
      <c r="C6315" s="7"/>
      <c r="D6315" s="7"/>
      <c r="E6315" s="5"/>
      <c r="F6315" s="5"/>
      <c r="G6315" s="9"/>
      <c r="H6315" s="9"/>
      <c r="I6315" s="9"/>
    </row>
    <row r="6316" ht="14.25">
      <c r="A6316" s="5"/>
      <c r="B6316" s="7"/>
      <c r="C6316" s="7"/>
      <c r="D6316" s="7"/>
      <c r="E6316" s="5"/>
      <c r="F6316" s="5"/>
      <c r="G6316" s="9"/>
      <c r="H6316" s="9"/>
      <c r="I6316" s="9"/>
    </row>
    <row r="6317" ht="14.25">
      <c r="A6317" s="5"/>
      <c r="B6317" s="7"/>
      <c r="C6317" s="7"/>
      <c r="D6317" s="7"/>
      <c r="E6317" s="5"/>
      <c r="F6317" s="5"/>
      <c r="G6317" s="9"/>
      <c r="H6317" s="9"/>
      <c r="I6317" s="9"/>
    </row>
    <row r="6318" ht="14.25">
      <c r="A6318" s="5"/>
      <c r="B6318" s="7"/>
      <c r="C6318" s="7"/>
      <c r="D6318" s="7"/>
      <c r="E6318" s="5"/>
      <c r="F6318" s="5"/>
      <c r="G6318" s="9"/>
      <c r="H6318" s="9"/>
      <c r="I6318" s="9"/>
    </row>
    <row r="6319" ht="14.25">
      <c r="A6319" s="5"/>
      <c r="B6319" s="7"/>
      <c r="C6319" s="7"/>
      <c r="D6319" s="7"/>
      <c r="E6319" s="5"/>
      <c r="F6319" s="5"/>
      <c r="G6319" s="9"/>
      <c r="H6319" s="9"/>
      <c r="I6319" s="9"/>
    </row>
    <row r="6320" ht="14.25">
      <c r="A6320" s="5"/>
      <c r="B6320" s="7"/>
      <c r="C6320" s="7"/>
      <c r="D6320" s="7"/>
      <c r="E6320" s="5"/>
      <c r="F6320" s="5"/>
      <c r="G6320" s="9"/>
      <c r="H6320" s="9"/>
      <c r="I6320" s="9"/>
    </row>
    <row r="6321" ht="14.25">
      <c r="A6321" s="5"/>
      <c r="B6321" s="7"/>
      <c r="C6321" s="7"/>
      <c r="D6321" s="7"/>
      <c r="E6321" s="5"/>
      <c r="F6321" s="5"/>
      <c r="G6321" s="9"/>
      <c r="H6321" s="9"/>
      <c r="I6321" s="9"/>
    </row>
    <row r="6322" ht="14.25">
      <c r="A6322" s="5"/>
      <c r="B6322" s="7"/>
      <c r="C6322" s="7"/>
      <c r="D6322" s="7"/>
      <c r="E6322" s="5"/>
      <c r="F6322" s="5"/>
      <c r="G6322" s="9"/>
      <c r="H6322" s="9"/>
      <c r="I6322" s="9"/>
    </row>
    <row r="6323" ht="14.25">
      <c r="A6323" s="5"/>
      <c r="B6323" s="7"/>
      <c r="C6323" s="7"/>
      <c r="D6323" s="7"/>
      <c r="E6323" s="5"/>
      <c r="F6323" s="5"/>
      <c r="G6323" s="9"/>
      <c r="H6323" s="9"/>
      <c r="I6323" s="9"/>
    </row>
    <row r="6324" ht="14.25">
      <c r="A6324" s="5"/>
      <c r="B6324" s="7"/>
      <c r="C6324" s="7"/>
      <c r="D6324" s="7"/>
      <c r="E6324" s="5"/>
      <c r="F6324" s="5"/>
      <c r="G6324" s="9"/>
      <c r="H6324" s="9"/>
      <c r="I6324" s="9"/>
    </row>
    <row r="6325" ht="14.25">
      <c r="A6325" s="5"/>
      <c r="B6325" s="7"/>
      <c r="C6325" s="7"/>
      <c r="D6325" s="7"/>
      <c r="E6325" s="5"/>
      <c r="F6325" s="5"/>
      <c r="G6325" s="9"/>
      <c r="H6325" s="9"/>
      <c r="I6325" s="9"/>
    </row>
    <row r="6326" ht="14.25">
      <c r="A6326" s="5"/>
      <c r="B6326" s="7"/>
      <c r="C6326" s="7"/>
      <c r="D6326" s="7"/>
      <c r="E6326" s="5"/>
      <c r="F6326" s="5"/>
      <c r="G6326" s="9"/>
      <c r="H6326" s="9"/>
      <c r="I6326" s="9"/>
    </row>
    <row r="6327" ht="14.25">
      <c r="A6327" s="5"/>
      <c r="B6327" s="7"/>
      <c r="C6327" s="7"/>
      <c r="D6327" s="7"/>
      <c r="E6327" s="5"/>
      <c r="F6327" s="5"/>
      <c r="G6327" s="9"/>
      <c r="H6327" s="9"/>
      <c r="I6327" s="9"/>
    </row>
    <row r="6328" ht="14.25">
      <c r="A6328" s="5"/>
      <c r="B6328" s="7"/>
      <c r="C6328" s="7"/>
      <c r="D6328" s="7"/>
      <c r="E6328" s="5"/>
      <c r="F6328" s="5"/>
      <c r="G6328" s="9"/>
      <c r="H6328" s="9"/>
      <c r="I6328" s="9"/>
    </row>
    <row r="6329" ht="14.25">
      <c r="A6329" s="5"/>
      <c r="B6329" s="7"/>
      <c r="C6329" s="7"/>
      <c r="D6329" s="7"/>
      <c r="E6329" s="5"/>
      <c r="F6329" s="5"/>
      <c r="G6329" s="9"/>
      <c r="H6329" s="9"/>
      <c r="I6329" s="9"/>
    </row>
    <row r="6330" ht="14.25">
      <c r="A6330" s="5"/>
      <c r="B6330" s="7"/>
      <c r="C6330" s="7"/>
      <c r="D6330" s="7"/>
      <c r="E6330" s="5"/>
      <c r="F6330" s="5"/>
      <c r="G6330" s="9"/>
      <c r="H6330" s="9"/>
      <c r="I6330" s="9"/>
    </row>
    <row r="6331" ht="14.25">
      <c r="A6331" s="5"/>
      <c r="B6331" s="7"/>
      <c r="C6331" s="7"/>
      <c r="D6331" s="7"/>
      <c r="E6331" s="5"/>
      <c r="F6331" s="5"/>
      <c r="G6331" s="9"/>
      <c r="H6331" s="9"/>
      <c r="I6331" s="9"/>
    </row>
    <row r="6332" ht="14.25">
      <c r="A6332" s="5"/>
      <c r="B6332" s="7"/>
      <c r="C6332" s="7"/>
      <c r="D6332" s="7"/>
      <c r="E6332" s="5"/>
      <c r="F6332" s="5"/>
      <c r="G6332" s="9"/>
      <c r="H6332" s="9"/>
      <c r="I6332" s="9"/>
    </row>
    <row r="6333" ht="14.25">
      <c r="A6333" s="5"/>
      <c r="B6333" s="7"/>
      <c r="C6333" s="7"/>
      <c r="D6333" s="7"/>
      <c r="E6333" s="5"/>
      <c r="F6333" s="5"/>
      <c r="G6333" s="9"/>
      <c r="H6333" s="9"/>
      <c r="I6333" s="9"/>
    </row>
    <row r="6334" ht="14.25">
      <c r="A6334" s="5"/>
      <c r="B6334" s="7"/>
      <c r="C6334" s="7"/>
      <c r="D6334" s="7"/>
      <c r="E6334" s="5"/>
      <c r="F6334" s="5"/>
      <c r="G6334" s="9"/>
      <c r="H6334" s="9"/>
      <c r="I6334" s="9"/>
    </row>
    <row r="6335" ht="14.25">
      <c r="A6335" s="5"/>
      <c r="B6335" s="7"/>
      <c r="C6335" s="7"/>
      <c r="D6335" s="7"/>
      <c r="E6335" s="5"/>
      <c r="F6335" s="5"/>
      <c r="G6335" s="9"/>
      <c r="H6335" s="9"/>
      <c r="I6335" s="9"/>
    </row>
    <row r="6336" ht="14.25">
      <c r="A6336" s="5"/>
      <c r="B6336" s="7"/>
      <c r="C6336" s="7"/>
      <c r="D6336" s="7"/>
      <c r="E6336" s="5"/>
      <c r="F6336" s="5"/>
      <c r="G6336" s="9"/>
      <c r="H6336" s="9"/>
      <c r="I6336" s="9"/>
    </row>
    <row r="6337" ht="14.25">
      <c r="A6337" s="5"/>
      <c r="B6337" s="7"/>
      <c r="C6337" s="7"/>
      <c r="D6337" s="7"/>
      <c r="E6337" s="5"/>
      <c r="F6337" s="5"/>
      <c r="G6337" s="9"/>
      <c r="H6337" s="9"/>
      <c r="I6337" s="9"/>
    </row>
    <row r="6338" ht="14.25">
      <c r="A6338" s="5"/>
      <c r="B6338" s="7"/>
      <c r="C6338" s="7"/>
      <c r="D6338" s="7"/>
      <c r="E6338" s="5"/>
      <c r="F6338" s="5"/>
      <c r="G6338" s="9"/>
      <c r="H6338" s="9"/>
      <c r="I6338" s="9"/>
    </row>
    <row r="6339" ht="14.25">
      <c r="A6339" s="5"/>
      <c r="B6339" s="7"/>
      <c r="C6339" s="7"/>
      <c r="D6339" s="7"/>
      <c r="E6339" s="5"/>
      <c r="F6339" s="5"/>
      <c r="G6339" s="9"/>
      <c r="H6339" s="9"/>
      <c r="I6339" s="9"/>
    </row>
    <row r="6340" ht="14.25">
      <c r="A6340" s="5"/>
      <c r="B6340" s="7"/>
      <c r="C6340" s="7"/>
      <c r="D6340" s="7"/>
      <c r="E6340" s="5"/>
      <c r="F6340" s="5"/>
      <c r="G6340" s="9"/>
      <c r="H6340" s="9"/>
      <c r="I6340" s="9"/>
    </row>
    <row r="6341" ht="14.25">
      <c r="A6341" s="5"/>
      <c r="B6341" s="7"/>
      <c r="C6341" s="7"/>
      <c r="D6341" s="7"/>
      <c r="E6341" s="5"/>
      <c r="F6341" s="5"/>
      <c r="G6341" s="9"/>
      <c r="H6341" s="9"/>
      <c r="I6341" s="9"/>
    </row>
    <row r="6342" ht="14.25">
      <c r="A6342" s="5"/>
      <c r="B6342" s="7"/>
      <c r="C6342" s="7"/>
      <c r="D6342" s="7"/>
      <c r="E6342" s="5"/>
      <c r="F6342" s="5"/>
      <c r="G6342" s="9"/>
      <c r="H6342" s="9"/>
      <c r="I6342" s="9"/>
    </row>
    <row r="6343" ht="14.25">
      <c r="A6343" s="5"/>
      <c r="B6343" s="7"/>
      <c r="C6343" s="7"/>
      <c r="D6343" s="7"/>
      <c r="E6343" s="5"/>
      <c r="F6343" s="5"/>
      <c r="G6343" s="9"/>
      <c r="H6343" s="9"/>
      <c r="I6343" s="9"/>
    </row>
    <row r="6344" ht="14.25">
      <c r="A6344" s="5"/>
      <c r="B6344" s="7"/>
      <c r="C6344" s="7"/>
      <c r="D6344" s="7"/>
      <c r="E6344" s="5"/>
      <c r="F6344" s="5"/>
      <c r="G6344" s="9"/>
      <c r="H6344" s="9"/>
      <c r="I6344" s="9"/>
    </row>
    <row r="6345" ht="14.25">
      <c r="A6345" s="5"/>
      <c r="B6345" s="7"/>
      <c r="C6345" s="7"/>
      <c r="D6345" s="7"/>
      <c r="E6345" s="5"/>
      <c r="F6345" s="5"/>
      <c r="G6345" s="9"/>
      <c r="H6345" s="9"/>
      <c r="I6345" s="9"/>
    </row>
    <row r="6346" ht="14.25">
      <c r="A6346" s="5"/>
      <c r="B6346" s="7"/>
      <c r="C6346" s="7"/>
      <c r="D6346" s="7"/>
      <c r="E6346" s="5"/>
      <c r="F6346" s="5"/>
      <c r="G6346" s="9"/>
      <c r="H6346" s="9"/>
      <c r="I6346" s="9"/>
    </row>
    <row r="6347" ht="14.25">
      <c r="A6347" s="5"/>
      <c r="B6347" s="7"/>
      <c r="C6347" s="7"/>
      <c r="D6347" s="7"/>
      <c r="E6347" s="5"/>
      <c r="F6347" s="5"/>
      <c r="G6347" s="9"/>
      <c r="H6347" s="9"/>
      <c r="I6347" s="9"/>
    </row>
    <row r="6348" ht="14.25">
      <c r="A6348" s="5"/>
      <c r="B6348" s="7"/>
      <c r="C6348" s="7"/>
      <c r="D6348" s="7"/>
      <c r="E6348" s="5"/>
      <c r="F6348" s="5"/>
      <c r="G6348" s="9"/>
      <c r="H6348" s="9"/>
      <c r="I6348" s="9"/>
    </row>
    <row r="6349" ht="14.25">
      <c r="A6349" s="5"/>
      <c r="B6349" s="7"/>
      <c r="C6349" s="7"/>
      <c r="D6349" s="7"/>
      <c r="E6349" s="5"/>
      <c r="F6349" s="5"/>
      <c r="G6349" s="9"/>
      <c r="H6349" s="9"/>
      <c r="I6349" s="9"/>
    </row>
    <row r="6350" ht="14.25">
      <c r="A6350" s="5"/>
      <c r="B6350" s="7"/>
      <c r="C6350" s="7"/>
      <c r="D6350" s="7"/>
      <c r="E6350" s="5"/>
      <c r="F6350" s="5"/>
      <c r="G6350" s="9"/>
      <c r="H6350" s="9"/>
      <c r="I6350" s="9"/>
    </row>
    <row r="6351" ht="14.25">
      <c r="A6351" s="5"/>
      <c r="B6351" s="7"/>
      <c r="C6351" s="7"/>
      <c r="D6351" s="7"/>
      <c r="E6351" s="5"/>
      <c r="F6351" s="5"/>
      <c r="G6351" s="9"/>
      <c r="H6351" s="9"/>
      <c r="I6351" s="9"/>
    </row>
    <row r="6352" ht="14.25">
      <c r="A6352" s="5"/>
      <c r="B6352" s="7"/>
      <c r="C6352" s="7"/>
      <c r="D6352" s="7"/>
      <c r="E6352" s="5"/>
      <c r="F6352" s="5"/>
      <c r="G6352" s="9"/>
      <c r="H6352" s="9"/>
      <c r="I6352" s="9"/>
    </row>
    <row r="6353" ht="14.25">
      <c r="A6353" s="5"/>
      <c r="B6353" s="7"/>
      <c r="C6353" s="7"/>
      <c r="D6353" s="7"/>
      <c r="E6353" s="5"/>
      <c r="F6353" s="5"/>
      <c r="G6353" s="9"/>
      <c r="H6353" s="9"/>
      <c r="I6353" s="9"/>
    </row>
    <row r="6354" ht="14.25">
      <c r="A6354" s="5"/>
      <c r="B6354" s="7"/>
      <c r="C6354" s="7"/>
      <c r="D6354" s="7"/>
      <c r="E6354" s="5"/>
      <c r="F6354" s="5"/>
      <c r="G6354" s="9"/>
      <c r="H6354" s="9"/>
      <c r="I6354" s="9"/>
    </row>
    <row r="6355" ht="14.25">
      <c r="A6355" s="5"/>
      <c r="B6355" s="7"/>
      <c r="C6355" s="7"/>
      <c r="D6355" s="7"/>
      <c r="E6355" s="5"/>
      <c r="F6355" s="5"/>
      <c r="G6355" s="9"/>
      <c r="H6355" s="9"/>
      <c r="I6355" s="9"/>
    </row>
    <row r="6356" ht="14.25">
      <c r="A6356" s="5"/>
      <c r="B6356" s="7"/>
      <c r="C6356" s="7"/>
      <c r="D6356" s="7"/>
      <c r="E6356" s="5"/>
      <c r="F6356" s="5"/>
      <c r="G6356" s="9"/>
      <c r="H6356" s="9"/>
      <c r="I6356" s="9"/>
    </row>
    <row r="6357" ht="14.25">
      <c r="A6357" s="5"/>
      <c r="B6357" s="7"/>
      <c r="C6357" s="7"/>
      <c r="D6357" s="7"/>
      <c r="E6357" s="5"/>
      <c r="F6357" s="5"/>
      <c r="G6357" s="9"/>
      <c r="H6357" s="9"/>
      <c r="I6357" s="9"/>
    </row>
    <row r="6358" ht="14.25">
      <c r="A6358" s="5"/>
      <c r="B6358" s="7"/>
      <c r="C6358" s="7"/>
      <c r="D6358" s="7"/>
      <c r="E6358" s="5"/>
      <c r="F6358" s="5"/>
      <c r="G6358" s="9"/>
      <c r="H6358" s="9"/>
      <c r="I6358" s="9"/>
    </row>
    <row r="6359" ht="14.25">
      <c r="A6359" s="5"/>
      <c r="B6359" s="7"/>
      <c r="C6359" s="7"/>
      <c r="D6359" s="7"/>
      <c r="E6359" s="5"/>
      <c r="F6359" s="5"/>
      <c r="G6359" s="9"/>
      <c r="H6359" s="9"/>
      <c r="I6359" s="9"/>
    </row>
    <row r="6360" ht="14.25">
      <c r="A6360" s="5"/>
      <c r="B6360" s="7"/>
      <c r="C6360" s="7"/>
      <c r="D6360" s="7"/>
      <c r="E6360" s="5"/>
      <c r="F6360" s="5"/>
      <c r="G6360" s="9"/>
      <c r="H6360" s="9"/>
      <c r="I6360" s="9"/>
    </row>
    <row r="6361" ht="14.25">
      <c r="A6361" s="5"/>
      <c r="B6361" s="7"/>
      <c r="C6361" s="7"/>
      <c r="D6361" s="7"/>
      <c r="E6361" s="5"/>
      <c r="F6361" s="5"/>
      <c r="G6361" s="9"/>
      <c r="H6361" s="9"/>
      <c r="I6361" s="9"/>
    </row>
    <row r="6362" ht="14.25">
      <c r="A6362" s="5"/>
      <c r="B6362" s="7"/>
      <c r="C6362" s="7"/>
      <c r="D6362" s="7"/>
      <c r="E6362" s="5"/>
      <c r="F6362" s="5"/>
      <c r="G6362" s="9"/>
      <c r="H6362" s="9"/>
      <c r="I6362" s="9"/>
    </row>
    <row r="6363" ht="14.25">
      <c r="A6363" s="5"/>
      <c r="B6363" s="7"/>
      <c r="C6363" s="7"/>
      <c r="D6363" s="7"/>
      <c r="E6363" s="5"/>
      <c r="F6363" s="5"/>
      <c r="G6363" s="9"/>
      <c r="H6363" s="9"/>
      <c r="I6363" s="9"/>
    </row>
    <row r="6364" ht="14.25">
      <c r="A6364" s="5"/>
      <c r="B6364" s="7"/>
      <c r="C6364" s="7"/>
      <c r="D6364" s="7"/>
      <c r="E6364" s="5"/>
      <c r="F6364" s="5"/>
      <c r="G6364" s="9"/>
      <c r="H6364" s="9"/>
      <c r="I6364" s="9"/>
    </row>
    <row r="6365" ht="14.25">
      <c r="A6365" s="5"/>
      <c r="B6365" s="7"/>
      <c r="C6365" s="7"/>
      <c r="D6365" s="7"/>
      <c r="E6365" s="5"/>
      <c r="F6365" s="5"/>
      <c r="G6365" s="9"/>
      <c r="H6365" s="9"/>
      <c r="I6365" s="9"/>
    </row>
    <row r="6366" ht="14.25">
      <c r="A6366" s="5"/>
      <c r="B6366" s="7"/>
      <c r="C6366" s="7"/>
      <c r="D6366" s="7"/>
      <c r="E6366" s="5"/>
      <c r="F6366" s="5"/>
      <c r="G6366" s="9"/>
      <c r="H6366" s="9"/>
      <c r="I6366" s="9"/>
    </row>
    <row r="6367" ht="14.25">
      <c r="A6367" s="5"/>
      <c r="B6367" s="7"/>
      <c r="C6367" s="7"/>
      <c r="D6367" s="7"/>
      <c r="E6367" s="5"/>
      <c r="F6367" s="5"/>
      <c r="G6367" s="9"/>
      <c r="H6367" s="9"/>
      <c r="I6367" s="9"/>
    </row>
    <row r="6368" ht="14.25">
      <c r="A6368" s="5"/>
      <c r="B6368" s="7"/>
      <c r="C6368" s="7"/>
      <c r="D6368" s="7"/>
      <c r="E6368" s="5"/>
      <c r="F6368" s="5"/>
      <c r="G6368" s="9"/>
      <c r="H6368" s="9"/>
      <c r="I6368" s="9"/>
    </row>
    <row r="6369" ht="14.25">
      <c r="A6369" s="5"/>
      <c r="B6369" s="7"/>
      <c r="C6369" s="7"/>
      <c r="D6369" s="7"/>
      <c r="E6369" s="5"/>
      <c r="F6369" s="5"/>
      <c r="G6369" s="9"/>
      <c r="H6369" s="9"/>
      <c r="I6369" s="9"/>
    </row>
    <row r="6370" ht="14.25">
      <c r="A6370" s="5"/>
      <c r="B6370" s="7"/>
      <c r="C6370" s="7"/>
      <c r="D6370" s="7"/>
      <c r="E6370" s="5"/>
      <c r="F6370" s="5"/>
      <c r="G6370" s="9"/>
      <c r="H6370" s="9"/>
      <c r="I6370" s="9"/>
    </row>
    <row r="6371" ht="14.25">
      <c r="A6371" s="5"/>
      <c r="B6371" s="7"/>
      <c r="C6371" s="7"/>
      <c r="D6371" s="7"/>
      <c r="E6371" s="5"/>
      <c r="F6371" s="5"/>
      <c r="G6371" s="9"/>
      <c r="H6371" s="9"/>
      <c r="I6371" s="9"/>
    </row>
    <row r="6372" ht="14.25">
      <c r="A6372" s="5"/>
      <c r="B6372" s="7"/>
      <c r="C6372" s="7"/>
      <c r="D6372" s="7"/>
      <c r="E6372" s="5"/>
      <c r="F6372" s="5"/>
      <c r="G6372" s="9"/>
      <c r="H6372" s="9"/>
      <c r="I6372" s="9"/>
    </row>
    <row r="6373" ht="14.25">
      <c r="A6373" s="5"/>
      <c r="B6373" s="7"/>
      <c r="C6373" s="7"/>
      <c r="D6373" s="7"/>
      <c r="E6373" s="5"/>
      <c r="F6373" s="5"/>
      <c r="G6373" s="9"/>
      <c r="H6373" s="9"/>
      <c r="I6373" s="9"/>
    </row>
    <row r="6374" ht="14.25">
      <c r="A6374" s="5"/>
      <c r="B6374" s="7"/>
      <c r="C6374" s="7"/>
      <c r="D6374" s="7"/>
      <c r="E6374" s="5"/>
      <c r="F6374" s="5"/>
      <c r="G6374" s="9"/>
      <c r="H6374" s="9"/>
      <c r="I6374" s="9"/>
    </row>
    <row r="6375" ht="14.25">
      <c r="A6375" s="5"/>
      <c r="B6375" s="7"/>
      <c r="C6375" s="7"/>
      <c r="D6375" s="7"/>
      <c r="E6375" s="5"/>
      <c r="F6375" s="5"/>
      <c r="G6375" s="9"/>
      <c r="H6375" s="9"/>
      <c r="I6375" s="9"/>
    </row>
    <row r="6376" ht="14.25">
      <c r="A6376" s="5"/>
      <c r="B6376" s="7"/>
      <c r="C6376" s="7"/>
      <c r="D6376" s="7"/>
      <c r="E6376" s="5"/>
      <c r="F6376" s="5"/>
      <c r="G6376" s="9"/>
      <c r="H6376" s="9"/>
      <c r="I6376" s="9"/>
    </row>
    <row r="6377" ht="14.25">
      <c r="A6377" s="5"/>
      <c r="B6377" s="7"/>
      <c r="C6377" s="7"/>
      <c r="D6377" s="7"/>
      <c r="E6377" s="5"/>
      <c r="F6377" s="5"/>
      <c r="G6377" s="9"/>
      <c r="H6377" s="9"/>
      <c r="I6377" s="9"/>
    </row>
    <row r="6378" ht="14.25">
      <c r="A6378" s="5"/>
      <c r="B6378" s="7"/>
      <c r="C6378" s="7"/>
      <c r="D6378" s="7"/>
      <c r="E6378" s="5"/>
      <c r="F6378" s="5"/>
      <c r="G6378" s="9"/>
      <c r="H6378" s="9"/>
      <c r="I6378" s="9"/>
    </row>
    <row r="6379" ht="14.25">
      <c r="A6379" s="5"/>
      <c r="B6379" s="7"/>
      <c r="C6379" s="7"/>
      <c r="D6379" s="7"/>
      <c r="E6379" s="5"/>
      <c r="F6379" s="5"/>
      <c r="G6379" s="9"/>
      <c r="H6379" s="9"/>
      <c r="I6379" s="9"/>
    </row>
    <row r="6380" ht="14.25">
      <c r="A6380" s="5"/>
      <c r="B6380" s="7"/>
      <c r="C6380" s="7"/>
      <c r="D6380" s="7"/>
      <c r="E6380" s="5"/>
      <c r="F6380" s="5"/>
      <c r="G6380" s="9"/>
      <c r="H6380" s="9"/>
      <c r="I6380" s="9"/>
    </row>
    <row r="6381" ht="14.25">
      <c r="A6381" s="5"/>
      <c r="B6381" s="7"/>
      <c r="C6381" s="7"/>
      <c r="D6381" s="7"/>
      <c r="E6381" s="5"/>
      <c r="F6381" s="5"/>
      <c r="G6381" s="9"/>
      <c r="H6381" s="9"/>
      <c r="I6381" s="9"/>
    </row>
    <row r="6382" ht="14.25">
      <c r="A6382" s="5"/>
      <c r="B6382" s="7"/>
      <c r="C6382" s="7"/>
      <c r="D6382" s="7"/>
      <c r="E6382" s="5"/>
      <c r="F6382" s="5"/>
      <c r="G6382" s="9"/>
      <c r="H6382" s="9"/>
      <c r="I6382" s="9"/>
    </row>
    <row r="6383" ht="14.25">
      <c r="A6383" s="5"/>
      <c r="B6383" s="7"/>
      <c r="C6383" s="7"/>
      <c r="D6383" s="7"/>
      <c r="E6383" s="5"/>
      <c r="F6383" s="5"/>
      <c r="G6383" s="9"/>
      <c r="H6383" s="9"/>
      <c r="I6383" s="9"/>
    </row>
    <row r="6384" ht="14.25">
      <c r="A6384" s="5"/>
      <c r="B6384" s="7"/>
      <c r="C6384" s="7"/>
      <c r="D6384" s="7"/>
      <c r="E6384" s="5"/>
      <c r="F6384" s="5"/>
      <c r="G6384" s="9"/>
      <c r="H6384" s="9"/>
      <c r="I6384" s="9"/>
    </row>
    <row r="6385" ht="14.25">
      <c r="A6385" s="5"/>
      <c r="B6385" s="7"/>
      <c r="C6385" s="7"/>
      <c r="D6385" s="7"/>
      <c r="E6385" s="5"/>
      <c r="F6385" s="5"/>
      <c r="G6385" s="9"/>
      <c r="H6385" s="9"/>
      <c r="I6385" s="9"/>
    </row>
    <row r="6386" ht="14.25">
      <c r="A6386" s="5"/>
      <c r="B6386" s="7"/>
      <c r="C6386" s="7"/>
      <c r="D6386" s="7"/>
      <c r="E6386" s="5"/>
      <c r="F6386" s="5"/>
      <c r="G6386" s="9"/>
      <c r="H6386" s="9"/>
      <c r="I6386" s="9"/>
    </row>
    <row r="6387" ht="14.25">
      <c r="A6387" s="5"/>
      <c r="B6387" s="7"/>
      <c r="C6387" s="7"/>
      <c r="D6387" s="7"/>
      <c r="E6387" s="5"/>
      <c r="F6387" s="5"/>
      <c r="G6387" s="9"/>
      <c r="H6387" s="9"/>
      <c r="I6387" s="9"/>
    </row>
    <row r="6388" ht="14.25">
      <c r="A6388" s="5"/>
      <c r="B6388" s="7"/>
      <c r="C6388" s="7"/>
      <c r="D6388" s="7"/>
      <c r="E6388" s="5"/>
      <c r="F6388" s="5"/>
      <c r="G6388" s="9"/>
      <c r="H6388" s="9"/>
      <c r="I6388" s="9"/>
    </row>
    <row r="6389" ht="14.25">
      <c r="A6389" s="5"/>
      <c r="B6389" s="7"/>
      <c r="C6389" s="7"/>
      <c r="D6389" s="7"/>
      <c r="E6389" s="5"/>
      <c r="F6389" s="5"/>
      <c r="G6389" s="9"/>
      <c r="H6389" s="9"/>
      <c r="I6389" s="9"/>
    </row>
    <row r="6390" ht="14.25">
      <c r="A6390" s="5"/>
      <c r="B6390" s="7"/>
      <c r="C6390" s="7"/>
      <c r="D6390" s="7"/>
      <c r="E6390" s="5"/>
      <c r="F6390" s="5"/>
      <c r="G6390" s="9"/>
      <c r="H6390" s="9"/>
      <c r="I6390" s="9"/>
    </row>
    <row r="6391" ht="14.25">
      <c r="A6391" s="5"/>
      <c r="B6391" s="7"/>
      <c r="C6391" s="7"/>
      <c r="D6391" s="7"/>
      <c r="E6391" s="5"/>
      <c r="F6391" s="5"/>
      <c r="G6391" s="9"/>
      <c r="H6391" s="9"/>
      <c r="I6391" s="9"/>
    </row>
    <row r="6392" ht="14.25">
      <c r="A6392" s="5"/>
      <c r="B6392" s="7"/>
      <c r="C6392" s="7"/>
      <c r="D6392" s="7"/>
      <c r="E6392" s="5"/>
      <c r="F6392" s="5"/>
      <c r="G6392" s="9"/>
      <c r="H6392" s="9"/>
      <c r="I6392" s="9"/>
    </row>
    <row r="6393" ht="14.25">
      <c r="A6393" s="5"/>
      <c r="B6393" s="7"/>
      <c r="C6393" s="7"/>
      <c r="D6393" s="7"/>
      <c r="E6393" s="5"/>
      <c r="F6393" s="5"/>
      <c r="G6393" s="9"/>
      <c r="H6393" s="9"/>
      <c r="I6393" s="9"/>
    </row>
    <row r="6394" ht="14.25">
      <c r="A6394" s="5"/>
      <c r="B6394" s="7"/>
      <c r="C6394" s="7"/>
      <c r="D6394" s="7"/>
      <c r="E6394" s="5"/>
      <c r="F6394" s="5"/>
      <c r="G6394" s="9"/>
      <c r="H6394" s="9"/>
      <c r="I6394" s="9"/>
    </row>
    <row r="6395" ht="14.25">
      <c r="A6395" s="5"/>
      <c r="B6395" s="7"/>
      <c r="C6395" s="7"/>
      <c r="D6395" s="7"/>
      <c r="E6395" s="5"/>
      <c r="F6395" s="5"/>
      <c r="G6395" s="9"/>
      <c r="H6395" s="9"/>
      <c r="I6395" s="9"/>
    </row>
    <row r="6396" ht="14.25">
      <c r="A6396" s="5"/>
      <c r="B6396" s="7"/>
      <c r="C6396" s="7"/>
      <c r="D6396" s="7"/>
      <c r="E6396" s="5"/>
      <c r="F6396" s="5"/>
      <c r="G6396" s="9"/>
      <c r="H6396" s="9"/>
      <c r="I6396" s="9"/>
    </row>
    <row r="6397" ht="14.25">
      <c r="A6397" s="5"/>
      <c r="B6397" s="7"/>
      <c r="C6397" s="7"/>
      <c r="D6397" s="7"/>
      <c r="E6397" s="5"/>
      <c r="F6397" s="5"/>
      <c r="G6397" s="9"/>
      <c r="H6397" s="9"/>
      <c r="I6397" s="9"/>
    </row>
    <row r="6398" ht="14.25">
      <c r="A6398" s="5"/>
      <c r="B6398" s="7"/>
      <c r="C6398" s="7"/>
      <c r="D6398" s="7"/>
      <c r="E6398" s="5"/>
      <c r="F6398" s="5"/>
      <c r="G6398" s="9"/>
      <c r="H6398" s="9"/>
      <c r="I6398" s="9"/>
    </row>
    <row r="6399" ht="14.25">
      <c r="A6399" s="5"/>
      <c r="B6399" s="7"/>
      <c r="C6399" s="7"/>
      <c r="D6399" s="7"/>
      <c r="E6399" s="5"/>
      <c r="F6399" s="5"/>
      <c r="G6399" s="9"/>
      <c r="H6399" s="9"/>
      <c r="I6399" s="9"/>
    </row>
    <row r="6400" ht="14.25">
      <c r="A6400" s="5"/>
      <c r="B6400" s="7"/>
      <c r="C6400" s="7"/>
      <c r="D6400" s="7"/>
      <c r="E6400" s="5"/>
      <c r="F6400" s="5"/>
      <c r="G6400" s="9"/>
      <c r="H6400" s="9"/>
      <c r="I6400" s="9"/>
    </row>
    <row r="6401" ht="14.25">
      <c r="A6401" s="5"/>
      <c r="B6401" s="7"/>
      <c r="C6401" s="7"/>
      <c r="D6401" s="7"/>
      <c r="E6401" s="5"/>
      <c r="F6401" s="5"/>
      <c r="G6401" s="9"/>
      <c r="H6401" s="9"/>
      <c r="I6401" s="9"/>
    </row>
    <row r="6402" ht="14.25">
      <c r="A6402" s="5"/>
      <c r="B6402" s="7"/>
      <c r="C6402" s="7"/>
      <c r="D6402" s="7"/>
      <c r="E6402" s="5"/>
      <c r="F6402" s="5"/>
      <c r="G6402" s="9"/>
      <c r="H6402" s="9"/>
      <c r="I6402" s="9"/>
    </row>
    <row r="6403" ht="14.25">
      <c r="A6403" s="5"/>
      <c r="B6403" s="7"/>
      <c r="C6403" s="7"/>
      <c r="D6403" s="7"/>
      <c r="E6403" s="5"/>
      <c r="F6403" s="5"/>
      <c r="G6403" s="9"/>
      <c r="H6403" s="9"/>
      <c r="I6403" s="9"/>
    </row>
    <row r="6404" ht="14.25">
      <c r="A6404" s="5"/>
      <c r="B6404" s="7"/>
      <c r="C6404" s="7"/>
      <c r="D6404" s="7"/>
      <c r="E6404" s="5"/>
      <c r="F6404" s="5"/>
      <c r="G6404" s="9"/>
      <c r="H6404" s="9"/>
      <c r="I6404" s="9"/>
    </row>
    <row r="6405" ht="14.25">
      <c r="A6405" s="5"/>
      <c r="B6405" s="7"/>
      <c r="C6405" s="7"/>
      <c r="D6405" s="7"/>
      <c r="E6405" s="5"/>
      <c r="F6405" s="5"/>
      <c r="G6405" s="9"/>
      <c r="H6405" s="9"/>
      <c r="I6405" s="9"/>
    </row>
    <row r="6406" ht="14.25">
      <c r="A6406" s="5"/>
      <c r="B6406" s="7"/>
      <c r="C6406" s="7"/>
      <c r="D6406" s="7"/>
      <c r="E6406" s="5"/>
      <c r="F6406" s="5"/>
      <c r="G6406" s="9"/>
      <c r="H6406" s="9"/>
      <c r="I6406" s="9"/>
    </row>
    <row r="6407" ht="14.25">
      <c r="A6407" s="5"/>
      <c r="B6407" s="7"/>
      <c r="C6407" s="7"/>
      <c r="D6407" s="7"/>
      <c r="E6407" s="5"/>
      <c r="F6407" s="5"/>
      <c r="G6407" s="9"/>
      <c r="H6407" s="9"/>
      <c r="I6407" s="9"/>
    </row>
    <row r="6408" ht="14.25">
      <c r="A6408" s="5"/>
      <c r="B6408" s="7"/>
      <c r="C6408" s="7"/>
      <c r="D6408" s="7"/>
      <c r="E6408" s="5"/>
      <c r="F6408" s="5"/>
      <c r="G6408" s="9"/>
      <c r="H6408" s="9"/>
      <c r="I6408" s="9"/>
    </row>
    <row r="6409" ht="14.25">
      <c r="A6409" s="5"/>
      <c r="B6409" s="7"/>
      <c r="C6409" s="7"/>
      <c r="D6409" s="7"/>
      <c r="E6409" s="5"/>
      <c r="F6409" s="5"/>
      <c r="G6409" s="9"/>
      <c r="H6409" s="9"/>
      <c r="I6409" s="9"/>
    </row>
    <row r="6410" ht="14.25">
      <c r="A6410" s="5"/>
      <c r="B6410" s="7"/>
      <c r="C6410" s="7"/>
      <c r="D6410" s="7"/>
      <c r="E6410" s="5"/>
      <c r="F6410" s="5"/>
      <c r="G6410" s="9"/>
      <c r="H6410" s="9"/>
      <c r="I6410" s="9"/>
    </row>
    <row r="6411" ht="14.25">
      <c r="A6411" s="5"/>
      <c r="B6411" s="7"/>
      <c r="C6411" s="7"/>
      <c r="D6411" s="7"/>
      <c r="E6411" s="5"/>
      <c r="F6411" s="5"/>
      <c r="G6411" s="9"/>
      <c r="H6411" s="9"/>
      <c r="I6411" s="9"/>
    </row>
    <row r="6412" ht="14.25">
      <c r="A6412" s="5"/>
      <c r="B6412" s="7"/>
      <c r="C6412" s="7"/>
      <c r="D6412" s="7"/>
      <c r="E6412" s="5"/>
      <c r="F6412" s="5"/>
      <c r="G6412" s="9"/>
      <c r="H6412" s="9"/>
      <c r="I6412" s="9"/>
    </row>
    <row r="6413" ht="14.25">
      <c r="A6413" s="5"/>
      <c r="B6413" s="7"/>
      <c r="C6413" s="7"/>
      <c r="D6413" s="7"/>
      <c r="E6413" s="5"/>
      <c r="F6413" s="5"/>
      <c r="G6413" s="9"/>
      <c r="H6413" s="9"/>
      <c r="I6413" s="9"/>
    </row>
    <row r="6414" ht="14.25">
      <c r="A6414" s="5"/>
      <c r="B6414" s="7"/>
      <c r="C6414" s="7"/>
      <c r="D6414" s="7"/>
      <c r="E6414" s="5"/>
      <c r="F6414" s="5"/>
      <c r="G6414" s="9"/>
      <c r="H6414" s="9"/>
      <c r="I6414" s="9"/>
    </row>
    <row r="6415" ht="14.25">
      <c r="A6415" s="5"/>
      <c r="B6415" s="7"/>
      <c r="C6415" s="7"/>
      <c r="D6415" s="7"/>
      <c r="E6415" s="5"/>
      <c r="F6415" s="5"/>
      <c r="G6415" s="9"/>
      <c r="H6415" s="9"/>
      <c r="I6415" s="9"/>
    </row>
    <row r="6416" ht="14.25">
      <c r="A6416" s="5"/>
      <c r="B6416" s="7"/>
      <c r="C6416" s="7"/>
      <c r="D6416" s="7"/>
      <c r="E6416" s="5"/>
      <c r="F6416" s="5"/>
      <c r="G6416" s="9"/>
      <c r="H6416" s="9"/>
      <c r="I6416" s="9"/>
    </row>
    <row r="6417" ht="14.25">
      <c r="A6417" s="5"/>
      <c r="B6417" s="7"/>
      <c r="C6417" s="7"/>
      <c r="D6417" s="7"/>
      <c r="E6417" s="5"/>
      <c r="F6417" s="5"/>
      <c r="G6417" s="9"/>
      <c r="H6417" s="9"/>
      <c r="I6417" s="9"/>
    </row>
    <row r="6418" ht="14.25">
      <c r="A6418" s="5"/>
      <c r="B6418" s="7"/>
      <c r="C6418" s="7"/>
      <c r="D6418" s="7"/>
      <c r="E6418" s="5"/>
      <c r="F6418" s="5"/>
      <c r="G6418" s="9"/>
      <c r="H6418" s="9"/>
      <c r="I6418" s="9"/>
    </row>
    <row r="6419" ht="14.25">
      <c r="A6419" s="5"/>
      <c r="B6419" s="7"/>
      <c r="C6419" s="7"/>
      <c r="D6419" s="7"/>
      <c r="E6419" s="5"/>
      <c r="F6419" s="5"/>
      <c r="G6419" s="9"/>
      <c r="H6419" s="9"/>
      <c r="I6419" s="9"/>
    </row>
    <row r="6420" ht="14.25">
      <c r="A6420" s="5"/>
      <c r="B6420" s="7"/>
      <c r="C6420" s="7"/>
      <c r="D6420" s="7"/>
      <c r="E6420" s="5"/>
      <c r="F6420" s="5"/>
      <c r="G6420" s="9"/>
      <c r="H6420" s="9"/>
      <c r="I6420" s="9"/>
    </row>
    <row r="6421" ht="14.25">
      <c r="A6421" s="5"/>
      <c r="B6421" s="7"/>
      <c r="C6421" s="7"/>
      <c r="D6421" s="7"/>
      <c r="E6421" s="5"/>
      <c r="F6421" s="5"/>
      <c r="G6421" s="9"/>
      <c r="H6421" s="9"/>
      <c r="I6421" s="9"/>
    </row>
    <row r="6422" ht="14.25">
      <c r="A6422" s="5"/>
      <c r="B6422" s="7"/>
      <c r="C6422" s="7"/>
      <c r="D6422" s="7"/>
      <c r="E6422" s="5"/>
      <c r="F6422" s="5"/>
      <c r="G6422" s="9"/>
      <c r="H6422" s="9"/>
      <c r="I6422" s="9"/>
    </row>
    <row r="6423" ht="14.25">
      <c r="A6423" s="5"/>
      <c r="B6423" s="7"/>
      <c r="C6423" s="7"/>
      <c r="D6423" s="7"/>
      <c r="E6423" s="5"/>
      <c r="F6423" s="5"/>
      <c r="G6423" s="9"/>
      <c r="H6423" s="9"/>
      <c r="I6423" s="9"/>
    </row>
    <row r="6424" ht="14.25">
      <c r="A6424" s="5"/>
      <c r="B6424" s="7"/>
      <c r="C6424" s="7"/>
      <c r="D6424" s="7"/>
      <c r="E6424" s="5"/>
      <c r="F6424" s="5"/>
      <c r="G6424" s="9"/>
      <c r="H6424" s="9"/>
      <c r="I6424" s="9"/>
    </row>
    <row r="6425" ht="14.25">
      <c r="A6425" s="5"/>
      <c r="B6425" s="7"/>
      <c r="C6425" s="7"/>
      <c r="D6425" s="7"/>
      <c r="E6425" s="5"/>
      <c r="F6425" s="5"/>
      <c r="G6425" s="9"/>
      <c r="H6425" s="9"/>
      <c r="I6425" s="9"/>
    </row>
    <row r="6426" ht="14.25">
      <c r="A6426" s="5"/>
      <c r="B6426" s="7"/>
      <c r="C6426" s="7"/>
      <c r="D6426" s="7"/>
      <c r="E6426" s="5"/>
      <c r="F6426" s="5"/>
      <c r="G6426" s="9"/>
      <c r="H6426" s="9"/>
      <c r="I6426" s="9"/>
    </row>
    <row r="6427" ht="14.25">
      <c r="A6427" s="5"/>
      <c r="B6427" s="7"/>
      <c r="C6427" s="7"/>
      <c r="D6427" s="7"/>
      <c r="E6427" s="5"/>
      <c r="F6427" s="5"/>
      <c r="G6427" s="9"/>
      <c r="H6427" s="9"/>
      <c r="I6427" s="9"/>
    </row>
    <row r="6428" ht="14.25">
      <c r="A6428" s="5"/>
      <c r="B6428" s="7"/>
      <c r="C6428" s="7"/>
      <c r="D6428" s="7"/>
      <c r="E6428" s="5"/>
      <c r="F6428" s="5"/>
      <c r="G6428" s="9"/>
      <c r="H6428" s="9"/>
      <c r="I6428" s="9"/>
    </row>
    <row r="6429" ht="14.25">
      <c r="A6429" s="5"/>
      <c r="B6429" s="7"/>
      <c r="C6429" s="7"/>
      <c r="D6429" s="7"/>
      <c r="E6429" s="5"/>
      <c r="F6429" s="5"/>
      <c r="G6429" s="9"/>
      <c r="H6429" s="9"/>
      <c r="I6429" s="9"/>
    </row>
    <row r="6430" ht="14.25">
      <c r="A6430" s="5"/>
      <c r="B6430" s="7"/>
      <c r="C6430" s="7"/>
      <c r="D6430" s="7"/>
      <c r="E6430" s="5"/>
      <c r="F6430" s="5"/>
      <c r="G6430" s="9"/>
      <c r="H6430" s="9"/>
      <c r="I6430" s="9"/>
    </row>
    <row r="6431" ht="14.25">
      <c r="A6431" s="5"/>
      <c r="B6431" s="7"/>
      <c r="C6431" s="7"/>
      <c r="D6431" s="7"/>
      <c r="E6431" s="5"/>
      <c r="F6431" s="5"/>
      <c r="G6431" s="9"/>
      <c r="H6431" s="9"/>
      <c r="I6431" s="9"/>
    </row>
    <row r="6432" ht="14.25">
      <c r="A6432" s="5"/>
      <c r="B6432" s="7"/>
      <c r="C6432" s="7"/>
      <c r="D6432" s="7"/>
      <c r="E6432" s="5"/>
      <c r="F6432" s="5"/>
      <c r="G6432" s="9"/>
      <c r="H6432" s="9"/>
      <c r="I6432" s="9"/>
    </row>
    <row r="6433" ht="14.25">
      <c r="A6433" s="5"/>
      <c r="B6433" s="7"/>
      <c r="C6433" s="7"/>
      <c r="D6433" s="7"/>
      <c r="E6433" s="5"/>
      <c r="F6433" s="5"/>
      <c r="G6433" s="9"/>
      <c r="H6433" s="9"/>
      <c r="I6433" s="9"/>
    </row>
    <row r="6434" ht="14.25">
      <c r="A6434" s="5"/>
      <c r="B6434" s="7"/>
      <c r="C6434" s="7"/>
      <c r="D6434" s="7"/>
      <c r="E6434" s="5"/>
      <c r="F6434" s="5"/>
      <c r="G6434" s="9"/>
      <c r="H6434" s="9"/>
      <c r="I6434" s="9"/>
    </row>
    <row r="6435" ht="14.25">
      <c r="A6435" s="5"/>
      <c r="B6435" s="7"/>
      <c r="C6435" s="7"/>
      <c r="D6435" s="7"/>
      <c r="E6435" s="5"/>
      <c r="F6435" s="5"/>
      <c r="G6435" s="9"/>
      <c r="H6435" s="9"/>
      <c r="I6435" s="9"/>
    </row>
    <row r="6436" ht="14.25">
      <c r="A6436" s="5"/>
      <c r="B6436" s="7"/>
      <c r="C6436" s="7"/>
      <c r="D6436" s="7"/>
      <c r="E6436" s="5"/>
      <c r="F6436" s="5"/>
      <c r="G6436" s="9"/>
      <c r="H6436" s="9"/>
      <c r="I6436" s="9"/>
    </row>
    <row r="6437" ht="14.25">
      <c r="A6437" s="5"/>
      <c r="B6437" s="7"/>
      <c r="C6437" s="7"/>
      <c r="D6437" s="7"/>
      <c r="E6437" s="5"/>
      <c r="F6437" s="5"/>
      <c r="G6437" s="9"/>
      <c r="H6437" s="9"/>
      <c r="I6437" s="9"/>
    </row>
    <row r="6438" ht="14.25">
      <c r="A6438" s="5"/>
      <c r="B6438" s="7"/>
      <c r="C6438" s="7"/>
      <c r="D6438" s="7"/>
      <c r="E6438" s="5"/>
      <c r="F6438" s="5"/>
      <c r="G6438" s="9"/>
      <c r="H6438" s="9"/>
      <c r="I6438" s="9"/>
    </row>
    <row r="6439" ht="14.25">
      <c r="A6439" s="5"/>
      <c r="B6439" s="7"/>
      <c r="C6439" s="7"/>
      <c r="D6439" s="7"/>
      <c r="E6439" s="5"/>
      <c r="F6439" s="5"/>
      <c r="G6439" s="9"/>
      <c r="H6439" s="9"/>
      <c r="I6439" s="9"/>
    </row>
    <row r="6440" ht="14.25">
      <c r="A6440" s="5"/>
      <c r="B6440" s="7"/>
      <c r="C6440" s="7"/>
      <c r="D6440" s="7"/>
      <c r="E6440" s="5"/>
      <c r="F6440" s="5"/>
      <c r="G6440" s="9"/>
      <c r="H6440" s="9"/>
      <c r="I6440" s="9"/>
    </row>
    <row r="6441" ht="14.25">
      <c r="A6441" s="5"/>
      <c r="B6441" s="7"/>
      <c r="C6441" s="7"/>
      <c r="D6441" s="7"/>
      <c r="E6441" s="5"/>
      <c r="F6441" s="5"/>
      <c r="G6441" s="9"/>
      <c r="H6441" s="9"/>
      <c r="I6441" s="9"/>
    </row>
    <row r="6442" ht="14.25">
      <c r="A6442" s="5"/>
      <c r="B6442" s="7"/>
      <c r="C6442" s="7"/>
      <c r="D6442" s="7"/>
      <c r="E6442" s="5"/>
      <c r="F6442" s="5"/>
      <c r="G6442" s="9"/>
      <c r="H6442" s="9"/>
      <c r="I6442" s="9"/>
    </row>
    <row r="6443" ht="14.25">
      <c r="A6443" s="5"/>
      <c r="B6443" s="7"/>
      <c r="C6443" s="7"/>
      <c r="D6443" s="7"/>
      <c r="E6443" s="5"/>
      <c r="F6443" s="5"/>
      <c r="G6443" s="9"/>
      <c r="H6443" s="9"/>
      <c r="I6443" s="9"/>
    </row>
    <row r="6444" ht="14.25">
      <c r="A6444" s="5"/>
      <c r="B6444" s="7"/>
      <c r="C6444" s="7"/>
      <c r="D6444" s="7"/>
      <c r="E6444" s="5"/>
      <c r="F6444" s="5"/>
      <c r="G6444" s="9"/>
      <c r="H6444" s="9"/>
      <c r="I6444" s="9"/>
    </row>
    <row r="6445" ht="14.25">
      <c r="A6445" s="5"/>
      <c r="B6445" s="7"/>
      <c r="C6445" s="7"/>
      <c r="D6445" s="7"/>
      <c r="E6445" s="5"/>
      <c r="F6445" s="5"/>
      <c r="G6445" s="9"/>
      <c r="H6445" s="9"/>
      <c r="I6445" s="9"/>
    </row>
    <row r="6446" ht="14.25">
      <c r="A6446" s="5"/>
      <c r="B6446" s="7"/>
      <c r="C6446" s="7"/>
      <c r="D6446" s="7"/>
      <c r="E6446" s="5"/>
      <c r="F6446" s="5"/>
      <c r="G6446" s="9"/>
      <c r="H6446" s="9"/>
      <c r="I6446" s="9"/>
    </row>
    <row r="6447" ht="14.25">
      <c r="A6447" s="5"/>
      <c r="B6447" s="7"/>
      <c r="C6447" s="7"/>
      <c r="D6447" s="7"/>
      <c r="E6447" s="5"/>
      <c r="F6447" s="5"/>
      <c r="G6447" s="9"/>
      <c r="H6447" s="9"/>
      <c r="I6447" s="9"/>
    </row>
    <row r="6448" ht="14.25">
      <c r="A6448" s="5"/>
      <c r="B6448" s="7"/>
      <c r="C6448" s="7"/>
      <c r="D6448" s="7"/>
      <c r="E6448" s="5"/>
      <c r="F6448" s="5"/>
      <c r="G6448" s="9"/>
      <c r="H6448" s="9"/>
      <c r="I6448" s="9"/>
    </row>
    <row r="6449" ht="14.25">
      <c r="A6449" s="5"/>
      <c r="B6449" s="7"/>
      <c r="C6449" s="7"/>
      <c r="D6449" s="7"/>
      <c r="E6449" s="5"/>
      <c r="F6449" s="5"/>
      <c r="G6449" s="9"/>
      <c r="H6449" s="9"/>
      <c r="I6449" s="9"/>
    </row>
    <row r="6450" ht="14.25">
      <c r="A6450" s="5"/>
      <c r="B6450" s="7"/>
      <c r="C6450" s="7"/>
      <c r="D6450" s="7"/>
      <c r="E6450" s="5"/>
      <c r="F6450" s="5"/>
      <c r="G6450" s="9"/>
      <c r="H6450" s="9"/>
      <c r="I6450" s="9"/>
    </row>
    <row r="6451" ht="14.25">
      <c r="A6451" s="5"/>
      <c r="B6451" s="7"/>
      <c r="C6451" s="7"/>
      <c r="D6451" s="7"/>
      <c r="E6451" s="5"/>
      <c r="F6451" s="5"/>
      <c r="G6451" s="9"/>
      <c r="H6451" s="9"/>
      <c r="I6451" s="9"/>
    </row>
    <row r="6452" ht="14.25">
      <c r="A6452" s="5"/>
      <c r="B6452" s="7"/>
      <c r="C6452" s="7"/>
      <c r="D6452" s="7"/>
      <c r="E6452" s="5"/>
      <c r="F6452" s="5"/>
      <c r="G6452" s="9"/>
      <c r="H6452" s="9"/>
      <c r="I6452" s="9"/>
    </row>
    <row r="6453" ht="14.25">
      <c r="A6453" s="5"/>
      <c r="B6453" s="7"/>
      <c r="C6453" s="7"/>
      <c r="D6453" s="7"/>
      <c r="E6453" s="5"/>
      <c r="F6453" s="5"/>
      <c r="G6453" s="9"/>
      <c r="H6453" s="9"/>
      <c r="I6453" s="9"/>
    </row>
    <row r="6454" ht="14.25">
      <c r="A6454" s="5"/>
      <c r="B6454" s="7"/>
      <c r="C6454" s="7"/>
      <c r="D6454" s="7"/>
      <c r="E6454" s="5"/>
      <c r="F6454" s="5"/>
      <c r="G6454" s="9"/>
      <c r="H6454" s="9"/>
      <c r="I6454" s="9"/>
    </row>
    <row r="6455" ht="14.25">
      <c r="A6455" s="5"/>
      <c r="B6455" s="7"/>
      <c r="C6455" s="7"/>
      <c r="D6455" s="7"/>
      <c r="E6455" s="5"/>
      <c r="F6455" s="5"/>
      <c r="G6455" s="9"/>
      <c r="H6455" s="9"/>
      <c r="I6455" s="9"/>
    </row>
    <row r="6456" ht="14.25">
      <c r="A6456" s="5"/>
      <c r="B6456" s="7"/>
      <c r="C6456" s="7"/>
      <c r="D6456" s="7"/>
      <c r="E6456" s="5"/>
      <c r="F6456" s="5"/>
      <c r="G6456" s="9"/>
      <c r="H6456" s="9"/>
      <c r="I6456" s="9"/>
    </row>
    <row r="6457" ht="14.25">
      <c r="A6457" s="5"/>
      <c r="B6457" s="7"/>
      <c r="C6457" s="7"/>
      <c r="D6457" s="7"/>
      <c r="E6457" s="5"/>
      <c r="F6457" s="5"/>
      <c r="G6457" s="9"/>
      <c r="H6457" s="9"/>
      <c r="I6457" s="9"/>
    </row>
    <row r="6458" ht="14.25">
      <c r="A6458" s="5"/>
      <c r="B6458" s="7"/>
      <c r="C6458" s="7"/>
      <c r="D6458" s="7"/>
      <c r="E6458" s="5"/>
      <c r="F6458" s="5"/>
      <c r="G6458" s="9"/>
      <c r="H6458" s="9"/>
      <c r="I6458" s="9"/>
    </row>
    <row r="6459" ht="14.25">
      <c r="A6459" s="5"/>
      <c r="B6459" s="7"/>
      <c r="C6459" s="7"/>
      <c r="D6459" s="7"/>
      <c r="E6459" s="5"/>
      <c r="F6459" s="5"/>
      <c r="G6459" s="9"/>
      <c r="H6459" s="9"/>
      <c r="I6459" s="9"/>
    </row>
    <row r="6460" ht="14.25">
      <c r="A6460" s="5"/>
      <c r="B6460" s="7"/>
      <c r="C6460" s="7"/>
      <c r="D6460" s="7"/>
      <c r="E6460" s="5"/>
      <c r="F6460" s="5"/>
      <c r="G6460" s="9"/>
      <c r="H6460" s="9"/>
      <c r="I6460" s="9"/>
    </row>
    <row r="6461" ht="14.25">
      <c r="A6461" s="5"/>
      <c r="B6461" s="7"/>
      <c r="C6461" s="7"/>
      <c r="D6461" s="7"/>
      <c r="E6461" s="5"/>
      <c r="F6461" s="5"/>
      <c r="G6461" s="9"/>
      <c r="H6461" s="9"/>
      <c r="I6461" s="9"/>
    </row>
    <row r="6462" ht="14.25">
      <c r="A6462" s="5"/>
      <c r="B6462" s="7"/>
      <c r="C6462" s="7"/>
      <c r="D6462" s="7"/>
      <c r="E6462" s="5"/>
      <c r="F6462" s="5"/>
      <c r="G6462" s="9"/>
      <c r="H6462" s="9"/>
      <c r="I6462" s="9"/>
    </row>
    <row r="6463" ht="14.25">
      <c r="A6463" s="5"/>
      <c r="B6463" s="7"/>
      <c r="C6463" s="7"/>
      <c r="D6463" s="7"/>
      <c r="E6463" s="5"/>
      <c r="F6463" s="5"/>
      <c r="G6463" s="9"/>
      <c r="H6463" s="9"/>
      <c r="I6463" s="9"/>
    </row>
    <row r="6464" ht="14.25">
      <c r="A6464" s="5"/>
      <c r="B6464" s="7"/>
      <c r="C6464" s="7"/>
      <c r="D6464" s="7"/>
      <c r="E6464" s="5"/>
      <c r="F6464" s="5"/>
      <c r="G6464" s="9"/>
      <c r="H6464" s="9"/>
      <c r="I6464" s="9"/>
    </row>
    <row r="6465" ht="14.25">
      <c r="A6465" s="5"/>
      <c r="B6465" s="7"/>
      <c r="C6465" s="7"/>
      <c r="D6465" s="7"/>
      <c r="E6465" s="5"/>
      <c r="F6465" s="5"/>
      <c r="G6465" s="9"/>
      <c r="H6465" s="9"/>
      <c r="I6465" s="9"/>
    </row>
    <row r="6466" ht="14.25">
      <c r="A6466" s="5"/>
      <c r="B6466" s="7"/>
      <c r="C6466" s="7"/>
      <c r="D6466" s="7"/>
      <c r="E6466" s="5"/>
      <c r="F6466" s="5"/>
      <c r="G6466" s="9"/>
      <c r="H6466" s="9"/>
      <c r="I6466" s="9"/>
    </row>
    <row r="6467" ht="14.25">
      <c r="A6467" s="5"/>
      <c r="B6467" s="7"/>
      <c r="C6467" s="7"/>
      <c r="D6467" s="7"/>
      <c r="E6467" s="5"/>
      <c r="F6467" s="5"/>
      <c r="G6467" s="9"/>
      <c r="H6467" s="9"/>
      <c r="I6467" s="9"/>
    </row>
    <row r="6468" ht="14.25">
      <c r="A6468" s="5"/>
      <c r="B6468" s="7"/>
      <c r="C6468" s="7"/>
      <c r="D6468" s="7"/>
      <c r="E6468" s="5"/>
      <c r="F6468" s="5"/>
      <c r="G6468" s="9"/>
      <c r="H6468" s="9"/>
      <c r="I6468" s="9"/>
    </row>
    <row r="6469" ht="14.25">
      <c r="A6469" s="5"/>
      <c r="B6469" s="7"/>
      <c r="C6469" s="7"/>
      <c r="D6469" s="7"/>
      <c r="E6469" s="5"/>
      <c r="F6469" s="5"/>
      <c r="G6469" s="9"/>
      <c r="H6469" s="9"/>
      <c r="I6469" s="9"/>
    </row>
    <row r="6470" ht="14.25">
      <c r="A6470" s="5"/>
      <c r="B6470" s="7"/>
      <c r="C6470" s="7"/>
      <c r="D6470" s="7"/>
      <c r="E6470" s="5"/>
      <c r="F6470" s="5"/>
      <c r="G6470" s="9"/>
      <c r="H6470" s="9"/>
      <c r="I6470" s="9"/>
    </row>
    <row r="6471" ht="14.25">
      <c r="A6471" s="5"/>
      <c r="B6471" s="7"/>
      <c r="C6471" s="7"/>
      <c r="D6471" s="7"/>
      <c r="E6471" s="5"/>
      <c r="F6471" s="5"/>
      <c r="G6471" s="9"/>
      <c r="H6471" s="9"/>
      <c r="I6471" s="9"/>
    </row>
    <row r="6472" ht="14.25">
      <c r="A6472" s="5"/>
      <c r="B6472" s="7"/>
      <c r="C6472" s="7"/>
      <c r="D6472" s="7"/>
      <c r="E6472" s="5"/>
      <c r="F6472" s="5"/>
      <c r="G6472" s="9"/>
      <c r="H6472" s="9"/>
      <c r="I6472" s="9"/>
    </row>
    <row r="6473" ht="14.25">
      <c r="A6473" s="5"/>
      <c r="B6473" s="7"/>
      <c r="C6473" s="7"/>
      <c r="D6473" s="7"/>
      <c r="E6473" s="5"/>
      <c r="F6473" s="5"/>
      <c r="G6473" s="9"/>
      <c r="H6473" s="9"/>
      <c r="I6473" s="9"/>
    </row>
    <row r="6474" ht="14.25">
      <c r="A6474" s="5"/>
      <c r="B6474" s="7"/>
      <c r="C6474" s="7"/>
      <c r="D6474" s="7"/>
      <c r="E6474" s="5"/>
      <c r="F6474" s="5"/>
      <c r="G6474" s="9"/>
      <c r="H6474" s="9"/>
      <c r="I6474" s="9"/>
    </row>
    <row r="6475" ht="14.25">
      <c r="A6475" s="5"/>
      <c r="B6475" s="7"/>
      <c r="C6475" s="7"/>
      <c r="D6475" s="7"/>
      <c r="E6475" s="5"/>
      <c r="F6475" s="5"/>
      <c r="G6475" s="9"/>
      <c r="H6475" s="9"/>
      <c r="I6475" s="9"/>
    </row>
    <row r="6476" ht="14.25">
      <c r="A6476" s="5"/>
      <c r="B6476" s="7"/>
      <c r="C6476" s="7"/>
      <c r="D6476" s="7"/>
      <c r="E6476" s="5"/>
      <c r="F6476" s="5"/>
      <c r="G6476" s="9"/>
      <c r="H6476" s="9"/>
      <c r="I6476" s="9"/>
    </row>
    <row r="6477" ht="14.25">
      <c r="A6477" s="5"/>
      <c r="B6477" s="7"/>
      <c r="C6477" s="7"/>
      <c r="D6477" s="7"/>
      <c r="E6477" s="5"/>
      <c r="F6477" s="5"/>
      <c r="G6477" s="9"/>
      <c r="H6477" s="9"/>
      <c r="I6477" s="9"/>
    </row>
    <row r="6478" ht="14.25">
      <c r="A6478" s="5"/>
      <c r="B6478" s="7"/>
      <c r="C6478" s="7"/>
      <c r="D6478" s="7"/>
      <c r="E6478" s="5"/>
      <c r="F6478" s="5"/>
      <c r="G6478" s="9"/>
      <c r="H6478" s="9"/>
      <c r="I6478" s="9"/>
    </row>
    <row r="6479" ht="14.25">
      <c r="A6479" s="5"/>
      <c r="B6479" s="7"/>
      <c r="C6479" s="7"/>
      <c r="D6479" s="7"/>
      <c r="E6479" s="5"/>
      <c r="F6479" s="5"/>
      <c r="G6479" s="9"/>
      <c r="H6479" s="9"/>
      <c r="I6479" s="9"/>
    </row>
    <row r="6480" ht="14.25">
      <c r="A6480" s="5"/>
      <c r="B6480" s="7"/>
      <c r="C6480" s="7"/>
      <c r="D6480" s="7"/>
      <c r="E6480" s="5"/>
      <c r="F6480" s="5"/>
      <c r="G6480" s="9"/>
      <c r="H6480" s="9"/>
      <c r="I6480" s="9"/>
    </row>
    <row r="6481" ht="14.25">
      <c r="A6481" s="5"/>
      <c r="B6481" s="7"/>
      <c r="C6481" s="7"/>
      <c r="D6481" s="7"/>
      <c r="E6481" s="5"/>
      <c r="F6481" s="5"/>
      <c r="G6481" s="9"/>
      <c r="H6481" s="9"/>
      <c r="I6481" s="9"/>
    </row>
    <row r="6482" ht="14.25">
      <c r="A6482" s="5"/>
      <c r="B6482" s="7"/>
      <c r="C6482" s="7"/>
      <c r="D6482" s="7"/>
      <c r="E6482" s="5"/>
      <c r="F6482" s="5"/>
      <c r="G6482" s="9"/>
      <c r="H6482" s="9"/>
      <c r="I6482" s="9"/>
    </row>
    <row r="6483" ht="14.25">
      <c r="A6483" s="5"/>
      <c r="B6483" s="7"/>
      <c r="C6483" s="7"/>
      <c r="D6483" s="7"/>
      <c r="E6483" s="5"/>
      <c r="F6483" s="5"/>
      <c r="G6483" s="9"/>
      <c r="H6483" s="9"/>
      <c r="I6483" s="9"/>
    </row>
    <row r="6484" ht="14.25">
      <c r="A6484" s="5"/>
      <c r="B6484" s="7"/>
      <c r="C6484" s="7"/>
      <c r="D6484" s="7"/>
      <c r="E6484" s="5"/>
      <c r="F6484" s="5"/>
      <c r="G6484" s="9"/>
      <c r="H6484" s="9"/>
      <c r="I6484" s="9"/>
    </row>
    <row r="6485" ht="14.25">
      <c r="A6485" s="5"/>
      <c r="B6485" s="7"/>
      <c r="C6485" s="7"/>
      <c r="D6485" s="7"/>
      <c r="E6485" s="5"/>
      <c r="F6485" s="5"/>
      <c r="G6485" s="9"/>
      <c r="H6485" s="9"/>
      <c r="I6485" s="9"/>
    </row>
    <row r="6486" ht="14.25">
      <c r="A6486" s="5"/>
      <c r="B6486" s="7"/>
      <c r="C6486" s="7"/>
      <c r="D6486" s="7"/>
      <c r="E6486" s="5"/>
      <c r="F6486" s="5"/>
      <c r="G6486" s="9"/>
      <c r="H6486" s="9"/>
      <c r="I6486" s="9"/>
    </row>
    <row r="6487" ht="14.25">
      <c r="A6487" s="5"/>
      <c r="B6487" s="7"/>
      <c r="C6487" s="7"/>
      <c r="D6487" s="7"/>
      <c r="E6487" s="5"/>
      <c r="F6487" s="5"/>
      <c r="G6487" s="9"/>
      <c r="H6487" s="9"/>
      <c r="I6487" s="9"/>
    </row>
    <row r="6488" ht="14.25">
      <c r="A6488" s="5"/>
      <c r="B6488" s="7"/>
      <c r="C6488" s="7"/>
      <c r="D6488" s="7"/>
      <c r="E6488" s="5"/>
      <c r="F6488" s="5"/>
      <c r="G6488" s="9"/>
      <c r="H6488" s="9"/>
      <c r="I6488" s="9"/>
    </row>
    <row r="6489" ht="14.25">
      <c r="A6489" s="5"/>
      <c r="B6489" s="7"/>
      <c r="C6489" s="7"/>
      <c r="D6489" s="7"/>
      <c r="E6489" s="5"/>
      <c r="F6489" s="5"/>
      <c r="G6489" s="9"/>
      <c r="H6489" s="9"/>
      <c r="I6489" s="9"/>
    </row>
    <row r="6490" ht="14.25">
      <c r="A6490" s="5"/>
      <c r="B6490" s="7"/>
      <c r="C6490" s="7"/>
      <c r="D6490" s="7"/>
      <c r="E6490" s="5"/>
      <c r="F6490" s="5"/>
      <c r="G6490" s="9"/>
      <c r="H6490" s="9"/>
      <c r="I6490" s="9"/>
    </row>
    <row r="6491" ht="14.25">
      <c r="A6491" s="5"/>
      <c r="B6491" s="7"/>
      <c r="C6491" s="7"/>
      <c r="D6491" s="7"/>
      <c r="E6491" s="5"/>
      <c r="F6491" s="5"/>
      <c r="G6491" s="9"/>
      <c r="H6491" s="9"/>
      <c r="I6491" s="9"/>
    </row>
    <row r="6492" ht="14.25">
      <c r="A6492" s="5"/>
      <c r="B6492" s="7"/>
      <c r="C6492" s="7"/>
      <c r="D6492" s="7"/>
      <c r="E6492" s="5"/>
      <c r="F6492" s="5"/>
      <c r="G6492" s="9"/>
      <c r="H6492" s="9"/>
      <c r="I6492" s="9"/>
    </row>
    <row r="6493" ht="14.25">
      <c r="A6493" s="5"/>
      <c r="B6493" s="7"/>
      <c r="C6493" s="7"/>
      <c r="D6493" s="7"/>
      <c r="E6493" s="5"/>
      <c r="F6493" s="5"/>
      <c r="G6493" s="9"/>
      <c r="H6493" s="9"/>
      <c r="I6493" s="9"/>
    </row>
    <row r="6494" ht="14.25">
      <c r="A6494" s="5"/>
      <c r="B6494" s="7"/>
      <c r="C6494" s="7"/>
      <c r="D6494" s="7"/>
      <c r="E6494" s="5"/>
      <c r="F6494" s="5"/>
      <c r="G6494" s="9"/>
      <c r="H6494" s="9"/>
      <c r="I6494" s="9"/>
    </row>
    <row r="6495" ht="14.25">
      <c r="A6495" s="5"/>
      <c r="B6495" s="7"/>
      <c r="C6495" s="7"/>
      <c r="D6495" s="7"/>
      <c r="E6495" s="5"/>
      <c r="F6495" s="5"/>
      <c r="G6495" s="9"/>
      <c r="H6495" s="9"/>
      <c r="I6495" s="9"/>
    </row>
    <row r="6496" ht="14.25">
      <c r="A6496" s="5"/>
      <c r="B6496" s="7"/>
      <c r="C6496" s="7"/>
      <c r="D6496" s="7"/>
      <c r="E6496" s="5"/>
      <c r="F6496" s="5"/>
      <c r="G6496" s="9"/>
      <c r="H6496" s="9"/>
      <c r="I6496" s="9"/>
    </row>
    <row r="6497" ht="14.25">
      <c r="A6497" s="5"/>
      <c r="B6497" s="7"/>
      <c r="C6497" s="7"/>
      <c r="D6497" s="7"/>
      <c r="E6497" s="5"/>
      <c r="F6497" s="5"/>
      <c r="G6497" s="9"/>
      <c r="H6497" s="9"/>
      <c r="I6497" s="9"/>
    </row>
    <row r="6498" ht="14.25">
      <c r="A6498" s="5"/>
      <c r="B6498" s="7"/>
      <c r="C6498" s="7"/>
      <c r="D6498" s="7"/>
      <c r="E6498" s="5"/>
      <c r="F6498" s="5"/>
      <c r="G6498" s="9"/>
      <c r="H6498" s="9"/>
      <c r="I6498" s="9"/>
    </row>
    <row r="6499" ht="14.25">
      <c r="A6499" s="5"/>
      <c r="B6499" s="7"/>
      <c r="C6499" s="7"/>
      <c r="D6499" s="7"/>
      <c r="E6499" s="5"/>
      <c r="F6499" s="5"/>
      <c r="G6499" s="9"/>
      <c r="H6499" s="9"/>
      <c r="I6499" s="9"/>
    </row>
    <row r="6500" ht="14.25">
      <c r="A6500" s="5"/>
      <c r="B6500" s="7"/>
      <c r="C6500" s="7"/>
      <c r="D6500" s="7"/>
      <c r="E6500" s="5"/>
      <c r="F6500" s="5"/>
      <c r="G6500" s="9"/>
      <c r="H6500" s="9"/>
      <c r="I6500" s="9"/>
    </row>
    <row r="6501" ht="14.25">
      <c r="A6501" s="5"/>
      <c r="B6501" s="7"/>
      <c r="C6501" s="7"/>
      <c r="D6501" s="7"/>
      <c r="E6501" s="5"/>
      <c r="F6501" s="5"/>
      <c r="G6501" s="9"/>
      <c r="H6501" s="9"/>
      <c r="I6501" s="9"/>
    </row>
    <row r="6502" ht="14.25">
      <c r="A6502" s="5"/>
      <c r="B6502" s="7"/>
      <c r="C6502" s="7"/>
      <c r="D6502" s="7"/>
      <c r="E6502" s="5"/>
      <c r="F6502" s="5"/>
      <c r="G6502" s="9"/>
      <c r="H6502" s="9"/>
      <c r="I6502" s="9"/>
    </row>
    <row r="6503" ht="14.25">
      <c r="A6503" s="5"/>
      <c r="B6503" s="7"/>
      <c r="C6503" s="7"/>
      <c r="D6503" s="7"/>
      <c r="E6503" s="5"/>
      <c r="F6503" s="5"/>
      <c r="G6503" s="9"/>
      <c r="H6503" s="9"/>
      <c r="I6503" s="9"/>
    </row>
    <row r="6504" ht="14.25">
      <c r="A6504" s="5"/>
      <c r="B6504" s="7"/>
      <c r="C6504" s="7"/>
      <c r="D6504" s="7"/>
      <c r="E6504" s="5"/>
      <c r="F6504" s="5"/>
      <c r="G6504" s="9"/>
      <c r="H6504" s="9"/>
      <c r="I6504" s="9"/>
    </row>
    <row r="6505" ht="14.25">
      <c r="A6505" s="5"/>
      <c r="B6505" s="7"/>
      <c r="C6505" s="7"/>
      <c r="D6505" s="7"/>
      <c r="E6505" s="5"/>
      <c r="F6505" s="5"/>
      <c r="G6505" s="9"/>
      <c r="H6505" s="9"/>
      <c r="I6505" s="9"/>
    </row>
    <row r="6506" ht="14.25">
      <c r="A6506" s="5"/>
      <c r="B6506" s="7"/>
      <c r="C6506" s="7"/>
      <c r="D6506" s="7"/>
      <c r="E6506" s="5"/>
      <c r="F6506" s="5"/>
      <c r="G6506" s="9"/>
      <c r="H6506" s="9"/>
      <c r="I6506" s="9"/>
    </row>
    <row r="6507" ht="14.25">
      <c r="A6507" s="5"/>
      <c r="B6507" s="7"/>
      <c r="C6507" s="7"/>
      <c r="D6507" s="7"/>
      <c r="E6507" s="5"/>
      <c r="F6507" s="5"/>
      <c r="G6507" s="9"/>
      <c r="H6507" s="9"/>
      <c r="I6507" s="9"/>
    </row>
    <row r="6508" ht="14.25">
      <c r="A6508" s="5"/>
      <c r="B6508" s="7"/>
      <c r="C6508" s="7"/>
      <c r="D6508" s="7"/>
      <c r="E6508" s="5"/>
      <c r="F6508" s="5"/>
      <c r="G6508" s="9"/>
      <c r="H6508" s="9"/>
      <c r="I6508" s="9"/>
    </row>
    <row r="6509" ht="14.25">
      <c r="A6509" s="5"/>
      <c r="B6509" s="7"/>
      <c r="C6509" s="7"/>
      <c r="D6509" s="7"/>
      <c r="E6509" s="5"/>
      <c r="F6509" s="5"/>
      <c r="G6509" s="9"/>
      <c r="H6509" s="9"/>
      <c r="I6509" s="9"/>
    </row>
    <row r="6510" ht="14.25">
      <c r="A6510" s="5"/>
      <c r="B6510" s="7"/>
      <c r="C6510" s="7"/>
      <c r="D6510" s="7"/>
      <c r="E6510" s="5"/>
      <c r="F6510" s="5"/>
      <c r="G6510" s="9"/>
      <c r="H6510" s="9"/>
      <c r="I6510" s="9"/>
    </row>
    <row r="6511" ht="14.25">
      <c r="A6511" s="5"/>
      <c r="B6511" s="7"/>
      <c r="C6511" s="7"/>
      <c r="D6511" s="7"/>
      <c r="E6511" s="5"/>
      <c r="F6511" s="5"/>
      <c r="G6511" s="9"/>
      <c r="H6511" s="9"/>
      <c r="I6511" s="9"/>
    </row>
    <row r="6512" ht="14.25">
      <c r="A6512" s="5"/>
      <c r="B6512" s="7"/>
      <c r="C6512" s="7"/>
      <c r="D6512" s="7"/>
      <c r="E6512" s="5"/>
      <c r="F6512" s="5"/>
      <c r="G6512" s="9"/>
      <c r="H6512" s="9"/>
      <c r="I6512" s="9"/>
    </row>
    <row r="6513" ht="14.25">
      <c r="A6513" s="5"/>
      <c r="B6513" s="7"/>
      <c r="C6513" s="7"/>
      <c r="D6513" s="7"/>
      <c r="E6513" s="5"/>
      <c r="F6513" s="5"/>
      <c r="G6513" s="9"/>
      <c r="H6513" s="9"/>
      <c r="I6513" s="9"/>
    </row>
    <row r="6514" ht="14.25">
      <c r="A6514" s="5"/>
      <c r="B6514" s="7"/>
      <c r="C6514" s="7"/>
      <c r="D6514" s="7"/>
      <c r="E6514" s="5"/>
      <c r="F6514" s="5"/>
      <c r="G6514" s="9"/>
      <c r="H6514" s="9"/>
      <c r="I6514" s="9"/>
    </row>
    <row r="6515" ht="14.25">
      <c r="A6515" s="5"/>
      <c r="B6515" s="7"/>
      <c r="C6515" s="7"/>
      <c r="D6515" s="7"/>
      <c r="E6515" s="5"/>
      <c r="F6515" s="5"/>
      <c r="G6515" s="9"/>
      <c r="H6515" s="9"/>
      <c r="I6515" s="9"/>
    </row>
    <row r="6516" ht="14.25">
      <c r="A6516" s="5"/>
      <c r="B6516" s="7"/>
      <c r="C6516" s="7"/>
      <c r="D6516" s="7"/>
      <c r="E6516" s="5"/>
      <c r="F6516" s="5"/>
      <c r="G6516" s="9"/>
      <c r="H6516" s="9"/>
      <c r="I6516" s="9"/>
    </row>
    <row r="6517" ht="14.25">
      <c r="A6517" s="5"/>
      <c r="B6517" s="7"/>
      <c r="C6517" s="7"/>
      <c r="D6517" s="7"/>
      <c r="E6517" s="5"/>
      <c r="F6517" s="5"/>
      <c r="G6517" s="9"/>
      <c r="H6517" s="9"/>
      <c r="I6517" s="9"/>
    </row>
    <row r="6518" ht="14.25">
      <c r="A6518" s="5"/>
      <c r="B6518" s="7"/>
      <c r="C6518" s="7"/>
      <c r="D6518" s="7"/>
      <c r="E6518" s="5"/>
      <c r="F6518" s="5"/>
      <c r="G6518" s="9"/>
      <c r="H6518" s="9"/>
      <c r="I6518" s="9"/>
    </row>
    <row r="6519" ht="14.25">
      <c r="A6519" s="5"/>
      <c r="B6519" s="7"/>
      <c r="C6519" s="7"/>
      <c r="D6519" s="7"/>
      <c r="E6519" s="5"/>
      <c r="F6519" s="5"/>
      <c r="G6519" s="9"/>
      <c r="H6519" s="9"/>
      <c r="I6519" s="9"/>
    </row>
    <row r="6520" ht="14.25">
      <c r="A6520" s="5"/>
      <c r="B6520" s="7"/>
      <c r="C6520" s="7"/>
      <c r="D6520" s="7"/>
      <c r="E6520" s="5"/>
      <c r="F6520" s="5"/>
      <c r="G6520" s="9"/>
      <c r="H6520" s="9"/>
      <c r="I6520" s="9"/>
    </row>
    <row r="6521" ht="14.25">
      <c r="A6521" s="5"/>
      <c r="B6521" s="7"/>
      <c r="C6521" s="7"/>
      <c r="D6521" s="7"/>
      <c r="E6521" s="5"/>
      <c r="F6521" s="5"/>
      <c r="G6521" s="9"/>
      <c r="H6521" s="9"/>
      <c r="I6521" s="9"/>
    </row>
    <row r="6522" ht="14.25">
      <c r="A6522" s="5"/>
      <c r="B6522" s="7"/>
      <c r="C6522" s="7"/>
      <c r="D6522" s="7"/>
      <c r="E6522" s="5"/>
      <c r="F6522" s="5"/>
      <c r="G6522" s="9"/>
      <c r="H6522" s="9"/>
      <c r="I6522" s="9"/>
    </row>
    <row r="6523" ht="14.25">
      <c r="A6523" s="5"/>
      <c r="B6523" s="7"/>
      <c r="C6523" s="7"/>
      <c r="D6523" s="7"/>
      <c r="E6523" s="5"/>
      <c r="F6523" s="5"/>
      <c r="G6523" s="9"/>
      <c r="H6523" s="9"/>
      <c r="I6523" s="9"/>
    </row>
    <row r="6524" ht="14.25">
      <c r="A6524" s="5"/>
      <c r="B6524" s="7"/>
      <c r="C6524" s="7"/>
      <c r="D6524" s="7"/>
      <c r="E6524" s="5"/>
      <c r="F6524" s="5"/>
      <c r="G6524" s="9"/>
      <c r="H6524" s="9"/>
      <c r="I6524" s="9"/>
    </row>
    <row r="6525" ht="14.25">
      <c r="A6525" s="5"/>
      <c r="B6525" s="7"/>
      <c r="C6525" s="7"/>
      <c r="D6525" s="7"/>
      <c r="E6525" s="5"/>
      <c r="F6525" s="5"/>
      <c r="G6525" s="9"/>
      <c r="H6525" s="9"/>
      <c r="I6525" s="9"/>
    </row>
    <row r="6526" ht="14.25">
      <c r="A6526" s="5"/>
      <c r="B6526" s="7"/>
      <c r="C6526" s="7"/>
      <c r="D6526" s="7"/>
      <c r="E6526" s="5"/>
      <c r="F6526" s="5"/>
      <c r="G6526" s="9"/>
      <c r="H6526" s="9"/>
      <c r="I6526" s="9"/>
    </row>
    <row r="6527" ht="14.25">
      <c r="A6527" s="5"/>
      <c r="B6527" s="7"/>
      <c r="C6527" s="7"/>
      <c r="D6527" s="7"/>
      <c r="E6527" s="5"/>
      <c r="F6527" s="5"/>
      <c r="G6527" s="9"/>
      <c r="H6527" s="9"/>
      <c r="I6527" s="9"/>
    </row>
    <row r="6528" ht="14.25">
      <c r="A6528" s="5"/>
      <c r="B6528" s="7"/>
      <c r="C6528" s="7"/>
      <c r="D6528" s="7"/>
      <c r="E6528" s="5"/>
      <c r="F6528" s="5"/>
      <c r="G6528" s="9"/>
      <c r="H6528" s="9"/>
      <c r="I6528" s="9"/>
    </row>
    <row r="6529" ht="14.25">
      <c r="A6529" s="5"/>
      <c r="B6529" s="7"/>
      <c r="C6529" s="7"/>
      <c r="D6529" s="7"/>
      <c r="E6529" s="5"/>
      <c r="F6529" s="5"/>
      <c r="G6529" s="9"/>
      <c r="H6529" s="9"/>
      <c r="I6529" s="9"/>
    </row>
    <row r="6530" ht="14.25">
      <c r="A6530" s="5"/>
      <c r="B6530" s="7"/>
      <c r="C6530" s="7"/>
      <c r="D6530" s="7"/>
      <c r="E6530" s="5"/>
      <c r="F6530" s="5"/>
      <c r="G6530" s="9"/>
      <c r="H6530" s="9"/>
      <c r="I6530" s="9"/>
    </row>
    <row r="6531" ht="14.25">
      <c r="A6531" s="5"/>
      <c r="B6531" s="7"/>
      <c r="C6531" s="7"/>
      <c r="D6531" s="7"/>
      <c r="E6531" s="5"/>
      <c r="F6531" s="5"/>
      <c r="G6531" s="9"/>
      <c r="H6531" s="9"/>
      <c r="I6531" s="9"/>
    </row>
    <row r="6532" ht="14.25">
      <c r="A6532" s="5"/>
      <c r="B6532" s="7"/>
      <c r="C6532" s="7"/>
      <c r="D6532" s="7"/>
      <c r="E6532" s="5"/>
      <c r="F6532" s="5"/>
      <c r="G6532" s="9"/>
      <c r="H6532" s="9"/>
      <c r="I6532" s="9"/>
    </row>
    <row r="6533" ht="14.25">
      <c r="A6533" s="5"/>
      <c r="B6533" s="7"/>
      <c r="C6533" s="7"/>
      <c r="D6533" s="7"/>
      <c r="E6533" s="5"/>
      <c r="F6533" s="5"/>
      <c r="G6533" s="9"/>
      <c r="H6533" s="9"/>
      <c r="I6533" s="9"/>
    </row>
    <row r="6534" ht="14.25">
      <c r="A6534" s="5"/>
      <c r="B6534" s="7"/>
      <c r="C6534" s="7"/>
      <c r="D6534" s="7"/>
      <c r="E6534" s="5"/>
      <c r="F6534" s="5"/>
      <c r="G6534" s="9"/>
      <c r="H6534" s="9"/>
      <c r="I6534" s="9"/>
    </row>
    <row r="6535" ht="14.25">
      <c r="A6535" s="5"/>
      <c r="B6535" s="7"/>
      <c r="C6535" s="7"/>
      <c r="D6535" s="7"/>
      <c r="E6535" s="5"/>
      <c r="F6535" s="5"/>
      <c r="G6535" s="9"/>
      <c r="H6535" s="9"/>
      <c r="I6535" s="9"/>
    </row>
    <row r="6536" ht="14.25">
      <c r="A6536" s="5"/>
      <c r="B6536" s="7"/>
      <c r="C6536" s="7"/>
      <c r="D6536" s="7"/>
      <c r="E6536" s="5"/>
      <c r="F6536" s="5"/>
      <c r="G6536" s="9"/>
      <c r="H6536" s="9"/>
      <c r="I6536" s="9"/>
    </row>
    <row r="6537" ht="14.25">
      <c r="A6537" s="5"/>
      <c r="B6537" s="7"/>
      <c r="C6537" s="7"/>
      <c r="D6537" s="7"/>
      <c r="E6537" s="5"/>
      <c r="F6537" s="5"/>
      <c r="G6537" s="9"/>
      <c r="H6537" s="9"/>
      <c r="I6537" s="9"/>
    </row>
    <row r="6538" ht="14.25">
      <c r="A6538" s="5"/>
      <c r="B6538" s="7"/>
      <c r="C6538" s="7"/>
      <c r="D6538" s="7"/>
      <c r="E6538" s="5"/>
      <c r="F6538" s="5"/>
      <c r="G6538" s="9"/>
      <c r="H6538" s="9"/>
      <c r="I6538" s="9"/>
    </row>
    <row r="6539" ht="14.25">
      <c r="A6539" s="5"/>
      <c r="B6539" s="7"/>
      <c r="C6539" s="7"/>
      <c r="D6539" s="7"/>
      <c r="E6539" s="5"/>
      <c r="F6539" s="5"/>
      <c r="G6539" s="9"/>
      <c r="H6539" s="9"/>
      <c r="I6539" s="9"/>
    </row>
    <row r="6540" ht="14.25">
      <c r="A6540" s="5"/>
      <c r="B6540" s="7"/>
      <c r="C6540" s="7"/>
      <c r="D6540" s="7"/>
      <c r="E6540" s="5"/>
      <c r="F6540" s="5"/>
      <c r="G6540" s="9"/>
      <c r="H6540" s="9"/>
      <c r="I6540" s="9"/>
    </row>
    <row r="6541" ht="14.25">
      <c r="A6541" s="5"/>
      <c r="B6541" s="7"/>
      <c r="C6541" s="7"/>
      <c r="D6541" s="7"/>
      <c r="E6541" s="5"/>
      <c r="F6541" s="5"/>
      <c r="G6541" s="9"/>
      <c r="H6541" s="9"/>
      <c r="I6541" s="9"/>
    </row>
    <row r="6542" ht="14.25">
      <c r="A6542" s="5"/>
      <c r="B6542" s="7"/>
      <c r="C6542" s="7"/>
      <c r="D6542" s="7"/>
      <c r="E6542" s="5"/>
      <c r="F6542" s="5"/>
      <c r="G6542" s="9"/>
      <c r="H6542" s="9"/>
      <c r="I6542" s="9"/>
    </row>
    <row r="6543" ht="14.25">
      <c r="A6543" s="5"/>
      <c r="B6543" s="7"/>
      <c r="C6543" s="7"/>
      <c r="D6543" s="7"/>
      <c r="E6543" s="5"/>
      <c r="F6543" s="5"/>
      <c r="G6543" s="9"/>
      <c r="H6543" s="9"/>
      <c r="I6543" s="9"/>
    </row>
    <row r="6544" ht="14.25">
      <c r="A6544" s="5"/>
      <c r="B6544" s="7"/>
      <c r="C6544" s="7"/>
      <c r="D6544" s="7"/>
      <c r="E6544" s="5"/>
      <c r="F6544" s="5"/>
      <c r="G6544" s="9"/>
      <c r="H6544" s="9"/>
      <c r="I6544" s="9"/>
    </row>
    <row r="6545" ht="14.25">
      <c r="A6545" s="5"/>
      <c r="B6545" s="7"/>
      <c r="C6545" s="7"/>
      <c r="D6545" s="7"/>
      <c r="E6545" s="5"/>
      <c r="F6545" s="5"/>
      <c r="G6545" s="9"/>
      <c r="H6545" s="9"/>
      <c r="I6545" s="9"/>
    </row>
    <row r="6546" ht="14.25">
      <c r="A6546" s="5"/>
      <c r="B6546" s="7"/>
      <c r="C6546" s="7"/>
      <c r="D6546" s="7"/>
      <c r="E6546" s="5"/>
      <c r="F6546" s="5"/>
      <c r="G6546" s="9"/>
      <c r="H6546" s="9"/>
      <c r="I6546" s="9"/>
    </row>
    <row r="6547" ht="14.25">
      <c r="A6547" s="5"/>
      <c r="B6547" s="7"/>
      <c r="C6547" s="7"/>
      <c r="D6547" s="7"/>
      <c r="E6547" s="5"/>
      <c r="F6547" s="5"/>
      <c r="G6547" s="9"/>
      <c r="H6547" s="9"/>
      <c r="I6547" s="9"/>
    </row>
    <row r="6548" ht="14.25">
      <c r="A6548" s="5"/>
      <c r="B6548" s="7"/>
      <c r="C6548" s="7"/>
      <c r="D6548" s="7"/>
      <c r="E6548" s="5"/>
      <c r="F6548" s="5"/>
      <c r="G6548" s="9"/>
      <c r="H6548" s="9"/>
      <c r="I6548" s="9"/>
    </row>
    <row r="6549" ht="14.25">
      <c r="A6549" s="5"/>
      <c r="B6549" s="7"/>
      <c r="C6549" s="7"/>
      <c r="D6549" s="7"/>
      <c r="E6549" s="5"/>
      <c r="F6549" s="5"/>
      <c r="G6549" s="9"/>
      <c r="H6549" s="9"/>
      <c r="I6549" s="9"/>
    </row>
    <row r="6550" ht="14.25">
      <c r="A6550" s="5"/>
      <c r="B6550" s="7"/>
      <c r="C6550" s="7"/>
      <c r="D6550" s="7"/>
      <c r="E6550" s="5"/>
      <c r="F6550" s="5"/>
      <c r="G6550" s="9"/>
      <c r="H6550" s="9"/>
      <c r="I6550" s="9"/>
    </row>
    <row r="6551" ht="14.25">
      <c r="A6551" s="5"/>
      <c r="B6551" s="7"/>
      <c r="C6551" s="7"/>
      <c r="D6551" s="7"/>
      <c r="E6551" s="5"/>
      <c r="F6551" s="5"/>
      <c r="G6551" s="9"/>
      <c r="H6551" s="9"/>
      <c r="I6551" s="9"/>
    </row>
    <row r="6552" ht="14.25">
      <c r="A6552" s="5"/>
      <c r="B6552" s="7"/>
      <c r="C6552" s="7"/>
      <c r="D6552" s="7"/>
      <c r="E6552" s="5"/>
      <c r="F6552" s="5"/>
      <c r="G6552" s="9"/>
      <c r="H6552" s="9"/>
      <c r="I6552" s="9"/>
    </row>
    <row r="6553" ht="14.25">
      <c r="A6553" s="5"/>
      <c r="B6553" s="7"/>
      <c r="C6553" s="7"/>
      <c r="D6553" s="7"/>
      <c r="E6553" s="5"/>
      <c r="F6553" s="5"/>
      <c r="G6553" s="9"/>
      <c r="H6553" s="9"/>
      <c r="I6553" s="9"/>
    </row>
    <row r="6554" ht="14.25">
      <c r="A6554" s="5"/>
      <c r="B6554" s="7"/>
      <c r="C6554" s="7"/>
      <c r="D6554" s="7"/>
      <c r="E6554" s="5"/>
      <c r="F6554" s="5"/>
      <c r="G6554" s="9"/>
      <c r="H6554" s="9"/>
      <c r="I6554" s="9"/>
    </row>
    <row r="6555" ht="14.25">
      <c r="A6555" s="5"/>
      <c r="B6555" s="7"/>
      <c r="C6555" s="7"/>
      <c r="D6555" s="7"/>
      <c r="E6555" s="5"/>
      <c r="F6555" s="5"/>
      <c r="G6555" s="9"/>
      <c r="H6555" s="9"/>
      <c r="I6555" s="9"/>
    </row>
    <row r="6556" ht="14.25">
      <c r="A6556" s="5"/>
      <c r="B6556" s="7"/>
      <c r="C6556" s="7"/>
      <c r="D6556" s="7"/>
      <c r="E6556" s="5"/>
      <c r="F6556" s="5"/>
      <c r="G6556" s="9"/>
      <c r="H6556" s="9"/>
      <c r="I6556" s="9"/>
    </row>
    <row r="6557" ht="14.25">
      <c r="A6557" s="5"/>
      <c r="B6557" s="7"/>
      <c r="C6557" s="7"/>
      <c r="D6557" s="7"/>
      <c r="E6557" s="5"/>
      <c r="F6557" s="5"/>
      <c r="G6557" s="9"/>
      <c r="H6557" s="9"/>
      <c r="I6557" s="9"/>
    </row>
    <row r="6558" ht="14.25">
      <c r="A6558" s="5"/>
      <c r="B6558" s="7"/>
      <c r="C6558" s="7"/>
      <c r="D6558" s="7"/>
      <c r="E6558" s="5"/>
      <c r="F6558" s="5"/>
      <c r="G6558" s="9"/>
      <c r="H6558" s="9"/>
      <c r="I6558" s="9"/>
    </row>
    <row r="6559" ht="14.25">
      <c r="A6559" s="5"/>
      <c r="B6559" s="7"/>
      <c r="C6559" s="7"/>
      <c r="D6559" s="7"/>
      <c r="E6559" s="5"/>
      <c r="F6559" s="5"/>
      <c r="G6559" s="9"/>
      <c r="H6559" s="9"/>
      <c r="I6559" s="9"/>
    </row>
    <row r="6560" ht="14.25">
      <c r="A6560" s="5"/>
      <c r="B6560" s="7"/>
      <c r="C6560" s="7"/>
      <c r="D6560" s="7"/>
      <c r="E6560" s="5"/>
      <c r="F6560" s="5"/>
      <c r="G6560" s="9"/>
      <c r="H6560" s="9"/>
      <c r="I6560" s="9"/>
    </row>
    <row r="6561" ht="14.25">
      <c r="A6561" s="5"/>
      <c r="B6561" s="7"/>
      <c r="C6561" s="7"/>
      <c r="D6561" s="7"/>
      <c r="E6561" s="5"/>
      <c r="F6561" s="5"/>
      <c r="G6561" s="9"/>
      <c r="H6561" s="9"/>
      <c r="I6561" s="9"/>
    </row>
    <row r="6562" ht="14.25">
      <c r="A6562" s="5"/>
      <c r="B6562" s="7"/>
      <c r="C6562" s="7"/>
      <c r="D6562" s="7"/>
      <c r="E6562" s="5"/>
      <c r="F6562" s="5"/>
      <c r="G6562" s="9"/>
      <c r="H6562" s="9"/>
      <c r="I6562" s="9"/>
    </row>
    <row r="6563" ht="14.25">
      <c r="A6563" s="5"/>
      <c r="B6563" s="7"/>
      <c r="C6563" s="7"/>
      <c r="D6563" s="7"/>
      <c r="E6563" s="5"/>
      <c r="F6563" s="5"/>
      <c r="G6563" s="9"/>
      <c r="H6563" s="9"/>
      <c r="I6563" s="9"/>
    </row>
    <row r="6564" ht="14.25">
      <c r="A6564" s="5"/>
      <c r="B6564" s="7"/>
      <c r="C6564" s="7"/>
      <c r="D6564" s="7"/>
      <c r="E6564" s="5"/>
      <c r="F6564" s="5"/>
      <c r="G6564" s="9"/>
      <c r="H6564" s="9"/>
      <c r="I6564" s="9"/>
    </row>
    <row r="6565" ht="14.25">
      <c r="A6565" s="5"/>
      <c r="B6565" s="7"/>
      <c r="C6565" s="7"/>
      <c r="D6565" s="7"/>
      <c r="E6565" s="5"/>
      <c r="F6565" s="5"/>
      <c r="G6565" s="9"/>
      <c r="H6565" s="9"/>
      <c r="I6565" s="9"/>
    </row>
    <row r="6566" ht="14.25">
      <c r="A6566" s="5"/>
      <c r="B6566" s="7"/>
      <c r="C6566" s="7"/>
      <c r="D6566" s="7"/>
      <c r="E6566" s="5"/>
      <c r="F6566" s="5"/>
      <c r="G6566" s="9"/>
      <c r="H6566" s="9"/>
      <c r="I6566" s="9"/>
    </row>
    <row r="6567" ht="14.25">
      <c r="A6567" s="5"/>
      <c r="B6567" s="7"/>
      <c r="C6567" s="7"/>
      <c r="D6567" s="7"/>
      <c r="E6567" s="5"/>
      <c r="F6567" s="5"/>
      <c r="G6567" s="9"/>
      <c r="H6567" s="9"/>
      <c r="I6567" s="9"/>
    </row>
    <row r="6568" ht="14.25">
      <c r="A6568" s="5"/>
      <c r="B6568" s="7"/>
      <c r="C6568" s="7"/>
      <c r="D6568" s="7"/>
      <c r="E6568" s="5"/>
      <c r="F6568" s="5"/>
      <c r="G6568" s="9"/>
      <c r="H6568" s="9"/>
      <c r="I6568" s="9"/>
    </row>
    <row r="6569" ht="14.25">
      <c r="A6569" s="5"/>
      <c r="B6569" s="7"/>
      <c r="C6569" s="7"/>
      <c r="D6569" s="7"/>
      <c r="E6569" s="5"/>
      <c r="F6569" s="5"/>
      <c r="G6569" s="9"/>
      <c r="H6569" s="9"/>
      <c r="I6569" s="9"/>
    </row>
    <row r="6570" ht="14.25">
      <c r="A6570" s="5"/>
      <c r="B6570" s="7"/>
      <c r="C6570" s="7"/>
      <c r="D6570" s="7"/>
      <c r="E6570" s="5"/>
      <c r="F6570" s="5"/>
      <c r="G6570" s="9"/>
      <c r="H6570" s="9"/>
      <c r="I6570" s="9"/>
    </row>
    <row r="6571" ht="14.25">
      <c r="A6571" s="5"/>
      <c r="B6571" s="7"/>
      <c r="C6571" s="7"/>
      <c r="D6571" s="7"/>
      <c r="E6571" s="5"/>
      <c r="F6571" s="5"/>
      <c r="G6571" s="9"/>
      <c r="H6571" s="9"/>
      <c r="I6571" s="9"/>
    </row>
    <row r="6572" ht="14.25">
      <c r="A6572" s="5"/>
      <c r="B6572" s="7"/>
      <c r="C6572" s="7"/>
      <c r="D6572" s="7"/>
      <c r="E6572" s="5"/>
      <c r="F6572" s="5"/>
      <c r="G6572" s="9"/>
      <c r="H6572" s="9"/>
      <c r="I6572" s="9"/>
    </row>
    <row r="6573" ht="14.25">
      <c r="A6573" s="5"/>
      <c r="B6573" s="7"/>
      <c r="C6573" s="7"/>
      <c r="D6573" s="7"/>
      <c r="E6573" s="5"/>
      <c r="F6573" s="5"/>
      <c r="G6573" s="9"/>
      <c r="H6573" s="9"/>
      <c r="I6573" s="9"/>
    </row>
    <row r="6574" ht="14.25">
      <c r="A6574" s="5"/>
      <c r="B6574" s="7"/>
      <c r="C6574" s="7"/>
      <c r="D6574" s="7"/>
      <c r="E6574" s="5"/>
      <c r="F6574" s="5"/>
      <c r="G6574" s="9"/>
      <c r="H6574" s="9"/>
      <c r="I6574" s="9"/>
    </row>
    <row r="6575" ht="14.25">
      <c r="A6575" s="5"/>
      <c r="B6575" s="7"/>
      <c r="C6575" s="7"/>
      <c r="D6575" s="7"/>
      <c r="E6575" s="5"/>
      <c r="F6575" s="5"/>
      <c r="G6575" s="9"/>
      <c r="H6575" s="9"/>
      <c r="I6575" s="9"/>
    </row>
    <row r="6576" ht="14.25">
      <c r="A6576" s="5"/>
      <c r="B6576" s="7"/>
      <c r="C6576" s="7"/>
      <c r="D6576" s="7"/>
      <c r="E6576" s="5"/>
      <c r="F6576" s="5"/>
      <c r="G6576" s="9"/>
      <c r="H6576" s="9"/>
      <c r="I6576" s="9"/>
    </row>
    <row r="6577" ht="14.25">
      <c r="A6577" s="5"/>
      <c r="B6577" s="7"/>
      <c r="C6577" s="7"/>
      <c r="D6577" s="7"/>
      <c r="E6577" s="5"/>
      <c r="F6577" s="5"/>
      <c r="G6577" s="9"/>
      <c r="H6577" s="9"/>
      <c r="I6577" s="9"/>
    </row>
    <row r="6578" ht="14.25">
      <c r="A6578" s="5"/>
      <c r="B6578" s="7"/>
      <c r="C6578" s="7"/>
      <c r="D6578" s="7"/>
      <c r="E6578" s="5"/>
      <c r="F6578" s="5"/>
      <c r="G6578" s="9"/>
      <c r="H6578" s="9"/>
      <c r="I6578" s="9"/>
    </row>
    <row r="6579" ht="14.25">
      <c r="A6579" s="5"/>
      <c r="B6579" s="7"/>
      <c r="C6579" s="7"/>
      <c r="D6579" s="7"/>
      <c r="E6579" s="5"/>
      <c r="F6579" s="5"/>
      <c r="G6579" s="9"/>
      <c r="H6579" s="9"/>
      <c r="I6579" s="9"/>
    </row>
    <row r="6580" ht="14.25">
      <c r="A6580" s="5"/>
      <c r="B6580" s="7"/>
      <c r="C6580" s="7"/>
      <c r="D6580" s="7"/>
      <c r="E6580" s="5"/>
      <c r="F6580" s="5"/>
      <c r="G6580" s="9"/>
      <c r="H6580" s="9"/>
      <c r="I6580" s="9"/>
    </row>
    <row r="6581" ht="14.25">
      <c r="A6581" s="5"/>
      <c r="B6581" s="7"/>
      <c r="C6581" s="7"/>
      <c r="D6581" s="7"/>
      <c r="E6581" s="5"/>
      <c r="F6581" s="5"/>
      <c r="G6581" s="9"/>
      <c r="H6581" s="9"/>
      <c r="I6581" s="9"/>
    </row>
    <row r="6582" ht="14.25">
      <c r="A6582" s="5"/>
      <c r="B6582" s="7"/>
      <c r="C6582" s="7"/>
      <c r="D6582" s="7"/>
      <c r="E6582" s="5"/>
      <c r="F6582" s="5"/>
      <c r="G6582" s="9"/>
      <c r="H6582" s="9"/>
      <c r="I6582" s="9"/>
    </row>
    <row r="6583" ht="14.25">
      <c r="A6583" s="5"/>
      <c r="B6583" s="7"/>
      <c r="C6583" s="7"/>
      <c r="D6583" s="7"/>
      <c r="E6583" s="5"/>
      <c r="F6583" s="5"/>
      <c r="G6583" s="9"/>
      <c r="H6583" s="9"/>
      <c r="I6583" s="9"/>
    </row>
    <row r="6584" ht="14.25">
      <c r="A6584" s="5"/>
      <c r="B6584" s="7"/>
      <c r="C6584" s="7"/>
      <c r="D6584" s="7"/>
      <c r="E6584" s="5"/>
      <c r="F6584" s="5"/>
      <c r="G6584" s="9"/>
      <c r="H6584" s="9"/>
      <c r="I6584" s="9"/>
    </row>
    <row r="6585" ht="14.25">
      <c r="A6585" s="5"/>
      <c r="B6585" s="7"/>
      <c r="C6585" s="7"/>
      <c r="D6585" s="7"/>
      <c r="E6585" s="5"/>
      <c r="F6585" s="5"/>
      <c r="G6585" s="9"/>
      <c r="H6585" s="9"/>
      <c r="I6585" s="9"/>
    </row>
    <row r="6586" ht="14.25">
      <c r="A6586" s="5"/>
      <c r="B6586" s="7"/>
      <c r="C6586" s="7"/>
      <c r="D6586" s="7"/>
      <c r="E6586" s="5"/>
      <c r="F6586" s="5"/>
      <c r="G6586" s="9"/>
      <c r="H6586" s="9"/>
      <c r="I6586" s="9"/>
    </row>
    <row r="6587" ht="14.25">
      <c r="A6587" s="5"/>
      <c r="B6587" s="7"/>
      <c r="C6587" s="7"/>
      <c r="D6587" s="7"/>
      <c r="E6587" s="5"/>
      <c r="F6587" s="5"/>
      <c r="G6587" s="9"/>
      <c r="H6587" s="9"/>
      <c r="I6587" s="9"/>
    </row>
    <row r="6588" ht="14.25">
      <c r="A6588" s="5"/>
      <c r="B6588" s="7"/>
      <c r="C6588" s="7"/>
      <c r="D6588" s="7"/>
      <c r="E6588" s="5"/>
      <c r="F6588" s="5"/>
      <c r="G6588" s="9"/>
      <c r="H6588" s="9"/>
      <c r="I6588" s="9"/>
    </row>
    <row r="6589" ht="14.25">
      <c r="A6589" s="5"/>
      <c r="B6589" s="7"/>
      <c r="C6589" s="7"/>
      <c r="D6589" s="7"/>
      <c r="E6589" s="5"/>
      <c r="F6589" s="5"/>
      <c r="G6589" s="9"/>
      <c r="H6589" s="9"/>
      <c r="I6589" s="9"/>
    </row>
    <row r="6590" ht="14.25">
      <c r="A6590" s="5"/>
      <c r="B6590" s="7"/>
      <c r="C6590" s="7"/>
      <c r="D6590" s="7"/>
      <c r="E6590" s="5"/>
      <c r="F6590" s="5"/>
      <c r="G6590" s="9"/>
      <c r="H6590" s="9"/>
      <c r="I6590" s="9"/>
    </row>
    <row r="6591" ht="14.25">
      <c r="A6591" s="5"/>
      <c r="B6591" s="7"/>
      <c r="C6591" s="7"/>
      <c r="D6591" s="7"/>
      <c r="E6591" s="5"/>
      <c r="F6591" s="5"/>
      <c r="G6591" s="9"/>
      <c r="H6591" s="9"/>
      <c r="I6591" s="9"/>
    </row>
    <row r="6592" ht="14.25">
      <c r="A6592" s="5"/>
      <c r="B6592" s="7"/>
      <c r="C6592" s="7"/>
      <c r="D6592" s="7"/>
      <c r="E6592" s="5"/>
      <c r="F6592" s="5"/>
      <c r="G6592" s="9"/>
      <c r="H6592" s="9"/>
      <c r="I6592" s="9"/>
    </row>
    <row r="6593" ht="14.25">
      <c r="A6593" s="5"/>
      <c r="B6593" s="7"/>
      <c r="C6593" s="7"/>
      <c r="D6593" s="7"/>
      <c r="E6593" s="5"/>
      <c r="F6593" s="5"/>
      <c r="G6593" s="9"/>
      <c r="H6593" s="9"/>
      <c r="I6593" s="9"/>
    </row>
    <row r="6594" ht="14.25">
      <c r="A6594" s="5"/>
      <c r="B6594" s="7"/>
      <c r="C6594" s="7"/>
      <c r="D6594" s="7"/>
      <c r="E6594" s="5"/>
      <c r="F6594" s="5"/>
      <c r="G6594" s="9"/>
      <c r="H6594" s="9"/>
      <c r="I6594" s="9"/>
    </row>
    <row r="6595" ht="14.25">
      <c r="A6595" s="5"/>
      <c r="B6595" s="7"/>
      <c r="C6595" s="7"/>
      <c r="D6595" s="7"/>
      <c r="E6595" s="5"/>
      <c r="F6595" s="5"/>
      <c r="G6595" s="9"/>
      <c r="H6595" s="9"/>
      <c r="I6595" s="9"/>
    </row>
    <row r="6596" ht="14.25">
      <c r="A6596" s="5"/>
      <c r="B6596" s="7"/>
      <c r="C6596" s="7"/>
      <c r="D6596" s="7"/>
      <c r="E6596" s="5"/>
      <c r="F6596" s="5"/>
      <c r="G6596" s="9"/>
      <c r="H6596" s="9"/>
      <c r="I6596" s="9"/>
    </row>
    <row r="6597" ht="14.25">
      <c r="A6597" s="5"/>
      <c r="B6597" s="7"/>
      <c r="C6597" s="7"/>
      <c r="D6597" s="7"/>
      <c r="E6597" s="5"/>
      <c r="F6597" s="5"/>
      <c r="G6597" s="9"/>
      <c r="H6597" s="9"/>
      <c r="I6597" s="9"/>
    </row>
    <row r="6598" ht="14.25">
      <c r="A6598" s="5"/>
      <c r="B6598" s="7"/>
      <c r="C6598" s="7"/>
      <c r="D6598" s="7"/>
      <c r="E6598" s="5"/>
      <c r="F6598" s="5"/>
      <c r="G6598" s="9"/>
      <c r="H6598" s="9"/>
      <c r="I6598" s="9"/>
    </row>
    <row r="6599" ht="14.25">
      <c r="A6599" s="5"/>
      <c r="B6599" s="7"/>
      <c r="C6599" s="7"/>
      <c r="D6599" s="7"/>
      <c r="E6599" s="5"/>
      <c r="F6599" s="5"/>
      <c r="G6599" s="9"/>
      <c r="H6599" s="9"/>
      <c r="I6599" s="9"/>
    </row>
    <row r="6600" ht="14.25">
      <c r="A6600" s="5"/>
      <c r="B6600" s="7"/>
      <c r="C6600" s="7"/>
      <c r="D6600" s="7"/>
      <c r="E6600" s="5"/>
      <c r="F6600" s="5"/>
      <c r="G6600" s="9"/>
      <c r="H6600" s="9"/>
      <c r="I6600" s="9"/>
    </row>
    <row r="6601" ht="14.25">
      <c r="A6601" s="5"/>
      <c r="B6601" s="7"/>
      <c r="C6601" s="7"/>
      <c r="D6601" s="7"/>
      <c r="E6601" s="5"/>
      <c r="F6601" s="5"/>
      <c r="G6601" s="9"/>
      <c r="H6601" s="9"/>
      <c r="I6601" s="9"/>
    </row>
    <row r="6602" ht="14.25">
      <c r="A6602" s="5"/>
      <c r="B6602" s="7"/>
      <c r="C6602" s="7"/>
      <c r="D6602" s="7"/>
      <c r="E6602" s="5"/>
      <c r="F6602" s="5"/>
      <c r="G6602" s="9"/>
      <c r="H6602" s="9"/>
      <c r="I6602" s="9"/>
    </row>
    <row r="6603" ht="14.25">
      <c r="A6603" s="5"/>
      <c r="B6603" s="7"/>
      <c r="C6603" s="7"/>
      <c r="D6603" s="7"/>
      <c r="E6603" s="5"/>
      <c r="F6603" s="5"/>
      <c r="G6603" s="9"/>
      <c r="H6603" s="9"/>
      <c r="I6603" s="9"/>
    </row>
    <row r="6604" ht="14.25">
      <c r="A6604" s="5"/>
      <c r="B6604" s="7"/>
      <c r="C6604" s="7"/>
      <c r="D6604" s="7"/>
      <c r="E6604" s="5"/>
      <c r="F6604" s="5"/>
      <c r="G6604" s="9"/>
      <c r="H6604" s="9"/>
      <c r="I6604" s="9"/>
    </row>
    <row r="6605" ht="14.25">
      <c r="A6605" s="5"/>
      <c r="B6605" s="7"/>
      <c r="C6605" s="7"/>
      <c r="D6605" s="7"/>
      <c r="E6605" s="5"/>
      <c r="F6605" s="5"/>
      <c r="G6605" s="9"/>
      <c r="H6605" s="9"/>
      <c r="I6605" s="9"/>
    </row>
    <row r="6606" ht="14.25">
      <c r="A6606" s="5"/>
      <c r="B6606" s="7"/>
      <c r="C6606" s="7"/>
      <c r="D6606" s="7"/>
      <c r="E6606" s="5"/>
      <c r="F6606" s="5"/>
      <c r="G6606" s="9"/>
      <c r="H6606" s="9"/>
      <c r="I6606" s="9"/>
    </row>
    <row r="6607" ht="14.25">
      <c r="A6607" s="5"/>
      <c r="B6607" s="7"/>
      <c r="C6607" s="7"/>
      <c r="D6607" s="7"/>
      <c r="E6607" s="5"/>
      <c r="F6607" s="5"/>
      <c r="G6607" s="9"/>
      <c r="H6607" s="9"/>
      <c r="I6607" s="9"/>
    </row>
    <row r="6608" ht="14.25">
      <c r="A6608" s="5"/>
      <c r="B6608" s="7"/>
      <c r="C6608" s="7"/>
      <c r="D6608" s="7"/>
      <c r="E6608" s="5"/>
      <c r="F6608" s="5"/>
      <c r="G6608" s="9"/>
      <c r="H6608" s="9"/>
      <c r="I6608" s="9"/>
    </row>
    <row r="6609" ht="14.25">
      <c r="A6609" s="5"/>
      <c r="B6609" s="7"/>
      <c r="C6609" s="7"/>
      <c r="D6609" s="7"/>
      <c r="E6609" s="5"/>
      <c r="F6609" s="5"/>
      <c r="G6609" s="9"/>
      <c r="H6609" s="9"/>
      <c r="I6609" s="9"/>
    </row>
    <row r="6610" ht="14.25">
      <c r="A6610" s="5"/>
      <c r="B6610" s="7"/>
      <c r="C6610" s="7"/>
      <c r="D6610" s="7"/>
      <c r="E6610" s="5"/>
      <c r="F6610" s="5"/>
      <c r="G6610" s="9"/>
      <c r="H6610" s="9"/>
      <c r="I6610" s="9"/>
    </row>
    <row r="6611" ht="14.25">
      <c r="A6611" s="5"/>
      <c r="B6611" s="7"/>
      <c r="C6611" s="7"/>
      <c r="D6611" s="7"/>
      <c r="E6611" s="5"/>
      <c r="F6611" s="5"/>
      <c r="G6611" s="9"/>
      <c r="H6611" s="9"/>
      <c r="I6611" s="9"/>
    </row>
    <row r="6612" ht="14.25">
      <c r="A6612" s="5"/>
      <c r="B6612" s="7"/>
      <c r="C6612" s="7"/>
      <c r="D6612" s="7"/>
      <c r="E6612" s="5"/>
      <c r="F6612" s="5"/>
      <c r="G6612" s="9"/>
      <c r="H6612" s="9"/>
      <c r="I6612" s="9"/>
    </row>
    <row r="6613" ht="14.25">
      <c r="A6613" s="5"/>
      <c r="B6613" s="7"/>
      <c r="C6613" s="7"/>
      <c r="D6613" s="7"/>
      <c r="E6613" s="5"/>
      <c r="F6613" s="5"/>
      <c r="G6613" s="9"/>
      <c r="H6613" s="9"/>
      <c r="I6613" s="9"/>
    </row>
    <row r="6614" ht="14.25">
      <c r="A6614" s="5"/>
      <c r="B6614" s="7"/>
      <c r="C6614" s="7"/>
      <c r="D6614" s="7"/>
      <c r="E6614" s="5"/>
      <c r="F6614" s="5"/>
      <c r="G6614" s="9"/>
      <c r="H6614" s="9"/>
      <c r="I6614" s="9"/>
    </row>
    <row r="6615" ht="14.25">
      <c r="A6615" s="5"/>
      <c r="B6615" s="7"/>
      <c r="C6615" s="7"/>
      <c r="D6615" s="7"/>
      <c r="E6615" s="5"/>
      <c r="F6615" s="5"/>
      <c r="G6615" s="9"/>
      <c r="H6615" s="9"/>
      <c r="I6615" s="9"/>
    </row>
    <row r="6616" ht="14.25">
      <c r="A6616" s="5"/>
      <c r="B6616" s="7"/>
      <c r="C6616" s="7"/>
      <c r="D6616" s="7"/>
      <c r="E6616" s="5"/>
      <c r="F6616" s="5"/>
      <c r="G6616" s="9"/>
      <c r="H6616" s="9"/>
      <c r="I6616" s="9"/>
    </row>
    <row r="6617" ht="14.25">
      <c r="A6617" s="5"/>
      <c r="B6617" s="7"/>
      <c r="C6617" s="7"/>
      <c r="D6617" s="7"/>
      <c r="E6617" s="5"/>
      <c r="F6617" s="5"/>
      <c r="G6617" s="9"/>
      <c r="H6617" s="9"/>
      <c r="I6617" s="9"/>
    </row>
    <row r="6618" ht="14.25">
      <c r="A6618" s="5"/>
      <c r="B6618" s="7"/>
      <c r="C6618" s="7"/>
      <c r="D6618" s="7"/>
      <c r="E6618" s="5"/>
      <c r="F6618" s="5"/>
      <c r="G6618" s="9"/>
      <c r="H6618" s="9"/>
      <c r="I6618" s="9"/>
    </row>
    <row r="6619" ht="14.25">
      <c r="A6619" s="5"/>
      <c r="B6619" s="7"/>
      <c r="C6619" s="7"/>
      <c r="D6619" s="7"/>
      <c r="E6619" s="5"/>
      <c r="F6619" s="5"/>
      <c r="G6619" s="9"/>
      <c r="H6619" s="9"/>
      <c r="I6619" s="9"/>
    </row>
    <row r="6620" ht="14.25">
      <c r="A6620" s="5"/>
      <c r="B6620" s="7"/>
      <c r="C6620" s="7"/>
      <c r="D6620" s="7"/>
      <c r="E6620" s="5"/>
      <c r="F6620" s="5"/>
      <c r="G6620" s="9"/>
      <c r="H6620" s="9"/>
      <c r="I6620" s="9"/>
    </row>
    <row r="6621" ht="14.25">
      <c r="A6621" s="5"/>
      <c r="B6621" s="7"/>
      <c r="C6621" s="7"/>
      <c r="D6621" s="7"/>
      <c r="E6621" s="5"/>
      <c r="F6621" s="5"/>
      <c r="G6621" s="9"/>
      <c r="H6621" s="9"/>
      <c r="I6621" s="9"/>
    </row>
    <row r="6622" ht="14.25">
      <c r="A6622" s="5"/>
      <c r="B6622" s="7"/>
      <c r="C6622" s="7"/>
      <c r="D6622" s="7"/>
      <c r="E6622" s="5"/>
      <c r="F6622" s="5"/>
      <c r="G6622" s="9"/>
      <c r="H6622" s="9"/>
      <c r="I6622" s="9"/>
    </row>
    <row r="6623" ht="14.25">
      <c r="A6623" s="5"/>
      <c r="B6623" s="7"/>
      <c r="C6623" s="7"/>
      <c r="D6623" s="7"/>
      <c r="E6623" s="5"/>
      <c r="F6623" s="5"/>
      <c r="G6623" s="9"/>
      <c r="H6623" s="9"/>
      <c r="I6623" s="9"/>
    </row>
    <row r="6624" ht="14.25">
      <c r="A6624" s="5"/>
      <c r="B6624" s="7"/>
      <c r="C6624" s="7"/>
      <c r="D6624" s="7"/>
      <c r="E6624" s="5"/>
      <c r="F6624" s="5"/>
      <c r="G6624" s="9"/>
      <c r="H6624" s="9"/>
      <c r="I6624" s="9"/>
    </row>
    <row r="6625" ht="14.25">
      <c r="A6625" s="5"/>
      <c r="B6625" s="7"/>
      <c r="C6625" s="7"/>
      <c r="D6625" s="7"/>
      <c r="E6625" s="5"/>
      <c r="F6625" s="5"/>
      <c r="G6625" s="9"/>
      <c r="H6625" s="9"/>
      <c r="I6625" s="9"/>
    </row>
    <row r="6626" ht="14.25">
      <c r="A6626" s="5"/>
      <c r="B6626" s="7"/>
      <c r="C6626" s="7"/>
      <c r="D6626" s="7"/>
      <c r="E6626" s="5"/>
      <c r="F6626" s="5"/>
      <c r="G6626" s="9"/>
      <c r="H6626" s="9"/>
      <c r="I6626" s="9"/>
    </row>
    <row r="6627" ht="14.25">
      <c r="A6627" s="5"/>
      <c r="B6627" s="7"/>
      <c r="C6627" s="7"/>
      <c r="D6627" s="7"/>
      <c r="E6627" s="5"/>
      <c r="F6627" s="5"/>
      <c r="G6627" s="9"/>
      <c r="H6627" s="9"/>
      <c r="I6627" s="9"/>
    </row>
    <row r="6628" ht="14.25">
      <c r="A6628" s="5"/>
      <c r="B6628" s="7"/>
      <c r="C6628" s="7"/>
      <c r="D6628" s="7"/>
      <c r="E6628" s="5"/>
      <c r="F6628" s="5"/>
      <c r="G6628" s="9"/>
      <c r="H6628" s="9"/>
      <c r="I6628" s="9"/>
    </row>
    <row r="6629" ht="14.25">
      <c r="A6629" s="5"/>
      <c r="B6629" s="7"/>
      <c r="C6629" s="7"/>
      <c r="D6629" s="7"/>
      <c r="E6629" s="5"/>
      <c r="F6629" s="5"/>
      <c r="G6629" s="9"/>
      <c r="H6629" s="9"/>
      <c r="I6629" s="9"/>
    </row>
    <row r="6630" ht="14.25">
      <c r="A6630" s="5"/>
      <c r="B6630" s="7"/>
      <c r="C6630" s="7"/>
      <c r="D6630" s="7"/>
      <c r="E6630" s="5"/>
      <c r="F6630" s="5"/>
      <c r="G6630" s="9"/>
      <c r="H6630" s="9"/>
      <c r="I6630" s="9"/>
    </row>
    <row r="6631" ht="14.25">
      <c r="A6631" s="5"/>
      <c r="B6631" s="7"/>
      <c r="C6631" s="7"/>
      <c r="D6631" s="7"/>
      <c r="E6631" s="5"/>
      <c r="F6631" s="5"/>
      <c r="G6631" s="9"/>
      <c r="H6631" s="9"/>
      <c r="I6631" s="9"/>
    </row>
    <row r="6632" ht="14.25">
      <c r="A6632" s="5"/>
      <c r="B6632" s="7"/>
      <c r="C6632" s="7"/>
      <c r="D6632" s="7"/>
      <c r="E6632" s="5"/>
      <c r="F6632" s="5"/>
      <c r="G6632" s="9"/>
      <c r="H6632" s="9"/>
      <c r="I6632" s="9"/>
    </row>
    <row r="6633" ht="14.25">
      <c r="A6633" s="5"/>
      <c r="B6633" s="7"/>
      <c r="C6633" s="7"/>
      <c r="D6633" s="7"/>
      <c r="E6633" s="5"/>
      <c r="F6633" s="5"/>
      <c r="G6633" s="9"/>
      <c r="H6633" s="9"/>
      <c r="I6633" s="9"/>
    </row>
    <row r="6634" ht="14.25">
      <c r="A6634" s="5"/>
      <c r="B6634" s="7"/>
      <c r="C6634" s="7"/>
      <c r="D6634" s="7"/>
      <c r="E6634" s="5"/>
      <c r="F6634" s="5"/>
      <c r="G6634" s="9"/>
      <c r="H6634" s="9"/>
      <c r="I6634" s="9"/>
    </row>
    <row r="6635" ht="14.25">
      <c r="A6635" s="5"/>
      <c r="B6635" s="7"/>
      <c r="C6635" s="7"/>
      <c r="D6635" s="7"/>
      <c r="E6635" s="5"/>
      <c r="F6635" s="5"/>
      <c r="G6635" s="9"/>
      <c r="H6635" s="9"/>
      <c r="I6635" s="9"/>
    </row>
    <row r="6636" ht="14.25">
      <c r="A6636" s="5"/>
      <c r="B6636" s="7"/>
      <c r="C6636" s="7"/>
      <c r="D6636" s="7"/>
      <c r="E6636" s="5"/>
      <c r="F6636" s="5"/>
      <c r="G6636" s="9"/>
      <c r="H6636" s="9"/>
      <c r="I6636" s="9"/>
    </row>
    <row r="6637" ht="14.25">
      <c r="A6637" s="5"/>
      <c r="B6637" s="7"/>
      <c r="C6637" s="7"/>
      <c r="D6637" s="7"/>
      <c r="E6637" s="5"/>
      <c r="F6637" s="5"/>
      <c r="G6637" s="9"/>
      <c r="H6637" s="9"/>
      <c r="I6637" s="9"/>
    </row>
    <row r="6638" ht="14.25">
      <c r="A6638" s="5"/>
      <c r="B6638" s="7"/>
      <c r="C6638" s="7"/>
      <c r="D6638" s="7"/>
      <c r="E6638" s="5"/>
      <c r="F6638" s="5"/>
      <c r="G6638" s="9"/>
      <c r="H6638" s="9"/>
      <c r="I6638" s="9"/>
    </row>
    <row r="6639" ht="14.25">
      <c r="A6639" s="5"/>
      <c r="B6639" s="7"/>
      <c r="C6639" s="7"/>
      <c r="D6639" s="7"/>
      <c r="E6639" s="5"/>
      <c r="F6639" s="5"/>
      <c r="G6639" s="9"/>
      <c r="H6639" s="9"/>
      <c r="I6639" s="9"/>
    </row>
    <row r="6640" ht="14.25">
      <c r="A6640" s="5"/>
      <c r="B6640" s="7"/>
      <c r="C6640" s="7"/>
      <c r="D6640" s="7"/>
      <c r="E6640" s="5"/>
      <c r="F6640" s="5"/>
      <c r="G6640" s="9"/>
      <c r="H6640" s="9"/>
      <c r="I6640" s="9"/>
    </row>
    <row r="6641" ht="14.25">
      <c r="A6641" s="5"/>
      <c r="B6641" s="7"/>
      <c r="C6641" s="7"/>
      <c r="D6641" s="7"/>
      <c r="E6641" s="5"/>
      <c r="F6641" s="5"/>
      <c r="G6641" s="9"/>
      <c r="H6641" s="9"/>
      <c r="I6641" s="9"/>
    </row>
    <row r="6642" ht="14.25">
      <c r="A6642" s="5"/>
      <c r="B6642" s="7"/>
      <c r="C6642" s="7"/>
      <c r="D6642" s="7"/>
      <c r="E6642" s="5"/>
      <c r="F6642" s="5"/>
      <c r="G6642" s="9"/>
      <c r="H6642" s="9"/>
      <c r="I6642" s="9"/>
    </row>
    <row r="6643" ht="14.25">
      <c r="A6643" s="5"/>
      <c r="B6643" s="7"/>
      <c r="C6643" s="7"/>
      <c r="D6643" s="7"/>
      <c r="E6643" s="5"/>
      <c r="F6643" s="5"/>
      <c r="G6643" s="9"/>
      <c r="H6643" s="9"/>
      <c r="I6643" s="9"/>
    </row>
    <row r="6644" ht="14.25">
      <c r="A6644" s="5"/>
      <c r="B6644" s="7"/>
      <c r="C6644" s="7"/>
      <c r="D6644" s="7"/>
      <c r="E6644" s="5"/>
      <c r="F6644" s="5"/>
      <c r="G6644" s="9"/>
      <c r="H6644" s="9"/>
      <c r="I6644" s="9"/>
    </row>
    <row r="6645" ht="14.25">
      <c r="A6645" s="5"/>
      <c r="B6645" s="7"/>
      <c r="C6645" s="7"/>
      <c r="D6645" s="7"/>
      <c r="E6645" s="5"/>
      <c r="F6645" s="5"/>
      <c r="G6645" s="9"/>
      <c r="H6645" s="9"/>
      <c r="I6645" s="9"/>
    </row>
    <row r="6646" ht="14.25">
      <c r="A6646" s="5"/>
      <c r="B6646" s="7"/>
      <c r="C6646" s="7"/>
      <c r="D6646" s="7"/>
      <c r="E6646" s="5"/>
      <c r="F6646" s="5"/>
      <c r="G6646" s="9"/>
      <c r="H6646" s="9"/>
      <c r="I6646" s="9"/>
    </row>
    <row r="6647" ht="14.25">
      <c r="A6647" s="5"/>
      <c r="B6647" s="7"/>
      <c r="C6647" s="7"/>
      <c r="D6647" s="7"/>
      <c r="E6647" s="5"/>
      <c r="F6647" s="5"/>
      <c r="G6647" s="9"/>
      <c r="H6647" s="9"/>
      <c r="I6647" s="9"/>
    </row>
    <row r="6648" ht="14.25">
      <c r="A6648" s="5"/>
      <c r="B6648" s="7"/>
      <c r="C6648" s="7"/>
      <c r="D6648" s="7"/>
      <c r="E6648" s="5"/>
      <c r="F6648" s="5"/>
      <c r="G6648" s="9"/>
      <c r="H6648" s="9"/>
      <c r="I6648" s="9"/>
    </row>
    <row r="6649" ht="14.25">
      <c r="A6649" s="5"/>
      <c r="B6649" s="7"/>
      <c r="C6649" s="7"/>
      <c r="D6649" s="7"/>
      <c r="E6649" s="5"/>
      <c r="F6649" s="5"/>
      <c r="G6649" s="9"/>
      <c r="H6649" s="9"/>
      <c r="I6649" s="9"/>
    </row>
    <row r="6650" ht="14.25">
      <c r="A6650" s="5"/>
      <c r="B6650" s="7"/>
      <c r="C6650" s="7"/>
      <c r="D6650" s="7"/>
      <c r="E6650" s="5"/>
      <c r="F6650" s="5"/>
      <c r="G6650" s="9"/>
      <c r="H6650" s="9"/>
      <c r="I6650" s="9"/>
    </row>
    <row r="6651" ht="14.25">
      <c r="A6651" s="5"/>
      <c r="B6651" s="7"/>
      <c r="C6651" s="7"/>
      <c r="D6651" s="7"/>
      <c r="E6651" s="5"/>
      <c r="F6651" s="5"/>
      <c r="G6651" s="9"/>
      <c r="H6651" s="9"/>
      <c r="I6651" s="9"/>
    </row>
    <row r="6652" ht="14.25">
      <c r="A6652" s="5"/>
      <c r="B6652" s="7"/>
      <c r="C6652" s="7"/>
      <c r="D6652" s="7"/>
      <c r="E6652" s="5"/>
      <c r="F6652" s="5"/>
      <c r="G6652" s="9"/>
      <c r="H6652" s="9"/>
      <c r="I6652" s="9"/>
    </row>
    <row r="6653" ht="14.25">
      <c r="A6653" s="5"/>
      <c r="B6653" s="7"/>
      <c r="C6653" s="7"/>
      <c r="D6653" s="7"/>
      <c r="E6653" s="5"/>
      <c r="F6653" s="5"/>
      <c r="G6653" s="9"/>
      <c r="H6653" s="9"/>
      <c r="I6653" s="9"/>
    </row>
    <row r="6654" ht="14.25">
      <c r="A6654" s="5"/>
      <c r="B6654" s="7"/>
      <c r="C6654" s="7"/>
      <c r="D6654" s="7"/>
      <c r="E6654" s="5"/>
      <c r="F6654" s="5"/>
      <c r="G6654" s="9"/>
      <c r="H6654" s="9"/>
      <c r="I6654" s="9"/>
    </row>
    <row r="6655" ht="14.25">
      <c r="A6655" s="5"/>
      <c r="B6655" s="7"/>
      <c r="C6655" s="7"/>
      <c r="D6655" s="7"/>
      <c r="E6655" s="5"/>
      <c r="F6655" s="5"/>
      <c r="G6655" s="9"/>
      <c r="H6655" s="9"/>
      <c r="I6655" s="9"/>
    </row>
    <row r="6656" ht="14.25">
      <c r="A6656" s="5"/>
      <c r="B6656" s="7"/>
      <c r="C6656" s="7"/>
      <c r="D6656" s="7"/>
      <c r="E6656" s="5"/>
      <c r="F6656" s="5"/>
      <c r="G6656" s="9"/>
      <c r="H6656" s="9"/>
      <c r="I6656" s="9"/>
    </row>
    <row r="6657" ht="14.25">
      <c r="A6657" s="5"/>
      <c r="B6657" s="7"/>
      <c r="C6657" s="7"/>
      <c r="D6657" s="7"/>
      <c r="E6657" s="5"/>
      <c r="F6657" s="5"/>
      <c r="G6657" s="9"/>
      <c r="H6657" s="9"/>
      <c r="I6657" s="9"/>
    </row>
    <row r="6658" ht="14.25">
      <c r="A6658" s="5"/>
      <c r="B6658" s="7"/>
      <c r="C6658" s="7"/>
      <c r="D6658" s="7"/>
      <c r="E6658" s="5"/>
      <c r="F6658" s="5"/>
      <c r="G6658" s="9"/>
      <c r="H6658" s="9"/>
      <c r="I6658" s="9"/>
    </row>
    <row r="6659" ht="14.25">
      <c r="A6659" s="5"/>
      <c r="B6659" s="7"/>
      <c r="C6659" s="7"/>
      <c r="D6659" s="7"/>
      <c r="E6659" s="5"/>
      <c r="F6659" s="5"/>
      <c r="G6659" s="9"/>
      <c r="H6659" s="9"/>
      <c r="I6659" s="9"/>
    </row>
    <row r="6660" ht="14.25">
      <c r="A6660" s="5"/>
      <c r="B6660" s="7"/>
      <c r="C6660" s="7"/>
      <c r="D6660" s="7"/>
      <c r="E6660" s="5"/>
      <c r="F6660" s="5"/>
      <c r="G6660" s="9"/>
      <c r="H6660" s="9"/>
      <c r="I6660" s="9"/>
    </row>
    <row r="6661" ht="14.25">
      <c r="A6661" s="5"/>
      <c r="B6661" s="7"/>
      <c r="C6661" s="7"/>
      <c r="D6661" s="7"/>
      <c r="E6661" s="5"/>
      <c r="F6661" s="5"/>
      <c r="G6661" s="9"/>
      <c r="H6661" s="9"/>
      <c r="I6661" s="9"/>
    </row>
    <row r="6662" ht="14.25">
      <c r="A6662" s="5"/>
      <c r="B6662" s="7"/>
      <c r="C6662" s="7"/>
      <c r="D6662" s="7"/>
      <c r="E6662" s="5"/>
      <c r="F6662" s="5"/>
      <c r="G6662" s="9"/>
      <c r="H6662" s="9"/>
      <c r="I6662" s="9"/>
    </row>
    <row r="6663" ht="14.25">
      <c r="A6663" s="5"/>
      <c r="B6663" s="7"/>
      <c r="C6663" s="7"/>
      <c r="D6663" s="7"/>
      <c r="E6663" s="5"/>
      <c r="F6663" s="5"/>
      <c r="G6663" s="9"/>
      <c r="H6663" s="9"/>
      <c r="I6663" s="9"/>
    </row>
    <row r="6664" ht="14.25">
      <c r="A6664" s="5"/>
      <c r="B6664" s="7"/>
      <c r="C6664" s="7"/>
      <c r="D6664" s="7"/>
      <c r="E6664" s="5"/>
      <c r="F6664" s="5"/>
      <c r="G6664" s="9"/>
      <c r="H6664" s="9"/>
      <c r="I6664" s="9"/>
    </row>
    <row r="6665" ht="14.25">
      <c r="A6665" s="5"/>
      <c r="B6665" s="7"/>
      <c r="C6665" s="7"/>
      <c r="D6665" s="7"/>
      <c r="E6665" s="5"/>
      <c r="F6665" s="5"/>
      <c r="G6665" s="9"/>
      <c r="H6665" s="9"/>
      <c r="I6665" s="9"/>
    </row>
    <row r="6666" ht="14.25">
      <c r="A6666" s="5"/>
      <c r="B6666" s="7"/>
      <c r="C6666" s="7"/>
      <c r="D6666" s="7"/>
      <c r="E6666" s="5"/>
      <c r="F6666" s="5"/>
      <c r="G6666" s="9"/>
      <c r="H6666" s="9"/>
      <c r="I6666" s="9"/>
    </row>
    <row r="6667" ht="14.25">
      <c r="A6667" s="5"/>
      <c r="B6667" s="7"/>
      <c r="C6667" s="7"/>
      <c r="D6667" s="7"/>
      <c r="E6667" s="5"/>
      <c r="F6667" s="5"/>
      <c r="G6667" s="9"/>
      <c r="H6667" s="9"/>
      <c r="I6667" s="9"/>
    </row>
    <row r="6668" ht="14.25">
      <c r="A6668" s="5"/>
      <c r="B6668" s="7"/>
      <c r="C6668" s="7"/>
      <c r="D6668" s="7"/>
      <c r="E6668" s="5"/>
      <c r="F6668" s="5"/>
      <c r="G6668" s="9"/>
      <c r="H6668" s="9"/>
      <c r="I6668" s="9"/>
    </row>
    <row r="6669" ht="14.25">
      <c r="A6669" s="5"/>
      <c r="B6669" s="7"/>
      <c r="C6669" s="7"/>
      <c r="D6669" s="7"/>
      <c r="E6669" s="5"/>
      <c r="F6669" s="5"/>
      <c r="G6669" s="9"/>
      <c r="H6669" s="9"/>
      <c r="I6669" s="9"/>
    </row>
    <row r="6670" ht="14.25">
      <c r="A6670" s="5"/>
      <c r="B6670" s="7"/>
      <c r="C6670" s="7"/>
      <c r="D6670" s="7"/>
      <c r="E6670" s="5"/>
      <c r="F6670" s="5"/>
      <c r="G6670" s="9"/>
      <c r="H6670" s="9"/>
      <c r="I6670" s="9"/>
    </row>
    <row r="6671" ht="14.25">
      <c r="A6671" s="5"/>
      <c r="B6671" s="7"/>
      <c r="C6671" s="7"/>
      <c r="D6671" s="7"/>
      <c r="E6671" s="5"/>
      <c r="F6671" s="5"/>
      <c r="G6671" s="9"/>
      <c r="H6671" s="9"/>
      <c r="I6671" s="9"/>
    </row>
    <row r="6672" ht="14.25">
      <c r="A6672" s="5"/>
      <c r="B6672" s="7"/>
      <c r="C6672" s="7"/>
      <c r="D6672" s="7"/>
      <c r="E6672" s="5"/>
      <c r="F6672" s="5"/>
      <c r="G6672" s="9"/>
      <c r="H6672" s="9"/>
      <c r="I6672" s="9"/>
    </row>
    <row r="6673" ht="14.25">
      <c r="A6673" s="5"/>
      <c r="B6673" s="7"/>
      <c r="C6673" s="7"/>
      <c r="D6673" s="7"/>
      <c r="E6673" s="5"/>
      <c r="F6673" s="5"/>
      <c r="G6673" s="9"/>
      <c r="H6673" s="9"/>
      <c r="I6673" s="9"/>
    </row>
    <row r="6674" ht="14.25">
      <c r="A6674" s="5"/>
      <c r="B6674" s="7"/>
      <c r="C6674" s="7"/>
      <c r="D6674" s="7"/>
      <c r="E6674" s="5"/>
      <c r="F6674" s="5"/>
      <c r="G6674" s="9"/>
      <c r="H6674" s="9"/>
      <c r="I6674" s="9"/>
    </row>
    <row r="6675" ht="14.25">
      <c r="A6675" s="5"/>
      <c r="B6675" s="7"/>
      <c r="C6675" s="7"/>
      <c r="D6675" s="7"/>
      <c r="E6675" s="5"/>
      <c r="F6675" s="5"/>
      <c r="G6675" s="9"/>
      <c r="H6675" s="9"/>
      <c r="I6675" s="9"/>
    </row>
    <row r="6676" ht="14.25">
      <c r="A6676" s="5"/>
      <c r="B6676" s="7"/>
      <c r="C6676" s="7"/>
      <c r="D6676" s="7"/>
      <c r="E6676" s="5"/>
      <c r="F6676" s="5"/>
      <c r="G6676" s="9"/>
      <c r="H6676" s="9"/>
      <c r="I6676" s="9"/>
    </row>
    <row r="6677" ht="14.25">
      <c r="A6677" s="5"/>
      <c r="B6677" s="7"/>
      <c r="C6677" s="7"/>
      <c r="D6677" s="7"/>
      <c r="E6677" s="5"/>
      <c r="F6677" s="5"/>
      <c r="G6677" s="9"/>
      <c r="H6677" s="9"/>
      <c r="I6677" s="9"/>
    </row>
    <row r="6678" ht="14.25">
      <c r="A6678" s="5"/>
      <c r="B6678" s="7"/>
      <c r="C6678" s="7"/>
      <c r="D6678" s="7"/>
      <c r="E6678" s="5"/>
      <c r="F6678" s="5"/>
      <c r="G6678" s="9"/>
      <c r="H6678" s="9"/>
      <c r="I6678" s="9"/>
    </row>
    <row r="6679" ht="14.25">
      <c r="A6679" s="5"/>
      <c r="B6679" s="7"/>
      <c r="C6679" s="7"/>
      <c r="D6679" s="7"/>
      <c r="E6679" s="5"/>
      <c r="F6679" s="5"/>
      <c r="G6679" s="9"/>
      <c r="H6679" s="9"/>
      <c r="I6679" s="9"/>
    </row>
    <row r="6680" ht="14.25">
      <c r="A6680" s="5"/>
      <c r="B6680" s="7"/>
      <c r="C6680" s="7"/>
      <c r="D6680" s="7"/>
      <c r="E6680" s="5"/>
      <c r="F6680" s="5"/>
      <c r="G6680" s="9"/>
      <c r="H6680" s="9"/>
      <c r="I6680" s="9"/>
    </row>
    <row r="6681" ht="14.25">
      <c r="A6681" s="5"/>
      <c r="B6681" s="7"/>
      <c r="C6681" s="7"/>
      <c r="D6681" s="7"/>
      <c r="E6681" s="5"/>
      <c r="F6681" s="5"/>
      <c r="G6681" s="9"/>
      <c r="H6681" s="9"/>
      <c r="I6681" s="9"/>
    </row>
    <row r="6682" ht="14.25">
      <c r="A6682" s="5"/>
      <c r="B6682" s="7"/>
      <c r="C6682" s="7"/>
      <c r="D6682" s="7"/>
      <c r="E6682" s="5"/>
      <c r="F6682" s="5"/>
      <c r="G6682" s="9"/>
      <c r="H6682" s="9"/>
      <c r="I6682" s="9"/>
    </row>
    <row r="6683" ht="14.25">
      <c r="A6683" s="5"/>
      <c r="B6683" s="7"/>
      <c r="C6683" s="7"/>
      <c r="D6683" s="7"/>
      <c r="E6683" s="5"/>
      <c r="F6683" s="5"/>
      <c r="G6683" s="9"/>
      <c r="H6683" s="9"/>
      <c r="I6683" s="9"/>
    </row>
    <row r="6684" ht="14.25">
      <c r="A6684" s="5"/>
      <c r="B6684" s="7"/>
      <c r="C6684" s="7"/>
      <c r="D6684" s="7"/>
      <c r="E6684" s="5"/>
      <c r="F6684" s="5"/>
      <c r="G6684" s="9"/>
      <c r="H6684" s="9"/>
      <c r="I6684" s="9"/>
    </row>
    <row r="6685" ht="14.25">
      <c r="A6685" s="5"/>
      <c r="B6685" s="7"/>
      <c r="C6685" s="7"/>
      <c r="D6685" s="7"/>
      <c r="E6685" s="5"/>
      <c r="F6685" s="5"/>
      <c r="G6685" s="9"/>
      <c r="H6685" s="9"/>
      <c r="I6685" s="9"/>
    </row>
    <row r="6686" ht="14.25">
      <c r="A6686" s="5"/>
      <c r="B6686" s="7"/>
      <c r="C6686" s="7"/>
      <c r="D6686" s="7"/>
      <c r="E6686" s="5"/>
      <c r="F6686" s="5"/>
      <c r="G6686" s="9"/>
      <c r="H6686" s="9"/>
      <c r="I6686" s="9"/>
    </row>
    <row r="6687" ht="14.25">
      <c r="A6687" s="5"/>
      <c r="B6687" s="7"/>
      <c r="C6687" s="7"/>
      <c r="D6687" s="7"/>
      <c r="E6687" s="5"/>
      <c r="F6687" s="5"/>
      <c r="G6687" s="9"/>
      <c r="H6687" s="9"/>
      <c r="I6687" s="9"/>
    </row>
    <row r="6688" ht="14.25">
      <c r="A6688" s="5"/>
      <c r="B6688" s="7"/>
      <c r="C6688" s="7"/>
      <c r="D6688" s="7"/>
      <c r="E6688" s="5"/>
      <c r="F6688" s="5"/>
      <c r="G6688" s="9"/>
      <c r="H6688" s="9"/>
      <c r="I6688" s="9"/>
    </row>
    <row r="6689" ht="14.25">
      <c r="A6689" s="5"/>
      <c r="B6689" s="7"/>
      <c r="C6689" s="7"/>
      <c r="D6689" s="7"/>
      <c r="E6689" s="5"/>
      <c r="F6689" s="5"/>
      <c r="G6689" s="9"/>
      <c r="H6689" s="9"/>
      <c r="I6689" s="9"/>
    </row>
    <row r="6690" ht="14.25">
      <c r="A6690" s="5"/>
      <c r="B6690" s="7"/>
      <c r="C6690" s="7"/>
      <c r="D6690" s="7"/>
      <c r="E6690" s="5"/>
      <c r="F6690" s="5"/>
      <c r="G6690" s="9"/>
      <c r="H6690" s="9"/>
      <c r="I6690" s="9"/>
    </row>
    <row r="6691" ht="14.25">
      <c r="A6691" s="5"/>
      <c r="B6691" s="7"/>
      <c r="C6691" s="7"/>
      <c r="D6691" s="7"/>
      <c r="E6691" s="5"/>
      <c r="F6691" s="5"/>
      <c r="G6691" s="9"/>
      <c r="H6691" s="9"/>
      <c r="I6691" s="9"/>
    </row>
    <row r="6692" ht="14.25">
      <c r="A6692" s="5"/>
      <c r="B6692" s="7"/>
      <c r="C6692" s="7"/>
      <c r="D6692" s="7"/>
      <c r="E6692" s="5"/>
      <c r="F6692" s="5"/>
      <c r="G6692" s="9"/>
      <c r="H6692" s="9"/>
      <c r="I6692" s="9"/>
    </row>
    <row r="6693" ht="14.25">
      <c r="A6693" s="5"/>
      <c r="B6693" s="7"/>
      <c r="C6693" s="7"/>
      <c r="D6693" s="7"/>
      <c r="E6693" s="5"/>
      <c r="F6693" s="5"/>
      <c r="G6693" s="9"/>
      <c r="H6693" s="9"/>
      <c r="I6693" s="9"/>
    </row>
    <row r="6694" ht="14.25">
      <c r="A6694" s="5"/>
      <c r="B6694" s="7"/>
      <c r="C6694" s="7"/>
      <c r="D6694" s="7"/>
      <c r="E6694" s="5"/>
      <c r="F6694" s="5"/>
      <c r="G6694" s="9"/>
      <c r="H6694" s="9"/>
      <c r="I6694" s="9"/>
    </row>
    <row r="6695" ht="14.25">
      <c r="A6695" s="5"/>
      <c r="B6695" s="7"/>
      <c r="C6695" s="7"/>
      <c r="D6695" s="7"/>
      <c r="E6695" s="5"/>
      <c r="F6695" s="5"/>
      <c r="G6695" s="9"/>
      <c r="H6695" s="9"/>
      <c r="I6695" s="9"/>
    </row>
    <row r="6696" ht="14.25">
      <c r="A6696" s="5"/>
      <c r="B6696" s="7"/>
      <c r="C6696" s="7"/>
      <c r="D6696" s="7"/>
      <c r="E6696" s="5"/>
      <c r="F6696" s="5"/>
      <c r="G6696" s="9"/>
      <c r="H6696" s="9"/>
      <c r="I6696" s="9"/>
    </row>
    <row r="6697" ht="14.25">
      <c r="A6697" s="5"/>
      <c r="B6697" s="7"/>
      <c r="C6697" s="7"/>
      <c r="D6697" s="7"/>
      <c r="E6697" s="5"/>
      <c r="F6697" s="5"/>
      <c r="G6697" s="9"/>
      <c r="H6697" s="9"/>
      <c r="I6697" s="9"/>
    </row>
    <row r="6698" ht="14.25">
      <c r="A6698" s="5"/>
      <c r="B6698" s="7"/>
      <c r="C6698" s="7"/>
      <c r="D6698" s="7"/>
      <c r="E6698" s="5"/>
      <c r="F6698" s="5"/>
      <c r="G6698" s="9"/>
      <c r="H6698" s="9"/>
      <c r="I6698" s="9"/>
    </row>
    <row r="6699" ht="14.25">
      <c r="A6699" s="5"/>
      <c r="B6699" s="7"/>
      <c r="C6699" s="7"/>
      <c r="D6699" s="7"/>
      <c r="E6699" s="5"/>
      <c r="F6699" s="5"/>
      <c r="G6699" s="9"/>
      <c r="H6699" s="9"/>
      <c r="I6699" s="9"/>
    </row>
    <row r="6700" ht="14.25">
      <c r="A6700" s="5"/>
      <c r="B6700" s="7"/>
      <c r="C6700" s="7"/>
      <c r="D6700" s="7"/>
      <c r="E6700" s="5"/>
      <c r="F6700" s="5"/>
      <c r="G6700" s="9"/>
      <c r="H6700" s="9"/>
      <c r="I6700" s="9"/>
    </row>
    <row r="6701" ht="14.25">
      <c r="A6701" s="5"/>
      <c r="B6701" s="7"/>
      <c r="C6701" s="7"/>
      <c r="D6701" s="7"/>
      <c r="E6701" s="5"/>
      <c r="F6701" s="5"/>
      <c r="G6701" s="9"/>
      <c r="H6701" s="9"/>
      <c r="I6701" s="9"/>
    </row>
    <row r="6702" ht="14.25">
      <c r="A6702" s="5"/>
      <c r="B6702" s="7"/>
      <c r="C6702" s="7"/>
      <c r="D6702" s="7"/>
      <c r="E6702" s="5"/>
      <c r="F6702" s="5"/>
      <c r="G6702" s="9"/>
      <c r="H6702" s="9"/>
      <c r="I6702" s="9"/>
    </row>
    <row r="6703" ht="14.25">
      <c r="A6703" s="5"/>
      <c r="B6703" s="7"/>
      <c r="C6703" s="7"/>
      <c r="D6703" s="7"/>
      <c r="E6703" s="5"/>
      <c r="F6703" s="5"/>
      <c r="G6703" s="9"/>
      <c r="H6703" s="9"/>
      <c r="I6703" s="9"/>
    </row>
    <row r="6704" ht="14.25">
      <c r="A6704" s="5"/>
      <c r="B6704" s="7"/>
      <c r="C6704" s="7"/>
      <c r="D6704" s="7"/>
      <c r="E6704" s="5"/>
      <c r="F6704" s="5"/>
      <c r="G6704" s="9"/>
      <c r="H6704" s="9"/>
      <c r="I6704" s="9"/>
    </row>
    <row r="6705" ht="14.25">
      <c r="A6705" s="5"/>
      <c r="B6705" s="7"/>
      <c r="C6705" s="7"/>
      <c r="D6705" s="7"/>
      <c r="E6705" s="5"/>
      <c r="F6705" s="5"/>
      <c r="G6705" s="9"/>
      <c r="H6705" s="9"/>
      <c r="I6705" s="9"/>
    </row>
    <row r="6706" ht="14.25">
      <c r="A6706" s="5"/>
      <c r="B6706" s="7"/>
      <c r="C6706" s="7"/>
      <c r="D6706" s="7"/>
      <c r="E6706" s="5"/>
      <c r="F6706" s="5"/>
      <c r="G6706" s="9"/>
      <c r="H6706" s="9"/>
      <c r="I6706" s="9"/>
    </row>
    <row r="6707" ht="14.25">
      <c r="A6707" s="5"/>
      <c r="B6707" s="7"/>
      <c r="C6707" s="7"/>
      <c r="D6707" s="7"/>
      <c r="E6707" s="5"/>
      <c r="F6707" s="5"/>
      <c r="G6707" s="9"/>
      <c r="H6707" s="9"/>
      <c r="I6707" s="9"/>
    </row>
    <row r="6708" ht="14.25">
      <c r="A6708" s="5"/>
      <c r="B6708" s="7"/>
      <c r="C6708" s="7"/>
      <c r="D6708" s="7"/>
      <c r="E6708" s="5"/>
      <c r="F6708" s="5"/>
      <c r="G6708" s="9"/>
      <c r="H6708" s="9"/>
      <c r="I6708" s="9"/>
    </row>
    <row r="6709" ht="14.25">
      <c r="A6709" s="5"/>
      <c r="B6709" s="7"/>
      <c r="C6709" s="7"/>
      <c r="D6709" s="7"/>
      <c r="E6709" s="5"/>
      <c r="F6709" s="5"/>
      <c r="G6709" s="9"/>
      <c r="H6709" s="9"/>
      <c r="I6709" s="9"/>
    </row>
    <row r="6710" ht="14.25">
      <c r="A6710" s="5"/>
      <c r="B6710" s="7"/>
      <c r="C6710" s="7"/>
      <c r="D6710" s="7"/>
      <c r="E6710" s="5"/>
      <c r="F6710" s="5"/>
      <c r="G6710" s="9"/>
      <c r="H6710" s="9"/>
      <c r="I6710" s="9"/>
    </row>
    <row r="6711" ht="14.25">
      <c r="A6711" s="5"/>
      <c r="B6711" s="7"/>
      <c r="C6711" s="7"/>
      <c r="D6711" s="7"/>
      <c r="E6711" s="5"/>
      <c r="F6711" s="5"/>
      <c r="G6711" s="9"/>
      <c r="H6711" s="9"/>
      <c r="I6711" s="9"/>
    </row>
    <row r="6712" ht="14.25">
      <c r="A6712" s="5"/>
      <c r="B6712" s="7"/>
      <c r="C6712" s="7"/>
      <c r="D6712" s="7"/>
      <c r="E6712" s="5"/>
      <c r="F6712" s="5"/>
      <c r="G6712" s="9"/>
      <c r="H6712" s="9"/>
      <c r="I6712" s="9"/>
    </row>
    <row r="6713" ht="14.25">
      <c r="A6713" s="5"/>
      <c r="B6713" s="7"/>
      <c r="C6713" s="7"/>
      <c r="D6713" s="7"/>
      <c r="E6713" s="5"/>
      <c r="F6713" s="5"/>
      <c r="G6713" s="9"/>
      <c r="H6713" s="9"/>
      <c r="I6713" s="9"/>
    </row>
    <row r="6714" ht="14.25">
      <c r="A6714" s="5"/>
      <c r="B6714" s="7"/>
      <c r="C6714" s="7"/>
      <c r="D6714" s="7"/>
      <c r="E6714" s="5"/>
      <c r="F6714" s="5"/>
      <c r="G6714" s="9"/>
      <c r="H6714" s="9"/>
      <c r="I6714" s="9"/>
    </row>
    <row r="6715" ht="14.25">
      <c r="A6715" s="5"/>
      <c r="B6715" s="7"/>
      <c r="C6715" s="7"/>
      <c r="D6715" s="7"/>
      <c r="E6715" s="5"/>
      <c r="F6715" s="5"/>
      <c r="G6715" s="9"/>
      <c r="H6715" s="9"/>
      <c r="I6715" s="9"/>
    </row>
    <row r="6716" ht="14.25">
      <c r="A6716" s="5"/>
      <c r="B6716" s="7"/>
      <c r="C6716" s="7"/>
      <c r="D6716" s="7"/>
      <c r="E6716" s="5"/>
      <c r="F6716" s="5"/>
      <c r="G6716" s="9"/>
      <c r="H6716" s="9"/>
      <c r="I6716" s="9"/>
    </row>
    <row r="6717" ht="14.25">
      <c r="A6717" s="5"/>
      <c r="B6717" s="7"/>
      <c r="C6717" s="7"/>
      <c r="D6717" s="7"/>
      <c r="E6717" s="5"/>
      <c r="F6717" s="5"/>
      <c r="G6717" s="9"/>
      <c r="H6717" s="9"/>
      <c r="I6717" s="9"/>
    </row>
    <row r="6718" ht="14.25">
      <c r="A6718" s="5"/>
      <c r="B6718" s="7"/>
      <c r="C6718" s="7"/>
      <c r="D6718" s="7"/>
      <c r="E6718" s="5"/>
      <c r="F6718" s="5"/>
      <c r="G6718" s="9"/>
      <c r="H6718" s="9"/>
      <c r="I6718" s="9"/>
    </row>
    <row r="6719" ht="14.25">
      <c r="A6719" s="5"/>
      <c r="B6719" s="7"/>
      <c r="C6719" s="7"/>
      <c r="D6719" s="7"/>
      <c r="E6719" s="5"/>
      <c r="F6719" s="5"/>
      <c r="G6719" s="9"/>
      <c r="H6719" s="9"/>
      <c r="I6719" s="9"/>
    </row>
    <row r="6720" ht="14.25">
      <c r="A6720" s="5"/>
      <c r="B6720" s="7"/>
      <c r="C6720" s="7"/>
      <c r="D6720" s="7"/>
      <c r="E6720" s="5"/>
      <c r="F6720" s="5"/>
      <c r="G6720" s="9"/>
      <c r="H6720" s="9"/>
      <c r="I6720" s="9"/>
    </row>
    <row r="6721" ht="14.25">
      <c r="A6721" s="5"/>
      <c r="B6721" s="7"/>
      <c r="C6721" s="7"/>
      <c r="D6721" s="7"/>
      <c r="E6721" s="5"/>
      <c r="F6721" s="5"/>
      <c r="G6721" s="9"/>
      <c r="H6721" s="9"/>
      <c r="I6721" s="9"/>
    </row>
    <row r="6722" ht="14.25">
      <c r="A6722" s="5"/>
      <c r="B6722" s="7"/>
      <c r="C6722" s="7"/>
      <c r="D6722" s="7"/>
      <c r="E6722" s="5"/>
      <c r="F6722" s="5"/>
      <c r="G6722" s="9"/>
      <c r="H6722" s="9"/>
      <c r="I6722" s="9"/>
    </row>
    <row r="6723" ht="14.25">
      <c r="A6723" s="5"/>
      <c r="B6723" s="7"/>
      <c r="C6723" s="7"/>
      <c r="D6723" s="7"/>
      <c r="E6723" s="5"/>
      <c r="F6723" s="5"/>
      <c r="G6723" s="9"/>
      <c r="H6723" s="9"/>
      <c r="I6723" s="9"/>
    </row>
    <row r="6724" ht="14.25">
      <c r="A6724" s="5"/>
      <c r="B6724" s="7"/>
      <c r="C6724" s="7"/>
      <c r="D6724" s="7"/>
      <c r="E6724" s="5"/>
      <c r="F6724" s="5"/>
      <c r="G6724" s="9"/>
      <c r="H6724" s="9"/>
      <c r="I6724" s="9"/>
    </row>
    <row r="6725" ht="14.25">
      <c r="A6725" s="5"/>
      <c r="B6725" s="7"/>
      <c r="C6725" s="7"/>
      <c r="D6725" s="7"/>
      <c r="E6725" s="5"/>
      <c r="F6725" s="5"/>
      <c r="G6725" s="9"/>
      <c r="H6725" s="9"/>
      <c r="I6725" s="9"/>
    </row>
    <row r="6726" ht="14.25">
      <c r="A6726" s="5"/>
      <c r="B6726" s="7"/>
      <c r="C6726" s="7"/>
      <c r="D6726" s="7"/>
      <c r="E6726" s="5"/>
      <c r="F6726" s="5"/>
      <c r="G6726" s="9"/>
      <c r="H6726" s="9"/>
      <c r="I6726" s="9"/>
    </row>
    <row r="6727" ht="14.25">
      <c r="A6727" s="5"/>
      <c r="B6727" s="7"/>
      <c r="C6727" s="7"/>
      <c r="D6727" s="7"/>
      <c r="E6727" s="5"/>
      <c r="F6727" s="5"/>
      <c r="G6727" s="9"/>
      <c r="H6727" s="9"/>
      <c r="I6727" s="9"/>
    </row>
    <row r="6728" ht="14.25">
      <c r="A6728" s="5"/>
      <c r="B6728" s="7"/>
      <c r="C6728" s="7"/>
      <c r="D6728" s="7"/>
      <c r="E6728" s="5"/>
      <c r="F6728" s="5"/>
      <c r="G6728" s="9"/>
      <c r="H6728" s="9"/>
      <c r="I6728" s="9"/>
    </row>
    <row r="6729" ht="14.25">
      <c r="A6729" s="5"/>
      <c r="B6729" s="7"/>
      <c r="C6729" s="7"/>
      <c r="D6729" s="7"/>
      <c r="E6729" s="5"/>
      <c r="F6729" s="5"/>
      <c r="G6729" s="9"/>
      <c r="H6729" s="9"/>
      <c r="I6729" s="9"/>
    </row>
    <row r="6730" ht="14.25">
      <c r="A6730" s="5"/>
      <c r="B6730" s="7"/>
      <c r="C6730" s="7"/>
      <c r="D6730" s="7"/>
      <c r="E6730" s="5"/>
      <c r="F6730" s="5"/>
      <c r="G6730" s="9"/>
      <c r="H6730" s="9"/>
      <c r="I6730" s="9"/>
    </row>
    <row r="6731" ht="14.25">
      <c r="A6731" s="5"/>
      <c r="B6731" s="7"/>
      <c r="C6731" s="7"/>
      <c r="D6731" s="7"/>
      <c r="E6731" s="5"/>
      <c r="F6731" s="5"/>
      <c r="G6731" s="9"/>
      <c r="H6731" s="9"/>
      <c r="I6731" s="9"/>
    </row>
    <row r="6732" ht="14.25">
      <c r="A6732" s="5"/>
      <c r="B6732" s="7"/>
      <c r="C6732" s="7"/>
      <c r="D6732" s="7"/>
      <c r="E6732" s="5"/>
      <c r="F6732" s="5"/>
      <c r="G6732" s="9"/>
      <c r="H6732" s="9"/>
      <c r="I6732" s="9"/>
    </row>
    <row r="6733" ht="14.25">
      <c r="A6733" s="5"/>
      <c r="B6733" s="7"/>
      <c r="C6733" s="7"/>
      <c r="D6733" s="7"/>
      <c r="E6733" s="5"/>
      <c r="F6733" s="5"/>
      <c r="G6733" s="9"/>
      <c r="H6733" s="9"/>
      <c r="I6733" s="9"/>
    </row>
    <row r="6734" ht="14.25">
      <c r="A6734" s="5"/>
      <c r="B6734" s="7"/>
      <c r="C6734" s="7"/>
      <c r="D6734" s="7"/>
      <c r="E6734" s="5"/>
      <c r="F6734" s="5"/>
      <c r="G6734" s="9"/>
      <c r="H6734" s="9"/>
      <c r="I6734" s="9"/>
    </row>
    <row r="6735" ht="14.25">
      <c r="A6735" s="5"/>
      <c r="B6735" s="7"/>
      <c r="C6735" s="7"/>
      <c r="D6735" s="7"/>
      <c r="E6735" s="5"/>
      <c r="F6735" s="5"/>
      <c r="G6735" s="9"/>
      <c r="H6735" s="9"/>
      <c r="I6735" s="9"/>
    </row>
    <row r="6736" ht="14.25">
      <c r="A6736" s="5"/>
      <c r="B6736" s="7"/>
      <c r="C6736" s="7"/>
      <c r="D6736" s="7"/>
      <c r="E6736" s="5"/>
      <c r="F6736" s="5"/>
      <c r="G6736" s="9"/>
      <c r="H6736" s="9"/>
      <c r="I6736" s="9"/>
    </row>
    <row r="6737" ht="14.25">
      <c r="A6737" s="5"/>
      <c r="B6737" s="7"/>
      <c r="C6737" s="7"/>
      <c r="D6737" s="7"/>
      <c r="E6737" s="5"/>
      <c r="F6737" s="5"/>
      <c r="G6737" s="9"/>
      <c r="H6737" s="9"/>
      <c r="I6737" s="9"/>
    </row>
    <row r="6738" ht="14.25">
      <c r="A6738" s="5"/>
      <c r="B6738" s="7"/>
      <c r="C6738" s="7"/>
      <c r="D6738" s="7"/>
      <c r="E6738" s="5"/>
      <c r="F6738" s="5"/>
      <c r="G6738" s="9"/>
      <c r="H6738" s="9"/>
      <c r="I6738" s="9"/>
    </row>
    <row r="6739" ht="14.25">
      <c r="A6739" s="5"/>
      <c r="B6739" s="7"/>
      <c r="C6739" s="7"/>
      <c r="D6739" s="7"/>
      <c r="E6739" s="5"/>
      <c r="F6739" s="5"/>
      <c r="G6739" s="9"/>
      <c r="H6739" s="9"/>
      <c r="I6739" s="9"/>
    </row>
    <row r="6740" ht="14.25">
      <c r="A6740" s="5"/>
      <c r="B6740" s="7"/>
      <c r="C6740" s="7"/>
      <c r="D6740" s="7"/>
      <c r="E6740" s="5"/>
      <c r="F6740" s="5"/>
      <c r="G6740" s="9"/>
      <c r="H6740" s="9"/>
      <c r="I6740" s="9"/>
    </row>
    <row r="6741" ht="14.25">
      <c r="A6741" s="5"/>
      <c r="B6741" s="7"/>
      <c r="C6741" s="7"/>
      <c r="D6741" s="7"/>
      <c r="E6741" s="5"/>
      <c r="F6741" s="5"/>
      <c r="G6741" s="9"/>
      <c r="H6741" s="9"/>
      <c r="I6741" s="9"/>
    </row>
    <row r="6742" ht="14.25">
      <c r="A6742" s="5"/>
      <c r="B6742" s="7"/>
      <c r="C6742" s="7"/>
      <c r="D6742" s="7"/>
      <c r="E6742" s="5"/>
      <c r="F6742" s="5"/>
      <c r="G6742" s="9"/>
      <c r="H6742" s="9"/>
      <c r="I6742" s="9"/>
    </row>
    <row r="6743" ht="14.25">
      <c r="A6743" s="5"/>
      <c r="B6743" s="7"/>
      <c r="C6743" s="7"/>
      <c r="D6743" s="7"/>
      <c r="E6743" s="5"/>
      <c r="F6743" s="5"/>
      <c r="G6743" s="9"/>
      <c r="H6743" s="9"/>
      <c r="I6743" s="9"/>
    </row>
    <row r="6744" ht="14.25">
      <c r="A6744" s="5"/>
      <c r="B6744" s="7"/>
      <c r="C6744" s="7"/>
      <c r="D6744" s="7"/>
      <c r="E6744" s="5"/>
      <c r="F6744" s="5"/>
      <c r="G6744" s="9"/>
      <c r="H6744" s="9"/>
      <c r="I6744" s="9"/>
    </row>
    <row r="6745" ht="14.25">
      <c r="A6745" s="5"/>
      <c r="B6745" s="7"/>
      <c r="C6745" s="7"/>
      <c r="D6745" s="7"/>
      <c r="E6745" s="5"/>
      <c r="F6745" s="5"/>
      <c r="G6745" s="9"/>
      <c r="H6745" s="9"/>
      <c r="I6745" s="9"/>
    </row>
    <row r="6746" ht="14.25">
      <c r="A6746" s="5"/>
      <c r="B6746" s="7"/>
      <c r="C6746" s="7"/>
      <c r="D6746" s="7"/>
      <c r="E6746" s="5"/>
      <c r="F6746" s="5"/>
      <c r="G6746" s="9"/>
      <c r="H6746" s="9"/>
      <c r="I6746" s="9"/>
    </row>
    <row r="6747" ht="14.25">
      <c r="A6747" s="5"/>
      <c r="B6747" s="7"/>
      <c r="C6747" s="7"/>
      <c r="D6747" s="7"/>
      <c r="E6747" s="5"/>
      <c r="F6747" s="5"/>
      <c r="G6747" s="9"/>
      <c r="H6747" s="9"/>
      <c r="I6747" s="9"/>
    </row>
    <row r="6748" ht="14.25">
      <c r="A6748" s="5"/>
      <c r="B6748" s="7"/>
      <c r="C6748" s="7"/>
      <c r="D6748" s="7"/>
      <c r="E6748" s="5"/>
      <c r="F6748" s="5"/>
      <c r="G6748" s="9"/>
      <c r="H6748" s="9"/>
      <c r="I6748" s="9"/>
    </row>
    <row r="6749" ht="14.25">
      <c r="A6749" s="5"/>
      <c r="B6749" s="7"/>
      <c r="C6749" s="7"/>
      <c r="D6749" s="7"/>
      <c r="E6749" s="5"/>
      <c r="F6749" s="5"/>
      <c r="G6749" s="9"/>
      <c r="H6749" s="9"/>
      <c r="I6749" s="9"/>
    </row>
    <row r="6750" ht="14.25">
      <c r="A6750" s="5"/>
      <c r="B6750" s="7"/>
      <c r="C6750" s="7"/>
      <c r="D6750" s="7"/>
      <c r="E6750" s="5"/>
      <c r="F6750" s="5"/>
      <c r="G6750" s="9"/>
      <c r="H6750" s="9"/>
      <c r="I6750" s="9"/>
    </row>
    <row r="6751" ht="14.25">
      <c r="A6751" s="5"/>
      <c r="B6751" s="7"/>
      <c r="C6751" s="7"/>
      <c r="D6751" s="7"/>
      <c r="E6751" s="5"/>
      <c r="F6751" s="5"/>
      <c r="G6751" s="9"/>
      <c r="H6751" s="9"/>
      <c r="I6751" s="9"/>
    </row>
    <row r="6752" ht="14.25">
      <c r="A6752" s="5"/>
      <c r="B6752" s="7"/>
      <c r="C6752" s="7"/>
      <c r="D6752" s="7"/>
      <c r="E6752" s="5"/>
      <c r="F6752" s="5"/>
      <c r="G6752" s="9"/>
      <c r="H6752" s="9"/>
      <c r="I6752" s="9"/>
    </row>
    <row r="6753" ht="14.25">
      <c r="A6753" s="5"/>
      <c r="B6753" s="7"/>
      <c r="C6753" s="7"/>
      <c r="D6753" s="7"/>
      <c r="E6753" s="5"/>
      <c r="F6753" s="5"/>
      <c r="G6753" s="9"/>
      <c r="H6753" s="9"/>
      <c r="I6753" s="9"/>
    </row>
    <row r="6754" ht="14.25">
      <c r="A6754" s="5"/>
      <c r="B6754" s="7"/>
      <c r="C6754" s="7"/>
      <c r="D6754" s="7"/>
      <c r="E6754" s="5"/>
      <c r="F6754" s="5"/>
      <c r="G6754" s="9"/>
      <c r="H6754" s="9"/>
      <c r="I6754" s="9"/>
    </row>
    <row r="6755" ht="14.25">
      <c r="A6755" s="5"/>
      <c r="B6755" s="7"/>
      <c r="C6755" s="7"/>
      <c r="D6755" s="7"/>
      <c r="E6755" s="5"/>
      <c r="F6755" s="5"/>
      <c r="G6755" s="9"/>
      <c r="H6755" s="9"/>
      <c r="I6755" s="9"/>
    </row>
    <row r="6756" ht="14.25">
      <c r="A6756" s="5"/>
      <c r="B6756" s="7"/>
      <c r="C6756" s="7"/>
      <c r="D6756" s="7"/>
      <c r="E6756" s="5"/>
      <c r="F6756" s="5"/>
      <c r="G6756" s="9"/>
      <c r="H6756" s="9"/>
      <c r="I6756" s="9"/>
    </row>
    <row r="6757" ht="14.25">
      <c r="A6757" s="5"/>
      <c r="B6757" s="7"/>
      <c r="C6757" s="7"/>
      <c r="D6757" s="7"/>
      <c r="E6757" s="5"/>
      <c r="F6757" s="5"/>
      <c r="G6757" s="9"/>
      <c r="H6757" s="9"/>
      <c r="I6757" s="9"/>
    </row>
    <row r="6758" ht="14.25">
      <c r="A6758" s="5"/>
      <c r="B6758" s="7"/>
      <c r="C6758" s="7"/>
      <c r="D6758" s="7"/>
      <c r="E6758" s="5"/>
      <c r="F6758" s="5"/>
      <c r="G6758" s="9"/>
      <c r="H6758" s="9"/>
      <c r="I6758" s="9"/>
    </row>
    <row r="6759" ht="14.25">
      <c r="A6759" s="5"/>
      <c r="B6759" s="7"/>
      <c r="C6759" s="7"/>
      <c r="D6759" s="7"/>
      <c r="E6759" s="5"/>
      <c r="F6759" s="5"/>
      <c r="G6759" s="9"/>
      <c r="H6759" s="9"/>
      <c r="I6759" s="9"/>
    </row>
    <row r="6760" ht="14.25">
      <c r="A6760" s="5"/>
      <c r="B6760" s="7"/>
      <c r="C6760" s="7"/>
      <c r="D6760" s="7"/>
      <c r="E6760" s="5"/>
      <c r="F6760" s="5"/>
      <c r="G6760" s="9"/>
      <c r="H6760" s="9"/>
      <c r="I6760" s="9"/>
    </row>
    <row r="6761" ht="14.25">
      <c r="A6761" s="5"/>
      <c r="B6761" s="7"/>
      <c r="C6761" s="7"/>
      <c r="D6761" s="7"/>
      <c r="E6761" s="5"/>
      <c r="F6761" s="5"/>
      <c r="G6761" s="9"/>
      <c r="H6761" s="9"/>
      <c r="I6761" s="9"/>
    </row>
    <row r="6762" ht="14.25">
      <c r="A6762" s="5"/>
      <c r="B6762" s="7"/>
      <c r="C6762" s="7"/>
      <c r="D6762" s="7"/>
      <c r="E6762" s="5"/>
      <c r="F6762" s="5"/>
      <c r="G6762" s="9"/>
      <c r="H6762" s="9"/>
      <c r="I6762" s="9"/>
    </row>
    <row r="6763" ht="14.25">
      <c r="A6763" s="5"/>
      <c r="B6763" s="7"/>
      <c r="C6763" s="7"/>
      <c r="D6763" s="7"/>
      <c r="E6763" s="5"/>
      <c r="F6763" s="5"/>
      <c r="G6763" s="9"/>
      <c r="H6763" s="9"/>
      <c r="I6763" s="9"/>
    </row>
    <row r="6764" ht="14.25">
      <c r="A6764" s="5"/>
      <c r="B6764" s="7"/>
      <c r="C6764" s="7"/>
      <c r="D6764" s="7"/>
      <c r="E6764" s="5"/>
      <c r="F6764" s="5"/>
      <c r="G6764" s="9"/>
      <c r="H6764" s="9"/>
      <c r="I6764" s="9"/>
    </row>
    <row r="6765" ht="14.25">
      <c r="A6765" s="5"/>
      <c r="B6765" s="7"/>
      <c r="C6765" s="7"/>
      <c r="D6765" s="7"/>
      <c r="E6765" s="5"/>
      <c r="F6765" s="5"/>
      <c r="G6765" s="9"/>
      <c r="H6765" s="9"/>
      <c r="I6765" s="9"/>
    </row>
    <row r="6766" ht="14.25">
      <c r="A6766" s="5"/>
      <c r="B6766" s="7"/>
      <c r="C6766" s="7"/>
      <c r="D6766" s="7"/>
      <c r="E6766" s="5"/>
      <c r="F6766" s="5"/>
      <c r="G6766" s="9"/>
      <c r="H6766" s="9"/>
      <c r="I6766" s="9"/>
    </row>
    <row r="6767" ht="14.25">
      <c r="A6767" s="5"/>
      <c r="B6767" s="7"/>
      <c r="C6767" s="7"/>
      <c r="D6767" s="7"/>
      <c r="E6767" s="5"/>
      <c r="F6767" s="5"/>
      <c r="G6767" s="9"/>
      <c r="H6767" s="9"/>
      <c r="I6767" s="9"/>
    </row>
    <row r="6768" ht="14.25">
      <c r="A6768" s="5"/>
      <c r="B6768" s="7"/>
      <c r="C6768" s="7"/>
      <c r="D6768" s="7"/>
      <c r="E6768" s="5"/>
      <c r="F6768" s="5"/>
      <c r="G6768" s="9"/>
      <c r="H6768" s="9"/>
      <c r="I6768" s="9"/>
    </row>
    <row r="6769" ht="14.25">
      <c r="A6769" s="5"/>
      <c r="B6769" s="7"/>
      <c r="C6769" s="7"/>
      <c r="D6769" s="7"/>
      <c r="E6769" s="5"/>
      <c r="F6769" s="5"/>
      <c r="G6769" s="9"/>
      <c r="H6769" s="9"/>
      <c r="I6769" s="9"/>
    </row>
    <row r="6770" ht="14.25">
      <c r="A6770" s="5"/>
      <c r="B6770" s="7"/>
      <c r="C6770" s="7"/>
      <c r="D6770" s="7"/>
      <c r="E6770" s="5"/>
      <c r="F6770" s="5"/>
      <c r="G6770" s="9"/>
      <c r="H6770" s="9"/>
      <c r="I6770" s="9"/>
    </row>
    <row r="6771" ht="14.25">
      <c r="A6771" s="5"/>
      <c r="B6771" s="7"/>
      <c r="C6771" s="7"/>
      <c r="D6771" s="7"/>
      <c r="E6771" s="5"/>
      <c r="F6771" s="5"/>
      <c r="G6771" s="9"/>
      <c r="H6771" s="9"/>
      <c r="I6771" s="9"/>
    </row>
    <row r="6772" ht="14.25">
      <c r="A6772" s="5"/>
      <c r="B6772" s="7"/>
      <c r="C6772" s="7"/>
      <c r="D6772" s="7"/>
      <c r="E6772" s="5"/>
      <c r="F6772" s="5"/>
      <c r="G6772" s="9"/>
      <c r="H6772" s="9"/>
      <c r="I6772" s="9"/>
    </row>
    <row r="6773" ht="14.25">
      <c r="A6773" s="5"/>
      <c r="B6773" s="7"/>
      <c r="C6773" s="7"/>
      <c r="D6773" s="7"/>
      <c r="E6773" s="5"/>
      <c r="F6773" s="5"/>
      <c r="G6773" s="9"/>
      <c r="H6773" s="9"/>
      <c r="I6773" s="9"/>
    </row>
    <row r="6774" ht="14.25">
      <c r="A6774" s="5"/>
      <c r="B6774" s="7"/>
      <c r="C6774" s="7"/>
      <c r="D6774" s="7"/>
      <c r="E6774" s="5"/>
      <c r="F6774" s="5"/>
      <c r="G6774" s="9"/>
      <c r="H6774" s="9"/>
      <c r="I6774" s="9"/>
    </row>
    <row r="6775" ht="14.25">
      <c r="A6775" s="5"/>
      <c r="B6775" s="7"/>
      <c r="C6775" s="7"/>
      <c r="D6775" s="7"/>
      <c r="E6775" s="5"/>
      <c r="F6775" s="5"/>
      <c r="G6775" s="9"/>
      <c r="H6775" s="9"/>
      <c r="I6775" s="9"/>
    </row>
    <row r="6776" ht="14.25">
      <c r="A6776" s="5"/>
      <c r="B6776" s="7"/>
      <c r="C6776" s="7"/>
      <c r="D6776" s="7"/>
      <c r="E6776" s="5"/>
      <c r="F6776" s="5"/>
      <c r="G6776" s="9"/>
      <c r="H6776" s="9"/>
      <c r="I6776" s="9"/>
    </row>
    <row r="6777" ht="14.25">
      <c r="A6777" s="5"/>
      <c r="B6777" s="7"/>
      <c r="C6777" s="7"/>
      <c r="D6777" s="7"/>
      <c r="E6777" s="5"/>
      <c r="F6777" s="5"/>
      <c r="G6777" s="9"/>
      <c r="H6777" s="9"/>
      <c r="I6777" s="9"/>
    </row>
    <row r="6778" ht="14.25">
      <c r="A6778" s="5"/>
      <c r="B6778" s="7"/>
      <c r="C6778" s="7"/>
      <c r="D6778" s="7"/>
      <c r="E6778" s="5"/>
      <c r="F6778" s="5"/>
      <c r="G6778" s="9"/>
      <c r="H6778" s="9"/>
      <c r="I6778" s="9"/>
    </row>
    <row r="6779" ht="14.25">
      <c r="A6779" s="5"/>
      <c r="B6779" s="7"/>
      <c r="C6779" s="7"/>
      <c r="D6779" s="7"/>
      <c r="E6779" s="5"/>
      <c r="F6779" s="5"/>
      <c r="G6779" s="9"/>
      <c r="H6779" s="9"/>
      <c r="I6779" s="9"/>
    </row>
    <row r="6780" ht="14.25">
      <c r="A6780" s="5"/>
      <c r="B6780" s="7"/>
      <c r="C6780" s="7"/>
      <c r="D6780" s="7"/>
      <c r="E6780" s="5"/>
      <c r="F6780" s="5"/>
      <c r="G6780" s="9"/>
      <c r="H6780" s="9"/>
      <c r="I6780" s="9"/>
    </row>
    <row r="6781" ht="14.25">
      <c r="A6781" s="5"/>
      <c r="B6781" s="7"/>
      <c r="C6781" s="7"/>
      <c r="D6781" s="7"/>
      <c r="E6781" s="5"/>
      <c r="F6781" s="5"/>
      <c r="G6781" s="9"/>
      <c r="H6781" s="9"/>
      <c r="I6781" s="9"/>
    </row>
    <row r="6782" ht="14.25">
      <c r="A6782" s="5"/>
      <c r="B6782" s="7"/>
      <c r="C6782" s="7"/>
      <c r="D6782" s="7"/>
      <c r="E6782" s="5"/>
      <c r="F6782" s="5"/>
      <c r="G6782" s="9"/>
      <c r="H6782" s="9"/>
      <c r="I6782" s="9"/>
    </row>
    <row r="6783" ht="14.25">
      <c r="A6783" s="5"/>
      <c r="B6783" s="7"/>
      <c r="C6783" s="7"/>
      <c r="D6783" s="7"/>
      <c r="E6783" s="5"/>
      <c r="F6783" s="5"/>
      <c r="G6783" s="9"/>
      <c r="H6783" s="9"/>
      <c r="I6783" s="9"/>
    </row>
    <row r="6784" ht="14.25">
      <c r="A6784" s="5"/>
      <c r="B6784" s="7"/>
      <c r="C6784" s="7"/>
      <c r="D6784" s="7"/>
      <c r="E6784" s="5"/>
      <c r="F6784" s="5"/>
      <c r="G6784" s="9"/>
      <c r="H6784" s="9"/>
      <c r="I6784" s="9"/>
    </row>
    <row r="6785" ht="14.25">
      <c r="A6785" s="5"/>
      <c r="B6785" s="7"/>
      <c r="C6785" s="7"/>
      <c r="D6785" s="7"/>
      <c r="E6785" s="5"/>
      <c r="F6785" s="5"/>
      <c r="G6785" s="9"/>
      <c r="H6785" s="9"/>
      <c r="I6785" s="9"/>
    </row>
    <row r="6786" ht="14.25">
      <c r="A6786" s="5"/>
      <c r="B6786" s="7"/>
      <c r="C6786" s="7"/>
      <c r="D6786" s="7"/>
      <c r="E6786" s="5"/>
      <c r="F6786" s="5"/>
      <c r="G6786" s="9"/>
      <c r="H6786" s="9"/>
      <c r="I6786" s="9"/>
    </row>
    <row r="6787" ht="14.25">
      <c r="A6787" s="5"/>
      <c r="B6787" s="7"/>
      <c r="C6787" s="7"/>
      <c r="D6787" s="7"/>
      <c r="E6787" s="5"/>
      <c r="F6787" s="5"/>
      <c r="G6787" s="9"/>
      <c r="H6787" s="9"/>
      <c r="I6787" s="9"/>
    </row>
    <row r="6788" ht="14.25">
      <c r="A6788" s="5"/>
      <c r="B6788" s="7"/>
      <c r="C6788" s="7"/>
      <c r="D6788" s="7"/>
      <c r="E6788" s="5"/>
      <c r="F6788" s="5"/>
      <c r="G6788" s="9"/>
      <c r="H6788" s="9"/>
      <c r="I6788" s="9"/>
    </row>
    <row r="6789" ht="14.25">
      <c r="A6789" s="5"/>
      <c r="B6789" s="7"/>
      <c r="C6789" s="7"/>
      <c r="D6789" s="7"/>
      <c r="E6789" s="5"/>
      <c r="F6789" s="5"/>
      <c r="G6789" s="9"/>
      <c r="H6789" s="9"/>
      <c r="I6789" s="9"/>
    </row>
    <row r="6790" ht="14.25">
      <c r="A6790" s="5"/>
      <c r="B6790" s="7"/>
      <c r="C6790" s="7"/>
      <c r="D6790" s="7"/>
      <c r="E6790" s="5"/>
      <c r="F6790" s="5"/>
      <c r="G6790" s="9"/>
      <c r="H6790" s="9"/>
      <c r="I6790" s="9"/>
    </row>
    <row r="6791" ht="14.25">
      <c r="A6791" s="5"/>
      <c r="B6791" s="7"/>
      <c r="C6791" s="7"/>
      <c r="D6791" s="7"/>
      <c r="E6791" s="5"/>
      <c r="F6791" s="5"/>
      <c r="G6791" s="9"/>
      <c r="H6791" s="9"/>
      <c r="I6791" s="9"/>
    </row>
    <row r="6792" ht="14.25">
      <c r="A6792" s="5"/>
      <c r="B6792" s="7"/>
      <c r="C6792" s="7"/>
      <c r="D6792" s="7"/>
      <c r="E6792" s="5"/>
      <c r="F6792" s="5"/>
      <c r="G6792" s="9"/>
      <c r="H6792" s="9"/>
      <c r="I6792" s="9"/>
    </row>
    <row r="6793" ht="14.25">
      <c r="A6793" s="5"/>
      <c r="B6793" s="7"/>
      <c r="C6793" s="7"/>
      <c r="D6793" s="7"/>
      <c r="E6793" s="5"/>
      <c r="F6793" s="5"/>
      <c r="G6793" s="9"/>
      <c r="H6793" s="9"/>
      <c r="I6793" s="9"/>
    </row>
    <row r="6794" ht="14.25">
      <c r="A6794" s="5"/>
      <c r="B6794" s="7"/>
      <c r="C6794" s="7"/>
      <c r="D6794" s="7"/>
      <c r="E6794" s="5"/>
      <c r="F6794" s="5"/>
      <c r="G6794" s="9"/>
      <c r="H6794" s="9"/>
      <c r="I6794" s="9"/>
    </row>
    <row r="6795" ht="14.25">
      <c r="A6795" s="5"/>
      <c r="B6795" s="7"/>
      <c r="C6795" s="7"/>
      <c r="D6795" s="7"/>
      <c r="E6795" s="5"/>
      <c r="F6795" s="5"/>
      <c r="G6795" s="9"/>
      <c r="H6795" s="9"/>
      <c r="I6795" s="9"/>
    </row>
    <row r="6796" ht="14.25">
      <c r="A6796" s="5"/>
      <c r="B6796" s="7"/>
      <c r="C6796" s="7"/>
      <c r="D6796" s="7"/>
      <c r="E6796" s="5"/>
      <c r="F6796" s="5"/>
      <c r="G6796" s="9"/>
      <c r="H6796" s="9"/>
      <c r="I6796" s="9"/>
    </row>
    <row r="6797" ht="14.25">
      <c r="A6797" s="5"/>
      <c r="B6797" s="7"/>
      <c r="C6797" s="7"/>
      <c r="D6797" s="7"/>
      <c r="E6797" s="5"/>
      <c r="F6797" s="5"/>
      <c r="G6797" s="9"/>
      <c r="H6797" s="9"/>
      <c r="I6797" s="9"/>
    </row>
    <row r="6798" ht="14.25">
      <c r="A6798" s="5"/>
      <c r="B6798" s="7"/>
      <c r="C6798" s="7"/>
      <c r="D6798" s="7"/>
      <c r="E6798" s="5"/>
      <c r="F6798" s="5"/>
      <c r="G6798" s="9"/>
      <c r="H6798" s="9"/>
      <c r="I6798" s="9"/>
    </row>
    <row r="6799" ht="14.25">
      <c r="A6799" s="5"/>
      <c r="B6799" s="7"/>
      <c r="C6799" s="7"/>
      <c r="D6799" s="7"/>
      <c r="E6799" s="5"/>
      <c r="F6799" s="5"/>
      <c r="G6799" s="9"/>
      <c r="H6799" s="9"/>
      <c r="I6799" s="9"/>
    </row>
    <row r="6800" ht="14.25">
      <c r="A6800" s="5"/>
      <c r="B6800" s="7"/>
      <c r="C6800" s="7"/>
      <c r="D6800" s="7"/>
      <c r="E6800" s="5"/>
      <c r="F6800" s="5"/>
      <c r="G6800" s="9"/>
      <c r="H6800" s="9"/>
      <c r="I6800" s="9"/>
    </row>
    <row r="6801" ht="14.25">
      <c r="A6801" s="5"/>
      <c r="B6801" s="7"/>
      <c r="C6801" s="7"/>
      <c r="D6801" s="7"/>
      <c r="E6801" s="5"/>
      <c r="F6801" s="5"/>
      <c r="G6801" s="9"/>
      <c r="H6801" s="9"/>
      <c r="I6801" s="9"/>
    </row>
    <row r="6802" ht="14.25">
      <c r="A6802" s="5"/>
      <c r="B6802" s="7"/>
      <c r="C6802" s="7"/>
      <c r="D6802" s="7"/>
      <c r="E6802" s="5"/>
      <c r="F6802" s="5"/>
      <c r="G6802" s="9"/>
      <c r="H6802" s="9"/>
      <c r="I6802" s="9"/>
    </row>
    <row r="6803" ht="14.25">
      <c r="A6803" s="5"/>
      <c r="B6803" s="7"/>
      <c r="C6803" s="7"/>
      <c r="D6803" s="7"/>
      <c r="E6803" s="5"/>
      <c r="F6803" s="5"/>
      <c r="G6803" s="9"/>
      <c r="H6803" s="9"/>
      <c r="I6803" s="9"/>
    </row>
    <row r="6804" ht="14.25">
      <c r="A6804" s="5"/>
      <c r="B6804" s="7"/>
      <c r="C6804" s="7"/>
      <c r="D6804" s="7"/>
      <c r="E6804" s="5"/>
      <c r="F6804" s="5"/>
      <c r="G6804" s="9"/>
      <c r="H6804" s="9"/>
      <c r="I6804" s="9"/>
    </row>
    <row r="6805" ht="14.25">
      <c r="A6805" s="5"/>
      <c r="B6805" s="7"/>
      <c r="C6805" s="7"/>
      <c r="D6805" s="7"/>
      <c r="E6805" s="5"/>
      <c r="F6805" s="5"/>
      <c r="G6805" s="9"/>
      <c r="H6805" s="9"/>
      <c r="I6805" s="9"/>
    </row>
    <row r="6806" ht="14.25">
      <c r="A6806" s="5"/>
      <c r="B6806" s="7"/>
      <c r="C6806" s="7"/>
      <c r="D6806" s="7"/>
      <c r="E6806" s="5"/>
      <c r="F6806" s="5"/>
      <c r="G6806" s="9"/>
      <c r="H6806" s="9"/>
      <c r="I6806" s="9"/>
    </row>
    <row r="6807" ht="14.25">
      <c r="A6807" s="5"/>
      <c r="B6807" s="7"/>
      <c r="C6807" s="7"/>
      <c r="D6807" s="7"/>
      <c r="E6807" s="5"/>
      <c r="F6807" s="5"/>
      <c r="G6807" s="9"/>
      <c r="H6807" s="9"/>
      <c r="I6807" s="9"/>
    </row>
    <row r="6808" ht="14.25">
      <c r="A6808" s="5"/>
      <c r="B6808" s="7"/>
      <c r="C6808" s="7"/>
      <c r="D6808" s="7"/>
      <c r="E6808" s="5"/>
      <c r="F6808" s="5"/>
      <c r="G6808" s="9"/>
      <c r="H6808" s="9"/>
      <c r="I6808" s="9"/>
    </row>
    <row r="6809" ht="14.25">
      <c r="A6809" s="5"/>
      <c r="B6809" s="7"/>
      <c r="C6809" s="7"/>
      <c r="D6809" s="7"/>
      <c r="E6809" s="5"/>
      <c r="F6809" s="5"/>
      <c r="G6809" s="9"/>
      <c r="H6809" s="9"/>
      <c r="I6809" s="9"/>
    </row>
    <row r="6810" ht="14.25">
      <c r="A6810" s="5"/>
      <c r="B6810" s="7"/>
      <c r="C6810" s="7"/>
      <c r="D6810" s="7"/>
      <c r="E6810" s="5"/>
      <c r="F6810" s="5"/>
      <c r="G6810" s="9"/>
      <c r="H6810" s="9"/>
      <c r="I6810" s="9"/>
    </row>
    <row r="6811" ht="14.25">
      <c r="A6811" s="5"/>
      <c r="B6811" s="7"/>
      <c r="C6811" s="7"/>
      <c r="D6811" s="7"/>
      <c r="E6811" s="5"/>
      <c r="F6811" s="5"/>
      <c r="G6811" s="9"/>
      <c r="H6811" s="9"/>
      <c r="I6811" s="9"/>
    </row>
    <row r="6812" ht="14.25">
      <c r="A6812" s="5"/>
      <c r="B6812" s="7"/>
      <c r="C6812" s="7"/>
      <c r="D6812" s="7"/>
      <c r="E6812" s="5"/>
      <c r="F6812" s="5"/>
      <c r="G6812" s="9"/>
      <c r="H6812" s="9"/>
      <c r="I6812" s="9"/>
    </row>
    <row r="6813" ht="14.25">
      <c r="A6813" s="5"/>
      <c r="B6813" s="7"/>
      <c r="C6813" s="7"/>
      <c r="D6813" s="7"/>
      <c r="E6813" s="5"/>
      <c r="F6813" s="5"/>
      <c r="G6813" s="9"/>
      <c r="H6813" s="9"/>
      <c r="I6813" s="9"/>
    </row>
    <row r="6814" ht="14.25">
      <c r="A6814" s="5"/>
      <c r="B6814" s="7"/>
      <c r="C6814" s="7"/>
      <c r="D6814" s="7"/>
      <c r="E6814" s="5"/>
      <c r="F6814" s="5"/>
      <c r="G6814" s="9"/>
      <c r="H6814" s="9"/>
      <c r="I6814" s="9"/>
    </row>
    <row r="6815" ht="14.25">
      <c r="A6815" s="5"/>
      <c r="B6815" s="7"/>
      <c r="C6815" s="7"/>
      <c r="D6815" s="7"/>
      <c r="E6815" s="5"/>
      <c r="F6815" s="5"/>
      <c r="G6815" s="9"/>
      <c r="H6815" s="9"/>
      <c r="I6815" s="9"/>
    </row>
    <row r="6816" ht="14.25">
      <c r="A6816" s="5"/>
      <c r="B6816" s="7"/>
      <c r="C6816" s="7"/>
      <c r="D6816" s="7"/>
      <c r="E6816" s="5"/>
      <c r="F6816" s="5"/>
      <c r="G6816" s="9"/>
      <c r="H6816" s="9"/>
      <c r="I6816" s="9"/>
    </row>
    <row r="6817" ht="14.25">
      <c r="A6817" s="5"/>
      <c r="B6817" s="7"/>
      <c r="C6817" s="7"/>
      <c r="D6817" s="7"/>
      <c r="E6817" s="5"/>
      <c r="F6817" s="5"/>
      <c r="G6817" s="9"/>
      <c r="H6817" s="9"/>
      <c r="I6817" s="9"/>
    </row>
    <row r="6818" ht="14.25">
      <c r="A6818" s="5"/>
      <c r="B6818" s="7"/>
      <c r="C6818" s="7"/>
      <c r="D6818" s="7"/>
      <c r="E6818" s="5"/>
      <c r="F6818" s="5"/>
      <c r="G6818" s="9"/>
      <c r="H6818" s="9"/>
      <c r="I6818" s="9"/>
    </row>
    <row r="6819" ht="14.25">
      <c r="A6819" s="5"/>
      <c r="B6819" s="7"/>
      <c r="C6819" s="7"/>
      <c r="D6819" s="7"/>
      <c r="E6819" s="5"/>
      <c r="F6819" s="5"/>
      <c r="G6819" s="9"/>
      <c r="H6819" s="9"/>
      <c r="I6819" s="9"/>
    </row>
    <row r="6820" ht="14.25">
      <c r="A6820" s="5"/>
      <c r="B6820" s="7"/>
      <c r="C6820" s="7"/>
      <c r="D6820" s="7"/>
      <c r="E6820" s="5"/>
      <c r="F6820" s="5"/>
      <c r="G6820" s="9"/>
      <c r="H6820" s="9"/>
      <c r="I6820" s="9"/>
    </row>
    <row r="6821" ht="14.25">
      <c r="A6821" s="5"/>
      <c r="B6821" s="7"/>
      <c r="C6821" s="7"/>
      <c r="D6821" s="7"/>
      <c r="E6821" s="5"/>
      <c r="F6821" s="5"/>
      <c r="G6821" s="9"/>
      <c r="H6821" s="9"/>
      <c r="I6821" s="9"/>
    </row>
    <row r="6822" ht="14.25">
      <c r="A6822" s="5"/>
      <c r="B6822" s="7"/>
      <c r="C6822" s="7"/>
      <c r="D6822" s="7"/>
      <c r="E6822" s="5"/>
      <c r="F6822" s="5"/>
      <c r="G6822" s="9"/>
      <c r="H6822" s="9"/>
      <c r="I6822" s="9"/>
    </row>
    <row r="6823" ht="14.25">
      <c r="A6823" s="5"/>
      <c r="B6823" s="7"/>
      <c r="C6823" s="7"/>
      <c r="D6823" s="7"/>
      <c r="E6823" s="5"/>
      <c r="F6823" s="5"/>
      <c r="G6823" s="9"/>
      <c r="H6823" s="9"/>
      <c r="I6823" s="9"/>
    </row>
    <row r="6824" ht="14.25">
      <c r="A6824" s="5"/>
      <c r="B6824" s="7"/>
      <c r="C6824" s="7"/>
      <c r="D6824" s="7"/>
      <c r="E6824" s="5"/>
      <c r="F6824" s="5"/>
      <c r="G6824" s="9"/>
      <c r="H6824" s="9"/>
      <c r="I6824" s="9"/>
    </row>
    <row r="6825" ht="14.25">
      <c r="A6825" s="5"/>
      <c r="B6825" s="7"/>
      <c r="C6825" s="7"/>
      <c r="D6825" s="7"/>
      <c r="E6825" s="5"/>
      <c r="F6825" s="5"/>
      <c r="G6825" s="9"/>
      <c r="H6825" s="9"/>
      <c r="I6825" s="9"/>
    </row>
    <row r="6826" ht="14.25">
      <c r="A6826" s="5"/>
      <c r="B6826" s="7"/>
      <c r="C6826" s="7"/>
      <c r="D6826" s="7"/>
      <c r="E6826" s="5"/>
      <c r="F6826" s="5"/>
      <c r="G6826" s="9"/>
      <c r="H6826" s="9"/>
      <c r="I6826" s="9"/>
    </row>
    <row r="6827" ht="14.25">
      <c r="A6827" s="5"/>
      <c r="B6827" s="7"/>
      <c r="C6827" s="7"/>
      <c r="D6827" s="7"/>
      <c r="E6827" s="5"/>
      <c r="F6827" s="5"/>
      <c r="G6827" s="9"/>
      <c r="H6827" s="9"/>
      <c r="I6827" s="9"/>
    </row>
    <row r="6828" ht="14.25">
      <c r="A6828" s="5"/>
      <c r="B6828" s="7"/>
      <c r="C6828" s="7"/>
      <c r="D6828" s="7"/>
      <c r="E6828" s="5"/>
      <c r="F6828" s="5"/>
      <c r="G6828" s="9"/>
      <c r="H6828" s="9"/>
      <c r="I6828" s="9"/>
    </row>
    <row r="6829" ht="14.25">
      <c r="A6829" s="5"/>
      <c r="B6829" s="7"/>
      <c r="C6829" s="7"/>
      <c r="D6829" s="7"/>
      <c r="E6829" s="5"/>
      <c r="F6829" s="5"/>
      <c r="G6829" s="9"/>
      <c r="H6829" s="9"/>
      <c r="I6829" s="9"/>
    </row>
    <row r="6830" ht="14.25">
      <c r="A6830" s="5"/>
      <c r="B6830" s="7"/>
      <c r="C6830" s="7"/>
      <c r="D6830" s="7"/>
      <c r="E6830" s="5"/>
      <c r="F6830" s="5"/>
      <c r="G6830" s="9"/>
      <c r="H6830" s="9"/>
      <c r="I6830" s="9"/>
    </row>
    <row r="6831" ht="14.25">
      <c r="A6831" s="5"/>
      <c r="B6831" s="7"/>
      <c r="C6831" s="7"/>
      <c r="D6831" s="7"/>
      <c r="E6831" s="5"/>
      <c r="F6831" s="5"/>
      <c r="G6831" s="9"/>
      <c r="H6831" s="9"/>
      <c r="I6831" s="9"/>
    </row>
    <row r="6832" ht="14.25">
      <c r="A6832" s="5"/>
      <c r="B6832" s="7"/>
      <c r="C6832" s="7"/>
      <c r="D6832" s="7"/>
      <c r="E6832" s="5"/>
      <c r="F6832" s="5"/>
      <c r="G6832" s="9"/>
      <c r="H6832" s="9"/>
      <c r="I6832" s="9"/>
    </row>
    <row r="6833" ht="14.25">
      <c r="A6833" s="5"/>
      <c r="B6833" s="7"/>
      <c r="C6833" s="7"/>
      <c r="D6833" s="7"/>
      <c r="E6833" s="5"/>
      <c r="F6833" s="5"/>
      <c r="G6833" s="9"/>
      <c r="H6833" s="9"/>
      <c r="I6833" s="9"/>
    </row>
    <row r="6834" ht="14.25">
      <c r="A6834" s="5"/>
      <c r="B6834" s="7"/>
      <c r="C6834" s="7"/>
      <c r="D6834" s="7"/>
      <c r="E6834" s="5"/>
      <c r="F6834" s="5"/>
      <c r="G6834" s="9"/>
      <c r="H6834" s="9"/>
      <c r="I6834" s="9"/>
    </row>
    <row r="6835" ht="14.25">
      <c r="A6835" s="5"/>
      <c r="B6835" s="7"/>
      <c r="C6835" s="7"/>
      <c r="D6835" s="7"/>
      <c r="E6835" s="5"/>
      <c r="F6835" s="5"/>
      <c r="G6835" s="9"/>
      <c r="H6835" s="9"/>
      <c r="I6835" s="9"/>
    </row>
    <row r="6836" ht="14.25">
      <c r="A6836" s="5"/>
      <c r="B6836" s="7"/>
      <c r="C6836" s="7"/>
      <c r="D6836" s="7"/>
      <c r="E6836" s="5"/>
      <c r="F6836" s="5"/>
      <c r="G6836" s="9"/>
      <c r="H6836" s="9"/>
      <c r="I6836" s="9"/>
    </row>
    <row r="6837" ht="14.25">
      <c r="A6837" s="5"/>
      <c r="B6837" s="7"/>
      <c r="C6837" s="7"/>
      <c r="D6837" s="7"/>
      <c r="E6837" s="5"/>
      <c r="F6837" s="5"/>
      <c r="G6837" s="9"/>
      <c r="H6837" s="9"/>
      <c r="I6837" s="9"/>
    </row>
    <row r="6838" ht="14.25">
      <c r="A6838" s="5"/>
      <c r="B6838" s="7"/>
      <c r="C6838" s="7"/>
      <c r="D6838" s="7"/>
      <c r="E6838" s="5"/>
      <c r="F6838" s="5"/>
      <c r="G6838" s="9"/>
      <c r="H6838" s="9"/>
      <c r="I6838" s="9"/>
    </row>
    <row r="6839" ht="14.25">
      <c r="A6839" s="5"/>
      <c r="B6839" s="7"/>
      <c r="C6839" s="7"/>
      <c r="D6839" s="7"/>
      <c r="E6839" s="5"/>
      <c r="F6839" s="5"/>
      <c r="G6839" s="9"/>
      <c r="H6839" s="9"/>
      <c r="I6839" s="9"/>
    </row>
    <row r="6840" ht="14.25">
      <c r="A6840" s="5"/>
      <c r="B6840" s="7"/>
      <c r="C6840" s="7"/>
      <c r="D6840" s="7"/>
      <c r="E6840" s="5"/>
      <c r="F6840" s="5"/>
      <c r="G6840" s="9"/>
      <c r="H6840" s="9"/>
      <c r="I6840" s="9"/>
    </row>
    <row r="6841" ht="14.25">
      <c r="A6841" s="5"/>
      <c r="B6841" s="7"/>
      <c r="C6841" s="7"/>
      <c r="D6841" s="7"/>
      <c r="E6841" s="5"/>
      <c r="F6841" s="5"/>
      <c r="G6841" s="9"/>
      <c r="H6841" s="9"/>
      <c r="I6841" s="9"/>
    </row>
    <row r="6842" ht="14.25">
      <c r="A6842" s="5"/>
      <c r="B6842" s="7"/>
      <c r="C6842" s="7"/>
      <c r="D6842" s="7"/>
      <c r="E6842" s="5"/>
      <c r="F6842" s="5"/>
      <c r="G6842" s="9"/>
      <c r="H6842" s="9"/>
      <c r="I6842" s="9"/>
    </row>
    <row r="6843" ht="14.25">
      <c r="A6843" s="5"/>
      <c r="B6843" s="7"/>
      <c r="C6843" s="7"/>
      <c r="D6843" s="7"/>
      <c r="E6843" s="5"/>
      <c r="F6843" s="5"/>
      <c r="G6843" s="9"/>
      <c r="H6843" s="9"/>
      <c r="I6843" s="9"/>
    </row>
    <row r="6844" ht="14.25">
      <c r="A6844" s="5"/>
      <c r="B6844" s="7"/>
      <c r="C6844" s="7"/>
      <c r="D6844" s="7"/>
      <c r="E6844" s="5"/>
      <c r="F6844" s="5"/>
      <c r="G6844" s="9"/>
      <c r="H6844" s="9"/>
      <c r="I6844" s="9"/>
    </row>
    <row r="6845" ht="14.25">
      <c r="A6845" s="5"/>
      <c r="B6845" s="7"/>
      <c r="C6845" s="7"/>
      <c r="D6845" s="7"/>
      <c r="E6845" s="5"/>
      <c r="F6845" s="5"/>
      <c r="G6845" s="9"/>
      <c r="H6845" s="9"/>
      <c r="I6845" s="9"/>
    </row>
    <row r="6846" ht="14.25">
      <c r="A6846" s="5"/>
      <c r="B6846" s="7"/>
      <c r="C6846" s="7"/>
      <c r="D6846" s="7"/>
      <c r="E6846" s="5"/>
      <c r="F6846" s="5"/>
      <c r="G6846" s="9"/>
      <c r="H6846" s="9"/>
      <c r="I6846" s="9"/>
    </row>
    <row r="6847" ht="14.25">
      <c r="A6847" s="5"/>
      <c r="B6847" s="7"/>
      <c r="C6847" s="7"/>
      <c r="D6847" s="7"/>
      <c r="E6847" s="5"/>
      <c r="F6847" s="5"/>
      <c r="G6847" s="9"/>
      <c r="H6847" s="9"/>
      <c r="I6847" s="9"/>
    </row>
    <row r="6848" ht="14.25">
      <c r="A6848" s="5"/>
      <c r="B6848" s="7"/>
      <c r="C6848" s="7"/>
      <c r="D6848" s="7"/>
      <c r="E6848" s="5"/>
      <c r="F6848" s="5"/>
      <c r="G6848" s="9"/>
      <c r="H6848" s="9"/>
      <c r="I6848" s="9"/>
    </row>
    <row r="6849" ht="14.25">
      <c r="A6849" s="5"/>
      <c r="B6849" s="7"/>
      <c r="C6849" s="7"/>
      <c r="D6849" s="7"/>
      <c r="E6849" s="5"/>
      <c r="F6849" s="5"/>
      <c r="G6849" s="9"/>
      <c r="H6849" s="9"/>
      <c r="I6849" s="9"/>
    </row>
    <row r="6850" ht="14.25">
      <c r="A6850" s="5"/>
      <c r="B6850" s="7"/>
      <c r="C6850" s="7"/>
      <c r="D6850" s="7"/>
      <c r="E6850" s="5"/>
      <c r="F6850" s="5"/>
      <c r="G6850" s="9"/>
      <c r="H6850" s="9"/>
      <c r="I6850" s="9"/>
    </row>
    <row r="6851" ht="14.25">
      <c r="A6851" s="5"/>
      <c r="B6851" s="7"/>
      <c r="C6851" s="7"/>
      <c r="D6851" s="7"/>
      <c r="E6851" s="5"/>
      <c r="F6851" s="5"/>
      <c r="G6851" s="9"/>
      <c r="H6851" s="9"/>
      <c r="I6851" s="9"/>
    </row>
    <row r="6852" ht="14.25">
      <c r="A6852" s="5"/>
      <c r="B6852" s="7"/>
      <c r="C6852" s="7"/>
      <c r="D6852" s="7"/>
      <c r="E6852" s="5"/>
      <c r="F6852" s="5"/>
      <c r="G6852" s="9"/>
      <c r="H6852" s="9"/>
      <c r="I6852" s="9"/>
    </row>
    <row r="6853" ht="14.25">
      <c r="A6853" s="5"/>
      <c r="B6853" s="7"/>
      <c r="C6853" s="7"/>
      <c r="D6853" s="7"/>
      <c r="E6853" s="5"/>
      <c r="F6853" s="5"/>
      <c r="G6853" s="9"/>
      <c r="H6853" s="9"/>
      <c r="I6853" s="9"/>
    </row>
    <row r="6854" ht="14.25">
      <c r="A6854" s="5"/>
      <c r="B6854" s="7"/>
      <c r="C6854" s="7"/>
      <c r="D6854" s="7"/>
      <c r="E6854" s="5"/>
      <c r="F6854" s="5"/>
      <c r="G6854" s="9"/>
      <c r="H6854" s="9"/>
      <c r="I6854" s="9"/>
    </row>
    <row r="6855" ht="14.25">
      <c r="A6855" s="5"/>
      <c r="B6855" s="7"/>
      <c r="C6855" s="7"/>
      <c r="D6855" s="7"/>
      <c r="E6855" s="5"/>
      <c r="F6855" s="5"/>
      <c r="G6855" s="9"/>
      <c r="H6855" s="9"/>
      <c r="I6855" s="9"/>
    </row>
    <row r="6856" ht="14.25">
      <c r="A6856" s="5"/>
      <c r="B6856" s="7"/>
      <c r="C6856" s="7"/>
      <c r="D6856" s="7"/>
      <c r="E6856" s="5"/>
      <c r="F6856" s="5"/>
      <c r="G6856" s="9"/>
      <c r="H6856" s="9"/>
      <c r="I6856" s="9"/>
    </row>
    <row r="6857" ht="14.25">
      <c r="A6857" s="5"/>
      <c r="B6857" s="7"/>
      <c r="C6857" s="7"/>
      <c r="D6857" s="7"/>
      <c r="E6857" s="5"/>
      <c r="F6857" s="5"/>
      <c r="G6857" s="9"/>
      <c r="H6857" s="9"/>
      <c r="I6857" s="9"/>
    </row>
    <row r="6858" ht="14.25">
      <c r="A6858" s="5"/>
      <c r="B6858" s="7"/>
      <c r="C6858" s="7"/>
      <c r="D6858" s="7"/>
      <c r="E6858" s="5"/>
      <c r="F6858" s="5"/>
      <c r="G6858" s="9"/>
      <c r="H6858" s="9"/>
      <c r="I6858" s="9"/>
    </row>
    <row r="6859" ht="14.25">
      <c r="A6859" s="5"/>
      <c r="B6859" s="7"/>
      <c r="C6859" s="7"/>
      <c r="D6859" s="7"/>
      <c r="E6859" s="5"/>
      <c r="F6859" s="5"/>
      <c r="G6859" s="9"/>
      <c r="H6859" s="9"/>
      <c r="I6859" s="9"/>
    </row>
    <row r="6860" ht="14.25">
      <c r="A6860" s="5"/>
      <c r="B6860" s="7"/>
      <c r="C6860" s="7"/>
      <c r="D6860" s="7"/>
      <c r="E6860" s="5"/>
      <c r="F6860" s="5"/>
      <c r="G6860" s="9"/>
      <c r="H6860" s="9"/>
      <c r="I6860" s="9"/>
    </row>
    <row r="6861" ht="14.25">
      <c r="A6861" s="5"/>
      <c r="B6861" s="7"/>
      <c r="C6861" s="7"/>
      <c r="D6861" s="7"/>
      <c r="E6861" s="5"/>
      <c r="F6861" s="5"/>
      <c r="G6861" s="9"/>
      <c r="H6861" s="9"/>
      <c r="I6861" s="9"/>
    </row>
    <row r="6862" ht="14.25">
      <c r="A6862" s="5"/>
      <c r="B6862" s="7"/>
      <c r="C6862" s="7"/>
      <c r="D6862" s="7"/>
      <c r="E6862" s="5"/>
      <c r="F6862" s="5"/>
      <c r="G6862" s="9"/>
      <c r="H6862" s="9"/>
      <c r="I6862" s="9"/>
    </row>
    <row r="6863" ht="14.25">
      <c r="A6863" s="5"/>
      <c r="B6863" s="7"/>
      <c r="C6863" s="7"/>
      <c r="D6863" s="7"/>
      <c r="E6863" s="5"/>
      <c r="F6863" s="5"/>
      <c r="G6863" s="9"/>
      <c r="H6863" s="9"/>
      <c r="I6863" s="9"/>
    </row>
    <row r="6864" ht="14.25">
      <c r="A6864" s="5"/>
      <c r="B6864" s="7"/>
      <c r="C6864" s="7"/>
      <c r="D6864" s="7"/>
      <c r="E6864" s="5"/>
      <c r="F6864" s="5"/>
      <c r="G6864" s="9"/>
      <c r="H6864" s="9"/>
      <c r="I6864" s="9"/>
    </row>
    <row r="6865" ht="14.25">
      <c r="A6865" s="5"/>
      <c r="B6865" s="7"/>
      <c r="C6865" s="7"/>
      <c r="D6865" s="7"/>
      <c r="E6865" s="5"/>
      <c r="F6865" s="5"/>
      <c r="G6865" s="9"/>
      <c r="H6865" s="9"/>
      <c r="I6865" s="9"/>
    </row>
    <row r="6866" ht="14.25">
      <c r="A6866" s="5"/>
      <c r="B6866" s="7"/>
      <c r="C6866" s="7"/>
      <c r="D6866" s="7"/>
      <c r="E6866" s="5"/>
      <c r="F6866" s="5"/>
      <c r="G6866" s="9"/>
      <c r="H6866" s="9"/>
      <c r="I6866" s="9"/>
    </row>
    <row r="6867" ht="14.25">
      <c r="A6867" s="5"/>
      <c r="B6867" s="7"/>
      <c r="C6867" s="7"/>
      <c r="D6867" s="7"/>
      <c r="E6867" s="5"/>
      <c r="F6867" s="5"/>
      <c r="G6867" s="9"/>
      <c r="H6867" s="9"/>
      <c r="I6867" s="9"/>
    </row>
    <row r="6868" ht="14.25">
      <c r="A6868" s="5"/>
      <c r="B6868" s="7"/>
      <c r="C6868" s="7"/>
      <c r="D6868" s="7"/>
      <c r="E6868" s="5"/>
      <c r="F6868" s="5"/>
      <c r="G6868" s="9"/>
      <c r="H6868" s="9"/>
      <c r="I6868" s="9"/>
    </row>
    <row r="6869" ht="14.25">
      <c r="A6869" s="5"/>
      <c r="B6869" s="7"/>
      <c r="C6869" s="7"/>
      <c r="D6869" s="7"/>
      <c r="E6869" s="5"/>
      <c r="F6869" s="5"/>
      <c r="G6869" s="9"/>
      <c r="H6869" s="9"/>
      <c r="I6869" s="9"/>
    </row>
    <row r="6870" ht="14.25">
      <c r="A6870" s="5"/>
      <c r="B6870" s="7"/>
      <c r="C6870" s="7"/>
      <c r="D6870" s="7"/>
      <c r="E6870" s="5"/>
      <c r="F6870" s="5"/>
      <c r="G6870" s="9"/>
      <c r="H6870" s="9"/>
      <c r="I6870" s="9"/>
    </row>
    <row r="6871" ht="14.25">
      <c r="A6871" s="5"/>
      <c r="B6871" s="7"/>
      <c r="C6871" s="7"/>
      <c r="D6871" s="7"/>
      <c r="E6871" s="5"/>
      <c r="F6871" s="5"/>
      <c r="G6871" s="9"/>
      <c r="H6871" s="9"/>
      <c r="I6871" s="9"/>
    </row>
    <row r="6872" ht="14.25">
      <c r="A6872" s="5"/>
      <c r="B6872" s="7"/>
      <c r="C6872" s="7"/>
      <c r="D6872" s="7"/>
      <c r="E6872" s="5"/>
      <c r="F6872" s="5"/>
      <c r="G6872" s="9"/>
      <c r="H6872" s="9"/>
      <c r="I6872" s="9"/>
    </row>
    <row r="6873" ht="14.25">
      <c r="A6873" s="5"/>
      <c r="B6873" s="7"/>
      <c r="C6873" s="7"/>
      <c r="D6873" s="7"/>
      <c r="E6873" s="5"/>
      <c r="F6873" s="5"/>
      <c r="G6873" s="9"/>
      <c r="H6873" s="9"/>
      <c r="I6873" s="9"/>
    </row>
    <row r="6874" ht="14.25">
      <c r="A6874" s="5"/>
      <c r="B6874" s="7"/>
      <c r="C6874" s="7"/>
      <c r="D6874" s="7"/>
      <c r="E6874" s="5"/>
      <c r="F6874" s="5"/>
      <c r="G6874" s="9"/>
      <c r="H6874" s="9"/>
      <c r="I6874" s="9"/>
    </row>
    <row r="6875" ht="14.25">
      <c r="A6875" s="5"/>
      <c r="B6875" s="7"/>
      <c r="C6875" s="7"/>
      <c r="D6875" s="7"/>
      <c r="E6875" s="5"/>
      <c r="F6875" s="5"/>
      <c r="G6875" s="9"/>
      <c r="H6875" s="9"/>
      <c r="I6875" s="9"/>
    </row>
    <row r="6876" ht="14.25">
      <c r="A6876" s="5"/>
      <c r="B6876" s="7"/>
      <c r="C6876" s="7"/>
      <c r="D6876" s="7"/>
      <c r="E6876" s="5"/>
      <c r="F6876" s="5"/>
      <c r="G6876" s="9"/>
      <c r="H6876" s="9"/>
      <c r="I6876" s="9"/>
    </row>
    <row r="6877" ht="14.25">
      <c r="A6877" s="5"/>
      <c r="B6877" s="7"/>
      <c r="C6877" s="7"/>
      <c r="D6877" s="7"/>
      <c r="E6877" s="5"/>
      <c r="F6877" s="5"/>
      <c r="G6877" s="9"/>
      <c r="H6877" s="9"/>
      <c r="I6877" s="9"/>
    </row>
    <row r="6878" ht="14.25">
      <c r="A6878" s="5"/>
      <c r="B6878" s="7"/>
      <c r="C6878" s="7"/>
      <c r="D6878" s="7"/>
      <c r="E6878" s="5"/>
      <c r="F6878" s="5"/>
      <c r="G6878" s="9"/>
      <c r="H6878" s="9"/>
      <c r="I6878" s="9"/>
    </row>
    <row r="6879" ht="14.25">
      <c r="A6879" s="5"/>
      <c r="B6879" s="7"/>
      <c r="C6879" s="7"/>
      <c r="D6879" s="7"/>
      <c r="E6879" s="5"/>
      <c r="F6879" s="5"/>
      <c r="G6879" s="9"/>
      <c r="H6879" s="9"/>
      <c r="I6879" s="9"/>
    </row>
    <row r="6880" ht="14.25">
      <c r="A6880" s="5"/>
      <c r="B6880" s="7"/>
      <c r="C6880" s="7"/>
      <c r="D6880" s="7"/>
      <c r="E6880" s="5"/>
      <c r="F6880" s="5"/>
      <c r="G6880" s="9"/>
      <c r="H6880" s="9"/>
      <c r="I6880" s="9"/>
    </row>
    <row r="6881" ht="14.25">
      <c r="A6881" s="5"/>
      <c r="B6881" s="7"/>
      <c r="C6881" s="7"/>
      <c r="D6881" s="7"/>
      <c r="E6881" s="5"/>
      <c r="F6881" s="5"/>
      <c r="G6881" s="9"/>
      <c r="H6881" s="9"/>
      <c r="I6881" s="9"/>
    </row>
    <row r="6882" ht="14.25">
      <c r="A6882" s="5"/>
      <c r="B6882" s="7"/>
      <c r="C6882" s="7"/>
      <c r="D6882" s="7"/>
      <c r="E6882" s="5"/>
      <c r="F6882" s="5"/>
      <c r="G6882" s="9"/>
      <c r="H6882" s="9"/>
      <c r="I6882" s="9"/>
    </row>
    <row r="6883" ht="14.25">
      <c r="A6883" s="5"/>
      <c r="B6883" s="7"/>
      <c r="C6883" s="7"/>
      <c r="D6883" s="7"/>
      <c r="E6883" s="5"/>
      <c r="F6883" s="5"/>
      <c r="G6883" s="9"/>
      <c r="H6883" s="9"/>
      <c r="I6883" s="9"/>
    </row>
    <row r="6884" ht="14.25">
      <c r="A6884" s="5"/>
      <c r="B6884" s="7"/>
      <c r="C6884" s="7"/>
      <c r="D6884" s="7"/>
      <c r="E6884" s="5"/>
      <c r="F6884" s="5"/>
      <c r="G6884" s="9"/>
      <c r="H6884" s="9"/>
      <c r="I6884" s="9"/>
    </row>
    <row r="6885" ht="14.25">
      <c r="A6885" s="5"/>
      <c r="B6885" s="7"/>
      <c r="C6885" s="7"/>
      <c r="D6885" s="7"/>
      <c r="E6885" s="5"/>
      <c r="F6885" s="5"/>
      <c r="G6885" s="9"/>
      <c r="H6885" s="9"/>
      <c r="I6885" s="9"/>
    </row>
    <row r="6886" ht="14.25">
      <c r="A6886" s="5"/>
      <c r="B6886" s="7"/>
      <c r="C6886" s="7"/>
      <c r="D6886" s="7"/>
      <c r="E6886" s="5"/>
      <c r="F6886" s="5"/>
      <c r="G6886" s="9"/>
      <c r="H6886" s="9"/>
      <c r="I6886" s="9"/>
    </row>
    <row r="6887" ht="14.25">
      <c r="A6887" s="5"/>
      <c r="B6887" s="7"/>
      <c r="C6887" s="7"/>
      <c r="D6887" s="7"/>
      <c r="E6887" s="5"/>
      <c r="F6887" s="5"/>
      <c r="G6887" s="9"/>
      <c r="H6887" s="9"/>
      <c r="I6887" s="9"/>
    </row>
    <row r="6888" ht="14.25">
      <c r="A6888" s="5"/>
      <c r="B6888" s="7"/>
      <c r="C6888" s="7"/>
      <c r="D6888" s="7"/>
      <c r="E6888" s="5"/>
      <c r="F6888" s="5"/>
      <c r="G6888" s="9"/>
      <c r="H6888" s="9"/>
      <c r="I6888" s="9"/>
    </row>
    <row r="6889" ht="14.25">
      <c r="A6889" s="5"/>
      <c r="B6889" s="7"/>
      <c r="C6889" s="7"/>
      <c r="D6889" s="7"/>
      <c r="E6889" s="5"/>
      <c r="F6889" s="5"/>
      <c r="G6889" s="9"/>
      <c r="H6889" s="9"/>
      <c r="I6889" s="9"/>
    </row>
    <row r="6890" ht="14.25">
      <c r="A6890" s="5"/>
      <c r="B6890" s="7"/>
      <c r="C6890" s="7"/>
      <c r="D6890" s="7"/>
      <c r="E6890" s="5"/>
      <c r="F6890" s="5"/>
      <c r="G6890" s="9"/>
      <c r="H6890" s="9"/>
      <c r="I6890" s="9"/>
    </row>
    <row r="6891" ht="14.25">
      <c r="A6891" s="5"/>
      <c r="B6891" s="7"/>
      <c r="C6891" s="7"/>
      <c r="D6891" s="7"/>
      <c r="E6891" s="5"/>
      <c r="F6891" s="5"/>
      <c r="G6891" s="9"/>
      <c r="H6891" s="9"/>
      <c r="I6891" s="9"/>
    </row>
    <row r="6892" ht="14.25">
      <c r="A6892" s="5"/>
      <c r="B6892" s="7"/>
      <c r="C6892" s="7"/>
      <c r="D6892" s="7"/>
      <c r="E6892" s="5"/>
      <c r="F6892" s="5"/>
      <c r="G6892" s="9"/>
      <c r="H6892" s="9"/>
      <c r="I6892" s="9"/>
    </row>
    <row r="6893" ht="14.25">
      <c r="A6893" s="5"/>
      <c r="B6893" s="7"/>
      <c r="C6893" s="7"/>
      <c r="D6893" s="7"/>
      <c r="E6893" s="5"/>
      <c r="F6893" s="5"/>
      <c r="G6893" s="9"/>
      <c r="H6893" s="9"/>
      <c r="I6893" s="9"/>
    </row>
    <row r="6894" ht="14.25">
      <c r="A6894" s="5"/>
      <c r="B6894" s="7"/>
      <c r="C6894" s="7"/>
      <c r="D6894" s="7"/>
      <c r="E6894" s="5"/>
      <c r="F6894" s="5"/>
      <c r="G6894" s="9"/>
      <c r="H6894" s="9"/>
      <c r="I6894" s="9"/>
    </row>
    <row r="6895" ht="14.25">
      <c r="A6895" s="5"/>
      <c r="B6895" s="7"/>
      <c r="C6895" s="7"/>
      <c r="D6895" s="7"/>
      <c r="E6895" s="5"/>
      <c r="F6895" s="5"/>
      <c r="G6895" s="9"/>
      <c r="H6895" s="9"/>
      <c r="I6895" s="9"/>
    </row>
    <row r="6896" ht="14.25">
      <c r="A6896" s="5"/>
      <c r="B6896" s="7"/>
      <c r="C6896" s="7"/>
      <c r="D6896" s="7"/>
      <c r="E6896" s="5"/>
      <c r="F6896" s="5"/>
      <c r="G6896" s="9"/>
      <c r="H6896" s="9"/>
      <c r="I6896" s="9"/>
    </row>
    <row r="6897" ht="14.25">
      <c r="A6897" s="5"/>
      <c r="B6897" s="7"/>
      <c r="C6897" s="7"/>
      <c r="D6897" s="7"/>
      <c r="E6897" s="5"/>
      <c r="F6897" s="5"/>
      <c r="G6897" s="9"/>
      <c r="H6897" s="9"/>
      <c r="I6897" s="9"/>
    </row>
    <row r="6898" ht="14.25">
      <c r="A6898" s="5"/>
      <c r="B6898" s="7"/>
      <c r="C6898" s="7"/>
      <c r="D6898" s="7"/>
      <c r="E6898" s="5"/>
      <c r="F6898" s="5"/>
      <c r="G6898" s="9"/>
      <c r="H6898" s="9"/>
      <c r="I6898" s="9"/>
    </row>
    <row r="6899" ht="14.25">
      <c r="A6899" s="5"/>
      <c r="B6899" s="7"/>
      <c r="C6899" s="7"/>
      <c r="D6899" s="7"/>
      <c r="E6899" s="5"/>
      <c r="F6899" s="5"/>
      <c r="G6899" s="9"/>
      <c r="H6899" s="9"/>
      <c r="I6899" s="9"/>
    </row>
    <row r="6900" ht="14.25">
      <c r="A6900" s="5"/>
      <c r="B6900" s="7"/>
      <c r="C6900" s="7"/>
      <c r="D6900" s="7"/>
      <c r="E6900" s="5"/>
      <c r="F6900" s="5"/>
      <c r="G6900" s="9"/>
      <c r="H6900" s="9"/>
      <c r="I6900" s="9"/>
    </row>
    <row r="6901" ht="14.25">
      <c r="A6901" s="5"/>
      <c r="B6901" s="7"/>
      <c r="C6901" s="7"/>
      <c r="D6901" s="7"/>
      <c r="E6901" s="5"/>
      <c r="F6901" s="5"/>
      <c r="G6901" s="9"/>
      <c r="H6901" s="9"/>
      <c r="I6901" s="9"/>
    </row>
    <row r="6902" ht="14.25">
      <c r="A6902" s="5"/>
      <c r="B6902" s="7"/>
      <c r="C6902" s="7"/>
      <c r="D6902" s="7"/>
      <c r="E6902" s="5"/>
      <c r="F6902" s="5"/>
      <c r="G6902" s="9"/>
      <c r="H6902" s="9"/>
      <c r="I6902" s="9"/>
    </row>
    <row r="6903" ht="14.25">
      <c r="A6903" s="5"/>
      <c r="B6903" s="7"/>
      <c r="C6903" s="7"/>
      <c r="D6903" s="7"/>
      <c r="E6903" s="5"/>
      <c r="F6903" s="5"/>
      <c r="G6903" s="9"/>
      <c r="H6903" s="9"/>
      <c r="I6903" s="9"/>
    </row>
    <row r="6904" ht="14.25">
      <c r="A6904" s="5"/>
      <c r="B6904" s="7"/>
      <c r="C6904" s="7"/>
      <c r="D6904" s="7"/>
      <c r="E6904" s="5"/>
      <c r="F6904" s="5"/>
      <c r="G6904" s="9"/>
      <c r="H6904" s="9"/>
      <c r="I6904" s="9"/>
    </row>
    <row r="6905" ht="14.25">
      <c r="A6905" s="5"/>
      <c r="B6905" s="7"/>
      <c r="C6905" s="7"/>
      <c r="D6905" s="7"/>
      <c r="E6905" s="5"/>
      <c r="F6905" s="5"/>
      <c r="G6905" s="9"/>
      <c r="H6905" s="9"/>
      <c r="I6905" s="9"/>
    </row>
    <row r="6906" ht="14.25">
      <c r="A6906" s="5"/>
      <c r="B6906" s="7"/>
      <c r="C6906" s="7"/>
      <c r="D6906" s="7"/>
      <c r="E6906" s="5"/>
      <c r="F6906" s="5"/>
      <c r="G6906" s="9"/>
      <c r="H6906" s="9"/>
      <c r="I6906" s="9"/>
    </row>
    <row r="6907" ht="14.25">
      <c r="A6907" s="5"/>
      <c r="B6907" s="7"/>
      <c r="C6907" s="7"/>
      <c r="D6907" s="7"/>
      <c r="E6907" s="5"/>
      <c r="F6907" s="5"/>
      <c r="G6907" s="9"/>
      <c r="H6907" s="9"/>
      <c r="I6907" s="9"/>
    </row>
    <row r="6908" ht="14.25">
      <c r="A6908" s="5"/>
      <c r="B6908" s="7"/>
      <c r="C6908" s="7"/>
      <c r="D6908" s="7"/>
      <c r="E6908" s="5"/>
      <c r="F6908" s="5"/>
      <c r="G6908" s="9"/>
      <c r="H6908" s="9"/>
      <c r="I6908" s="9"/>
    </row>
    <row r="6909" ht="14.25">
      <c r="A6909" s="5"/>
      <c r="B6909" s="7"/>
      <c r="C6909" s="7"/>
      <c r="D6909" s="7"/>
      <c r="E6909" s="5"/>
      <c r="F6909" s="5"/>
      <c r="G6909" s="9"/>
      <c r="H6909" s="9"/>
      <c r="I6909" s="9"/>
    </row>
    <row r="6910" ht="14.25">
      <c r="A6910" s="5"/>
      <c r="B6910" s="7"/>
      <c r="C6910" s="7"/>
      <c r="D6910" s="7"/>
      <c r="E6910" s="5"/>
      <c r="F6910" s="5"/>
      <c r="G6910" s="9"/>
      <c r="H6910" s="9"/>
      <c r="I6910" s="9"/>
    </row>
    <row r="6911" ht="14.25">
      <c r="A6911" s="5"/>
      <c r="B6911" s="7"/>
      <c r="C6911" s="7"/>
      <c r="D6911" s="7"/>
      <c r="E6911" s="5"/>
      <c r="F6911" s="5"/>
      <c r="G6911" s="9"/>
      <c r="H6911" s="9"/>
      <c r="I6911" s="9"/>
    </row>
    <row r="6912" ht="14.25">
      <c r="A6912" s="5"/>
      <c r="B6912" s="7"/>
      <c r="C6912" s="7"/>
      <c r="D6912" s="7"/>
      <c r="E6912" s="5"/>
      <c r="F6912" s="5"/>
      <c r="G6912" s="9"/>
      <c r="H6912" s="9"/>
      <c r="I6912" s="9"/>
    </row>
    <row r="6913" ht="14.25">
      <c r="A6913" s="5"/>
      <c r="B6913" s="7"/>
      <c r="C6913" s="7"/>
      <c r="D6913" s="7"/>
      <c r="E6913" s="5"/>
      <c r="F6913" s="5"/>
      <c r="G6913" s="9"/>
      <c r="H6913" s="9"/>
      <c r="I6913" s="9"/>
    </row>
    <row r="6914" ht="14.25">
      <c r="A6914" s="5"/>
      <c r="B6914" s="7"/>
      <c r="C6914" s="7"/>
      <c r="D6914" s="7"/>
      <c r="E6914" s="5"/>
      <c r="F6914" s="5"/>
      <c r="G6914" s="9"/>
      <c r="H6914" s="9"/>
      <c r="I6914" s="9"/>
    </row>
    <row r="6915" ht="14.25">
      <c r="A6915" s="5"/>
      <c r="B6915" s="7"/>
      <c r="C6915" s="7"/>
      <c r="D6915" s="7"/>
      <c r="E6915" s="5"/>
      <c r="F6915" s="5"/>
      <c r="G6915" s="9"/>
      <c r="H6915" s="9"/>
      <c r="I6915" s="9"/>
    </row>
    <row r="6916" ht="14.25">
      <c r="A6916" s="5"/>
      <c r="B6916" s="7"/>
      <c r="C6916" s="7"/>
      <c r="D6916" s="7"/>
      <c r="E6916" s="5"/>
      <c r="F6916" s="5"/>
      <c r="G6916" s="9"/>
      <c r="H6916" s="9"/>
      <c r="I6916" s="9"/>
    </row>
    <row r="6917" ht="14.25">
      <c r="A6917" s="5"/>
      <c r="B6917" s="7"/>
      <c r="C6917" s="7"/>
      <c r="D6917" s="7"/>
      <c r="E6917" s="5"/>
      <c r="F6917" s="5"/>
      <c r="G6917" s="9"/>
      <c r="H6917" s="9"/>
      <c r="I6917" s="9"/>
    </row>
    <row r="6918" ht="14.25">
      <c r="A6918" s="5"/>
      <c r="B6918" s="7"/>
      <c r="C6918" s="7"/>
      <c r="D6918" s="7"/>
      <c r="E6918" s="5"/>
      <c r="F6918" s="5"/>
      <c r="G6918" s="9"/>
      <c r="H6918" s="9"/>
      <c r="I6918" s="9"/>
    </row>
    <row r="6919" ht="14.25">
      <c r="A6919" s="5"/>
      <c r="B6919" s="7"/>
      <c r="C6919" s="7"/>
      <c r="D6919" s="7"/>
      <c r="E6919" s="5"/>
      <c r="F6919" s="5"/>
      <c r="G6919" s="9"/>
      <c r="H6919" s="9"/>
      <c r="I6919" s="9"/>
    </row>
    <row r="6920" ht="14.25">
      <c r="A6920" s="5"/>
      <c r="B6920" s="7"/>
      <c r="C6920" s="7"/>
      <c r="D6920" s="7"/>
      <c r="E6920" s="5"/>
      <c r="F6920" s="5"/>
      <c r="G6920" s="9"/>
      <c r="H6920" s="9"/>
      <c r="I6920" s="9"/>
    </row>
    <row r="6921" ht="14.25">
      <c r="A6921" s="5"/>
      <c r="B6921" s="7"/>
      <c r="C6921" s="7"/>
      <c r="D6921" s="7"/>
      <c r="E6921" s="5"/>
      <c r="F6921" s="5"/>
      <c r="G6921" s="9"/>
      <c r="H6921" s="9"/>
      <c r="I6921" s="9"/>
    </row>
    <row r="6922" ht="14.25">
      <c r="A6922" s="5"/>
      <c r="B6922" s="7"/>
      <c r="C6922" s="7"/>
      <c r="D6922" s="7"/>
      <c r="E6922" s="5"/>
      <c r="F6922" s="5"/>
      <c r="G6922" s="9"/>
      <c r="H6922" s="9"/>
      <c r="I6922" s="9"/>
    </row>
    <row r="6923" ht="14.25">
      <c r="A6923" s="5"/>
      <c r="B6923" s="7"/>
      <c r="C6923" s="7"/>
      <c r="D6923" s="7"/>
      <c r="E6923" s="5"/>
      <c r="F6923" s="5"/>
      <c r="G6923" s="9"/>
      <c r="H6923" s="9"/>
      <c r="I6923" s="9"/>
    </row>
    <row r="6924" ht="14.25">
      <c r="A6924" s="5"/>
      <c r="B6924" s="7"/>
      <c r="C6924" s="7"/>
      <c r="D6924" s="7"/>
      <c r="E6924" s="5"/>
      <c r="F6924" s="5"/>
      <c r="G6924" s="9"/>
      <c r="H6924" s="9"/>
      <c r="I6924" s="9"/>
    </row>
    <row r="6925" ht="14.25">
      <c r="A6925" s="5"/>
      <c r="B6925" s="7"/>
      <c r="C6925" s="7"/>
      <c r="D6925" s="7"/>
      <c r="E6925" s="5"/>
      <c r="F6925" s="5"/>
      <c r="G6925" s="9"/>
      <c r="H6925" s="9"/>
      <c r="I6925" s="9"/>
    </row>
    <row r="6926" ht="14.25">
      <c r="A6926" s="5"/>
      <c r="B6926" s="7"/>
      <c r="C6926" s="7"/>
      <c r="D6926" s="7"/>
      <c r="E6926" s="5"/>
      <c r="F6926" s="5"/>
      <c r="G6926" s="9"/>
      <c r="H6926" s="9"/>
      <c r="I6926" s="9"/>
    </row>
    <row r="6927" ht="14.25">
      <c r="A6927" s="5"/>
      <c r="B6927" s="7"/>
      <c r="C6927" s="7"/>
      <c r="D6927" s="7"/>
      <c r="E6927" s="5"/>
      <c r="F6927" s="5"/>
      <c r="G6927" s="9"/>
      <c r="H6927" s="9"/>
      <c r="I6927" s="9"/>
    </row>
    <row r="6928" ht="14.25">
      <c r="A6928" s="5"/>
      <c r="B6928" s="7"/>
      <c r="C6928" s="7"/>
      <c r="D6928" s="7"/>
      <c r="E6928" s="5"/>
      <c r="F6928" s="5"/>
      <c r="G6928" s="9"/>
      <c r="H6928" s="9"/>
      <c r="I6928" s="9"/>
    </row>
    <row r="6929" ht="14.25">
      <c r="A6929" s="5"/>
      <c r="B6929" s="7"/>
      <c r="C6929" s="7"/>
      <c r="D6929" s="7"/>
      <c r="E6929" s="5"/>
      <c r="F6929" s="5"/>
      <c r="G6929" s="9"/>
      <c r="H6929" s="9"/>
      <c r="I6929" s="9"/>
    </row>
    <row r="6930" ht="14.25">
      <c r="A6930" s="5"/>
      <c r="B6930" s="7"/>
      <c r="C6930" s="7"/>
      <c r="D6930" s="7"/>
      <c r="E6930" s="5"/>
      <c r="F6930" s="5"/>
      <c r="G6930" s="9"/>
      <c r="H6930" s="9"/>
      <c r="I6930" s="9"/>
    </row>
    <row r="6931" ht="14.25">
      <c r="A6931" s="5"/>
      <c r="B6931" s="7"/>
      <c r="C6931" s="7"/>
      <c r="D6931" s="7"/>
      <c r="E6931" s="5"/>
      <c r="F6931" s="5"/>
      <c r="G6931" s="9"/>
      <c r="H6931" s="9"/>
      <c r="I6931" s="9"/>
    </row>
    <row r="6932" ht="14.25">
      <c r="A6932" s="5"/>
      <c r="B6932" s="7"/>
      <c r="C6932" s="7"/>
      <c r="D6932" s="7"/>
      <c r="E6932" s="5"/>
      <c r="F6932" s="5"/>
      <c r="G6932" s="9"/>
      <c r="H6932" s="9"/>
      <c r="I6932" s="9"/>
    </row>
    <row r="6933" ht="14.25">
      <c r="A6933" s="5"/>
      <c r="B6933" s="7"/>
      <c r="C6933" s="7"/>
      <c r="D6933" s="7"/>
      <c r="E6933" s="5"/>
      <c r="F6933" s="5"/>
      <c r="G6933" s="9"/>
      <c r="H6933" s="9"/>
      <c r="I6933" s="9"/>
    </row>
    <row r="6934" ht="14.25">
      <c r="A6934" s="5"/>
      <c r="B6934" s="7"/>
      <c r="C6934" s="7"/>
      <c r="D6934" s="7"/>
      <c r="E6934" s="5"/>
      <c r="F6934" s="5"/>
      <c r="G6934" s="9"/>
      <c r="H6934" s="9"/>
      <c r="I6934" s="9"/>
    </row>
    <row r="6935" ht="14.25">
      <c r="A6935" s="5"/>
      <c r="B6935" s="7"/>
      <c r="C6935" s="7"/>
      <c r="D6935" s="7"/>
      <c r="E6935" s="5"/>
      <c r="F6935" s="5"/>
      <c r="G6935" s="9"/>
      <c r="H6935" s="9"/>
      <c r="I6935" s="9"/>
    </row>
    <row r="6936" ht="14.25">
      <c r="A6936" s="5"/>
      <c r="B6936" s="7"/>
      <c r="C6936" s="7"/>
      <c r="D6936" s="7"/>
      <c r="E6936" s="5"/>
      <c r="F6936" s="5"/>
      <c r="G6936" s="9"/>
      <c r="H6936" s="9"/>
      <c r="I6936" s="9"/>
    </row>
    <row r="6937" ht="14.25">
      <c r="A6937" s="5"/>
      <c r="B6937" s="7"/>
      <c r="C6937" s="7"/>
      <c r="D6937" s="7"/>
      <c r="E6937" s="5"/>
      <c r="F6937" s="5"/>
      <c r="G6937" s="9"/>
      <c r="H6937" s="9"/>
      <c r="I6937" s="9"/>
    </row>
    <row r="6938" ht="14.25">
      <c r="A6938" s="5"/>
      <c r="B6938" s="7"/>
      <c r="C6938" s="7"/>
      <c r="D6938" s="7"/>
      <c r="E6938" s="5"/>
      <c r="F6938" s="5"/>
      <c r="G6938" s="9"/>
      <c r="H6938" s="9"/>
      <c r="I6938" s="9"/>
    </row>
    <row r="6939" ht="14.25">
      <c r="A6939" s="5"/>
      <c r="B6939" s="7"/>
      <c r="C6939" s="7"/>
      <c r="D6939" s="7"/>
      <c r="E6939" s="5"/>
      <c r="F6939" s="5"/>
      <c r="G6939" s="9"/>
      <c r="H6939" s="9"/>
      <c r="I6939" s="9"/>
    </row>
    <row r="6940" ht="14.25">
      <c r="A6940" s="5"/>
      <c r="B6940" s="7"/>
      <c r="C6940" s="7"/>
      <c r="D6940" s="7"/>
      <c r="E6940" s="5"/>
      <c r="F6940" s="5"/>
      <c r="G6940" s="9"/>
      <c r="H6940" s="9"/>
      <c r="I6940" s="9"/>
    </row>
    <row r="6941" ht="14.25">
      <c r="A6941" s="5"/>
      <c r="B6941" s="7"/>
      <c r="C6941" s="7"/>
      <c r="D6941" s="7"/>
      <c r="E6941" s="5"/>
      <c r="F6941" s="5"/>
      <c r="G6941" s="9"/>
      <c r="H6941" s="9"/>
      <c r="I6941" s="9"/>
    </row>
    <row r="6942" ht="14.25">
      <c r="A6942" s="5"/>
      <c r="B6942" s="7"/>
      <c r="C6942" s="7"/>
      <c r="D6942" s="7"/>
      <c r="E6942" s="5"/>
      <c r="F6942" s="5"/>
      <c r="G6942" s="9"/>
      <c r="H6942" s="9"/>
      <c r="I6942" s="9"/>
    </row>
    <row r="6943" ht="14.25">
      <c r="A6943" s="5"/>
      <c r="B6943" s="7"/>
      <c r="C6943" s="7"/>
      <c r="D6943" s="7"/>
      <c r="E6943" s="5"/>
      <c r="F6943" s="5"/>
      <c r="G6943" s="9"/>
      <c r="H6943" s="9"/>
      <c r="I6943" s="9"/>
    </row>
    <row r="6944" ht="14.25">
      <c r="A6944" s="5"/>
      <c r="B6944" s="7"/>
      <c r="C6944" s="7"/>
      <c r="D6944" s="7"/>
      <c r="E6944" s="5"/>
      <c r="F6944" s="5"/>
      <c r="G6944" s="9"/>
      <c r="H6944" s="9"/>
      <c r="I6944" s="9"/>
    </row>
    <row r="6945" ht="14.25">
      <c r="A6945" s="5"/>
      <c r="B6945" s="7"/>
      <c r="C6945" s="7"/>
      <c r="D6945" s="7"/>
      <c r="E6945" s="5"/>
      <c r="F6945" s="5"/>
      <c r="G6945" s="9"/>
      <c r="H6945" s="9"/>
      <c r="I6945" s="9"/>
    </row>
    <row r="6946" ht="14.25">
      <c r="A6946" s="5"/>
      <c r="B6946" s="7"/>
      <c r="C6946" s="7"/>
      <c r="D6946" s="7"/>
      <c r="E6946" s="5"/>
      <c r="F6946" s="5"/>
      <c r="G6946" s="9"/>
      <c r="H6946" s="9"/>
      <c r="I6946" s="9"/>
    </row>
    <row r="6947" ht="14.25">
      <c r="A6947" s="5"/>
      <c r="B6947" s="7"/>
      <c r="C6947" s="7"/>
      <c r="D6947" s="7"/>
      <c r="E6947" s="5"/>
      <c r="F6947" s="5"/>
      <c r="G6947" s="9"/>
      <c r="H6947" s="9"/>
      <c r="I6947" s="9"/>
    </row>
    <row r="6948" ht="14.25">
      <c r="A6948" s="5"/>
      <c r="B6948" s="7"/>
      <c r="C6948" s="7"/>
      <c r="D6948" s="7"/>
      <c r="E6948" s="5"/>
      <c r="F6948" s="5"/>
      <c r="G6948" s="9"/>
      <c r="H6948" s="9"/>
      <c r="I6948" s="9"/>
    </row>
    <row r="6949" ht="14.25">
      <c r="A6949" s="5"/>
      <c r="B6949" s="7"/>
      <c r="C6949" s="7"/>
      <c r="D6949" s="7"/>
      <c r="E6949" s="5"/>
      <c r="F6949" s="5"/>
      <c r="G6949" s="9"/>
      <c r="H6949" s="9"/>
      <c r="I6949" s="9"/>
    </row>
    <row r="6950" ht="14.25">
      <c r="A6950" s="5"/>
      <c r="B6950" s="7"/>
      <c r="C6950" s="7"/>
      <c r="D6950" s="7"/>
      <c r="E6950" s="5"/>
      <c r="F6950" s="5"/>
      <c r="G6950" s="9"/>
      <c r="H6950" s="9"/>
      <c r="I6950" s="9"/>
    </row>
    <row r="6951" ht="14.25">
      <c r="A6951" s="5"/>
      <c r="B6951" s="7"/>
      <c r="C6951" s="7"/>
      <c r="D6951" s="7"/>
      <c r="E6951" s="5"/>
      <c r="F6951" s="5"/>
      <c r="G6951" s="9"/>
      <c r="H6951" s="9"/>
      <c r="I6951" s="9"/>
    </row>
    <row r="6952" ht="14.25">
      <c r="A6952" s="5"/>
      <c r="B6952" s="7"/>
      <c r="C6952" s="7"/>
      <c r="D6952" s="7"/>
      <c r="E6952" s="5"/>
      <c r="F6952" s="5"/>
      <c r="G6952" s="9"/>
      <c r="H6952" s="9"/>
      <c r="I6952" s="9"/>
    </row>
    <row r="6953" ht="14.25">
      <c r="A6953" s="5"/>
      <c r="B6953" s="7"/>
      <c r="C6953" s="7"/>
      <c r="D6953" s="7"/>
      <c r="E6953" s="5"/>
      <c r="F6953" s="5"/>
      <c r="G6953" s="9"/>
      <c r="H6953" s="9"/>
      <c r="I6953" s="9"/>
    </row>
    <row r="6954" ht="14.25">
      <c r="A6954" s="5"/>
      <c r="B6954" s="7"/>
      <c r="C6954" s="7"/>
      <c r="D6954" s="7"/>
      <c r="E6954" s="5"/>
      <c r="F6954" s="5"/>
      <c r="G6954" s="9"/>
      <c r="H6954" s="9"/>
      <c r="I6954" s="9"/>
    </row>
    <row r="6955" ht="14.25">
      <c r="A6955" s="5"/>
      <c r="B6955" s="7"/>
      <c r="C6955" s="7"/>
      <c r="D6955" s="7"/>
      <c r="E6955" s="5"/>
      <c r="F6955" s="5"/>
      <c r="G6955" s="9"/>
      <c r="H6955" s="9"/>
      <c r="I6955" s="9"/>
    </row>
    <row r="6956" ht="14.25">
      <c r="A6956" s="5"/>
      <c r="B6956" s="7"/>
      <c r="C6956" s="7"/>
      <c r="D6956" s="7"/>
      <c r="E6956" s="5"/>
      <c r="F6956" s="5"/>
      <c r="G6956" s="9"/>
      <c r="H6956" s="9"/>
      <c r="I6956" s="9"/>
    </row>
    <row r="6957" ht="14.25">
      <c r="A6957" s="5"/>
      <c r="B6957" s="7"/>
      <c r="C6957" s="7"/>
      <c r="D6957" s="7"/>
      <c r="E6957" s="5"/>
      <c r="F6957" s="5"/>
      <c r="G6957" s="9"/>
      <c r="H6957" s="9"/>
      <c r="I6957" s="9"/>
    </row>
    <row r="6958" ht="14.25">
      <c r="A6958" s="5"/>
      <c r="B6958" s="7"/>
      <c r="C6958" s="7"/>
      <c r="D6958" s="7"/>
      <c r="E6958" s="5"/>
      <c r="F6958" s="5"/>
      <c r="G6958" s="9"/>
      <c r="H6958" s="9"/>
      <c r="I6958" s="9"/>
    </row>
    <row r="6959" ht="14.25">
      <c r="A6959" s="5"/>
      <c r="B6959" s="7"/>
      <c r="C6959" s="7"/>
      <c r="D6959" s="7"/>
      <c r="E6959" s="5"/>
      <c r="F6959" s="5"/>
      <c r="G6959" s="9"/>
      <c r="H6959" s="9"/>
      <c r="I6959" s="9"/>
    </row>
    <row r="6960" ht="14.25">
      <c r="A6960" s="5"/>
      <c r="B6960" s="7"/>
      <c r="C6960" s="7"/>
      <c r="D6960" s="7"/>
      <c r="E6960" s="5"/>
      <c r="F6960" s="5"/>
      <c r="G6960" s="9"/>
      <c r="H6960" s="9"/>
      <c r="I6960" s="9"/>
    </row>
    <row r="6961" ht="14.25">
      <c r="A6961" s="5"/>
      <c r="B6961" s="7"/>
      <c r="C6961" s="7"/>
      <c r="D6961" s="7"/>
      <c r="E6961" s="5"/>
      <c r="F6961" s="5"/>
      <c r="G6961" s="9"/>
      <c r="H6961" s="9"/>
      <c r="I6961" s="9"/>
    </row>
    <row r="6962" ht="14.25">
      <c r="A6962" s="5"/>
      <c r="B6962" s="7"/>
      <c r="C6962" s="7"/>
      <c r="D6962" s="7"/>
      <c r="E6962" s="5"/>
      <c r="F6962" s="5"/>
      <c r="G6962" s="9"/>
      <c r="H6962" s="9"/>
      <c r="I6962" s="9"/>
    </row>
    <row r="6963" ht="14.25">
      <c r="A6963" s="5"/>
      <c r="B6963" s="7"/>
      <c r="C6963" s="7"/>
      <c r="D6963" s="7"/>
      <c r="E6963" s="5"/>
      <c r="F6963" s="5"/>
      <c r="G6963" s="9"/>
      <c r="H6963" s="9"/>
      <c r="I6963" s="9"/>
    </row>
    <row r="6964" ht="14.25">
      <c r="A6964" s="5"/>
      <c r="B6964" s="7"/>
      <c r="C6964" s="7"/>
      <c r="D6964" s="7"/>
      <c r="E6964" s="5"/>
      <c r="F6964" s="5"/>
      <c r="G6964" s="9"/>
      <c r="H6964" s="9"/>
      <c r="I6964" s="9"/>
    </row>
    <row r="6965" ht="14.25">
      <c r="A6965" s="5"/>
      <c r="B6965" s="7"/>
      <c r="C6965" s="7"/>
      <c r="D6965" s="7"/>
      <c r="E6965" s="5"/>
      <c r="F6965" s="5"/>
      <c r="G6965" s="9"/>
      <c r="H6965" s="9"/>
      <c r="I6965" s="9"/>
    </row>
    <row r="6966" ht="14.25">
      <c r="A6966" s="5"/>
      <c r="B6966" s="7"/>
      <c r="C6966" s="7"/>
      <c r="D6966" s="7"/>
      <c r="E6966" s="5"/>
      <c r="F6966" s="5"/>
      <c r="G6966" s="9"/>
      <c r="H6966" s="9"/>
      <c r="I6966" s="9"/>
    </row>
    <row r="6967" ht="14.25">
      <c r="A6967" s="5"/>
      <c r="B6967" s="7"/>
      <c r="C6967" s="7"/>
      <c r="D6967" s="7"/>
      <c r="E6967" s="5"/>
      <c r="F6967" s="5"/>
      <c r="G6967" s="9"/>
      <c r="H6967" s="9"/>
      <c r="I6967" s="9"/>
    </row>
    <row r="6968" ht="14.25">
      <c r="A6968" s="5"/>
      <c r="B6968" s="7"/>
      <c r="C6968" s="7"/>
      <c r="D6968" s="7"/>
      <c r="E6968" s="5"/>
      <c r="F6968" s="5"/>
      <c r="G6968" s="9"/>
      <c r="H6968" s="9"/>
      <c r="I6968" s="9"/>
    </row>
    <row r="6969" ht="14.25">
      <c r="A6969" s="5"/>
      <c r="B6969" s="7"/>
      <c r="C6969" s="7"/>
      <c r="D6969" s="7"/>
      <c r="E6969" s="5"/>
      <c r="F6969" s="5"/>
      <c r="G6969" s="9"/>
      <c r="H6969" s="9"/>
      <c r="I6969" s="9"/>
    </row>
    <row r="6970" ht="14.25">
      <c r="A6970" s="5"/>
      <c r="B6970" s="7"/>
      <c r="C6970" s="7"/>
      <c r="D6970" s="7"/>
      <c r="E6970" s="5"/>
      <c r="F6970" s="5"/>
      <c r="G6970" s="9"/>
      <c r="H6970" s="9"/>
      <c r="I6970" s="9"/>
    </row>
    <row r="6971" ht="14.25">
      <c r="A6971" s="5"/>
      <c r="B6971" s="7"/>
      <c r="C6971" s="7"/>
      <c r="D6971" s="7"/>
      <c r="E6971" s="5"/>
      <c r="F6971" s="5"/>
      <c r="G6971" s="9"/>
      <c r="H6971" s="9"/>
      <c r="I6971" s="9"/>
    </row>
    <row r="6972" ht="14.25">
      <c r="A6972" s="5"/>
      <c r="B6972" s="7"/>
      <c r="C6972" s="7"/>
      <c r="D6972" s="7"/>
      <c r="E6972" s="5"/>
      <c r="F6972" s="5"/>
      <c r="G6972" s="9"/>
      <c r="H6972" s="9"/>
      <c r="I6972" s="9"/>
    </row>
    <row r="6973" ht="14.25">
      <c r="A6973" s="5"/>
      <c r="B6973" s="7"/>
      <c r="C6973" s="7"/>
      <c r="D6973" s="7"/>
      <c r="E6973" s="5"/>
      <c r="F6973" s="5"/>
      <c r="G6973" s="9"/>
      <c r="H6973" s="9"/>
      <c r="I6973" s="9"/>
    </row>
    <row r="6974" ht="14.25">
      <c r="A6974" s="5"/>
      <c r="B6974" s="7"/>
      <c r="C6974" s="7"/>
      <c r="D6974" s="7"/>
      <c r="E6974" s="5"/>
      <c r="F6974" s="5"/>
      <c r="G6974" s="9"/>
      <c r="H6974" s="9"/>
      <c r="I6974" s="9"/>
    </row>
    <row r="6975" ht="14.25">
      <c r="A6975" s="5"/>
      <c r="B6975" s="7"/>
      <c r="C6975" s="7"/>
      <c r="D6975" s="7"/>
      <c r="E6975" s="5"/>
      <c r="F6975" s="5"/>
      <c r="G6975" s="9"/>
      <c r="H6975" s="9"/>
      <c r="I6975" s="9"/>
    </row>
    <row r="6976" ht="14.25">
      <c r="A6976" s="5"/>
      <c r="B6976" s="7"/>
      <c r="C6976" s="7"/>
      <c r="D6976" s="7"/>
      <c r="E6976" s="5"/>
      <c r="F6976" s="5"/>
      <c r="G6976" s="9"/>
      <c r="H6976" s="9"/>
      <c r="I6976" s="9"/>
    </row>
    <row r="6977" ht="14.25">
      <c r="A6977" s="5"/>
      <c r="B6977" s="7"/>
      <c r="C6977" s="7"/>
      <c r="D6977" s="7"/>
      <c r="E6977" s="5"/>
      <c r="F6977" s="5"/>
      <c r="G6977" s="9"/>
      <c r="H6977" s="9"/>
      <c r="I6977" s="9"/>
    </row>
    <row r="6978" ht="14.25">
      <c r="A6978" s="5"/>
      <c r="B6978" s="7"/>
      <c r="C6978" s="7"/>
      <c r="D6978" s="7"/>
      <c r="E6978" s="5"/>
      <c r="F6978" s="5"/>
      <c r="G6978" s="9"/>
      <c r="H6978" s="9"/>
      <c r="I6978" s="9"/>
    </row>
    <row r="6979" ht="14.25">
      <c r="A6979" s="5"/>
      <c r="B6979" s="7"/>
      <c r="C6979" s="7"/>
      <c r="D6979" s="7"/>
      <c r="E6979" s="5"/>
      <c r="F6979" s="5"/>
      <c r="G6979" s="9"/>
      <c r="H6979" s="9"/>
      <c r="I6979" s="9"/>
    </row>
    <row r="6980" ht="14.25">
      <c r="A6980" s="5"/>
      <c r="B6980" s="7"/>
      <c r="C6980" s="7"/>
      <c r="D6980" s="7"/>
      <c r="E6980" s="5"/>
      <c r="F6980" s="5"/>
      <c r="G6980" s="9"/>
      <c r="H6980" s="9"/>
      <c r="I6980" s="9"/>
    </row>
    <row r="6981" ht="14.25">
      <c r="A6981" s="5"/>
      <c r="B6981" s="7"/>
      <c r="C6981" s="7"/>
      <c r="D6981" s="7"/>
      <c r="E6981" s="5"/>
      <c r="F6981" s="5"/>
      <c r="G6981" s="9"/>
      <c r="H6981" s="9"/>
      <c r="I6981" s="9"/>
    </row>
    <row r="6982" ht="14.25">
      <c r="A6982" s="5"/>
      <c r="B6982" s="7"/>
      <c r="C6982" s="7"/>
      <c r="D6982" s="7"/>
      <c r="E6982" s="5"/>
      <c r="F6982" s="5"/>
      <c r="G6982" s="9"/>
      <c r="H6982" s="9"/>
      <c r="I6982" s="9"/>
    </row>
    <row r="6983" ht="14.25">
      <c r="A6983" s="5"/>
      <c r="B6983" s="7"/>
      <c r="C6983" s="7"/>
      <c r="D6983" s="7"/>
      <c r="E6983" s="5"/>
      <c r="F6983" s="5"/>
      <c r="G6983" s="9"/>
      <c r="H6983" s="9"/>
      <c r="I6983" s="9"/>
    </row>
    <row r="6984" ht="14.25">
      <c r="A6984" s="5"/>
      <c r="B6984" s="7"/>
      <c r="C6984" s="7"/>
      <c r="D6984" s="7"/>
      <c r="E6984" s="5"/>
      <c r="F6984" s="5"/>
      <c r="G6984" s="9"/>
      <c r="H6984" s="9"/>
      <c r="I6984" s="9"/>
    </row>
    <row r="6985" ht="14.25">
      <c r="A6985" s="5"/>
      <c r="B6985" s="7"/>
      <c r="C6985" s="7"/>
      <c r="D6985" s="7"/>
      <c r="E6985" s="5"/>
      <c r="F6985" s="5"/>
      <c r="G6985" s="9"/>
      <c r="H6985" s="9"/>
      <c r="I6985" s="9"/>
    </row>
    <row r="6986" ht="14.25">
      <c r="A6986" s="5"/>
      <c r="B6986" s="7"/>
      <c r="C6986" s="7"/>
      <c r="D6986" s="7"/>
      <c r="E6986" s="5"/>
      <c r="F6986" s="5"/>
      <c r="G6986" s="9"/>
      <c r="H6986" s="9"/>
      <c r="I6986" s="9"/>
    </row>
    <row r="6987" ht="14.25">
      <c r="A6987" s="5"/>
      <c r="B6987" s="7"/>
      <c r="C6987" s="7"/>
      <c r="D6987" s="7"/>
      <c r="E6987" s="5"/>
      <c r="F6987" s="5"/>
      <c r="G6987" s="9"/>
      <c r="H6987" s="9"/>
      <c r="I6987" s="9"/>
    </row>
    <row r="6988" ht="14.25">
      <c r="A6988" s="5"/>
      <c r="B6988" s="7"/>
      <c r="C6988" s="7"/>
      <c r="D6988" s="7"/>
      <c r="E6988" s="5"/>
      <c r="F6988" s="5"/>
      <c r="G6988" s="9"/>
      <c r="H6988" s="9"/>
      <c r="I6988" s="9"/>
    </row>
    <row r="6989" ht="14.25">
      <c r="A6989" s="5"/>
      <c r="B6989" s="7"/>
      <c r="C6989" s="7"/>
      <c r="D6989" s="7"/>
      <c r="E6989" s="5"/>
      <c r="F6989" s="5"/>
      <c r="G6989" s="9"/>
      <c r="H6989" s="9"/>
      <c r="I6989" s="9"/>
    </row>
    <row r="6990" ht="14.25">
      <c r="A6990" s="5"/>
      <c r="B6990" s="7"/>
      <c r="C6990" s="7"/>
      <c r="D6990" s="7"/>
      <c r="E6990" s="5"/>
      <c r="F6990" s="5"/>
      <c r="G6990" s="9"/>
      <c r="H6990" s="9"/>
      <c r="I6990" s="9"/>
    </row>
    <row r="6991" ht="14.25">
      <c r="A6991" s="5"/>
      <c r="B6991" s="7"/>
      <c r="C6991" s="7"/>
      <c r="D6991" s="7"/>
      <c r="E6991" s="5"/>
      <c r="F6991" s="5"/>
      <c r="G6991" s="9"/>
      <c r="H6991" s="9"/>
      <c r="I6991" s="9"/>
    </row>
    <row r="6992" ht="14.25">
      <c r="A6992" s="5"/>
      <c r="B6992" s="7"/>
      <c r="C6992" s="7"/>
      <c r="D6992" s="7"/>
      <c r="E6992" s="5"/>
      <c r="F6992" s="5"/>
      <c r="G6992" s="9"/>
      <c r="H6992" s="9"/>
      <c r="I6992" s="9"/>
    </row>
    <row r="6993" ht="14.25">
      <c r="A6993" s="5"/>
      <c r="B6993" s="7"/>
      <c r="C6993" s="7"/>
      <c r="D6993" s="7"/>
      <c r="E6993" s="5"/>
      <c r="F6993" s="5"/>
      <c r="G6993" s="9"/>
      <c r="H6993" s="9"/>
      <c r="I6993" s="9"/>
    </row>
    <row r="6994" ht="14.25">
      <c r="A6994" s="5"/>
      <c r="B6994" s="7"/>
      <c r="C6994" s="7"/>
      <c r="D6994" s="7"/>
      <c r="E6994" s="5"/>
      <c r="F6994" s="5"/>
      <c r="G6994" s="9"/>
      <c r="H6994" s="9"/>
      <c r="I6994" s="9"/>
    </row>
    <row r="6995" ht="14.25">
      <c r="A6995" s="5"/>
      <c r="B6995" s="7"/>
      <c r="C6995" s="7"/>
      <c r="D6995" s="7"/>
      <c r="E6995" s="5"/>
      <c r="F6995" s="5"/>
      <c r="G6995" s="9"/>
      <c r="H6995" s="9"/>
      <c r="I6995" s="9"/>
    </row>
    <row r="6996" ht="14.25">
      <c r="A6996" s="5"/>
      <c r="B6996" s="7"/>
      <c r="C6996" s="7"/>
      <c r="D6996" s="7"/>
      <c r="E6996" s="5"/>
      <c r="F6996" s="5"/>
      <c r="G6996" s="9"/>
      <c r="H6996" s="9"/>
      <c r="I6996" s="9"/>
    </row>
    <row r="6997" ht="14.25">
      <c r="A6997" s="5"/>
      <c r="B6997" s="7"/>
      <c r="C6997" s="7"/>
      <c r="D6997" s="7"/>
      <c r="E6997" s="5"/>
      <c r="F6997" s="5"/>
      <c r="G6997" s="9"/>
      <c r="H6997" s="9"/>
      <c r="I6997" s="9"/>
    </row>
    <row r="6998" ht="14.25">
      <c r="A6998" s="5"/>
      <c r="B6998" s="7"/>
      <c r="C6998" s="7"/>
      <c r="D6998" s="7"/>
      <c r="E6998" s="5"/>
      <c r="F6998" s="5"/>
      <c r="G6998" s="9"/>
      <c r="H6998" s="9"/>
      <c r="I6998" s="9"/>
    </row>
    <row r="6999" ht="14.25">
      <c r="A6999" s="5"/>
      <c r="B6999" s="7"/>
      <c r="C6999" s="7"/>
      <c r="D6999" s="7"/>
      <c r="E6999" s="5"/>
      <c r="F6999" s="5"/>
      <c r="G6999" s="9"/>
      <c r="H6999" s="9"/>
      <c r="I6999" s="9"/>
    </row>
    <row r="7000" ht="14.25">
      <c r="A7000" s="5"/>
      <c r="B7000" s="7"/>
      <c r="C7000" s="7"/>
      <c r="D7000" s="7"/>
      <c r="E7000" s="5"/>
      <c r="F7000" s="5"/>
      <c r="G7000" s="9"/>
      <c r="H7000" s="9"/>
      <c r="I7000" s="9"/>
    </row>
    <row r="7001" ht="14.25">
      <c r="A7001" s="5"/>
      <c r="B7001" s="7"/>
      <c r="C7001" s="7"/>
      <c r="D7001" s="7"/>
      <c r="E7001" s="5"/>
      <c r="F7001" s="5"/>
      <c r="G7001" s="9"/>
      <c r="H7001" s="9"/>
      <c r="I7001" s="9"/>
    </row>
    <row r="7002" ht="14.25">
      <c r="A7002" s="5"/>
      <c r="B7002" s="7"/>
      <c r="C7002" s="7"/>
      <c r="D7002" s="7"/>
      <c r="E7002" s="5"/>
      <c r="F7002" s="5"/>
      <c r="G7002" s="9"/>
      <c r="H7002" s="9"/>
      <c r="I7002" s="9"/>
    </row>
    <row r="7003" ht="14.25">
      <c r="A7003" s="5"/>
      <c r="B7003" s="7"/>
      <c r="C7003" s="7"/>
      <c r="D7003" s="7"/>
      <c r="E7003" s="5"/>
      <c r="F7003" s="5"/>
      <c r="G7003" s="9"/>
      <c r="H7003" s="9"/>
      <c r="I7003" s="9"/>
    </row>
    <row r="7004" ht="14.25">
      <c r="A7004" s="5"/>
      <c r="B7004" s="7"/>
      <c r="C7004" s="7"/>
      <c r="D7004" s="7"/>
      <c r="E7004" s="5"/>
      <c r="F7004" s="5"/>
      <c r="G7004" s="9"/>
      <c r="H7004" s="9"/>
      <c r="I7004" s="9"/>
    </row>
    <row r="7005" ht="14.25">
      <c r="A7005" s="5"/>
      <c r="B7005" s="7"/>
      <c r="C7005" s="7"/>
      <c r="D7005" s="7"/>
      <c r="E7005" s="5"/>
      <c r="F7005" s="5"/>
      <c r="G7005" s="9"/>
      <c r="H7005" s="9"/>
      <c r="I7005" s="9"/>
    </row>
    <row r="7006" ht="14.25">
      <c r="A7006" s="5"/>
      <c r="B7006" s="7"/>
      <c r="C7006" s="7"/>
      <c r="D7006" s="7"/>
      <c r="E7006" s="5"/>
      <c r="F7006" s="5"/>
      <c r="G7006" s="9"/>
      <c r="H7006" s="9"/>
      <c r="I7006" s="9"/>
    </row>
    <row r="7007" ht="14.25">
      <c r="A7007" s="5"/>
      <c r="B7007" s="7"/>
      <c r="C7007" s="7"/>
      <c r="D7007" s="7"/>
      <c r="E7007" s="5"/>
      <c r="F7007" s="5"/>
      <c r="G7007" s="9"/>
      <c r="H7007" s="9"/>
      <c r="I7007" s="9"/>
    </row>
    <row r="7008" ht="14.25">
      <c r="A7008" s="5"/>
      <c r="B7008" s="7"/>
      <c r="C7008" s="7"/>
      <c r="D7008" s="7"/>
      <c r="E7008" s="5"/>
      <c r="F7008" s="5"/>
      <c r="G7008" s="9"/>
      <c r="H7008" s="9"/>
      <c r="I7008" s="9"/>
    </row>
    <row r="7009" ht="14.25">
      <c r="A7009" s="5"/>
      <c r="B7009" s="7"/>
      <c r="C7009" s="7"/>
      <c r="D7009" s="7"/>
      <c r="E7009" s="5"/>
      <c r="F7009" s="5"/>
      <c r="G7009" s="9"/>
      <c r="H7009" s="9"/>
      <c r="I7009" s="9"/>
    </row>
    <row r="7010" ht="14.25">
      <c r="A7010" s="5"/>
      <c r="B7010" s="7"/>
      <c r="C7010" s="7"/>
      <c r="D7010" s="7"/>
      <c r="E7010" s="5"/>
      <c r="F7010" s="5"/>
      <c r="G7010" s="9"/>
      <c r="H7010" s="9"/>
      <c r="I7010" s="9"/>
    </row>
    <row r="7011" ht="14.25">
      <c r="A7011" s="5"/>
      <c r="B7011" s="7"/>
      <c r="C7011" s="7"/>
      <c r="D7011" s="7"/>
      <c r="E7011" s="5"/>
      <c r="F7011" s="5"/>
      <c r="G7011" s="9"/>
      <c r="H7011" s="9"/>
      <c r="I7011" s="9"/>
    </row>
    <row r="7012" ht="14.25">
      <c r="A7012" s="5"/>
      <c r="B7012" s="7"/>
      <c r="C7012" s="7"/>
      <c r="D7012" s="7"/>
      <c r="E7012" s="5"/>
      <c r="F7012" s="5"/>
      <c r="G7012" s="9"/>
      <c r="H7012" s="9"/>
      <c r="I7012" s="9"/>
    </row>
    <row r="7013" ht="14.25">
      <c r="A7013" s="5"/>
      <c r="B7013" s="7"/>
      <c r="C7013" s="7"/>
      <c r="D7013" s="7"/>
      <c r="E7013" s="5"/>
      <c r="F7013" s="5"/>
      <c r="G7013" s="9"/>
      <c r="H7013" s="9"/>
      <c r="I7013" s="9"/>
    </row>
    <row r="7014" ht="14.25">
      <c r="A7014" s="5"/>
      <c r="B7014" s="7"/>
      <c r="C7014" s="7"/>
      <c r="D7014" s="7"/>
      <c r="E7014" s="5"/>
      <c r="F7014" s="5"/>
      <c r="G7014" s="9"/>
      <c r="H7014" s="9"/>
      <c r="I7014" s="9"/>
    </row>
    <row r="7015" ht="14.25">
      <c r="A7015" s="5"/>
      <c r="B7015" s="7"/>
      <c r="C7015" s="7"/>
      <c r="D7015" s="7"/>
      <c r="E7015" s="5"/>
      <c r="F7015" s="5"/>
      <c r="G7015" s="9"/>
      <c r="H7015" s="9"/>
      <c r="I7015" s="9"/>
    </row>
    <row r="7016" ht="14.25">
      <c r="A7016" s="5"/>
      <c r="B7016" s="7"/>
      <c r="C7016" s="7"/>
      <c r="D7016" s="7"/>
      <c r="E7016" s="5"/>
      <c r="F7016" s="5"/>
      <c r="G7016" s="9"/>
      <c r="H7016" s="9"/>
      <c r="I7016" s="9"/>
    </row>
    <row r="7017" ht="14.25">
      <c r="A7017" s="5"/>
      <c r="B7017" s="7"/>
      <c r="C7017" s="7"/>
      <c r="D7017" s="7"/>
      <c r="E7017" s="5"/>
      <c r="F7017" s="5"/>
      <c r="G7017" s="9"/>
      <c r="H7017" s="9"/>
      <c r="I7017" s="9"/>
    </row>
    <row r="7018" ht="14.25">
      <c r="A7018" s="5"/>
      <c r="B7018" s="7"/>
      <c r="C7018" s="7"/>
      <c r="D7018" s="7"/>
      <c r="E7018" s="5"/>
      <c r="F7018" s="5"/>
      <c r="G7018" s="9"/>
      <c r="H7018" s="9"/>
      <c r="I7018" s="9"/>
    </row>
    <row r="7019" ht="14.25">
      <c r="A7019" s="5"/>
      <c r="B7019" s="7"/>
      <c r="C7019" s="7"/>
      <c r="D7019" s="7"/>
      <c r="E7019" s="5"/>
      <c r="F7019" s="5"/>
      <c r="G7019" s="9"/>
      <c r="H7019" s="9"/>
      <c r="I7019" s="9"/>
    </row>
    <row r="7020" ht="14.25">
      <c r="A7020" s="5"/>
      <c r="B7020" s="7"/>
      <c r="C7020" s="7"/>
      <c r="D7020" s="7"/>
      <c r="E7020" s="5"/>
      <c r="F7020" s="5"/>
      <c r="G7020" s="9"/>
      <c r="H7020" s="9"/>
      <c r="I7020" s="9"/>
    </row>
    <row r="7021" ht="14.25">
      <c r="A7021" s="5"/>
      <c r="B7021" s="7"/>
      <c r="C7021" s="7"/>
      <c r="D7021" s="7"/>
      <c r="E7021" s="5"/>
      <c r="F7021" s="5"/>
      <c r="G7021" s="9"/>
      <c r="H7021" s="9"/>
      <c r="I7021" s="9"/>
    </row>
    <row r="7022" ht="14.25">
      <c r="A7022" s="5"/>
      <c r="B7022" s="7"/>
      <c r="C7022" s="7"/>
      <c r="D7022" s="7"/>
      <c r="E7022" s="5"/>
      <c r="F7022" s="5"/>
      <c r="G7022" s="9"/>
      <c r="H7022" s="9"/>
      <c r="I7022" s="9"/>
    </row>
    <row r="7023" ht="14.25">
      <c r="A7023" s="5"/>
      <c r="B7023" s="7"/>
      <c r="C7023" s="7"/>
      <c r="D7023" s="7"/>
      <c r="E7023" s="5"/>
      <c r="F7023" s="5"/>
      <c r="G7023" s="9"/>
      <c r="H7023" s="9"/>
      <c r="I7023" s="9"/>
    </row>
    <row r="7024" ht="14.25">
      <c r="A7024" s="5"/>
      <c r="B7024" s="7"/>
      <c r="C7024" s="7"/>
      <c r="D7024" s="7"/>
      <c r="E7024" s="5"/>
      <c r="F7024" s="5"/>
      <c r="G7024" s="9"/>
      <c r="H7024" s="9"/>
      <c r="I7024" s="9"/>
    </row>
    <row r="7025" ht="14.25">
      <c r="A7025" s="5"/>
      <c r="B7025" s="7"/>
      <c r="C7025" s="7"/>
      <c r="D7025" s="7"/>
      <c r="E7025" s="5"/>
      <c r="F7025" s="5"/>
      <c r="G7025" s="9"/>
      <c r="H7025" s="9"/>
      <c r="I7025" s="9"/>
    </row>
    <row r="7026" ht="14.25">
      <c r="A7026" s="5"/>
      <c r="B7026" s="7"/>
      <c r="C7026" s="7"/>
      <c r="D7026" s="7"/>
      <c r="E7026" s="5"/>
      <c r="F7026" s="5"/>
      <c r="G7026" s="9"/>
      <c r="H7026" s="9"/>
      <c r="I7026" s="9"/>
    </row>
    <row r="7027" ht="14.25">
      <c r="A7027" s="5"/>
      <c r="B7027" s="7"/>
      <c r="C7027" s="7"/>
      <c r="D7027" s="7"/>
      <c r="E7027" s="5"/>
      <c r="F7027" s="5"/>
      <c r="G7027" s="9"/>
      <c r="H7027" s="9"/>
      <c r="I7027" s="9"/>
    </row>
    <row r="7028" ht="14.25">
      <c r="A7028" s="5"/>
      <c r="B7028" s="7"/>
      <c r="C7028" s="7"/>
      <c r="D7028" s="7"/>
      <c r="E7028" s="5"/>
      <c r="F7028" s="5"/>
      <c r="G7028" s="9"/>
      <c r="H7028" s="9"/>
      <c r="I7028" s="9"/>
    </row>
    <row r="7029" ht="14.25">
      <c r="A7029" s="5"/>
      <c r="B7029" s="7"/>
      <c r="C7029" s="7"/>
      <c r="D7029" s="7"/>
      <c r="E7029" s="5"/>
      <c r="F7029" s="5"/>
      <c r="G7029" s="9"/>
      <c r="H7029" s="9"/>
      <c r="I7029" s="9"/>
    </row>
    <row r="7030" ht="14.25">
      <c r="A7030" s="5"/>
      <c r="B7030" s="7"/>
      <c r="C7030" s="7"/>
      <c r="D7030" s="7"/>
      <c r="E7030" s="5"/>
      <c r="F7030" s="5"/>
      <c r="G7030" s="9"/>
      <c r="H7030" s="9"/>
      <c r="I7030" s="9"/>
    </row>
    <row r="7031" ht="14.25">
      <c r="A7031" s="5"/>
      <c r="B7031" s="7"/>
      <c r="C7031" s="7"/>
      <c r="D7031" s="7"/>
      <c r="E7031" s="5"/>
      <c r="F7031" s="5"/>
      <c r="G7031" s="9"/>
      <c r="H7031" s="9"/>
      <c r="I7031" s="9"/>
    </row>
    <row r="7032" ht="14.25">
      <c r="A7032" s="5"/>
      <c r="B7032" s="7"/>
      <c r="C7032" s="7"/>
      <c r="D7032" s="7"/>
      <c r="E7032" s="5"/>
      <c r="F7032" s="5"/>
      <c r="G7032" s="9"/>
      <c r="H7032" s="9"/>
      <c r="I7032" s="9"/>
    </row>
    <row r="7033" ht="14.25">
      <c r="A7033" s="5"/>
      <c r="B7033" s="7"/>
      <c r="C7033" s="7"/>
      <c r="D7033" s="7"/>
      <c r="E7033" s="5"/>
      <c r="F7033" s="5"/>
      <c r="G7033" s="9"/>
      <c r="H7033" s="9"/>
      <c r="I7033" s="9"/>
    </row>
    <row r="7034" ht="14.25">
      <c r="A7034" s="5"/>
      <c r="B7034" s="7"/>
      <c r="C7034" s="7"/>
      <c r="D7034" s="7"/>
      <c r="E7034" s="5"/>
      <c r="F7034" s="5"/>
      <c r="G7034" s="9"/>
      <c r="H7034" s="9"/>
      <c r="I7034" s="9"/>
    </row>
    <row r="7035" ht="14.25">
      <c r="A7035" s="5"/>
      <c r="B7035" s="7"/>
      <c r="C7035" s="7"/>
      <c r="D7035" s="7"/>
      <c r="E7035" s="5"/>
      <c r="F7035" s="5"/>
      <c r="G7035" s="9"/>
      <c r="H7035" s="9"/>
      <c r="I7035" s="9"/>
    </row>
    <row r="7036" ht="14.25">
      <c r="A7036" s="5"/>
      <c r="B7036" s="7"/>
      <c r="C7036" s="7"/>
      <c r="D7036" s="7"/>
      <c r="E7036" s="5"/>
      <c r="F7036" s="5"/>
      <c r="G7036" s="9"/>
      <c r="H7036" s="9"/>
      <c r="I7036" s="9"/>
    </row>
    <row r="7037" ht="14.25">
      <c r="A7037" s="5"/>
      <c r="B7037" s="7"/>
      <c r="C7037" s="7"/>
      <c r="D7037" s="7"/>
      <c r="E7037" s="5"/>
      <c r="F7037" s="5"/>
      <c r="G7037" s="9"/>
      <c r="H7037" s="9"/>
      <c r="I7037" s="9"/>
    </row>
    <row r="7038" ht="14.25">
      <c r="A7038" s="5"/>
      <c r="B7038" s="7"/>
      <c r="C7038" s="7"/>
      <c r="D7038" s="7"/>
      <c r="E7038" s="5"/>
      <c r="F7038" s="5"/>
      <c r="G7038" s="9"/>
      <c r="H7038" s="9"/>
      <c r="I7038" s="9"/>
    </row>
    <row r="7039" ht="14.25">
      <c r="A7039" s="5"/>
      <c r="B7039" s="7"/>
      <c r="C7039" s="7"/>
      <c r="D7039" s="7"/>
      <c r="E7039" s="5"/>
      <c r="F7039" s="5"/>
      <c r="G7039" s="9"/>
      <c r="H7039" s="9"/>
      <c r="I7039" s="9"/>
    </row>
    <row r="7040" ht="14.25">
      <c r="A7040" s="5"/>
      <c r="B7040" s="7"/>
      <c r="C7040" s="7"/>
      <c r="D7040" s="7"/>
      <c r="E7040" s="5"/>
      <c r="F7040" s="5"/>
      <c r="G7040" s="9"/>
      <c r="H7040" s="9"/>
      <c r="I7040" s="9"/>
    </row>
    <row r="7041" ht="14.25">
      <c r="A7041" s="5"/>
      <c r="B7041" s="7"/>
      <c r="C7041" s="7"/>
      <c r="D7041" s="7"/>
      <c r="E7041" s="5"/>
      <c r="F7041" s="5"/>
      <c r="G7041" s="9"/>
      <c r="H7041" s="9"/>
      <c r="I7041" s="9"/>
    </row>
    <row r="7042" ht="14.25">
      <c r="A7042" s="5"/>
      <c r="B7042" s="7"/>
      <c r="C7042" s="7"/>
      <c r="D7042" s="7"/>
      <c r="E7042" s="5"/>
      <c r="F7042" s="5"/>
      <c r="G7042" s="9"/>
      <c r="H7042" s="9"/>
      <c r="I7042" s="9"/>
    </row>
    <row r="7043" ht="14.25">
      <c r="A7043" s="5"/>
      <c r="B7043" s="7"/>
      <c r="C7043" s="7"/>
      <c r="D7043" s="7"/>
      <c r="E7043" s="5"/>
      <c r="F7043" s="5"/>
      <c r="G7043" s="9"/>
      <c r="H7043" s="9"/>
      <c r="I7043" s="9"/>
    </row>
    <row r="7044" ht="14.25">
      <c r="A7044" s="5"/>
      <c r="B7044" s="7"/>
      <c r="C7044" s="7"/>
      <c r="D7044" s="7"/>
      <c r="E7044" s="5"/>
      <c r="F7044" s="5"/>
      <c r="G7044" s="9"/>
      <c r="H7044" s="9"/>
      <c r="I7044" s="9"/>
    </row>
    <row r="7045" ht="14.25">
      <c r="A7045" s="5"/>
      <c r="B7045" s="7"/>
      <c r="C7045" s="7"/>
      <c r="D7045" s="7"/>
      <c r="E7045" s="5"/>
      <c r="F7045" s="5"/>
      <c r="G7045" s="9"/>
      <c r="H7045" s="9"/>
      <c r="I7045" s="9"/>
    </row>
    <row r="7046" ht="14.25">
      <c r="A7046" s="5"/>
      <c r="B7046" s="7"/>
      <c r="C7046" s="7"/>
      <c r="D7046" s="7"/>
      <c r="E7046" s="5"/>
      <c r="F7046" s="5"/>
      <c r="G7046" s="9"/>
      <c r="H7046" s="9"/>
      <c r="I7046" s="9"/>
    </row>
    <row r="7047" ht="14.25">
      <c r="A7047" s="5"/>
      <c r="B7047" s="7"/>
      <c r="C7047" s="7"/>
      <c r="D7047" s="7"/>
      <c r="E7047" s="5"/>
      <c r="F7047" s="5"/>
      <c r="G7047" s="9"/>
      <c r="H7047" s="9"/>
      <c r="I7047" s="9"/>
    </row>
    <row r="7048" ht="14.25">
      <c r="A7048" s="5"/>
      <c r="B7048" s="7"/>
      <c r="C7048" s="7"/>
      <c r="D7048" s="7"/>
      <c r="E7048" s="5"/>
      <c r="F7048" s="5"/>
      <c r="G7048" s="9"/>
      <c r="H7048" s="9"/>
      <c r="I7048" s="9"/>
    </row>
    <row r="7049" ht="14.25">
      <c r="A7049" s="5"/>
      <c r="B7049" s="7"/>
      <c r="C7049" s="7"/>
      <c r="D7049" s="7"/>
      <c r="E7049" s="5"/>
      <c r="F7049" s="5"/>
      <c r="G7049" s="9"/>
      <c r="H7049" s="9"/>
      <c r="I7049" s="9"/>
    </row>
    <row r="7050" ht="14.25">
      <c r="A7050" s="5"/>
      <c r="B7050" s="7"/>
      <c r="C7050" s="7"/>
      <c r="D7050" s="7"/>
      <c r="E7050" s="5"/>
      <c r="F7050" s="5"/>
      <c r="G7050" s="9"/>
      <c r="H7050" s="9"/>
      <c r="I7050" s="9"/>
    </row>
    <row r="7051" ht="14.25">
      <c r="A7051" s="5"/>
      <c r="B7051" s="7"/>
      <c r="C7051" s="7"/>
      <c r="D7051" s="7"/>
      <c r="E7051" s="5"/>
      <c r="F7051" s="5"/>
      <c r="G7051" s="9"/>
      <c r="H7051" s="9"/>
      <c r="I7051" s="9"/>
    </row>
    <row r="7052" ht="14.25">
      <c r="A7052" s="5"/>
      <c r="B7052" s="7"/>
      <c r="C7052" s="7"/>
      <c r="D7052" s="7"/>
      <c r="E7052" s="5"/>
      <c r="F7052" s="5"/>
      <c r="G7052" s="9"/>
      <c r="H7052" s="9"/>
      <c r="I7052" s="9"/>
    </row>
    <row r="7053" ht="14.25">
      <c r="A7053" s="5"/>
      <c r="B7053" s="7"/>
      <c r="C7053" s="7"/>
      <c r="D7053" s="7"/>
      <c r="E7053" s="5"/>
      <c r="F7053" s="5"/>
      <c r="G7053" s="9"/>
      <c r="H7053" s="9"/>
      <c r="I7053" s="9"/>
    </row>
    <row r="7054" ht="14.25">
      <c r="A7054" s="5"/>
      <c r="B7054" s="7"/>
      <c r="C7054" s="7"/>
      <c r="D7054" s="7"/>
      <c r="E7054" s="5"/>
      <c r="F7054" s="5"/>
      <c r="G7054" s="9"/>
      <c r="H7054" s="9"/>
      <c r="I7054" s="9"/>
    </row>
    <row r="7055" ht="14.25">
      <c r="A7055" s="5"/>
      <c r="B7055" s="7"/>
      <c r="C7055" s="7"/>
      <c r="D7055" s="7"/>
      <c r="E7055" s="5"/>
      <c r="F7055" s="5"/>
      <c r="G7055" s="9"/>
      <c r="H7055" s="9"/>
      <c r="I7055" s="9"/>
    </row>
    <row r="7056" ht="14.25">
      <c r="A7056" s="5"/>
      <c r="B7056" s="7"/>
      <c r="C7056" s="7"/>
      <c r="D7056" s="7"/>
      <c r="E7056" s="5"/>
      <c r="F7056" s="5"/>
      <c r="G7056" s="9"/>
      <c r="H7056" s="9"/>
      <c r="I7056" s="9"/>
    </row>
    <row r="7057" ht="14.25">
      <c r="A7057" s="5"/>
      <c r="B7057" s="7"/>
      <c r="C7057" s="7"/>
      <c r="D7057" s="7"/>
      <c r="E7057" s="5"/>
      <c r="F7057" s="5"/>
      <c r="G7057" s="9"/>
      <c r="H7057" s="9"/>
      <c r="I7057" s="9"/>
    </row>
    <row r="7058" ht="14.25">
      <c r="A7058" s="5"/>
      <c r="B7058" s="7"/>
      <c r="C7058" s="7"/>
      <c r="D7058" s="7"/>
      <c r="E7058" s="5"/>
      <c r="F7058" s="5"/>
      <c r="G7058" s="9"/>
      <c r="H7058" s="9"/>
      <c r="I7058" s="9"/>
    </row>
    <row r="7059" ht="14.25">
      <c r="A7059" s="5"/>
      <c r="B7059" s="7"/>
      <c r="C7059" s="7"/>
      <c r="D7059" s="7"/>
      <c r="E7059" s="5"/>
      <c r="F7059" s="5"/>
      <c r="G7059" s="9"/>
      <c r="H7059" s="9"/>
      <c r="I7059" s="9"/>
    </row>
    <row r="7060" ht="14.25">
      <c r="A7060" s="5"/>
      <c r="B7060" s="7"/>
      <c r="C7060" s="7"/>
      <c r="D7060" s="7"/>
      <c r="E7060" s="5"/>
      <c r="F7060" s="5"/>
      <c r="G7060" s="9"/>
      <c r="H7060" s="9"/>
      <c r="I7060" s="9"/>
    </row>
    <row r="7061" ht="14.25">
      <c r="A7061" s="5"/>
      <c r="B7061" s="7"/>
      <c r="C7061" s="7"/>
      <c r="D7061" s="7"/>
      <c r="E7061" s="5"/>
      <c r="F7061" s="5"/>
      <c r="G7061" s="9"/>
      <c r="H7061" s="9"/>
      <c r="I7061" s="9"/>
    </row>
    <row r="7062" ht="14.25">
      <c r="A7062" s="5"/>
      <c r="B7062" s="7"/>
      <c r="C7062" s="7"/>
      <c r="D7062" s="7"/>
      <c r="E7062" s="5"/>
      <c r="F7062" s="5"/>
      <c r="G7062" s="9"/>
      <c r="H7062" s="9"/>
      <c r="I7062" s="9"/>
    </row>
    <row r="7063" ht="14.25">
      <c r="A7063" s="5"/>
      <c r="B7063" s="7"/>
      <c r="C7063" s="7"/>
      <c r="D7063" s="7"/>
      <c r="E7063" s="5"/>
      <c r="F7063" s="5"/>
      <c r="G7063" s="9"/>
      <c r="H7063" s="9"/>
      <c r="I7063" s="9"/>
    </row>
    <row r="7064" ht="14.25">
      <c r="A7064" s="5"/>
      <c r="B7064" s="7"/>
      <c r="C7064" s="7"/>
      <c r="D7064" s="7"/>
      <c r="E7064" s="5"/>
      <c r="F7064" s="5"/>
      <c r="G7064" s="9"/>
      <c r="H7064" s="9"/>
      <c r="I7064" s="9"/>
    </row>
    <row r="7065" ht="14.25">
      <c r="A7065" s="5"/>
      <c r="B7065" s="7"/>
      <c r="C7065" s="7"/>
      <c r="D7065" s="7"/>
      <c r="E7065" s="5"/>
      <c r="F7065" s="5"/>
      <c r="G7065" s="9"/>
      <c r="H7065" s="9"/>
      <c r="I7065" s="9"/>
    </row>
    <row r="7066" ht="14.25">
      <c r="A7066" s="5"/>
      <c r="B7066" s="7"/>
      <c r="C7066" s="7"/>
      <c r="D7066" s="7"/>
      <c r="E7066" s="5"/>
      <c r="F7066" s="5"/>
      <c r="G7066" s="9"/>
      <c r="H7066" s="9"/>
      <c r="I7066" s="9"/>
    </row>
    <row r="7067" ht="14.25">
      <c r="A7067" s="5"/>
      <c r="B7067" s="7"/>
      <c r="C7067" s="7"/>
      <c r="D7067" s="7"/>
      <c r="E7067" s="5"/>
      <c r="F7067" s="5"/>
      <c r="G7067" s="9"/>
      <c r="H7067" s="9"/>
      <c r="I7067" s="9"/>
    </row>
    <row r="7068" ht="14.25">
      <c r="A7068" s="5"/>
      <c r="B7068" s="7"/>
      <c r="C7068" s="7"/>
      <c r="D7068" s="7"/>
      <c r="E7068" s="5"/>
      <c r="F7068" s="5"/>
      <c r="G7068" s="9"/>
      <c r="H7068" s="9"/>
      <c r="I7068" s="9"/>
    </row>
    <row r="7069" ht="14.25">
      <c r="A7069" s="5"/>
      <c r="B7069" s="7"/>
      <c r="C7069" s="7"/>
      <c r="D7069" s="7"/>
      <c r="E7069" s="5"/>
      <c r="F7069" s="5"/>
      <c r="G7069" s="9"/>
      <c r="H7069" s="9"/>
      <c r="I7069" s="9"/>
    </row>
    <row r="7070" ht="14.25">
      <c r="A7070" s="5"/>
      <c r="B7070" s="7"/>
      <c r="C7070" s="7"/>
      <c r="D7070" s="7"/>
      <c r="E7070" s="5"/>
      <c r="F7070" s="5"/>
      <c r="G7070" s="9"/>
      <c r="H7070" s="9"/>
      <c r="I7070" s="9"/>
    </row>
    <row r="7071" ht="14.25">
      <c r="A7071" s="5"/>
      <c r="B7071" s="7"/>
      <c r="C7071" s="7"/>
      <c r="D7071" s="7"/>
      <c r="E7071" s="5"/>
      <c r="F7071" s="5"/>
      <c r="G7071" s="9"/>
      <c r="H7071" s="9"/>
      <c r="I7071" s="9"/>
    </row>
    <row r="7072" ht="14.25">
      <c r="A7072" s="5"/>
      <c r="B7072" s="7"/>
      <c r="C7072" s="7"/>
      <c r="D7072" s="7"/>
      <c r="E7072" s="5"/>
      <c r="F7072" s="5"/>
      <c r="G7072" s="9"/>
      <c r="H7072" s="9"/>
      <c r="I7072" s="9"/>
    </row>
    <row r="7073" ht="14.25">
      <c r="A7073" s="5"/>
      <c r="B7073" s="7"/>
      <c r="C7073" s="7"/>
      <c r="D7073" s="7"/>
      <c r="E7073" s="5"/>
      <c r="F7073" s="5"/>
      <c r="G7073" s="9"/>
      <c r="H7073" s="9"/>
      <c r="I7073" s="9"/>
    </row>
    <row r="7074" ht="14.25">
      <c r="A7074" s="5"/>
      <c r="B7074" s="7"/>
      <c r="C7074" s="7"/>
      <c r="D7074" s="7"/>
      <c r="E7074" s="5"/>
      <c r="F7074" s="5"/>
      <c r="G7074" s="9"/>
      <c r="H7074" s="9"/>
      <c r="I7074" s="9"/>
    </row>
    <row r="7075" ht="14.25">
      <c r="A7075" s="5"/>
      <c r="B7075" s="7"/>
      <c r="C7075" s="7"/>
      <c r="D7075" s="7"/>
      <c r="E7075" s="5"/>
      <c r="F7075" s="5"/>
      <c r="G7075" s="9"/>
      <c r="H7075" s="9"/>
      <c r="I7075" s="9"/>
    </row>
    <row r="7076" ht="14.25">
      <c r="A7076" s="5"/>
      <c r="B7076" s="7"/>
      <c r="C7076" s="7"/>
      <c r="D7076" s="7"/>
      <c r="E7076" s="5"/>
      <c r="F7076" s="5"/>
      <c r="G7076" s="9"/>
      <c r="H7076" s="9"/>
      <c r="I7076" s="9"/>
    </row>
    <row r="7077" ht="14.25">
      <c r="A7077" s="5"/>
      <c r="B7077" s="7"/>
      <c r="C7077" s="7"/>
      <c r="D7077" s="7"/>
      <c r="E7077" s="5"/>
      <c r="F7077" s="5"/>
      <c r="G7077" s="9"/>
      <c r="H7077" s="9"/>
      <c r="I7077" s="9"/>
    </row>
    <row r="7078" ht="14.25">
      <c r="A7078" s="5"/>
      <c r="B7078" s="7"/>
      <c r="C7078" s="7"/>
      <c r="D7078" s="7"/>
      <c r="E7078" s="5"/>
      <c r="F7078" s="5"/>
      <c r="G7078" s="9"/>
      <c r="H7078" s="9"/>
      <c r="I7078" s="9"/>
    </row>
    <row r="7079" ht="14.25">
      <c r="A7079" s="5"/>
      <c r="B7079" s="7"/>
      <c r="C7079" s="7"/>
      <c r="D7079" s="7"/>
      <c r="E7079" s="5"/>
      <c r="F7079" s="5"/>
      <c r="G7079" s="9"/>
      <c r="H7079" s="9"/>
      <c r="I7079" s="9"/>
    </row>
    <row r="7080" ht="14.25">
      <c r="A7080" s="5"/>
      <c r="B7080" s="7"/>
      <c r="C7080" s="7"/>
      <c r="D7080" s="7"/>
      <c r="E7080" s="5"/>
      <c r="F7080" s="5"/>
      <c r="G7080" s="9"/>
      <c r="H7080" s="9"/>
      <c r="I7080" s="9"/>
    </row>
    <row r="7081" ht="14.25">
      <c r="A7081" s="5"/>
      <c r="B7081" s="7"/>
      <c r="C7081" s="7"/>
      <c r="D7081" s="7"/>
      <c r="E7081" s="5"/>
      <c r="F7081" s="5"/>
      <c r="G7081" s="9"/>
      <c r="H7081" s="9"/>
      <c r="I7081" s="9"/>
    </row>
    <row r="7082" ht="14.25">
      <c r="A7082" s="5"/>
      <c r="B7082" s="7"/>
      <c r="C7082" s="7"/>
      <c r="D7082" s="7"/>
      <c r="E7082" s="5"/>
      <c r="F7082" s="5"/>
      <c r="G7082" s="9"/>
      <c r="H7082" s="9"/>
      <c r="I7082" s="9"/>
    </row>
    <row r="7083" ht="14.25">
      <c r="A7083" s="5"/>
      <c r="B7083" s="7"/>
      <c r="C7083" s="7"/>
      <c r="D7083" s="7"/>
      <c r="E7083" s="5"/>
      <c r="F7083" s="5"/>
      <c r="G7083" s="9"/>
      <c r="H7083" s="9"/>
      <c r="I7083" s="9"/>
    </row>
    <row r="7084" ht="14.25">
      <c r="A7084" s="5"/>
      <c r="B7084" s="7"/>
      <c r="C7084" s="7"/>
      <c r="D7084" s="7"/>
      <c r="E7084" s="5"/>
      <c r="F7084" s="5"/>
      <c r="G7084" s="9"/>
      <c r="H7084" s="9"/>
      <c r="I7084" s="9"/>
    </row>
    <row r="7085" ht="14.25">
      <c r="A7085" s="5"/>
      <c r="B7085" s="7"/>
      <c r="C7085" s="7"/>
      <c r="D7085" s="7"/>
      <c r="E7085" s="5"/>
      <c r="F7085" s="5"/>
      <c r="G7085" s="9"/>
      <c r="H7085" s="9"/>
      <c r="I7085" s="9"/>
    </row>
    <row r="7086" ht="14.25">
      <c r="A7086" s="5"/>
      <c r="B7086" s="7"/>
      <c r="C7086" s="7"/>
      <c r="D7086" s="7"/>
      <c r="E7086" s="5"/>
      <c r="F7086" s="5"/>
      <c r="G7086" s="9"/>
      <c r="H7086" s="9"/>
      <c r="I7086" s="9"/>
    </row>
    <row r="7087" ht="14.25">
      <c r="A7087" s="5"/>
      <c r="B7087" s="7"/>
      <c r="C7087" s="7"/>
      <c r="D7087" s="7"/>
      <c r="E7087" s="5"/>
      <c r="F7087" s="5"/>
      <c r="G7087" s="9"/>
      <c r="H7087" s="9"/>
      <c r="I7087" s="9"/>
    </row>
    <row r="7088" ht="14.25">
      <c r="A7088" s="5"/>
      <c r="B7088" s="7"/>
      <c r="C7088" s="7"/>
      <c r="D7088" s="7"/>
      <c r="E7088" s="5"/>
      <c r="F7088" s="5"/>
      <c r="G7088" s="9"/>
      <c r="H7088" s="9"/>
      <c r="I7088" s="9"/>
    </row>
    <row r="7089" ht="14.25">
      <c r="A7089" s="5"/>
      <c r="B7089" s="7"/>
      <c r="C7089" s="7"/>
      <c r="D7089" s="7"/>
      <c r="E7089" s="5"/>
      <c r="F7089" s="5"/>
      <c r="G7089" s="9"/>
      <c r="H7089" s="9"/>
      <c r="I7089" s="9"/>
    </row>
    <row r="7090" ht="14.25">
      <c r="A7090" s="5"/>
      <c r="B7090" s="7"/>
      <c r="C7090" s="7"/>
      <c r="D7090" s="7"/>
      <c r="E7090" s="5"/>
      <c r="F7090" s="5"/>
      <c r="G7090" s="9"/>
      <c r="H7090" s="9"/>
      <c r="I7090" s="9"/>
    </row>
    <row r="7091" ht="14.25">
      <c r="A7091" s="5"/>
      <c r="B7091" s="7"/>
      <c r="C7091" s="7"/>
      <c r="D7091" s="7"/>
      <c r="E7091" s="5"/>
      <c r="F7091" s="5"/>
      <c r="G7091" s="9"/>
      <c r="H7091" s="9"/>
      <c r="I7091" s="9"/>
    </row>
    <row r="7092" ht="14.25">
      <c r="A7092" s="5"/>
      <c r="B7092" s="7"/>
      <c r="C7092" s="7"/>
      <c r="D7092" s="7"/>
      <c r="E7092" s="5"/>
      <c r="F7092" s="5"/>
      <c r="G7092" s="9"/>
      <c r="H7092" s="9"/>
      <c r="I7092" s="9"/>
    </row>
    <row r="7093" ht="14.25">
      <c r="A7093" s="5"/>
      <c r="B7093" s="7"/>
      <c r="C7093" s="7"/>
      <c r="D7093" s="7"/>
      <c r="E7093" s="5"/>
      <c r="F7093" s="5"/>
      <c r="G7093" s="9"/>
      <c r="H7093" s="9"/>
      <c r="I7093" s="9"/>
    </row>
    <row r="7094" ht="14.25">
      <c r="A7094" s="5"/>
      <c r="B7094" s="7"/>
      <c r="C7094" s="7"/>
      <c r="D7094" s="7"/>
      <c r="E7094" s="5"/>
      <c r="F7094" s="5"/>
      <c r="G7094" s="9"/>
      <c r="H7094" s="9"/>
      <c r="I7094" s="9"/>
    </row>
    <row r="7095" ht="14.25">
      <c r="A7095" s="5"/>
      <c r="B7095" s="7"/>
      <c r="C7095" s="7"/>
      <c r="D7095" s="7"/>
      <c r="E7095" s="5"/>
      <c r="F7095" s="5"/>
      <c r="G7095" s="9"/>
      <c r="H7095" s="9"/>
      <c r="I7095" s="9"/>
    </row>
    <row r="7096" ht="14.25">
      <c r="A7096" s="5"/>
      <c r="B7096" s="7"/>
      <c r="C7096" s="7"/>
      <c r="D7096" s="7"/>
      <c r="E7096" s="5"/>
      <c r="F7096" s="5"/>
      <c r="G7096" s="9"/>
      <c r="H7096" s="9"/>
      <c r="I7096" s="9"/>
    </row>
    <row r="7097" ht="14.25">
      <c r="A7097" s="5"/>
      <c r="B7097" s="7"/>
      <c r="C7097" s="7"/>
      <c r="D7097" s="7"/>
      <c r="E7097" s="5"/>
      <c r="F7097" s="5"/>
      <c r="G7097" s="9"/>
      <c r="H7097" s="9"/>
      <c r="I7097" s="9"/>
    </row>
    <row r="7098" ht="14.25">
      <c r="A7098" s="5"/>
      <c r="B7098" s="7"/>
      <c r="C7098" s="7"/>
      <c r="D7098" s="7"/>
      <c r="E7098" s="5"/>
      <c r="F7098" s="5"/>
      <c r="G7098" s="9"/>
      <c r="H7098" s="9"/>
      <c r="I7098" s="9"/>
    </row>
    <row r="7099" ht="14.25">
      <c r="A7099" s="5"/>
      <c r="B7099" s="7"/>
      <c r="C7099" s="7"/>
      <c r="D7099" s="7"/>
      <c r="E7099" s="5"/>
      <c r="F7099" s="5"/>
      <c r="G7099" s="9"/>
      <c r="H7099" s="9"/>
      <c r="I7099" s="9"/>
    </row>
    <row r="7100" ht="14.25">
      <c r="A7100" s="5"/>
      <c r="B7100" s="7"/>
      <c r="C7100" s="7"/>
      <c r="D7100" s="7"/>
      <c r="E7100" s="5"/>
      <c r="F7100" s="5"/>
      <c r="G7100" s="9"/>
      <c r="H7100" s="9"/>
      <c r="I7100" s="9"/>
    </row>
    <row r="7101" ht="14.25">
      <c r="A7101" s="5"/>
      <c r="B7101" s="7"/>
      <c r="C7101" s="7"/>
      <c r="D7101" s="7"/>
      <c r="E7101" s="5"/>
      <c r="F7101" s="5"/>
      <c r="G7101" s="9"/>
      <c r="H7101" s="9"/>
      <c r="I7101" s="9"/>
    </row>
    <row r="7102" ht="14.25">
      <c r="A7102" s="5"/>
      <c r="B7102" s="7"/>
      <c r="C7102" s="7"/>
      <c r="D7102" s="7"/>
      <c r="E7102" s="5"/>
      <c r="F7102" s="5"/>
      <c r="G7102" s="9"/>
      <c r="H7102" s="9"/>
      <c r="I7102" s="9"/>
    </row>
    <row r="7103" ht="14.25">
      <c r="A7103" s="5"/>
      <c r="B7103" s="7"/>
      <c r="C7103" s="7"/>
      <c r="D7103" s="7"/>
      <c r="E7103" s="5"/>
      <c r="F7103" s="5"/>
      <c r="G7103" s="9"/>
      <c r="H7103" s="9"/>
      <c r="I7103" s="9"/>
    </row>
    <row r="7104" ht="14.25">
      <c r="A7104" s="5"/>
      <c r="B7104" s="7"/>
      <c r="C7104" s="7"/>
      <c r="D7104" s="7"/>
      <c r="E7104" s="5"/>
      <c r="F7104" s="5"/>
      <c r="G7104" s="9"/>
      <c r="H7104" s="9"/>
      <c r="I7104" s="9"/>
    </row>
    <row r="7105" ht="14.25">
      <c r="A7105" s="5"/>
      <c r="B7105" s="7"/>
      <c r="C7105" s="7"/>
      <c r="D7105" s="7"/>
      <c r="E7105" s="5"/>
      <c r="F7105" s="5"/>
      <c r="G7105" s="9"/>
      <c r="H7105" s="9"/>
      <c r="I7105" s="9"/>
    </row>
    <row r="7106" ht="14.25">
      <c r="A7106" s="5"/>
      <c r="B7106" s="7"/>
      <c r="C7106" s="7"/>
      <c r="D7106" s="7"/>
      <c r="E7106" s="5"/>
      <c r="F7106" s="5"/>
      <c r="G7106" s="9"/>
      <c r="H7106" s="9"/>
      <c r="I7106" s="9"/>
    </row>
    <row r="7107" ht="14.25">
      <c r="A7107" s="5"/>
      <c r="B7107" s="7"/>
      <c r="C7107" s="7"/>
      <c r="D7107" s="7"/>
      <c r="E7107" s="5"/>
      <c r="F7107" s="5"/>
      <c r="G7107" s="9"/>
      <c r="H7107" s="9"/>
      <c r="I7107" s="9"/>
    </row>
    <row r="7108" ht="14.25">
      <c r="A7108" s="5"/>
      <c r="B7108" s="7"/>
      <c r="C7108" s="7"/>
      <c r="D7108" s="7"/>
      <c r="E7108" s="5"/>
      <c r="F7108" s="5"/>
      <c r="G7108" s="9"/>
      <c r="H7108" s="9"/>
      <c r="I7108" s="9"/>
    </row>
    <row r="7109" ht="14.25">
      <c r="A7109" s="5"/>
      <c r="B7109" s="7"/>
      <c r="C7109" s="7"/>
      <c r="D7109" s="7"/>
      <c r="E7109" s="5"/>
      <c r="F7109" s="5"/>
      <c r="G7109" s="9"/>
      <c r="H7109" s="9"/>
      <c r="I7109" s="9"/>
    </row>
    <row r="7110" ht="14.25">
      <c r="A7110" s="5"/>
      <c r="B7110" s="7"/>
      <c r="C7110" s="7"/>
      <c r="D7110" s="7"/>
      <c r="E7110" s="5"/>
      <c r="F7110" s="5"/>
      <c r="G7110" s="9"/>
      <c r="H7110" s="9"/>
      <c r="I7110" s="9"/>
    </row>
    <row r="7111" ht="14.25">
      <c r="A7111" s="5"/>
      <c r="B7111" s="7"/>
      <c r="C7111" s="7"/>
      <c r="D7111" s="7"/>
      <c r="E7111" s="5"/>
      <c r="F7111" s="5"/>
      <c r="G7111" s="9"/>
      <c r="H7111" s="9"/>
      <c r="I7111" s="9"/>
    </row>
    <row r="7112" ht="14.25">
      <c r="A7112" s="5"/>
      <c r="B7112" s="7"/>
      <c r="C7112" s="7"/>
      <c r="D7112" s="7"/>
      <c r="E7112" s="5"/>
      <c r="F7112" s="5"/>
      <c r="G7112" s="9"/>
      <c r="H7112" s="9"/>
      <c r="I7112" s="9"/>
    </row>
    <row r="7113" ht="14.25">
      <c r="A7113" s="5"/>
      <c r="B7113" s="7"/>
      <c r="C7113" s="7"/>
      <c r="D7113" s="7"/>
      <c r="E7113" s="5"/>
      <c r="F7113" s="5"/>
      <c r="G7113" s="9"/>
      <c r="H7113" s="9"/>
      <c r="I7113" s="9"/>
    </row>
    <row r="7114" ht="14.25">
      <c r="A7114" s="5"/>
      <c r="B7114" s="7"/>
      <c r="C7114" s="7"/>
      <c r="D7114" s="7"/>
      <c r="E7114" s="5"/>
      <c r="F7114" s="5"/>
      <c r="G7114" s="9"/>
      <c r="H7114" s="9"/>
      <c r="I7114" s="9"/>
    </row>
    <row r="7115" ht="14.25">
      <c r="A7115" s="5"/>
      <c r="B7115" s="7"/>
      <c r="C7115" s="7"/>
      <c r="D7115" s="7"/>
      <c r="E7115" s="5"/>
      <c r="F7115" s="5"/>
      <c r="G7115" s="9"/>
      <c r="H7115" s="9"/>
      <c r="I7115" s="9"/>
    </row>
    <row r="7116" ht="14.25">
      <c r="A7116" s="5"/>
      <c r="B7116" s="7"/>
      <c r="C7116" s="7"/>
      <c r="D7116" s="7"/>
      <c r="E7116" s="5"/>
      <c r="F7116" s="5"/>
      <c r="G7116" s="9"/>
      <c r="H7116" s="9"/>
      <c r="I7116" s="9"/>
    </row>
    <row r="7117" ht="14.25">
      <c r="A7117" s="5"/>
      <c r="B7117" s="7"/>
      <c r="C7117" s="7"/>
      <c r="D7117" s="7"/>
      <c r="E7117" s="5"/>
      <c r="F7117" s="5"/>
      <c r="G7117" s="9"/>
      <c r="H7117" s="9"/>
      <c r="I7117" s="9"/>
    </row>
    <row r="7118" ht="14.25">
      <c r="A7118" s="5"/>
      <c r="B7118" s="7"/>
      <c r="C7118" s="7"/>
      <c r="D7118" s="7"/>
      <c r="E7118" s="5"/>
      <c r="F7118" s="5"/>
      <c r="G7118" s="9"/>
      <c r="H7118" s="9"/>
      <c r="I7118" s="9"/>
    </row>
    <row r="7119" ht="14.25">
      <c r="A7119" s="5"/>
      <c r="B7119" s="7"/>
      <c r="C7119" s="7"/>
      <c r="D7119" s="7"/>
      <c r="E7119" s="5"/>
      <c r="F7119" s="5"/>
      <c r="G7119" s="9"/>
      <c r="H7119" s="9"/>
      <c r="I7119" s="9"/>
    </row>
    <row r="7120" ht="14.25">
      <c r="A7120" s="5"/>
      <c r="B7120" s="7"/>
      <c r="C7120" s="7"/>
      <c r="D7120" s="7"/>
      <c r="E7120" s="5"/>
      <c r="F7120" s="5"/>
      <c r="G7120" s="9"/>
      <c r="H7120" s="9"/>
      <c r="I7120" s="9"/>
    </row>
    <row r="7121" ht="14.25">
      <c r="A7121" s="5"/>
      <c r="B7121" s="7"/>
      <c r="C7121" s="7"/>
      <c r="D7121" s="7"/>
      <c r="E7121" s="5"/>
      <c r="F7121" s="5"/>
      <c r="G7121" s="9"/>
      <c r="H7121" s="9"/>
      <c r="I7121" s="9"/>
    </row>
    <row r="7122" ht="14.25">
      <c r="A7122" s="5"/>
      <c r="B7122" s="7"/>
      <c r="C7122" s="7"/>
      <c r="D7122" s="7"/>
      <c r="E7122" s="5"/>
      <c r="F7122" s="5"/>
      <c r="G7122" s="9"/>
      <c r="H7122" s="9"/>
      <c r="I7122" s="9"/>
    </row>
    <row r="7123" ht="14.25">
      <c r="A7123" s="5"/>
      <c r="B7123" s="7"/>
      <c r="C7123" s="7"/>
      <c r="D7123" s="7"/>
      <c r="E7123" s="5"/>
      <c r="F7123" s="5"/>
      <c r="G7123" s="9"/>
      <c r="H7123" s="9"/>
      <c r="I7123" s="9"/>
    </row>
    <row r="7124" ht="14.25">
      <c r="A7124" s="5"/>
      <c r="B7124" s="7"/>
      <c r="C7124" s="7"/>
      <c r="D7124" s="7"/>
      <c r="E7124" s="5"/>
      <c r="F7124" s="5"/>
      <c r="G7124" s="9"/>
      <c r="H7124" s="9"/>
      <c r="I7124" s="9"/>
    </row>
    <row r="7125" ht="14.25">
      <c r="A7125" s="5"/>
      <c r="B7125" s="7"/>
      <c r="C7125" s="7"/>
      <c r="D7125" s="7"/>
      <c r="E7125" s="5"/>
      <c r="F7125" s="5"/>
      <c r="G7125" s="9"/>
      <c r="H7125" s="9"/>
      <c r="I7125" s="9"/>
    </row>
    <row r="7126" ht="14.25">
      <c r="A7126" s="5"/>
      <c r="B7126" s="7"/>
      <c r="C7126" s="7"/>
      <c r="D7126" s="7"/>
      <c r="E7126" s="5"/>
      <c r="F7126" s="5"/>
      <c r="G7126" s="9"/>
      <c r="H7126" s="9"/>
      <c r="I7126" s="9"/>
    </row>
    <row r="7127" ht="14.25">
      <c r="A7127" s="5"/>
      <c r="B7127" s="7"/>
      <c r="C7127" s="7"/>
      <c r="D7127" s="7"/>
      <c r="E7127" s="5"/>
      <c r="F7127" s="5"/>
      <c r="G7127" s="9"/>
      <c r="H7127" s="9"/>
      <c r="I7127" s="9"/>
    </row>
    <row r="7128" ht="14.25">
      <c r="A7128" s="5"/>
      <c r="B7128" s="7"/>
      <c r="C7128" s="7"/>
      <c r="D7128" s="7"/>
      <c r="E7128" s="5"/>
      <c r="F7128" s="5"/>
      <c r="G7128" s="9"/>
      <c r="H7128" s="9"/>
      <c r="I7128" s="9"/>
    </row>
    <row r="7129" ht="14.25">
      <c r="A7129" s="5"/>
      <c r="B7129" s="7"/>
      <c r="C7129" s="7"/>
      <c r="D7129" s="7"/>
      <c r="E7129" s="5"/>
      <c r="F7129" s="5"/>
      <c r="G7129" s="9"/>
      <c r="H7129" s="9"/>
      <c r="I7129" s="9"/>
    </row>
    <row r="7130" ht="14.25">
      <c r="A7130" s="5"/>
      <c r="B7130" s="7"/>
      <c r="C7130" s="7"/>
      <c r="D7130" s="7"/>
      <c r="E7130" s="5"/>
      <c r="F7130" s="5"/>
      <c r="G7130" s="9"/>
      <c r="H7130" s="9"/>
      <c r="I7130" s="9"/>
    </row>
    <row r="7131" ht="14.25">
      <c r="A7131" s="5"/>
      <c r="B7131" s="7"/>
      <c r="C7131" s="7"/>
      <c r="D7131" s="7"/>
      <c r="E7131" s="5"/>
      <c r="F7131" s="5"/>
      <c r="G7131" s="9"/>
      <c r="H7131" s="9"/>
      <c r="I7131" s="9"/>
    </row>
    <row r="7132" ht="14.25">
      <c r="A7132" s="5"/>
      <c r="B7132" s="7"/>
      <c r="C7132" s="7"/>
      <c r="D7132" s="7"/>
      <c r="E7132" s="5"/>
      <c r="F7132" s="5"/>
      <c r="G7132" s="9"/>
      <c r="H7132" s="9"/>
      <c r="I7132" s="9"/>
    </row>
    <row r="7133" ht="14.25">
      <c r="A7133" s="5"/>
      <c r="B7133" s="7"/>
      <c r="C7133" s="7"/>
      <c r="D7133" s="7"/>
      <c r="E7133" s="5"/>
      <c r="F7133" s="5"/>
      <c r="G7133" s="9"/>
      <c r="H7133" s="9"/>
      <c r="I7133" s="9"/>
    </row>
    <row r="7134" ht="14.25">
      <c r="A7134" s="5"/>
      <c r="B7134" s="7"/>
      <c r="C7134" s="7"/>
      <c r="D7134" s="7"/>
      <c r="E7134" s="5"/>
      <c r="F7134" s="5"/>
      <c r="G7134" s="9"/>
      <c r="H7134" s="9"/>
      <c r="I7134" s="9"/>
    </row>
    <row r="7135" ht="14.25">
      <c r="A7135" s="5"/>
      <c r="B7135" s="7"/>
      <c r="C7135" s="7"/>
      <c r="D7135" s="7"/>
      <c r="E7135" s="5"/>
      <c r="F7135" s="5"/>
      <c r="G7135" s="9"/>
      <c r="H7135" s="9"/>
      <c r="I7135" s="9"/>
    </row>
    <row r="7136" ht="14.25">
      <c r="A7136" s="5"/>
      <c r="B7136" s="7"/>
      <c r="C7136" s="7"/>
      <c r="D7136" s="7"/>
      <c r="E7136" s="5"/>
      <c r="F7136" s="5"/>
      <c r="G7136" s="9"/>
      <c r="H7136" s="9"/>
      <c r="I7136" s="9"/>
    </row>
    <row r="7137" ht="14.25">
      <c r="A7137" s="5"/>
      <c r="B7137" s="7"/>
      <c r="C7137" s="7"/>
      <c r="D7137" s="7"/>
      <c r="E7137" s="5"/>
      <c r="F7137" s="5"/>
      <c r="G7137" s="9"/>
      <c r="H7137" s="9"/>
      <c r="I7137" s="9"/>
    </row>
    <row r="7138" ht="14.25">
      <c r="A7138" s="5"/>
      <c r="B7138" s="7"/>
      <c r="C7138" s="7"/>
      <c r="D7138" s="7"/>
      <c r="E7138" s="5"/>
      <c r="F7138" s="5"/>
      <c r="G7138" s="9"/>
      <c r="H7138" s="9"/>
      <c r="I7138" s="9"/>
    </row>
    <row r="7139" ht="14.25">
      <c r="A7139" s="5"/>
      <c r="B7139" s="7"/>
      <c r="C7139" s="7"/>
      <c r="D7139" s="7"/>
      <c r="E7139" s="5"/>
      <c r="F7139" s="5"/>
      <c r="G7139" s="9"/>
      <c r="H7139" s="9"/>
      <c r="I7139" s="9"/>
    </row>
    <row r="7140" ht="14.25">
      <c r="A7140" s="5"/>
      <c r="B7140" s="7"/>
      <c r="C7140" s="7"/>
      <c r="D7140" s="7"/>
      <c r="E7140" s="5"/>
      <c r="F7140" s="5"/>
      <c r="G7140" s="9"/>
      <c r="H7140" s="9"/>
      <c r="I7140" s="9"/>
    </row>
    <row r="7141" ht="14.25">
      <c r="A7141" s="5"/>
      <c r="B7141" s="7"/>
      <c r="C7141" s="7"/>
      <c r="D7141" s="7"/>
      <c r="E7141" s="5"/>
      <c r="F7141" s="5"/>
      <c r="G7141" s="9"/>
      <c r="H7141" s="9"/>
      <c r="I7141" s="9"/>
    </row>
    <row r="7142" ht="14.25">
      <c r="A7142" s="5"/>
      <c r="B7142" s="7"/>
      <c r="C7142" s="7"/>
      <c r="D7142" s="7"/>
      <c r="E7142" s="5"/>
      <c r="F7142" s="5"/>
      <c r="G7142" s="9"/>
      <c r="H7142" s="9"/>
      <c r="I7142" s="9"/>
    </row>
    <row r="7143" ht="14.25">
      <c r="A7143" s="5"/>
      <c r="B7143" s="7"/>
      <c r="C7143" s="7"/>
      <c r="D7143" s="7"/>
      <c r="E7143" s="5"/>
      <c r="F7143" s="5"/>
      <c r="G7143" s="9"/>
      <c r="H7143" s="9"/>
      <c r="I7143" s="9"/>
    </row>
    <row r="7144" ht="14.25">
      <c r="A7144" s="5"/>
      <c r="B7144" s="7"/>
      <c r="C7144" s="7"/>
      <c r="D7144" s="7"/>
      <c r="E7144" s="5"/>
      <c r="F7144" s="5"/>
      <c r="G7144" s="9"/>
      <c r="H7144" s="9"/>
      <c r="I7144" s="9"/>
    </row>
    <row r="7145" ht="14.25">
      <c r="A7145" s="5"/>
      <c r="B7145" s="7"/>
      <c r="C7145" s="7"/>
      <c r="D7145" s="7"/>
      <c r="E7145" s="5"/>
      <c r="F7145" s="5"/>
      <c r="G7145" s="9"/>
      <c r="H7145" s="9"/>
      <c r="I7145" s="9"/>
    </row>
    <row r="7146" ht="14.25">
      <c r="A7146" s="5"/>
      <c r="B7146" s="7"/>
      <c r="C7146" s="7"/>
      <c r="D7146" s="7"/>
      <c r="E7146" s="5"/>
      <c r="F7146" s="5"/>
      <c r="G7146" s="9"/>
      <c r="H7146" s="9"/>
      <c r="I7146" s="9"/>
    </row>
    <row r="7147" ht="14.25">
      <c r="A7147" s="5"/>
      <c r="B7147" s="7"/>
      <c r="C7147" s="7"/>
      <c r="D7147" s="7"/>
      <c r="E7147" s="5"/>
      <c r="F7147" s="5"/>
      <c r="G7147" s="9"/>
      <c r="H7147" s="9"/>
      <c r="I7147" s="9"/>
    </row>
    <row r="7148" ht="14.25">
      <c r="A7148" s="5"/>
      <c r="B7148" s="7"/>
      <c r="C7148" s="7"/>
      <c r="D7148" s="7"/>
      <c r="E7148" s="5"/>
      <c r="F7148" s="5"/>
      <c r="G7148" s="9"/>
      <c r="H7148" s="9"/>
      <c r="I7148" s="9"/>
    </row>
    <row r="7149" ht="14.25">
      <c r="A7149" s="5"/>
      <c r="B7149" s="7"/>
      <c r="C7149" s="7"/>
      <c r="D7149" s="7"/>
      <c r="E7149" s="5"/>
      <c r="F7149" s="5"/>
      <c r="G7149" s="9"/>
      <c r="H7149" s="9"/>
      <c r="I7149" s="9"/>
    </row>
    <row r="7150" ht="14.25">
      <c r="A7150" s="5"/>
      <c r="B7150" s="7"/>
      <c r="C7150" s="7"/>
      <c r="D7150" s="7"/>
      <c r="E7150" s="5"/>
      <c r="F7150" s="5"/>
      <c r="G7150" s="9"/>
      <c r="H7150" s="9"/>
      <c r="I7150" s="9"/>
    </row>
    <row r="7151" ht="14.25">
      <c r="A7151" s="5"/>
      <c r="B7151" s="7"/>
      <c r="C7151" s="7"/>
      <c r="D7151" s="7"/>
      <c r="E7151" s="5"/>
      <c r="F7151" s="5"/>
      <c r="G7151" s="9"/>
      <c r="H7151" s="9"/>
      <c r="I7151" s="9"/>
    </row>
    <row r="7152" ht="14.25">
      <c r="A7152" s="5"/>
      <c r="B7152" s="7"/>
      <c r="C7152" s="7"/>
      <c r="D7152" s="7"/>
      <c r="E7152" s="5"/>
      <c r="F7152" s="5"/>
      <c r="G7152" s="9"/>
      <c r="H7152" s="9"/>
      <c r="I7152" s="9"/>
    </row>
    <row r="7153" ht="14.25">
      <c r="A7153" s="5"/>
      <c r="B7153" s="7"/>
      <c r="C7153" s="7"/>
      <c r="D7153" s="7"/>
      <c r="E7153" s="5"/>
      <c r="F7153" s="5"/>
      <c r="G7153" s="9"/>
      <c r="H7153" s="9"/>
      <c r="I7153" s="9"/>
    </row>
    <row r="7154" ht="14.25">
      <c r="A7154" s="5"/>
      <c r="B7154" s="7"/>
      <c r="C7154" s="7"/>
      <c r="D7154" s="7"/>
      <c r="E7154" s="5"/>
      <c r="F7154" s="5"/>
      <c r="G7154" s="9"/>
      <c r="H7154" s="9"/>
      <c r="I7154" s="9"/>
    </row>
    <row r="7155" ht="14.25">
      <c r="A7155" s="5"/>
      <c r="B7155" s="7"/>
      <c r="C7155" s="7"/>
      <c r="D7155" s="7"/>
      <c r="E7155" s="5"/>
      <c r="F7155" s="5"/>
      <c r="G7155" s="9"/>
      <c r="H7155" s="9"/>
      <c r="I7155" s="9"/>
    </row>
    <row r="7156" ht="14.25">
      <c r="A7156" s="5"/>
      <c r="B7156" s="7"/>
      <c r="C7156" s="7"/>
      <c r="D7156" s="7"/>
      <c r="E7156" s="5"/>
      <c r="F7156" s="5"/>
      <c r="G7156" s="9"/>
      <c r="H7156" s="9"/>
      <c r="I7156" s="9"/>
    </row>
    <row r="7157" ht="14.25">
      <c r="A7157" s="5"/>
      <c r="B7157" s="7"/>
      <c r="C7157" s="7"/>
      <c r="D7157" s="7"/>
      <c r="E7157" s="5"/>
      <c r="F7157" s="5"/>
      <c r="G7157" s="9"/>
      <c r="H7157" s="9"/>
      <c r="I7157" s="9"/>
    </row>
    <row r="7158" ht="14.25">
      <c r="A7158" s="5"/>
      <c r="B7158" s="7"/>
      <c r="C7158" s="7"/>
      <c r="D7158" s="7"/>
      <c r="E7158" s="5"/>
      <c r="F7158" s="5"/>
      <c r="G7158" s="9"/>
      <c r="H7158" s="9"/>
      <c r="I7158" s="9"/>
    </row>
    <row r="7159" ht="14.25">
      <c r="A7159" s="5"/>
      <c r="B7159" s="7"/>
      <c r="C7159" s="7"/>
      <c r="D7159" s="7"/>
      <c r="E7159" s="5"/>
      <c r="F7159" s="5"/>
      <c r="G7159" s="9"/>
      <c r="H7159" s="9"/>
      <c r="I7159" s="9"/>
    </row>
    <row r="7160" ht="14.25">
      <c r="A7160" s="5"/>
      <c r="B7160" s="7"/>
      <c r="C7160" s="7"/>
      <c r="D7160" s="7"/>
      <c r="E7160" s="5"/>
      <c r="F7160" s="5"/>
      <c r="G7160" s="9"/>
      <c r="H7160" s="9"/>
      <c r="I7160" s="9"/>
    </row>
    <row r="7161" ht="14.25">
      <c r="A7161" s="5"/>
      <c r="B7161" s="7"/>
      <c r="C7161" s="7"/>
      <c r="D7161" s="7"/>
      <c r="E7161" s="5"/>
      <c r="F7161" s="5"/>
      <c r="G7161" s="9"/>
      <c r="H7161" s="9"/>
      <c r="I7161" s="9"/>
    </row>
    <row r="7162" ht="14.25">
      <c r="A7162" s="5"/>
      <c r="B7162" s="7"/>
      <c r="C7162" s="7"/>
      <c r="D7162" s="7"/>
      <c r="E7162" s="5"/>
      <c r="F7162" s="5"/>
      <c r="G7162" s="9"/>
      <c r="H7162" s="9"/>
      <c r="I7162" s="9"/>
    </row>
    <row r="7163" ht="14.25">
      <c r="A7163" s="5"/>
      <c r="B7163" s="7"/>
      <c r="C7163" s="7"/>
      <c r="D7163" s="7"/>
      <c r="E7163" s="5"/>
      <c r="F7163" s="5"/>
      <c r="G7163" s="9"/>
      <c r="H7163" s="9"/>
      <c r="I7163" s="9"/>
    </row>
    <row r="7164" ht="14.25">
      <c r="A7164" s="5"/>
      <c r="B7164" s="7"/>
      <c r="C7164" s="7"/>
      <c r="D7164" s="7"/>
      <c r="E7164" s="5"/>
      <c r="F7164" s="5"/>
      <c r="G7164" s="9"/>
      <c r="H7164" s="9"/>
      <c r="I7164" s="9"/>
    </row>
    <row r="7165" ht="14.25">
      <c r="A7165" s="5"/>
      <c r="B7165" s="7"/>
      <c r="C7165" s="7"/>
      <c r="D7165" s="7"/>
      <c r="E7165" s="5"/>
      <c r="F7165" s="5"/>
      <c r="G7165" s="9"/>
      <c r="H7165" s="9"/>
      <c r="I7165" s="9"/>
    </row>
    <row r="7166" ht="14.25">
      <c r="A7166" s="5"/>
      <c r="B7166" s="7"/>
      <c r="C7166" s="7"/>
      <c r="D7166" s="7"/>
      <c r="E7166" s="5"/>
      <c r="F7166" s="5"/>
      <c r="G7166" s="9"/>
      <c r="H7166" s="9"/>
      <c r="I7166" s="9"/>
    </row>
    <row r="7167" ht="14.25">
      <c r="A7167" s="5"/>
      <c r="B7167" s="7"/>
      <c r="C7167" s="7"/>
      <c r="D7167" s="7"/>
      <c r="E7167" s="5"/>
      <c r="F7167" s="5"/>
      <c r="G7167" s="9"/>
      <c r="H7167" s="9"/>
      <c r="I7167" s="9"/>
    </row>
    <row r="7168" ht="14.25">
      <c r="A7168" s="5"/>
      <c r="B7168" s="7"/>
      <c r="C7168" s="7"/>
      <c r="D7168" s="7"/>
      <c r="E7168" s="5"/>
      <c r="F7168" s="5"/>
      <c r="G7168" s="9"/>
      <c r="H7168" s="9"/>
      <c r="I7168" s="9"/>
    </row>
    <row r="7169" ht="14.25">
      <c r="A7169" s="5"/>
      <c r="B7169" s="7"/>
      <c r="C7169" s="7"/>
      <c r="D7169" s="7"/>
      <c r="E7169" s="5"/>
      <c r="F7169" s="5"/>
      <c r="G7169" s="9"/>
      <c r="H7169" s="9"/>
      <c r="I7169" s="9"/>
    </row>
    <row r="7170" ht="14.25">
      <c r="A7170" s="5"/>
      <c r="B7170" s="7"/>
      <c r="C7170" s="7"/>
      <c r="D7170" s="7"/>
      <c r="E7170" s="5"/>
      <c r="F7170" s="5"/>
      <c r="G7170" s="9"/>
      <c r="H7170" s="9"/>
      <c r="I7170" s="9"/>
    </row>
    <row r="7171" ht="14.25">
      <c r="A7171" s="5"/>
      <c r="B7171" s="7"/>
      <c r="C7171" s="7"/>
      <c r="D7171" s="7"/>
      <c r="E7171" s="5"/>
      <c r="F7171" s="5"/>
      <c r="G7171" s="9"/>
      <c r="H7171" s="9"/>
      <c r="I7171" s="9"/>
    </row>
    <row r="7172" ht="14.25">
      <c r="A7172" s="5"/>
      <c r="B7172" s="7"/>
      <c r="C7172" s="7"/>
      <c r="D7172" s="7"/>
      <c r="E7172" s="5"/>
      <c r="F7172" s="5"/>
      <c r="G7172" s="9"/>
      <c r="H7172" s="9"/>
      <c r="I7172" s="9"/>
    </row>
    <row r="7173" ht="14.25">
      <c r="A7173" s="5"/>
      <c r="B7173" s="7"/>
      <c r="C7173" s="7"/>
      <c r="D7173" s="7"/>
      <c r="E7173" s="5"/>
      <c r="F7173" s="5"/>
      <c r="G7173" s="9"/>
      <c r="H7173" s="9"/>
      <c r="I7173" s="9"/>
    </row>
    <row r="7174" ht="14.25">
      <c r="A7174" s="5"/>
      <c r="B7174" s="7"/>
      <c r="C7174" s="7"/>
      <c r="D7174" s="7"/>
      <c r="E7174" s="5"/>
      <c r="F7174" s="5"/>
      <c r="G7174" s="9"/>
      <c r="H7174" s="9"/>
      <c r="I7174" s="9"/>
    </row>
    <row r="7175" ht="14.25">
      <c r="A7175" s="5"/>
      <c r="B7175" s="7"/>
      <c r="C7175" s="7"/>
      <c r="D7175" s="7"/>
      <c r="E7175" s="5"/>
      <c r="F7175" s="5"/>
      <c r="G7175" s="9"/>
      <c r="H7175" s="9"/>
      <c r="I7175" s="9"/>
    </row>
    <row r="7176" ht="14.25">
      <c r="A7176" s="5"/>
      <c r="B7176" s="7"/>
      <c r="C7176" s="7"/>
      <c r="D7176" s="7"/>
      <c r="E7176" s="5"/>
      <c r="F7176" s="5"/>
      <c r="G7176" s="9"/>
      <c r="H7176" s="9"/>
      <c r="I7176" s="9"/>
    </row>
    <row r="7177" ht="14.25">
      <c r="A7177" s="5"/>
      <c r="B7177" s="7"/>
      <c r="C7177" s="7"/>
      <c r="D7177" s="7"/>
      <c r="E7177" s="5"/>
      <c r="F7177" s="5"/>
      <c r="G7177" s="9"/>
      <c r="H7177" s="9"/>
      <c r="I7177" s="9"/>
    </row>
    <row r="7178" ht="14.25">
      <c r="A7178" s="5"/>
      <c r="B7178" s="7"/>
      <c r="C7178" s="7"/>
      <c r="D7178" s="7"/>
      <c r="E7178" s="5"/>
      <c r="F7178" s="5"/>
      <c r="G7178" s="9"/>
      <c r="H7178" s="9"/>
      <c r="I7178" s="9"/>
    </row>
    <row r="7179" ht="14.25">
      <c r="A7179" s="5"/>
      <c r="B7179" s="7"/>
      <c r="C7179" s="7"/>
      <c r="D7179" s="7"/>
      <c r="E7179" s="5"/>
      <c r="F7179" s="5"/>
      <c r="G7179" s="9"/>
      <c r="H7179" s="9"/>
      <c r="I7179" s="9"/>
    </row>
    <row r="7180" ht="14.25">
      <c r="A7180" s="5"/>
      <c r="B7180" s="7"/>
      <c r="C7180" s="7"/>
      <c r="D7180" s="7"/>
      <c r="E7180" s="5"/>
      <c r="F7180" s="5"/>
      <c r="G7180" s="9"/>
      <c r="H7180" s="9"/>
      <c r="I7180" s="9"/>
    </row>
    <row r="7181" ht="14.25">
      <c r="A7181" s="5"/>
      <c r="B7181" s="7"/>
      <c r="C7181" s="7"/>
      <c r="D7181" s="7"/>
      <c r="E7181" s="5"/>
      <c r="F7181" s="5"/>
      <c r="G7181" s="9"/>
      <c r="H7181" s="9"/>
      <c r="I7181" s="9"/>
    </row>
    <row r="7182" ht="14.25">
      <c r="A7182" s="5"/>
      <c r="B7182" s="7"/>
      <c r="C7182" s="7"/>
      <c r="D7182" s="7"/>
      <c r="E7182" s="5"/>
      <c r="F7182" s="5"/>
      <c r="G7182" s="9"/>
      <c r="H7182" s="9"/>
      <c r="I7182" s="9"/>
    </row>
    <row r="7183" ht="14.25">
      <c r="A7183" s="5"/>
      <c r="B7183" s="7"/>
      <c r="C7183" s="7"/>
      <c r="D7183" s="7"/>
      <c r="E7183" s="5"/>
      <c r="F7183" s="5"/>
      <c r="G7183" s="9"/>
      <c r="H7183" s="9"/>
      <c r="I7183" s="9"/>
    </row>
    <row r="7184" ht="14.25">
      <c r="A7184" s="5"/>
      <c r="B7184" s="7"/>
      <c r="C7184" s="7"/>
      <c r="D7184" s="7"/>
      <c r="E7184" s="5"/>
      <c r="F7184" s="5"/>
      <c r="G7184" s="9"/>
      <c r="H7184" s="9"/>
      <c r="I7184" s="9"/>
    </row>
    <row r="7185" ht="14.25">
      <c r="A7185" s="5"/>
      <c r="B7185" s="7"/>
      <c r="C7185" s="7"/>
      <c r="D7185" s="7"/>
      <c r="E7185" s="5"/>
      <c r="F7185" s="5"/>
      <c r="G7185" s="9"/>
      <c r="H7185" s="9"/>
      <c r="I7185" s="9"/>
    </row>
    <row r="7186" ht="14.25">
      <c r="A7186" s="5"/>
      <c r="B7186" s="7"/>
      <c r="C7186" s="7"/>
      <c r="D7186" s="7"/>
      <c r="E7186" s="5"/>
      <c r="F7186" s="5"/>
      <c r="G7186" s="9"/>
      <c r="H7186" s="9"/>
      <c r="I7186" s="9"/>
    </row>
    <row r="7187" ht="14.25">
      <c r="A7187" s="5"/>
      <c r="B7187" s="7"/>
      <c r="C7187" s="7"/>
      <c r="D7187" s="7"/>
      <c r="E7187" s="5"/>
      <c r="F7187" s="5"/>
      <c r="G7187" s="9"/>
      <c r="H7187" s="9"/>
      <c r="I7187" s="9"/>
    </row>
    <row r="7188" ht="14.25">
      <c r="A7188" s="5"/>
      <c r="B7188" s="7"/>
      <c r="C7188" s="7"/>
      <c r="D7188" s="7"/>
      <c r="E7188" s="5"/>
      <c r="F7188" s="5"/>
      <c r="G7188" s="9"/>
      <c r="H7188" s="9"/>
      <c r="I7188" s="9"/>
    </row>
    <row r="7189" ht="14.25">
      <c r="A7189" s="5"/>
      <c r="B7189" s="7"/>
      <c r="C7189" s="7"/>
      <c r="D7189" s="7"/>
      <c r="E7189" s="5"/>
      <c r="F7189" s="5"/>
      <c r="G7189" s="9"/>
      <c r="H7189" s="9"/>
      <c r="I7189" s="9"/>
    </row>
    <row r="7190" ht="14.25">
      <c r="A7190" s="5"/>
      <c r="B7190" s="7"/>
      <c r="C7190" s="7"/>
      <c r="D7190" s="7"/>
      <c r="E7190" s="5"/>
      <c r="F7190" s="5"/>
      <c r="G7190" s="9"/>
      <c r="H7190" s="9"/>
      <c r="I7190" s="9"/>
    </row>
    <row r="7191" ht="14.25">
      <c r="A7191" s="5"/>
      <c r="B7191" s="7"/>
      <c r="C7191" s="7"/>
      <c r="D7191" s="7"/>
      <c r="E7191" s="5"/>
      <c r="F7191" s="5"/>
      <c r="G7191" s="9"/>
      <c r="H7191" s="9"/>
      <c r="I7191" s="9"/>
    </row>
    <row r="7192" ht="14.25">
      <c r="A7192" s="5"/>
      <c r="B7192" s="7"/>
      <c r="C7192" s="7"/>
      <c r="D7192" s="7"/>
      <c r="E7192" s="5"/>
      <c r="F7192" s="5"/>
      <c r="G7192" s="9"/>
      <c r="H7192" s="9"/>
      <c r="I7192" s="9"/>
    </row>
    <row r="7193" ht="14.25">
      <c r="A7193" s="5"/>
      <c r="B7193" s="7"/>
      <c r="C7193" s="7"/>
      <c r="D7193" s="7"/>
      <c r="E7193" s="5"/>
      <c r="F7193" s="5"/>
      <c r="G7193" s="9"/>
      <c r="H7193" s="9"/>
      <c r="I7193" s="9"/>
    </row>
    <row r="7194" ht="14.25">
      <c r="A7194" s="5"/>
      <c r="B7194" s="7"/>
      <c r="C7194" s="7"/>
      <c r="D7194" s="7"/>
      <c r="E7194" s="5"/>
      <c r="F7194" s="5"/>
      <c r="G7194" s="9"/>
      <c r="H7194" s="9"/>
      <c r="I7194" s="9"/>
    </row>
    <row r="7195" ht="14.25">
      <c r="A7195" s="5"/>
      <c r="B7195" s="7"/>
      <c r="C7195" s="7"/>
      <c r="D7195" s="7"/>
      <c r="E7195" s="5"/>
      <c r="F7195" s="5"/>
      <c r="G7195" s="9"/>
      <c r="H7195" s="9"/>
      <c r="I7195" s="9"/>
    </row>
    <row r="7196" ht="14.25">
      <c r="A7196" s="5"/>
      <c r="B7196" s="7"/>
      <c r="C7196" s="7"/>
      <c r="D7196" s="7"/>
      <c r="E7196" s="5"/>
      <c r="F7196" s="5"/>
      <c r="G7196" s="9"/>
      <c r="H7196" s="9"/>
      <c r="I7196" s="9"/>
    </row>
    <row r="7197" ht="14.25">
      <c r="A7197" s="5"/>
      <c r="B7197" s="7"/>
      <c r="C7197" s="7"/>
      <c r="D7197" s="7"/>
      <c r="E7197" s="5"/>
      <c r="F7197" s="5"/>
      <c r="G7197" s="9"/>
      <c r="H7197" s="9"/>
      <c r="I7197" s="9"/>
    </row>
    <row r="7198" ht="14.25">
      <c r="A7198" s="5"/>
      <c r="B7198" s="7"/>
      <c r="C7198" s="7"/>
      <c r="D7198" s="7"/>
      <c r="E7198" s="5"/>
      <c r="F7198" s="5"/>
      <c r="G7198" s="9"/>
      <c r="H7198" s="9"/>
      <c r="I7198" s="9"/>
    </row>
    <row r="7199" ht="14.25">
      <c r="A7199" s="5"/>
      <c r="B7199" s="7"/>
      <c r="C7199" s="7"/>
      <c r="D7199" s="7"/>
      <c r="E7199" s="5"/>
      <c r="F7199" s="5"/>
      <c r="G7199" s="9"/>
      <c r="H7199" s="9"/>
      <c r="I7199" s="9"/>
    </row>
    <row r="7200" ht="14.25">
      <c r="A7200" s="5"/>
      <c r="B7200" s="7"/>
      <c r="C7200" s="7"/>
      <c r="D7200" s="7"/>
      <c r="E7200" s="5"/>
      <c r="F7200" s="5"/>
      <c r="G7200" s="9"/>
      <c r="H7200" s="9"/>
      <c r="I7200" s="9"/>
    </row>
    <row r="7201" ht="14.25">
      <c r="A7201" s="5"/>
      <c r="B7201" s="7"/>
      <c r="C7201" s="7"/>
      <c r="D7201" s="7"/>
      <c r="E7201" s="5"/>
      <c r="F7201" s="5"/>
      <c r="G7201" s="9"/>
      <c r="H7201" s="9"/>
      <c r="I7201" s="9"/>
    </row>
    <row r="7202" ht="14.25">
      <c r="A7202" s="5"/>
      <c r="B7202" s="7"/>
      <c r="C7202" s="7"/>
      <c r="D7202" s="7"/>
      <c r="E7202" s="5"/>
      <c r="F7202" s="5"/>
      <c r="G7202" s="9"/>
      <c r="H7202" s="9"/>
      <c r="I7202" s="9"/>
    </row>
    <row r="7203" ht="14.25">
      <c r="A7203" s="5"/>
      <c r="B7203" s="7"/>
      <c r="C7203" s="7"/>
      <c r="D7203" s="7"/>
      <c r="E7203" s="5"/>
      <c r="F7203" s="5"/>
      <c r="G7203" s="9"/>
      <c r="H7203" s="9"/>
      <c r="I7203" s="9"/>
    </row>
    <row r="7204" ht="14.25">
      <c r="A7204" s="5"/>
      <c r="B7204" s="7"/>
      <c r="C7204" s="7"/>
      <c r="D7204" s="7"/>
      <c r="E7204" s="5"/>
      <c r="F7204" s="5"/>
      <c r="G7204" s="9"/>
      <c r="H7204" s="9"/>
      <c r="I7204" s="9"/>
    </row>
    <row r="7205" ht="14.25">
      <c r="A7205" s="5"/>
      <c r="B7205" s="7"/>
      <c r="C7205" s="7"/>
      <c r="D7205" s="7"/>
      <c r="E7205" s="5"/>
      <c r="F7205" s="5"/>
      <c r="G7205" s="9"/>
      <c r="H7205" s="9"/>
      <c r="I7205" s="9"/>
    </row>
    <row r="7206" ht="14.25">
      <c r="A7206" s="5"/>
      <c r="B7206" s="7"/>
      <c r="C7206" s="7"/>
      <c r="D7206" s="7"/>
      <c r="E7206" s="5"/>
      <c r="F7206" s="5"/>
      <c r="G7206" s="9"/>
      <c r="H7206" s="9"/>
      <c r="I7206" s="9"/>
    </row>
    <row r="7207" ht="14.25">
      <c r="A7207" s="5"/>
      <c r="B7207" s="7"/>
      <c r="C7207" s="7"/>
      <c r="D7207" s="7"/>
      <c r="E7207" s="5"/>
      <c r="F7207" s="5"/>
      <c r="G7207" s="9"/>
      <c r="H7207" s="9"/>
      <c r="I7207" s="9"/>
    </row>
    <row r="7208" ht="14.25">
      <c r="A7208" s="5"/>
      <c r="B7208" s="7"/>
      <c r="C7208" s="7"/>
      <c r="D7208" s="7"/>
      <c r="E7208" s="5"/>
      <c r="F7208" s="5"/>
      <c r="G7208" s="9"/>
      <c r="H7208" s="9"/>
      <c r="I7208" s="9"/>
    </row>
    <row r="7209" ht="14.25">
      <c r="A7209" s="5"/>
      <c r="B7209" s="7"/>
      <c r="C7209" s="7"/>
      <c r="D7209" s="7"/>
      <c r="E7209" s="5"/>
      <c r="F7209" s="5"/>
      <c r="G7209" s="9"/>
      <c r="H7209" s="9"/>
      <c r="I7209" s="9"/>
    </row>
    <row r="7210" ht="14.25">
      <c r="A7210" s="5"/>
      <c r="B7210" s="7"/>
      <c r="C7210" s="7"/>
      <c r="D7210" s="7"/>
      <c r="E7210" s="5"/>
      <c r="F7210" s="5"/>
      <c r="G7210" s="9"/>
      <c r="H7210" s="9"/>
      <c r="I7210" s="9"/>
    </row>
    <row r="7211" ht="14.25">
      <c r="A7211" s="5"/>
      <c r="B7211" s="7"/>
      <c r="C7211" s="7"/>
      <c r="D7211" s="7"/>
      <c r="E7211" s="5"/>
      <c r="F7211" s="5"/>
      <c r="G7211" s="9"/>
      <c r="H7211" s="9"/>
      <c r="I7211" s="9"/>
    </row>
    <row r="7212" ht="14.25">
      <c r="A7212" s="5"/>
      <c r="B7212" s="7"/>
      <c r="C7212" s="7"/>
      <c r="D7212" s="7"/>
      <c r="E7212" s="5"/>
      <c r="F7212" s="5"/>
      <c r="G7212" s="9"/>
      <c r="H7212" s="9"/>
      <c r="I7212" s="9"/>
    </row>
    <row r="7213" ht="14.25">
      <c r="A7213" s="5"/>
      <c r="B7213" s="7"/>
      <c r="C7213" s="7"/>
      <c r="D7213" s="7"/>
      <c r="E7213" s="5"/>
      <c r="F7213" s="5"/>
      <c r="G7213" s="9"/>
      <c r="H7213" s="9"/>
      <c r="I7213" s="9"/>
    </row>
    <row r="7214" ht="14.25">
      <c r="A7214" s="5"/>
      <c r="B7214" s="7"/>
      <c r="C7214" s="7"/>
      <c r="D7214" s="7"/>
      <c r="E7214" s="5"/>
      <c r="F7214" s="5"/>
      <c r="G7214" s="9"/>
      <c r="H7214" s="9"/>
      <c r="I7214" s="9"/>
    </row>
    <row r="7215" ht="14.25">
      <c r="A7215" s="5"/>
      <c r="B7215" s="7"/>
      <c r="C7215" s="7"/>
      <c r="D7215" s="7"/>
      <c r="E7215" s="5"/>
      <c r="F7215" s="5"/>
      <c r="G7215" s="9"/>
      <c r="H7215" s="9"/>
      <c r="I7215" s="9"/>
    </row>
    <row r="7216" ht="14.25">
      <c r="A7216" s="5"/>
      <c r="B7216" s="7"/>
      <c r="C7216" s="7"/>
      <c r="D7216" s="7"/>
      <c r="E7216" s="5"/>
      <c r="F7216" s="5"/>
      <c r="G7216" s="9"/>
      <c r="H7216" s="9"/>
      <c r="I7216" s="9"/>
    </row>
    <row r="7217" ht="14.25">
      <c r="A7217" s="5"/>
      <c r="B7217" s="7"/>
      <c r="C7217" s="7"/>
      <c r="D7217" s="7"/>
      <c r="E7217" s="5"/>
      <c r="F7217" s="5"/>
      <c r="G7217" s="9"/>
      <c r="H7217" s="9"/>
      <c r="I7217" s="9"/>
    </row>
    <row r="7218" ht="14.25">
      <c r="A7218" s="5"/>
      <c r="B7218" s="7"/>
      <c r="C7218" s="7"/>
      <c r="D7218" s="7"/>
      <c r="E7218" s="5"/>
      <c r="F7218" s="5"/>
      <c r="G7218" s="9"/>
      <c r="H7218" s="9"/>
      <c r="I7218" s="9"/>
    </row>
    <row r="7219" ht="14.25">
      <c r="A7219" s="5"/>
      <c r="B7219" s="7"/>
      <c r="C7219" s="7"/>
      <c r="D7219" s="7"/>
      <c r="E7219" s="5"/>
      <c r="F7219" s="5"/>
      <c r="G7219" s="9"/>
      <c r="H7219" s="9"/>
      <c r="I7219" s="9"/>
    </row>
    <row r="7220" ht="14.25">
      <c r="A7220" s="5"/>
      <c r="B7220" s="7"/>
      <c r="C7220" s="7"/>
      <c r="D7220" s="7"/>
      <c r="E7220" s="5"/>
      <c r="F7220" s="5"/>
      <c r="G7220" s="9"/>
      <c r="H7220" s="9"/>
      <c r="I7220" s="9"/>
    </row>
    <row r="7221" ht="14.25">
      <c r="A7221" s="5"/>
      <c r="B7221" s="7"/>
      <c r="C7221" s="7"/>
      <c r="D7221" s="7"/>
      <c r="E7221" s="5"/>
      <c r="F7221" s="5"/>
      <c r="G7221" s="9"/>
      <c r="H7221" s="9"/>
      <c r="I7221" s="9"/>
    </row>
    <row r="7222" ht="14.25">
      <c r="A7222" s="5"/>
      <c r="B7222" s="7"/>
      <c r="C7222" s="7"/>
      <c r="D7222" s="7"/>
      <c r="E7222" s="5"/>
      <c r="F7222" s="5"/>
      <c r="G7222" s="9"/>
      <c r="H7222" s="9"/>
      <c r="I7222" s="9"/>
    </row>
    <row r="7223" ht="14.25">
      <c r="A7223" s="5"/>
      <c r="B7223" s="7"/>
      <c r="C7223" s="7"/>
      <c r="D7223" s="7"/>
      <c r="E7223" s="5"/>
      <c r="F7223" s="5"/>
      <c r="G7223" s="9"/>
      <c r="H7223" s="9"/>
      <c r="I7223" s="9"/>
    </row>
    <row r="7224" ht="14.25">
      <c r="A7224" s="5"/>
      <c r="B7224" s="7"/>
      <c r="C7224" s="7"/>
      <c r="D7224" s="7"/>
      <c r="E7224" s="5"/>
      <c r="F7224" s="5"/>
      <c r="G7224" s="9"/>
      <c r="H7224" s="9"/>
      <c r="I7224" s="9"/>
    </row>
    <row r="7225" ht="14.25">
      <c r="A7225" s="5"/>
      <c r="B7225" s="7"/>
      <c r="C7225" s="7"/>
      <c r="D7225" s="7"/>
      <c r="E7225" s="5"/>
      <c r="F7225" s="5"/>
      <c r="G7225" s="9"/>
      <c r="H7225" s="9"/>
      <c r="I7225" s="9"/>
    </row>
    <row r="7226" ht="14.25">
      <c r="A7226" s="5"/>
      <c r="B7226" s="7"/>
      <c r="C7226" s="7"/>
      <c r="D7226" s="7"/>
      <c r="E7226" s="5"/>
      <c r="F7226" s="5"/>
      <c r="G7226" s="9"/>
      <c r="H7226" s="9"/>
      <c r="I7226" s="9"/>
    </row>
    <row r="7227" ht="14.25">
      <c r="A7227" s="5"/>
      <c r="B7227" s="7"/>
      <c r="C7227" s="7"/>
      <c r="D7227" s="7"/>
      <c r="E7227" s="5"/>
      <c r="F7227" s="5"/>
      <c r="G7227" s="9"/>
      <c r="H7227" s="9"/>
      <c r="I7227" s="9"/>
    </row>
    <row r="7228" ht="14.25">
      <c r="A7228" s="5"/>
      <c r="B7228" s="7"/>
      <c r="C7228" s="7"/>
      <c r="D7228" s="7"/>
      <c r="E7228" s="5"/>
      <c r="F7228" s="5"/>
      <c r="G7228" s="9"/>
      <c r="H7228" s="9"/>
      <c r="I7228" s="9"/>
    </row>
    <row r="7229" ht="14.25">
      <c r="A7229" s="5"/>
      <c r="B7229" s="7"/>
      <c r="C7229" s="7"/>
      <c r="D7229" s="7"/>
      <c r="E7229" s="5"/>
      <c r="F7229" s="5"/>
      <c r="G7229" s="9"/>
      <c r="H7229" s="9"/>
      <c r="I7229" s="9"/>
    </row>
    <row r="7230" ht="14.25">
      <c r="A7230" s="5"/>
      <c r="B7230" s="7"/>
      <c r="C7230" s="7"/>
      <c r="D7230" s="7"/>
      <c r="E7230" s="5"/>
      <c r="F7230" s="5"/>
      <c r="G7230" s="9"/>
      <c r="H7230" s="9"/>
      <c r="I7230" s="9"/>
    </row>
    <row r="7231" ht="14.25">
      <c r="A7231" s="5"/>
      <c r="B7231" s="7"/>
      <c r="C7231" s="7"/>
      <c r="D7231" s="7"/>
      <c r="E7231" s="5"/>
      <c r="F7231" s="5"/>
      <c r="G7231" s="9"/>
      <c r="H7231" s="9"/>
      <c r="I7231" s="9"/>
    </row>
    <row r="7232" ht="14.25">
      <c r="A7232" s="5"/>
      <c r="B7232" s="7"/>
      <c r="C7232" s="7"/>
      <c r="D7232" s="7"/>
      <c r="E7232" s="5"/>
      <c r="F7232" s="5"/>
      <c r="G7232" s="9"/>
      <c r="H7232" s="9"/>
      <c r="I7232" s="9"/>
    </row>
    <row r="7233" ht="14.25">
      <c r="A7233" s="5"/>
      <c r="B7233" s="7"/>
      <c r="C7233" s="7"/>
      <c r="D7233" s="7"/>
      <c r="E7233" s="5"/>
      <c r="F7233" s="5"/>
      <c r="G7233" s="9"/>
      <c r="H7233" s="9"/>
      <c r="I7233" s="9"/>
    </row>
    <row r="7234" ht="14.25">
      <c r="A7234" s="5"/>
      <c r="B7234" s="7"/>
      <c r="C7234" s="7"/>
      <c r="D7234" s="7"/>
      <c r="E7234" s="5"/>
      <c r="F7234" s="5"/>
      <c r="G7234" s="9"/>
      <c r="H7234" s="9"/>
      <c r="I7234" s="9"/>
    </row>
    <row r="7235" ht="14.25">
      <c r="A7235" s="5"/>
      <c r="B7235" s="7"/>
      <c r="C7235" s="7"/>
      <c r="D7235" s="7"/>
      <c r="E7235" s="5"/>
      <c r="F7235" s="5"/>
      <c r="G7235" s="9"/>
      <c r="H7235" s="9"/>
      <c r="I7235" s="9"/>
    </row>
    <row r="7236" ht="14.25">
      <c r="A7236" s="5"/>
      <c r="B7236" s="7"/>
      <c r="C7236" s="7"/>
      <c r="D7236" s="7"/>
      <c r="E7236" s="5"/>
      <c r="F7236" s="5"/>
      <c r="G7236" s="9"/>
      <c r="H7236" s="9"/>
      <c r="I7236" s="9"/>
    </row>
    <row r="7237" ht="14.25">
      <c r="A7237" s="5"/>
      <c r="B7237" s="7"/>
      <c r="C7237" s="7"/>
      <c r="D7237" s="7"/>
      <c r="E7237" s="5"/>
      <c r="F7237" s="5"/>
      <c r="G7237" s="9"/>
      <c r="H7237" s="9"/>
      <c r="I7237" s="9"/>
    </row>
    <row r="7238" ht="14.25">
      <c r="A7238" s="5"/>
      <c r="B7238" s="7"/>
      <c r="C7238" s="7"/>
      <c r="D7238" s="7"/>
      <c r="E7238" s="5"/>
      <c r="F7238" s="5"/>
      <c r="G7238" s="9"/>
      <c r="H7238" s="9"/>
      <c r="I7238" s="9"/>
    </row>
    <row r="7239" ht="14.25">
      <c r="A7239" s="5"/>
      <c r="B7239" s="7"/>
      <c r="C7239" s="7"/>
      <c r="D7239" s="7"/>
      <c r="E7239" s="5"/>
      <c r="F7239" s="5"/>
      <c r="G7239" s="9"/>
      <c r="H7239" s="9"/>
      <c r="I7239" s="9"/>
    </row>
    <row r="7240" ht="14.25">
      <c r="A7240" s="5"/>
      <c r="B7240" s="7"/>
      <c r="C7240" s="7"/>
      <c r="D7240" s="7"/>
      <c r="E7240" s="5"/>
      <c r="F7240" s="5"/>
      <c r="G7240" s="9"/>
      <c r="H7240" s="9"/>
      <c r="I7240" s="9"/>
    </row>
    <row r="7241" ht="14.25">
      <c r="A7241" s="5"/>
      <c r="B7241" s="7"/>
      <c r="C7241" s="7"/>
      <c r="D7241" s="7"/>
      <c r="E7241" s="5"/>
      <c r="F7241" s="5"/>
      <c r="G7241" s="9"/>
      <c r="H7241" s="9"/>
      <c r="I7241" s="9"/>
    </row>
    <row r="7242" ht="14.25">
      <c r="A7242" s="5"/>
      <c r="B7242" s="7"/>
      <c r="C7242" s="7"/>
      <c r="D7242" s="7"/>
      <c r="E7242" s="5"/>
      <c r="F7242" s="5"/>
      <c r="G7242" s="9"/>
      <c r="H7242" s="9"/>
      <c r="I7242" s="9"/>
    </row>
    <row r="7243" ht="14.25">
      <c r="A7243" s="5"/>
      <c r="B7243" s="7"/>
      <c r="C7243" s="7"/>
      <c r="D7243" s="7"/>
      <c r="E7243" s="5"/>
      <c r="F7243" s="5"/>
      <c r="G7243" s="9"/>
      <c r="H7243" s="9"/>
      <c r="I7243" s="9"/>
    </row>
    <row r="7244" ht="14.25">
      <c r="A7244" s="5"/>
      <c r="B7244" s="7"/>
      <c r="C7244" s="7"/>
      <c r="D7244" s="7"/>
      <c r="E7244" s="5"/>
      <c r="F7244" s="5"/>
      <c r="G7244" s="9"/>
      <c r="H7244" s="9"/>
      <c r="I7244" s="9"/>
    </row>
    <row r="7245" ht="14.25">
      <c r="A7245" s="5"/>
      <c r="B7245" s="7"/>
      <c r="C7245" s="7"/>
      <c r="D7245" s="7"/>
      <c r="E7245" s="5"/>
      <c r="F7245" s="5"/>
      <c r="G7245" s="9"/>
      <c r="H7245" s="9"/>
      <c r="I7245" s="9"/>
    </row>
    <row r="7246" ht="14.25">
      <c r="A7246" s="5"/>
      <c r="B7246" s="7"/>
      <c r="C7246" s="7"/>
      <c r="D7246" s="7"/>
      <c r="E7246" s="5"/>
      <c r="F7246" s="5"/>
      <c r="G7246" s="9"/>
      <c r="H7246" s="9"/>
      <c r="I7246" s="9"/>
    </row>
    <row r="7247" ht="14.25">
      <c r="A7247" s="5"/>
      <c r="B7247" s="7"/>
      <c r="C7247" s="7"/>
      <c r="D7247" s="7"/>
      <c r="E7247" s="5"/>
      <c r="F7247" s="5"/>
      <c r="G7247" s="9"/>
      <c r="H7247" s="9"/>
      <c r="I7247" s="9"/>
    </row>
    <row r="7248" ht="14.25">
      <c r="A7248" s="5"/>
      <c r="B7248" s="7"/>
      <c r="C7248" s="7"/>
      <c r="D7248" s="7"/>
      <c r="E7248" s="5"/>
      <c r="F7248" s="5"/>
      <c r="G7248" s="9"/>
      <c r="H7248" s="9"/>
      <c r="I7248" s="9"/>
    </row>
    <row r="7249" ht="14.25">
      <c r="A7249" s="5"/>
      <c r="B7249" s="7"/>
      <c r="C7249" s="7"/>
      <c r="D7249" s="7"/>
      <c r="E7249" s="5"/>
      <c r="F7249" s="5"/>
      <c r="G7249" s="9"/>
      <c r="H7249" s="9"/>
      <c r="I7249" s="9"/>
    </row>
    <row r="7250" ht="14.25">
      <c r="A7250" s="5"/>
      <c r="B7250" s="7"/>
      <c r="C7250" s="7"/>
      <c r="D7250" s="7"/>
      <c r="E7250" s="5"/>
      <c r="F7250" s="5"/>
      <c r="G7250" s="9"/>
      <c r="H7250" s="9"/>
      <c r="I7250" s="9"/>
    </row>
    <row r="7251" ht="14.25">
      <c r="A7251" s="5"/>
      <c r="B7251" s="7"/>
      <c r="C7251" s="7"/>
      <c r="D7251" s="7"/>
      <c r="E7251" s="5"/>
      <c r="F7251" s="5"/>
      <c r="G7251" s="9"/>
      <c r="H7251" s="9"/>
      <c r="I7251" s="9"/>
    </row>
    <row r="7252" ht="14.25">
      <c r="A7252" s="5"/>
      <c r="B7252" s="7"/>
      <c r="C7252" s="7"/>
      <c r="D7252" s="7"/>
      <c r="E7252" s="5"/>
      <c r="F7252" s="5"/>
      <c r="G7252" s="9"/>
      <c r="H7252" s="9"/>
      <c r="I7252" s="9"/>
    </row>
    <row r="7253" ht="14.25">
      <c r="A7253" s="5"/>
      <c r="B7253" s="7"/>
      <c r="C7253" s="7"/>
      <c r="D7253" s="7"/>
      <c r="E7253" s="5"/>
      <c r="F7253" s="5"/>
      <c r="G7253" s="9"/>
      <c r="H7253" s="9"/>
      <c r="I7253" s="9"/>
    </row>
    <row r="7254" ht="14.25">
      <c r="A7254" s="5"/>
      <c r="B7254" s="7"/>
      <c r="C7254" s="7"/>
      <c r="D7254" s="7"/>
      <c r="E7254" s="5"/>
      <c r="F7254" s="5"/>
      <c r="G7254" s="9"/>
      <c r="H7254" s="9"/>
      <c r="I7254" s="9"/>
    </row>
    <row r="7255" ht="14.25">
      <c r="A7255" s="5"/>
      <c r="B7255" s="7"/>
      <c r="C7255" s="7"/>
      <c r="D7255" s="7"/>
      <c r="E7255" s="5"/>
      <c r="F7255" s="5"/>
      <c r="G7255" s="9"/>
      <c r="H7255" s="9"/>
      <c r="I7255" s="9"/>
    </row>
    <row r="7256" ht="14.25">
      <c r="A7256" s="5"/>
      <c r="B7256" s="7"/>
      <c r="C7256" s="7"/>
      <c r="D7256" s="7"/>
      <c r="E7256" s="5"/>
      <c r="F7256" s="5"/>
      <c r="G7256" s="9"/>
      <c r="H7256" s="9"/>
      <c r="I7256" s="9"/>
    </row>
    <row r="7257" ht="14.25">
      <c r="A7257" s="5"/>
      <c r="B7257" s="7"/>
      <c r="C7257" s="7"/>
      <c r="D7257" s="7"/>
      <c r="E7257" s="5"/>
      <c r="F7257" s="5"/>
      <c r="G7257" s="9"/>
      <c r="H7257" s="9"/>
      <c r="I7257" s="9"/>
    </row>
    <row r="7258" ht="14.25">
      <c r="A7258" s="5"/>
      <c r="B7258" s="7"/>
      <c r="C7258" s="7"/>
      <c r="D7258" s="7"/>
      <c r="E7258" s="5"/>
      <c r="F7258" s="5"/>
      <c r="G7258" s="9"/>
      <c r="H7258" s="9"/>
      <c r="I7258" s="9"/>
    </row>
    <row r="7259" ht="14.25">
      <c r="A7259" s="5"/>
      <c r="B7259" s="7"/>
      <c r="C7259" s="7"/>
      <c r="D7259" s="7"/>
      <c r="E7259" s="5"/>
      <c r="F7259" s="5"/>
      <c r="G7259" s="9"/>
      <c r="H7259" s="9"/>
      <c r="I7259" s="9"/>
    </row>
    <row r="7260" ht="14.25">
      <c r="A7260" s="5"/>
      <c r="B7260" s="7"/>
      <c r="C7260" s="7"/>
      <c r="D7260" s="7"/>
      <c r="E7260" s="5"/>
      <c r="F7260" s="5"/>
      <c r="G7260" s="9"/>
      <c r="H7260" s="9"/>
      <c r="I7260" s="9"/>
    </row>
    <row r="7261" ht="14.25">
      <c r="A7261" s="5"/>
      <c r="B7261" s="7"/>
      <c r="C7261" s="7"/>
      <c r="D7261" s="7"/>
      <c r="E7261" s="5"/>
      <c r="F7261" s="5"/>
      <c r="G7261" s="9"/>
      <c r="H7261" s="9"/>
      <c r="I7261" s="9"/>
    </row>
    <row r="7262" ht="14.25">
      <c r="A7262" s="5"/>
      <c r="B7262" s="7"/>
      <c r="C7262" s="7"/>
      <c r="D7262" s="7"/>
      <c r="E7262" s="5"/>
      <c r="F7262" s="5"/>
      <c r="G7262" s="9"/>
      <c r="H7262" s="9"/>
      <c r="I7262" s="9"/>
    </row>
    <row r="7263" ht="14.25">
      <c r="A7263" s="5"/>
      <c r="B7263" s="7"/>
      <c r="C7263" s="7"/>
      <c r="D7263" s="7"/>
      <c r="E7263" s="5"/>
      <c r="F7263" s="5"/>
      <c r="G7263" s="9"/>
      <c r="H7263" s="9"/>
      <c r="I7263" s="9"/>
    </row>
    <row r="7264" ht="14.25">
      <c r="A7264" s="5"/>
      <c r="B7264" s="7"/>
      <c r="C7264" s="7"/>
      <c r="D7264" s="7"/>
      <c r="E7264" s="5"/>
      <c r="F7264" s="5"/>
      <c r="G7264" s="9"/>
      <c r="H7264" s="9"/>
      <c r="I7264" s="9"/>
    </row>
    <row r="7265" ht="14.25">
      <c r="A7265" s="5"/>
      <c r="B7265" s="7"/>
      <c r="C7265" s="7"/>
      <c r="D7265" s="7"/>
      <c r="E7265" s="5"/>
      <c r="F7265" s="5"/>
      <c r="G7265" s="9"/>
      <c r="H7265" s="9"/>
      <c r="I7265" s="9"/>
    </row>
    <row r="7266" ht="14.25">
      <c r="A7266" s="5"/>
      <c r="B7266" s="7"/>
      <c r="C7266" s="7"/>
      <c r="D7266" s="7"/>
      <c r="E7266" s="5"/>
      <c r="F7266" s="5"/>
      <c r="G7266" s="9"/>
      <c r="H7266" s="9"/>
      <c r="I7266" s="9"/>
    </row>
    <row r="7267" ht="14.25">
      <c r="A7267" s="5"/>
      <c r="B7267" s="7"/>
      <c r="C7267" s="7"/>
      <c r="D7267" s="7"/>
      <c r="E7267" s="5"/>
      <c r="F7267" s="5"/>
      <c r="G7267" s="9"/>
      <c r="H7267" s="9"/>
      <c r="I7267" s="9"/>
    </row>
    <row r="7268" ht="14.25">
      <c r="A7268" s="5"/>
      <c r="B7268" s="7"/>
      <c r="C7268" s="7"/>
      <c r="D7268" s="7"/>
      <c r="E7268" s="5"/>
      <c r="F7268" s="5"/>
      <c r="G7268" s="9"/>
      <c r="H7268" s="9"/>
      <c r="I7268" s="9"/>
    </row>
    <row r="7269" ht="14.25">
      <c r="A7269" s="5"/>
      <c r="B7269" s="7"/>
      <c r="C7269" s="7"/>
      <c r="D7269" s="7"/>
      <c r="E7269" s="5"/>
      <c r="F7269" s="5"/>
      <c r="G7269" s="9"/>
      <c r="H7269" s="9"/>
      <c r="I7269" s="9"/>
    </row>
    <row r="7270" ht="14.25">
      <c r="A7270" s="5"/>
      <c r="B7270" s="7"/>
      <c r="C7270" s="7"/>
      <c r="D7270" s="7"/>
      <c r="E7270" s="5"/>
      <c r="F7270" s="5"/>
      <c r="G7270" s="9"/>
      <c r="H7270" s="9"/>
      <c r="I7270" s="9"/>
    </row>
    <row r="7271" ht="14.25">
      <c r="A7271" s="5"/>
      <c r="B7271" s="7"/>
      <c r="C7271" s="7"/>
      <c r="D7271" s="7"/>
      <c r="E7271" s="5"/>
      <c r="F7271" s="5"/>
      <c r="G7271" s="9"/>
      <c r="H7271" s="9"/>
      <c r="I7271" s="9"/>
    </row>
    <row r="7272" ht="14.25">
      <c r="A7272" s="5"/>
      <c r="B7272" s="7"/>
      <c r="C7272" s="7"/>
      <c r="D7272" s="7"/>
      <c r="E7272" s="5"/>
      <c r="F7272" s="5"/>
      <c r="G7272" s="9"/>
      <c r="H7272" s="9"/>
      <c r="I7272" s="9"/>
    </row>
    <row r="7273" ht="14.25">
      <c r="A7273" s="5"/>
      <c r="B7273" s="7"/>
      <c r="C7273" s="7"/>
      <c r="D7273" s="7"/>
      <c r="E7273" s="5"/>
      <c r="F7273" s="5"/>
      <c r="G7273" s="9"/>
      <c r="H7273" s="9"/>
      <c r="I7273" s="9"/>
    </row>
    <row r="7274" ht="14.25">
      <c r="A7274" s="5"/>
      <c r="B7274" s="7"/>
      <c r="C7274" s="7"/>
      <c r="D7274" s="7"/>
      <c r="E7274" s="5"/>
      <c r="F7274" s="5"/>
      <c r="G7274" s="9"/>
      <c r="H7274" s="9"/>
      <c r="I7274" s="9"/>
    </row>
    <row r="7275" ht="14.25">
      <c r="A7275" s="5"/>
      <c r="B7275" s="7"/>
      <c r="C7275" s="7"/>
      <c r="D7275" s="7"/>
      <c r="E7275" s="5"/>
      <c r="F7275" s="5"/>
      <c r="G7275" s="9"/>
      <c r="H7275" s="9"/>
      <c r="I7275" s="9"/>
    </row>
    <row r="7276" ht="14.25">
      <c r="A7276" s="5"/>
      <c r="B7276" s="7"/>
      <c r="C7276" s="7"/>
      <c r="D7276" s="7"/>
      <c r="E7276" s="5"/>
      <c r="F7276" s="5"/>
      <c r="G7276" s="9"/>
      <c r="H7276" s="9"/>
      <c r="I7276" s="9"/>
    </row>
    <row r="7277" ht="14.25">
      <c r="A7277" s="5"/>
      <c r="B7277" s="7"/>
      <c r="C7277" s="7"/>
      <c r="D7277" s="7"/>
      <c r="E7277" s="5"/>
      <c r="F7277" s="5"/>
      <c r="G7277" s="9"/>
      <c r="H7277" s="9"/>
      <c r="I7277" s="9"/>
    </row>
    <row r="7278" ht="14.25">
      <c r="A7278" s="5"/>
      <c r="B7278" s="7"/>
      <c r="C7278" s="7"/>
      <c r="D7278" s="7"/>
      <c r="E7278" s="5"/>
      <c r="F7278" s="5"/>
      <c r="G7278" s="9"/>
      <c r="H7278" s="9"/>
      <c r="I7278" s="9"/>
    </row>
    <row r="7279" ht="14.25">
      <c r="A7279" s="5"/>
      <c r="B7279" s="7"/>
      <c r="C7279" s="7"/>
      <c r="D7279" s="7"/>
      <c r="E7279" s="5"/>
      <c r="F7279" s="5"/>
      <c r="G7279" s="9"/>
      <c r="H7279" s="9"/>
      <c r="I7279" s="9"/>
    </row>
    <row r="7280" ht="14.25">
      <c r="A7280" s="5"/>
      <c r="B7280" s="7"/>
      <c r="C7280" s="7"/>
      <c r="D7280" s="7"/>
      <c r="E7280" s="5"/>
      <c r="F7280" s="5"/>
      <c r="G7280" s="9"/>
      <c r="H7280" s="9"/>
      <c r="I7280" s="9"/>
    </row>
    <row r="7281" ht="14.25">
      <c r="A7281" s="5"/>
      <c r="B7281" s="7"/>
      <c r="C7281" s="7"/>
      <c r="D7281" s="7"/>
      <c r="E7281" s="5"/>
      <c r="F7281" s="5"/>
      <c r="G7281" s="9"/>
      <c r="H7281" s="9"/>
      <c r="I7281" s="9"/>
    </row>
    <row r="7282" ht="14.25">
      <c r="A7282" s="5"/>
      <c r="B7282" s="7"/>
      <c r="C7282" s="7"/>
      <c r="D7282" s="7"/>
      <c r="E7282" s="5"/>
      <c r="F7282" s="5"/>
      <c r="G7282" s="9"/>
      <c r="H7282" s="9"/>
      <c r="I7282" s="9"/>
    </row>
    <row r="7283" ht="14.25">
      <c r="A7283" s="5"/>
      <c r="B7283" s="7"/>
      <c r="C7283" s="7"/>
      <c r="D7283" s="7"/>
      <c r="E7283" s="5"/>
      <c r="F7283" s="5"/>
      <c r="G7283" s="9"/>
      <c r="H7283" s="9"/>
      <c r="I7283" s="9"/>
    </row>
    <row r="7284" ht="14.25">
      <c r="A7284" s="5"/>
      <c r="B7284" s="7"/>
      <c r="C7284" s="7"/>
      <c r="D7284" s="7"/>
      <c r="E7284" s="5"/>
      <c r="F7284" s="5"/>
      <c r="G7284" s="9"/>
      <c r="H7284" s="9"/>
      <c r="I7284" s="9"/>
    </row>
    <row r="7285" ht="14.25">
      <c r="A7285" s="5"/>
      <c r="B7285" s="7"/>
      <c r="C7285" s="7"/>
      <c r="D7285" s="7"/>
      <c r="E7285" s="5"/>
      <c r="F7285" s="5"/>
      <c r="G7285" s="9"/>
      <c r="H7285" s="9"/>
      <c r="I7285" s="9"/>
    </row>
    <row r="7286" ht="14.25">
      <c r="A7286" s="5"/>
      <c r="B7286" s="7"/>
      <c r="C7286" s="7"/>
      <c r="D7286" s="7"/>
      <c r="E7286" s="5"/>
      <c r="F7286" s="5"/>
      <c r="G7286" s="9"/>
      <c r="H7286" s="9"/>
      <c r="I7286" s="9"/>
    </row>
    <row r="7287" ht="14.25">
      <c r="A7287" s="5"/>
      <c r="B7287" s="7"/>
      <c r="C7287" s="7"/>
      <c r="D7287" s="7"/>
      <c r="E7287" s="5"/>
      <c r="F7287" s="5"/>
      <c r="G7287" s="9"/>
      <c r="H7287" s="9"/>
      <c r="I7287" s="9"/>
    </row>
    <row r="7288" ht="14.25">
      <c r="A7288" s="5"/>
      <c r="B7288" s="7"/>
      <c r="C7288" s="7"/>
      <c r="D7288" s="7"/>
      <c r="E7288" s="5"/>
      <c r="F7288" s="5"/>
      <c r="G7288" s="9"/>
      <c r="H7288" s="9"/>
      <c r="I7288" s="9"/>
    </row>
    <row r="7289" ht="14.25">
      <c r="A7289" s="5"/>
      <c r="B7289" s="7"/>
      <c r="C7289" s="7"/>
      <c r="D7289" s="7"/>
      <c r="E7289" s="5"/>
      <c r="F7289" s="5"/>
      <c r="G7289" s="9"/>
      <c r="H7289" s="9"/>
      <c r="I7289" s="9"/>
    </row>
    <row r="7290" ht="14.25">
      <c r="A7290" s="5"/>
      <c r="B7290" s="7"/>
      <c r="C7290" s="7"/>
      <c r="D7290" s="7"/>
      <c r="E7290" s="5"/>
      <c r="F7290" s="5"/>
      <c r="G7290" s="9"/>
      <c r="H7290" s="9"/>
      <c r="I7290" s="9"/>
    </row>
    <row r="7291" ht="14.25">
      <c r="A7291" s="5"/>
      <c r="B7291" s="7"/>
      <c r="C7291" s="7"/>
      <c r="D7291" s="7"/>
      <c r="E7291" s="5"/>
      <c r="F7291" s="5"/>
      <c r="G7291" s="9"/>
      <c r="H7291" s="9"/>
      <c r="I7291" s="9"/>
    </row>
    <row r="7292" ht="14.25">
      <c r="A7292" s="5"/>
      <c r="B7292" s="7"/>
      <c r="C7292" s="7"/>
      <c r="D7292" s="7"/>
      <c r="E7292" s="5"/>
      <c r="F7292" s="5"/>
      <c r="G7292" s="9"/>
      <c r="H7292" s="9"/>
      <c r="I7292" s="9"/>
    </row>
    <row r="7293" ht="14.25">
      <c r="A7293" s="5"/>
      <c r="B7293" s="7"/>
      <c r="C7293" s="7"/>
      <c r="D7293" s="7"/>
      <c r="E7293" s="5"/>
      <c r="F7293" s="5"/>
      <c r="G7293" s="9"/>
      <c r="H7293" s="9"/>
      <c r="I7293" s="9"/>
    </row>
    <row r="7294" ht="14.25">
      <c r="A7294" s="5"/>
      <c r="B7294" s="7"/>
      <c r="C7294" s="7"/>
      <c r="D7294" s="7"/>
      <c r="E7294" s="5"/>
      <c r="F7294" s="5"/>
      <c r="G7294" s="9"/>
      <c r="H7294" s="9"/>
      <c r="I7294" s="9"/>
    </row>
    <row r="7295" ht="14.25">
      <c r="A7295" s="5"/>
      <c r="B7295" s="7"/>
      <c r="C7295" s="7"/>
      <c r="D7295" s="7"/>
      <c r="E7295" s="5"/>
      <c r="F7295" s="5"/>
      <c r="G7295" s="9"/>
      <c r="H7295" s="9"/>
      <c r="I7295" s="9"/>
    </row>
    <row r="7296" ht="14.25">
      <c r="A7296" s="5"/>
      <c r="B7296" s="7"/>
      <c r="C7296" s="7"/>
      <c r="D7296" s="7"/>
      <c r="E7296" s="5"/>
      <c r="F7296" s="5"/>
      <c r="G7296" s="9"/>
      <c r="H7296" s="9"/>
      <c r="I7296" s="9"/>
    </row>
    <row r="7297" ht="14.25">
      <c r="A7297" s="5"/>
      <c r="B7297" s="7"/>
      <c r="C7297" s="7"/>
      <c r="D7297" s="7"/>
      <c r="E7297" s="5"/>
      <c r="F7297" s="5"/>
      <c r="G7297" s="9"/>
      <c r="H7297" s="9"/>
      <c r="I7297" s="9"/>
    </row>
    <row r="7298" ht="14.25">
      <c r="A7298" s="5"/>
      <c r="B7298" s="7"/>
      <c r="C7298" s="7"/>
      <c r="D7298" s="7"/>
      <c r="E7298" s="5"/>
      <c r="F7298" s="5"/>
      <c r="G7298" s="9"/>
      <c r="H7298" s="9"/>
      <c r="I7298" s="9"/>
    </row>
    <row r="7299" ht="14.25">
      <c r="A7299" s="5"/>
      <c r="B7299" s="7"/>
      <c r="C7299" s="7"/>
      <c r="D7299" s="7"/>
      <c r="E7299" s="5"/>
      <c r="F7299" s="5"/>
      <c r="G7299" s="9"/>
      <c r="H7299" s="9"/>
      <c r="I7299" s="9"/>
    </row>
    <row r="7300" ht="14.25">
      <c r="A7300" s="5"/>
      <c r="B7300" s="7"/>
      <c r="C7300" s="7"/>
      <c r="D7300" s="7"/>
      <c r="E7300" s="5"/>
      <c r="F7300" s="5"/>
      <c r="G7300" s="9"/>
      <c r="H7300" s="9"/>
      <c r="I7300" s="9"/>
    </row>
    <row r="7301" ht="14.25">
      <c r="A7301" s="5"/>
      <c r="B7301" s="7"/>
      <c r="C7301" s="7"/>
      <c r="D7301" s="7"/>
      <c r="E7301" s="5"/>
      <c r="F7301" s="5"/>
      <c r="G7301" s="9"/>
      <c r="H7301" s="9"/>
      <c r="I7301" s="9"/>
    </row>
    <row r="7302" ht="14.25">
      <c r="A7302" s="5"/>
      <c r="B7302" s="7"/>
      <c r="C7302" s="7"/>
      <c r="D7302" s="7"/>
      <c r="E7302" s="5"/>
      <c r="F7302" s="5"/>
      <c r="G7302" s="9"/>
      <c r="H7302" s="9"/>
      <c r="I7302" s="9"/>
    </row>
    <row r="7303" ht="14.25">
      <c r="A7303" s="5"/>
      <c r="B7303" s="7"/>
      <c r="C7303" s="7"/>
      <c r="D7303" s="7"/>
      <c r="E7303" s="5"/>
      <c r="F7303" s="5"/>
      <c r="G7303" s="9"/>
      <c r="H7303" s="9"/>
      <c r="I7303" s="9"/>
    </row>
    <row r="7304" ht="14.25">
      <c r="A7304" s="5"/>
      <c r="B7304" s="7"/>
      <c r="C7304" s="7"/>
      <c r="D7304" s="7"/>
      <c r="E7304" s="5"/>
      <c r="F7304" s="5"/>
      <c r="G7304" s="9"/>
      <c r="H7304" s="9"/>
      <c r="I7304" s="9"/>
    </row>
    <row r="7305" ht="14.25">
      <c r="A7305" s="5"/>
      <c r="B7305" s="7"/>
      <c r="C7305" s="7"/>
      <c r="D7305" s="7"/>
      <c r="E7305" s="5"/>
      <c r="F7305" s="5"/>
      <c r="G7305" s="9"/>
      <c r="H7305" s="9"/>
      <c r="I7305" s="9"/>
    </row>
    <row r="7306" ht="14.25">
      <c r="A7306" s="5"/>
      <c r="B7306" s="7"/>
      <c r="C7306" s="7"/>
      <c r="D7306" s="7"/>
      <c r="E7306" s="5"/>
      <c r="F7306" s="5"/>
      <c r="G7306" s="9"/>
      <c r="H7306" s="9"/>
      <c r="I7306" s="9"/>
    </row>
    <row r="7307" ht="14.25">
      <c r="A7307" s="5"/>
      <c r="B7307" s="7"/>
      <c r="C7307" s="7"/>
      <c r="D7307" s="7"/>
      <c r="E7307" s="5"/>
      <c r="F7307" s="5"/>
      <c r="G7307" s="9"/>
      <c r="H7307" s="9"/>
      <c r="I7307" s="9"/>
    </row>
    <row r="7308" ht="14.25">
      <c r="A7308" s="5"/>
      <c r="B7308" s="7"/>
      <c r="C7308" s="7"/>
      <c r="D7308" s="7"/>
      <c r="E7308" s="5"/>
      <c r="F7308" s="5"/>
      <c r="G7308" s="9"/>
      <c r="H7308" s="9"/>
      <c r="I7308" s="9"/>
    </row>
    <row r="7309" ht="14.25">
      <c r="A7309" s="5"/>
      <c r="B7309" s="7"/>
      <c r="C7309" s="7"/>
      <c r="D7309" s="7"/>
      <c r="E7309" s="5"/>
      <c r="F7309" s="5"/>
      <c r="G7309" s="9"/>
      <c r="H7309" s="9"/>
      <c r="I7309" s="9"/>
    </row>
    <row r="7310" ht="14.25">
      <c r="A7310" s="5"/>
      <c r="B7310" s="7"/>
      <c r="C7310" s="7"/>
      <c r="D7310" s="7"/>
      <c r="E7310" s="5"/>
      <c r="F7310" s="5"/>
      <c r="G7310" s="9"/>
      <c r="H7310" s="9"/>
      <c r="I7310" s="9"/>
    </row>
    <row r="7311" ht="14.25">
      <c r="A7311" s="5"/>
      <c r="B7311" s="7"/>
      <c r="C7311" s="7"/>
      <c r="D7311" s="7"/>
      <c r="E7311" s="5"/>
      <c r="F7311" s="5"/>
      <c r="G7311" s="9"/>
      <c r="H7311" s="9"/>
      <c r="I7311" s="9"/>
    </row>
    <row r="7312" ht="14.25">
      <c r="A7312" s="5"/>
      <c r="B7312" s="7"/>
      <c r="C7312" s="7"/>
      <c r="D7312" s="7"/>
      <c r="E7312" s="5"/>
      <c r="F7312" s="5"/>
      <c r="G7312" s="9"/>
      <c r="H7312" s="9"/>
      <c r="I7312" s="9"/>
    </row>
    <row r="7313" ht="14.25">
      <c r="A7313" s="5"/>
      <c r="B7313" s="7"/>
      <c r="C7313" s="7"/>
      <c r="D7313" s="7"/>
      <c r="E7313" s="5"/>
      <c r="F7313" s="5"/>
      <c r="G7313" s="9"/>
      <c r="H7313" s="9"/>
      <c r="I7313" s="9"/>
    </row>
    <row r="7314" ht="14.25">
      <c r="A7314" s="5"/>
      <c r="B7314" s="7"/>
      <c r="C7314" s="7"/>
      <c r="D7314" s="7"/>
      <c r="E7314" s="5"/>
      <c r="F7314" s="5"/>
      <c r="G7314" s="9"/>
      <c r="H7314" s="9"/>
      <c r="I7314" s="9"/>
    </row>
    <row r="7315" ht="14.25">
      <c r="A7315" s="5"/>
      <c r="B7315" s="7"/>
      <c r="C7315" s="7"/>
      <c r="D7315" s="7"/>
      <c r="E7315" s="5"/>
      <c r="F7315" s="5"/>
      <c r="G7315" s="9"/>
      <c r="H7315" s="9"/>
      <c r="I7315" s="9"/>
    </row>
    <row r="7316" ht="14.25">
      <c r="A7316" s="5"/>
      <c r="B7316" s="7"/>
      <c r="C7316" s="7"/>
      <c r="D7316" s="7"/>
      <c r="E7316" s="5"/>
      <c r="F7316" s="5"/>
      <c r="G7316" s="9"/>
      <c r="H7316" s="9"/>
      <c r="I7316" s="9"/>
    </row>
    <row r="7317" ht="14.25">
      <c r="A7317" s="5"/>
      <c r="B7317" s="7"/>
      <c r="C7317" s="7"/>
      <c r="D7317" s="7"/>
      <c r="E7317" s="5"/>
      <c r="F7317" s="5"/>
      <c r="G7317" s="9"/>
      <c r="H7317" s="9"/>
      <c r="I7317" s="9"/>
    </row>
    <row r="7318" ht="14.25">
      <c r="A7318" s="5"/>
      <c r="B7318" s="7"/>
      <c r="C7318" s="7"/>
      <c r="D7318" s="7"/>
      <c r="E7318" s="5"/>
      <c r="F7318" s="5"/>
      <c r="G7318" s="9"/>
      <c r="H7318" s="9"/>
      <c r="I7318" s="9"/>
    </row>
    <row r="7319" ht="14.25">
      <c r="A7319" s="5"/>
      <c r="B7319" s="7"/>
      <c r="C7319" s="7"/>
      <c r="D7319" s="7"/>
      <c r="E7319" s="5"/>
      <c r="F7319" s="5"/>
      <c r="G7319" s="9"/>
      <c r="H7319" s="9"/>
      <c r="I7319" s="9"/>
    </row>
    <row r="7320" ht="14.25">
      <c r="A7320" s="5"/>
      <c r="B7320" s="7"/>
      <c r="C7320" s="7"/>
      <c r="D7320" s="7"/>
      <c r="E7320" s="5"/>
      <c r="F7320" s="5"/>
      <c r="G7320" s="9"/>
      <c r="H7320" s="9"/>
      <c r="I7320" s="9"/>
    </row>
    <row r="7321" ht="14.25">
      <c r="A7321" s="5"/>
      <c r="B7321" s="7"/>
      <c r="C7321" s="7"/>
      <c r="D7321" s="7"/>
      <c r="E7321" s="5"/>
      <c r="F7321" s="5"/>
      <c r="G7321" s="9"/>
      <c r="H7321" s="9"/>
      <c r="I7321" s="9"/>
    </row>
    <row r="7322" ht="14.25">
      <c r="A7322" s="5"/>
      <c r="B7322" s="7"/>
      <c r="C7322" s="7"/>
      <c r="D7322" s="7"/>
      <c r="E7322" s="5"/>
      <c r="F7322" s="5"/>
      <c r="G7322" s="9"/>
      <c r="H7322" s="9"/>
      <c r="I7322" s="9"/>
    </row>
    <row r="7323" ht="14.25">
      <c r="A7323" s="5"/>
      <c r="B7323" s="7"/>
      <c r="C7323" s="7"/>
      <c r="D7323" s="7"/>
      <c r="E7323" s="5"/>
      <c r="F7323" s="5"/>
      <c r="G7323" s="9"/>
      <c r="H7323" s="9"/>
      <c r="I7323" s="9"/>
    </row>
    <row r="7324" ht="14.25">
      <c r="A7324" s="5"/>
      <c r="B7324" s="7"/>
      <c r="C7324" s="7"/>
      <c r="D7324" s="7"/>
      <c r="E7324" s="5"/>
      <c r="F7324" s="5"/>
      <c r="G7324" s="9"/>
      <c r="H7324" s="9"/>
      <c r="I7324" s="9"/>
    </row>
    <row r="7325" ht="14.25">
      <c r="A7325" s="5"/>
      <c r="B7325" s="7"/>
      <c r="C7325" s="7"/>
      <c r="D7325" s="7"/>
      <c r="E7325" s="5"/>
      <c r="F7325" s="5"/>
      <c r="G7325" s="9"/>
      <c r="H7325" s="9"/>
      <c r="I7325" s="9"/>
    </row>
    <row r="7326" ht="14.25">
      <c r="A7326" s="5"/>
      <c r="B7326" s="7"/>
      <c r="C7326" s="7"/>
      <c r="D7326" s="7"/>
      <c r="E7326" s="5"/>
      <c r="F7326" s="5"/>
      <c r="G7326" s="9"/>
      <c r="H7326" s="9"/>
      <c r="I7326" s="9"/>
    </row>
    <row r="7327" ht="14.25">
      <c r="A7327" s="5"/>
      <c r="B7327" s="7"/>
      <c r="C7327" s="7"/>
      <c r="D7327" s="7"/>
      <c r="E7327" s="5"/>
      <c r="F7327" s="5"/>
      <c r="G7327" s="9"/>
      <c r="H7327" s="9"/>
      <c r="I7327" s="9"/>
    </row>
    <row r="7328" ht="14.25">
      <c r="A7328" s="5"/>
      <c r="B7328" s="7"/>
      <c r="C7328" s="7"/>
      <c r="D7328" s="7"/>
      <c r="E7328" s="5"/>
      <c r="F7328" s="5"/>
      <c r="G7328" s="9"/>
      <c r="H7328" s="9"/>
      <c r="I7328" s="9"/>
    </row>
    <row r="7329" ht="14.25">
      <c r="A7329" s="5"/>
      <c r="B7329" s="7"/>
      <c r="C7329" s="7"/>
      <c r="D7329" s="7"/>
      <c r="E7329" s="5"/>
      <c r="F7329" s="5"/>
      <c r="G7329" s="9"/>
      <c r="H7329" s="9"/>
      <c r="I7329" s="9"/>
    </row>
    <row r="7330" ht="14.25">
      <c r="A7330" s="5"/>
      <c r="B7330" s="7"/>
      <c r="C7330" s="7"/>
      <c r="D7330" s="7"/>
      <c r="E7330" s="5"/>
      <c r="F7330" s="5"/>
      <c r="G7330" s="9"/>
      <c r="H7330" s="9"/>
      <c r="I7330" s="9"/>
    </row>
    <row r="7331" ht="14.25">
      <c r="A7331" s="5"/>
      <c r="B7331" s="7"/>
      <c r="C7331" s="7"/>
      <c r="D7331" s="7"/>
      <c r="E7331" s="5"/>
      <c r="F7331" s="5"/>
      <c r="G7331" s="9"/>
      <c r="H7331" s="9"/>
      <c r="I7331" s="9"/>
    </row>
    <row r="7332" ht="14.25">
      <c r="A7332" s="5"/>
      <c r="B7332" s="7"/>
      <c r="C7332" s="7"/>
      <c r="D7332" s="7"/>
      <c r="E7332" s="5"/>
      <c r="F7332" s="5"/>
      <c r="G7332" s="9"/>
      <c r="H7332" s="9"/>
      <c r="I7332" s="9"/>
    </row>
    <row r="7333" ht="14.25">
      <c r="A7333" s="5"/>
      <c r="B7333" s="7"/>
      <c r="C7333" s="7"/>
      <c r="D7333" s="7"/>
      <c r="E7333" s="5"/>
      <c r="F7333" s="5"/>
      <c r="G7333" s="9"/>
      <c r="H7333" s="9"/>
      <c r="I7333" s="9"/>
    </row>
    <row r="7334" ht="14.25">
      <c r="A7334" s="5"/>
      <c r="B7334" s="7"/>
      <c r="C7334" s="7"/>
      <c r="D7334" s="7"/>
      <c r="E7334" s="5"/>
      <c r="F7334" s="5"/>
      <c r="G7334" s="9"/>
      <c r="H7334" s="9"/>
      <c r="I7334" s="9"/>
    </row>
    <row r="7335" ht="14.25">
      <c r="A7335" s="5"/>
      <c r="B7335" s="7"/>
      <c r="C7335" s="7"/>
      <c r="D7335" s="7"/>
      <c r="E7335" s="5"/>
      <c r="F7335" s="5"/>
      <c r="G7335" s="9"/>
      <c r="H7335" s="9"/>
      <c r="I7335" s="9"/>
    </row>
    <row r="7336" ht="14.25">
      <c r="A7336" s="5"/>
      <c r="B7336" s="7"/>
      <c r="C7336" s="7"/>
      <c r="D7336" s="7"/>
      <c r="E7336" s="5"/>
      <c r="F7336" s="5"/>
      <c r="G7336" s="9"/>
      <c r="H7336" s="9"/>
      <c r="I7336" s="9"/>
    </row>
    <row r="7337" ht="14.25">
      <c r="A7337" s="5"/>
      <c r="B7337" s="7"/>
      <c r="C7337" s="7"/>
      <c r="D7337" s="7"/>
      <c r="E7337" s="5"/>
      <c r="F7337" s="5"/>
      <c r="G7337" s="9"/>
      <c r="H7337" s="9"/>
      <c r="I7337" s="9"/>
    </row>
    <row r="7338" ht="14.25">
      <c r="A7338" s="5"/>
      <c r="B7338" s="7"/>
      <c r="C7338" s="7"/>
      <c r="D7338" s="7"/>
      <c r="E7338" s="5"/>
      <c r="F7338" s="5"/>
      <c r="G7338" s="9"/>
      <c r="H7338" s="9"/>
      <c r="I7338" s="9"/>
    </row>
    <row r="7339" ht="14.25">
      <c r="A7339" s="5"/>
      <c r="B7339" s="7"/>
      <c r="C7339" s="7"/>
      <c r="D7339" s="7"/>
      <c r="E7339" s="5"/>
      <c r="F7339" s="5"/>
      <c r="G7339" s="9"/>
      <c r="H7339" s="9"/>
      <c r="I7339" s="9"/>
    </row>
    <row r="7340" ht="14.25">
      <c r="A7340" s="5"/>
      <c r="B7340" s="7"/>
      <c r="C7340" s="7"/>
      <c r="D7340" s="7"/>
      <c r="E7340" s="5"/>
      <c r="F7340" s="5"/>
      <c r="G7340" s="9"/>
      <c r="H7340" s="9"/>
      <c r="I7340" s="9"/>
    </row>
    <row r="7341" ht="14.25">
      <c r="A7341" s="5"/>
      <c r="B7341" s="7"/>
      <c r="C7341" s="7"/>
      <c r="D7341" s="7"/>
      <c r="E7341" s="5"/>
      <c r="F7341" s="5"/>
      <c r="G7341" s="9"/>
      <c r="H7341" s="9"/>
      <c r="I7341" s="9"/>
    </row>
    <row r="7342" ht="14.25">
      <c r="A7342" s="5"/>
      <c r="B7342" s="7"/>
      <c r="C7342" s="7"/>
      <c r="D7342" s="7"/>
      <c r="E7342" s="5"/>
      <c r="F7342" s="5"/>
      <c r="G7342" s="9"/>
      <c r="H7342" s="9"/>
      <c r="I7342" s="9"/>
    </row>
    <row r="7343" ht="14.25">
      <c r="A7343" s="5"/>
      <c r="B7343" s="7"/>
      <c r="C7343" s="7"/>
      <c r="D7343" s="7"/>
      <c r="E7343" s="5"/>
      <c r="F7343" s="5"/>
      <c r="G7343" s="9"/>
      <c r="H7343" s="9"/>
      <c r="I7343" s="9"/>
    </row>
    <row r="7344" ht="14.25">
      <c r="A7344" s="5"/>
      <c r="B7344" s="7"/>
      <c r="C7344" s="7"/>
      <c r="D7344" s="7"/>
      <c r="E7344" s="5"/>
      <c r="F7344" s="5"/>
      <c r="G7344" s="9"/>
      <c r="H7344" s="9"/>
      <c r="I7344" s="9"/>
    </row>
    <row r="7345" ht="14.25">
      <c r="A7345" s="5"/>
      <c r="B7345" s="7"/>
      <c r="C7345" s="7"/>
      <c r="D7345" s="7"/>
      <c r="E7345" s="5"/>
      <c r="F7345" s="5"/>
      <c r="G7345" s="9"/>
      <c r="H7345" s="9"/>
      <c r="I7345" s="9"/>
    </row>
    <row r="7346" ht="14.25">
      <c r="A7346" s="5"/>
      <c r="B7346" s="7"/>
      <c r="C7346" s="7"/>
      <c r="D7346" s="7"/>
      <c r="E7346" s="5"/>
      <c r="F7346" s="5"/>
      <c r="G7346" s="9"/>
      <c r="H7346" s="9"/>
      <c r="I7346" s="9"/>
    </row>
    <row r="7347" ht="14.25">
      <c r="A7347" s="5"/>
      <c r="B7347" s="7"/>
      <c r="C7347" s="7"/>
      <c r="D7347" s="7"/>
      <c r="E7347" s="5"/>
      <c r="F7347" s="5"/>
      <c r="G7347" s="9"/>
      <c r="H7347" s="9"/>
      <c r="I7347" s="9"/>
    </row>
    <row r="7348" ht="14.25">
      <c r="A7348" s="5"/>
      <c r="B7348" s="7"/>
      <c r="C7348" s="7"/>
      <c r="D7348" s="7"/>
      <c r="E7348" s="5"/>
      <c r="F7348" s="5"/>
      <c r="G7348" s="9"/>
      <c r="H7348" s="9"/>
      <c r="I7348" s="9"/>
    </row>
    <row r="7349" ht="14.25">
      <c r="A7349" s="5"/>
      <c r="B7349" s="7"/>
      <c r="C7349" s="7"/>
      <c r="D7349" s="7"/>
      <c r="E7349" s="5"/>
      <c r="F7349" s="5"/>
      <c r="G7349" s="9"/>
      <c r="H7349" s="9"/>
      <c r="I7349" s="9"/>
    </row>
    <row r="7350" ht="14.25">
      <c r="A7350" s="5"/>
      <c r="B7350" s="7"/>
      <c r="C7350" s="7"/>
      <c r="D7350" s="7"/>
      <c r="E7350" s="5"/>
      <c r="F7350" s="5"/>
      <c r="G7350" s="9"/>
      <c r="H7350" s="9"/>
      <c r="I7350" s="9"/>
    </row>
    <row r="7351" ht="14.25">
      <c r="A7351" s="5"/>
      <c r="B7351" s="7"/>
      <c r="C7351" s="7"/>
      <c r="D7351" s="7"/>
      <c r="E7351" s="5"/>
      <c r="F7351" s="5"/>
      <c r="G7351" s="9"/>
      <c r="H7351" s="9"/>
      <c r="I7351" s="9"/>
    </row>
    <row r="7352" ht="14.25">
      <c r="A7352" s="5"/>
      <c r="B7352" s="7"/>
      <c r="C7352" s="7"/>
      <c r="D7352" s="7"/>
      <c r="E7352" s="5"/>
      <c r="F7352" s="5"/>
      <c r="G7352" s="9"/>
      <c r="H7352" s="9"/>
      <c r="I7352" s="9"/>
    </row>
    <row r="7353" ht="14.25">
      <c r="A7353" s="5"/>
      <c r="B7353" s="7"/>
      <c r="C7353" s="7"/>
      <c r="D7353" s="7"/>
      <c r="E7353" s="5"/>
      <c r="F7353" s="5"/>
      <c r="G7353" s="9"/>
      <c r="H7353" s="9"/>
      <c r="I7353" s="9"/>
    </row>
    <row r="7354" ht="14.25">
      <c r="A7354" s="5"/>
      <c r="B7354" s="7"/>
      <c r="C7354" s="7"/>
      <c r="D7354" s="7"/>
      <c r="E7354" s="5"/>
      <c r="F7354" s="5"/>
      <c r="G7354" s="9"/>
      <c r="H7354" s="9"/>
      <c r="I7354" s="9"/>
    </row>
    <row r="7355" ht="14.25">
      <c r="A7355" s="5"/>
      <c r="B7355" s="7"/>
      <c r="C7355" s="7"/>
      <c r="D7355" s="7"/>
      <c r="E7355" s="5"/>
      <c r="F7355" s="5"/>
      <c r="G7355" s="9"/>
      <c r="H7355" s="9"/>
      <c r="I7355" s="9"/>
    </row>
    <row r="7356" ht="14.25">
      <c r="A7356" s="5"/>
      <c r="B7356" s="7"/>
      <c r="C7356" s="7"/>
      <c r="D7356" s="7"/>
      <c r="E7356" s="5"/>
      <c r="F7356" s="5"/>
      <c r="G7356" s="9"/>
      <c r="H7356" s="9"/>
      <c r="I7356" s="9"/>
    </row>
    <row r="7357" ht="14.25">
      <c r="A7357" s="5"/>
      <c r="B7357" s="7"/>
      <c r="C7357" s="7"/>
      <c r="D7357" s="7"/>
      <c r="E7357" s="5"/>
      <c r="F7357" s="5"/>
      <c r="G7357" s="9"/>
      <c r="H7357" s="9"/>
      <c r="I7357" s="9"/>
    </row>
    <row r="7358" ht="14.25">
      <c r="A7358" s="5"/>
      <c r="B7358" s="7"/>
      <c r="C7358" s="7"/>
      <c r="D7358" s="7"/>
      <c r="E7358" s="5"/>
      <c r="F7358" s="5"/>
      <c r="G7358" s="9"/>
      <c r="H7358" s="9"/>
      <c r="I7358" s="9"/>
    </row>
    <row r="7359" ht="14.25">
      <c r="A7359" s="5"/>
      <c r="B7359" s="7"/>
      <c r="C7359" s="7"/>
      <c r="D7359" s="7"/>
      <c r="E7359" s="5"/>
      <c r="F7359" s="5"/>
      <c r="G7359" s="9"/>
      <c r="H7359" s="9"/>
      <c r="I7359" s="9"/>
    </row>
    <row r="7360" ht="14.25">
      <c r="A7360" s="5"/>
      <c r="B7360" s="7"/>
      <c r="C7360" s="7"/>
      <c r="D7360" s="7"/>
      <c r="E7360" s="5"/>
      <c r="F7360" s="5"/>
      <c r="G7360" s="9"/>
      <c r="H7360" s="9"/>
      <c r="I7360" s="9"/>
    </row>
    <row r="7361" ht="14.25">
      <c r="A7361" s="5"/>
      <c r="B7361" s="7"/>
      <c r="C7361" s="7"/>
      <c r="D7361" s="7"/>
      <c r="E7361" s="5"/>
      <c r="F7361" s="5"/>
      <c r="G7361" s="9"/>
      <c r="H7361" s="9"/>
      <c r="I7361" s="9"/>
    </row>
    <row r="7362" ht="14.25">
      <c r="A7362" s="5"/>
      <c r="B7362" s="7"/>
      <c r="C7362" s="7"/>
      <c r="D7362" s="7"/>
      <c r="E7362" s="5"/>
      <c r="F7362" s="5"/>
      <c r="G7362" s="9"/>
      <c r="H7362" s="9"/>
      <c r="I7362" s="9"/>
    </row>
    <row r="7363" ht="14.25">
      <c r="A7363" s="5"/>
      <c r="B7363" s="7"/>
      <c r="C7363" s="7"/>
      <c r="D7363" s="7"/>
      <c r="E7363" s="5"/>
      <c r="F7363" s="5"/>
      <c r="G7363" s="9"/>
      <c r="H7363" s="9"/>
      <c r="I7363" s="9"/>
    </row>
    <row r="7364" ht="14.25">
      <c r="A7364" s="5"/>
      <c r="B7364" s="7"/>
      <c r="C7364" s="7"/>
      <c r="D7364" s="7"/>
      <c r="E7364" s="5"/>
      <c r="F7364" s="5"/>
      <c r="G7364" s="9"/>
      <c r="H7364" s="9"/>
      <c r="I7364" s="9"/>
    </row>
    <row r="7365" ht="14.25">
      <c r="A7365" s="5"/>
      <c r="B7365" s="7"/>
      <c r="C7365" s="7"/>
      <c r="D7365" s="7"/>
      <c r="E7365" s="5"/>
      <c r="F7365" s="5"/>
      <c r="G7365" s="9"/>
      <c r="H7365" s="9"/>
      <c r="I7365" s="9"/>
    </row>
    <row r="7366" ht="14.25">
      <c r="A7366" s="5"/>
      <c r="B7366" s="7"/>
      <c r="C7366" s="7"/>
      <c r="D7366" s="7"/>
      <c r="E7366" s="5"/>
      <c r="F7366" s="5"/>
      <c r="G7366" s="9"/>
      <c r="H7366" s="9"/>
      <c r="I7366" s="9"/>
    </row>
    <row r="7367" ht="14.25">
      <c r="A7367" s="5"/>
      <c r="B7367" s="7"/>
      <c r="C7367" s="7"/>
      <c r="D7367" s="7"/>
      <c r="E7367" s="5"/>
      <c r="F7367" s="5"/>
      <c r="G7367" s="9"/>
      <c r="H7367" s="9"/>
      <c r="I7367" s="9"/>
    </row>
    <row r="7368" ht="14.25">
      <c r="A7368" s="5"/>
      <c r="B7368" s="7"/>
      <c r="C7368" s="7"/>
      <c r="D7368" s="7"/>
      <c r="E7368" s="5"/>
      <c r="F7368" s="5"/>
      <c r="G7368" s="9"/>
      <c r="H7368" s="9"/>
      <c r="I7368" s="9"/>
    </row>
    <row r="7369" ht="14.25">
      <c r="A7369" s="5"/>
      <c r="B7369" s="7"/>
      <c r="C7369" s="7"/>
      <c r="D7369" s="7"/>
      <c r="E7369" s="5"/>
      <c r="F7369" s="5"/>
      <c r="G7369" s="9"/>
      <c r="H7369" s="9"/>
      <c r="I7369" s="9"/>
    </row>
    <row r="7370" ht="14.25">
      <c r="A7370" s="5"/>
      <c r="B7370" s="7"/>
      <c r="C7370" s="7"/>
      <c r="D7370" s="7"/>
      <c r="E7370" s="5"/>
      <c r="F7370" s="5"/>
      <c r="G7370" s="9"/>
      <c r="H7370" s="9"/>
      <c r="I7370" s="9"/>
    </row>
    <row r="7371" ht="14.25">
      <c r="A7371" s="5"/>
      <c r="B7371" s="7"/>
      <c r="C7371" s="7"/>
      <c r="D7371" s="7"/>
      <c r="E7371" s="5"/>
      <c r="F7371" s="5"/>
      <c r="G7371" s="9"/>
      <c r="H7371" s="9"/>
      <c r="I7371" s="9"/>
    </row>
    <row r="7372" ht="14.25">
      <c r="A7372" s="5"/>
      <c r="B7372" s="7"/>
      <c r="C7372" s="7"/>
      <c r="D7372" s="7"/>
      <c r="E7372" s="5"/>
      <c r="F7372" s="5"/>
      <c r="G7372" s="9"/>
      <c r="H7372" s="9"/>
      <c r="I7372" s="9"/>
    </row>
    <row r="7373" ht="14.25">
      <c r="A7373" s="5"/>
      <c r="B7373" s="7"/>
      <c r="C7373" s="7"/>
      <c r="D7373" s="7"/>
      <c r="E7373" s="5"/>
      <c r="F7373" s="5"/>
      <c r="G7373" s="9"/>
      <c r="H7373" s="9"/>
      <c r="I7373" s="9"/>
    </row>
    <row r="7374" ht="14.25">
      <c r="A7374" s="5"/>
      <c r="B7374" s="7"/>
      <c r="C7374" s="7"/>
      <c r="D7374" s="7"/>
      <c r="E7374" s="5"/>
      <c r="F7374" s="5"/>
      <c r="G7374" s="9"/>
      <c r="H7374" s="9"/>
      <c r="I7374" s="9"/>
    </row>
    <row r="7375" ht="14.25">
      <c r="A7375" s="5"/>
      <c r="B7375" s="7"/>
      <c r="C7375" s="7"/>
      <c r="D7375" s="7"/>
      <c r="E7375" s="5"/>
      <c r="F7375" s="5"/>
      <c r="G7375" s="9"/>
      <c r="H7375" s="9"/>
      <c r="I7375" s="9"/>
    </row>
    <row r="7376" ht="14.25">
      <c r="A7376" s="5"/>
      <c r="B7376" s="7"/>
      <c r="C7376" s="7"/>
      <c r="D7376" s="7"/>
      <c r="E7376" s="5"/>
      <c r="F7376" s="5"/>
      <c r="G7376" s="9"/>
      <c r="H7376" s="9"/>
      <c r="I7376" s="9"/>
    </row>
    <row r="7377" ht="14.25">
      <c r="A7377" s="5"/>
      <c r="B7377" s="7"/>
      <c r="C7377" s="7"/>
      <c r="D7377" s="7"/>
      <c r="E7377" s="5"/>
      <c r="F7377" s="5"/>
      <c r="G7377" s="9"/>
      <c r="H7377" s="9"/>
      <c r="I7377" s="9"/>
    </row>
    <row r="7378" ht="14.25">
      <c r="A7378" s="5"/>
      <c r="B7378" s="7"/>
      <c r="C7378" s="7"/>
      <c r="D7378" s="7"/>
      <c r="E7378" s="5"/>
      <c r="F7378" s="5"/>
      <c r="G7378" s="9"/>
      <c r="H7378" s="9"/>
      <c r="I7378" s="9"/>
    </row>
    <row r="7379" ht="14.25">
      <c r="A7379" s="5"/>
      <c r="B7379" s="7"/>
      <c r="C7379" s="7"/>
      <c r="D7379" s="7"/>
      <c r="E7379" s="5"/>
      <c r="F7379" s="5"/>
      <c r="G7379" s="9"/>
      <c r="H7379" s="9"/>
      <c r="I7379" s="9"/>
    </row>
    <row r="7380" ht="14.25">
      <c r="A7380" s="5"/>
      <c r="B7380" s="7"/>
      <c r="C7380" s="7"/>
      <c r="D7380" s="7"/>
      <c r="E7380" s="5"/>
      <c r="F7380" s="5"/>
      <c r="G7380" s="9"/>
      <c r="H7380" s="9"/>
      <c r="I7380" s="9"/>
    </row>
    <row r="7381" ht="14.25">
      <c r="A7381" s="5"/>
      <c r="B7381" s="7"/>
      <c r="C7381" s="7"/>
      <c r="D7381" s="7"/>
      <c r="E7381" s="5"/>
      <c r="F7381" s="5"/>
      <c r="G7381" s="9"/>
      <c r="H7381" s="9"/>
      <c r="I7381" s="9"/>
    </row>
    <row r="7382" ht="14.25">
      <c r="A7382" s="5"/>
      <c r="B7382" s="7"/>
      <c r="C7382" s="7"/>
      <c r="D7382" s="7"/>
      <c r="E7382" s="5"/>
      <c r="F7382" s="5"/>
      <c r="G7382" s="9"/>
      <c r="H7382" s="9"/>
      <c r="I7382" s="9"/>
    </row>
    <row r="7383" ht="14.25">
      <c r="A7383" s="5"/>
      <c r="B7383" s="7"/>
      <c r="C7383" s="7"/>
      <c r="D7383" s="7"/>
      <c r="E7383" s="5"/>
      <c r="F7383" s="5"/>
      <c r="G7383" s="9"/>
      <c r="H7383" s="9"/>
      <c r="I7383" s="9"/>
    </row>
    <row r="7384" ht="14.25">
      <c r="A7384" s="5"/>
      <c r="B7384" s="7"/>
      <c r="C7384" s="7"/>
      <c r="D7384" s="7"/>
      <c r="E7384" s="5"/>
      <c r="F7384" s="5"/>
      <c r="G7384" s="9"/>
      <c r="H7384" s="9"/>
      <c r="I7384" s="9"/>
    </row>
    <row r="7385" ht="14.25">
      <c r="A7385" s="5"/>
      <c r="B7385" s="7"/>
      <c r="C7385" s="7"/>
      <c r="D7385" s="7"/>
      <c r="E7385" s="5"/>
      <c r="F7385" s="5"/>
      <c r="G7385" s="9"/>
      <c r="H7385" s="9"/>
      <c r="I7385" s="9"/>
    </row>
    <row r="7386" ht="14.25">
      <c r="A7386" s="5"/>
      <c r="B7386" s="7"/>
      <c r="C7386" s="7"/>
      <c r="D7386" s="7"/>
      <c r="E7386" s="5"/>
      <c r="F7386" s="5"/>
      <c r="G7386" s="9"/>
      <c r="H7386" s="9"/>
      <c r="I7386" s="9"/>
    </row>
    <row r="7387" ht="14.25">
      <c r="A7387" s="5"/>
      <c r="B7387" s="7"/>
      <c r="C7387" s="7"/>
      <c r="D7387" s="7"/>
      <c r="E7387" s="5"/>
      <c r="F7387" s="5"/>
      <c r="G7387" s="9"/>
      <c r="H7387" s="9"/>
      <c r="I7387" s="9"/>
    </row>
    <row r="7388" ht="14.25">
      <c r="A7388" s="5"/>
      <c r="B7388" s="7"/>
      <c r="C7388" s="7"/>
      <c r="D7388" s="7"/>
      <c r="E7388" s="5"/>
      <c r="F7388" s="5"/>
      <c r="G7388" s="9"/>
      <c r="H7388" s="9"/>
      <c r="I7388" s="9"/>
    </row>
    <row r="7389" ht="14.25">
      <c r="A7389" s="5"/>
      <c r="B7389" s="7"/>
      <c r="C7389" s="7"/>
      <c r="D7389" s="7"/>
      <c r="E7389" s="5"/>
      <c r="F7389" s="5"/>
      <c r="G7389" s="9"/>
      <c r="H7389" s="9"/>
      <c r="I7389" s="9"/>
    </row>
    <row r="7390" ht="14.25">
      <c r="A7390" s="5"/>
      <c r="B7390" s="7"/>
      <c r="C7390" s="7"/>
      <c r="D7390" s="7"/>
      <c r="E7390" s="5"/>
      <c r="F7390" s="5"/>
      <c r="G7390" s="9"/>
      <c r="H7390" s="9"/>
      <c r="I7390" s="9"/>
    </row>
    <row r="7391" ht="14.25">
      <c r="A7391" s="5"/>
      <c r="B7391" s="7"/>
      <c r="C7391" s="7"/>
      <c r="D7391" s="7"/>
      <c r="E7391" s="5"/>
      <c r="F7391" s="5"/>
      <c r="G7391" s="9"/>
      <c r="H7391" s="9"/>
      <c r="I7391" s="9"/>
    </row>
    <row r="7392" ht="14.25">
      <c r="A7392" s="5"/>
      <c r="B7392" s="7"/>
      <c r="C7392" s="7"/>
      <c r="D7392" s="7"/>
      <c r="E7392" s="5"/>
      <c r="F7392" s="5"/>
      <c r="G7392" s="9"/>
      <c r="H7392" s="9"/>
      <c r="I7392" s="9"/>
    </row>
    <row r="7393" ht="14.25">
      <c r="A7393" s="5"/>
      <c r="B7393" s="7"/>
      <c r="C7393" s="7"/>
      <c r="D7393" s="7"/>
      <c r="E7393" s="5"/>
      <c r="F7393" s="5"/>
      <c r="G7393" s="9"/>
      <c r="H7393" s="9"/>
      <c r="I7393" s="9"/>
    </row>
    <row r="7394" ht="14.25">
      <c r="A7394" s="5"/>
      <c r="B7394" s="7"/>
      <c r="C7394" s="7"/>
      <c r="D7394" s="7"/>
      <c r="E7394" s="5"/>
      <c r="F7394" s="5"/>
      <c r="G7394" s="9"/>
      <c r="H7394" s="9"/>
      <c r="I7394" s="9"/>
    </row>
    <row r="7395" ht="14.25">
      <c r="A7395" s="5"/>
      <c r="B7395" s="7"/>
      <c r="C7395" s="7"/>
      <c r="D7395" s="7"/>
      <c r="E7395" s="5"/>
      <c r="F7395" s="5"/>
      <c r="G7395" s="9"/>
      <c r="H7395" s="9"/>
      <c r="I7395" s="9"/>
    </row>
    <row r="7396" ht="14.25">
      <c r="A7396" s="5"/>
      <c r="B7396" s="7"/>
      <c r="C7396" s="7"/>
      <c r="D7396" s="7"/>
      <c r="E7396" s="5"/>
      <c r="F7396" s="5"/>
      <c r="G7396" s="9"/>
      <c r="H7396" s="9"/>
      <c r="I7396" s="9"/>
    </row>
    <row r="7397" ht="14.25">
      <c r="A7397" s="5"/>
      <c r="B7397" s="7"/>
      <c r="C7397" s="7"/>
      <c r="D7397" s="7"/>
      <c r="E7397" s="5"/>
      <c r="F7397" s="5"/>
      <c r="G7397" s="9"/>
      <c r="H7397" s="9"/>
      <c r="I7397" s="9"/>
    </row>
    <row r="7398" ht="14.25">
      <c r="A7398" s="5"/>
      <c r="B7398" s="7"/>
      <c r="C7398" s="7"/>
      <c r="D7398" s="7"/>
      <c r="E7398" s="5"/>
      <c r="F7398" s="5"/>
      <c r="G7398" s="9"/>
      <c r="H7398" s="9"/>
      <c r="I7398" s="9"/>
    </row>
    <row r="7399" ht="14.25">
      <c r="A7399" s="5"/>
      <c r="B7399" s="7"/>
      <c r="C7399" s="7"/>
      <c r="D7399" s="7"/>
      <c r="E7399" s="5"/>
      <c r="F7399" s="5"/>
      <c r="G7399" s="9"/>
      <c r="H7399" s="9"/>
      <c r="I7399" s="9"/>
    </row>
    <row r="7400" ht="14.25">
      <c r="A7400" s="5"/>
      <c r="B7400" s="7"/>
      <c r="C7400" s="7"/>
      <c r="D7400" s="7"/>
      <c r="E7400" s="5"/>
      <c r="F7400" s="5"/>
      <c r="G7400" s="9"/>
      <c r="H7400" s="9"/>
      <c r="I7400" s="9"/>
    </row>
    <row r="7401" ht="14.25">
      <c r="A7401" s="5"/>
      <c r="B7401" s="7"/>
      <c r="C7401" s="7"/>
      <c r="D7401" s="7"/>
      <c r="E7401" s="5"/>
      <c r="F7401" s="5"/>
      <c r="G7401" s="9"/>
      <c r="H7401" s="9"/>
      <c r="I7401" s="9"/>
    </row>
    <row r="7402" ht="14.25">
      <c r="A7402" s="5"/>
      <c r="B7402" s="7"/>
      <c r="C7402" s="7"/>
      <c r="D7402" s="7"/>
      <c r="E7402" s="5"/>
      <c r="F7402" s="5"/>
      <c r="G7402" s="9"/>
      <c r="H7402" s="9"/>
      <c r="I7402" s="9"/>
    </row>
    <row r="7403" ht="14.25">
      <c r="A7403" s="5"/>
      <c r="B7403" s="7"/>
      <c r="C7403" s="7"/>
      <c r="D7403" s="7"/>
      <c r="E7403" s="5"/>
      <c r="F7403" s="5"/>
      <c r="G7403" s="9"/>
      <c r="H7403" s="9"/>
      <c r="I7403" s="9"/>
    </row>
    <row r="7404" ht="14.25">
      <c r="A7404" s="5"/>
      <c r="B7404" s="7"/>
      <c r="C7404" s="7"/>
      <c r="D7404" s="7"/>
      <c r="E7404" s="5"/>
      <c r="F7404" s="5"/>
      <c r="G7404" s="9"/>
      <c r="H7404" s="9"/>
      <c r="I7404" s="9"/>
    </row>
    <row r="7405" ht="14.25">
      <c r="A7405" s="5"/>
      <c r="B7405" s="7"/>
      <c r="C7405" s="7"/>
      <c r="D7405" s="7"/>
      <c r="E7405" s="5"/>
      <c r="F7405" s="5"/>
      <c r="G7405" s="9"/>
      <c r="H7405" s="9"/>
      <c r="I7405" s="9"/>
    </row>
    <row r="7406" ht="14.25">
      <c r="A7406" s="5"/>
      <c r="B7406" s="7"/>
      <c r="C7406" s="7"/>
      <c r="D7406" s="7"/>
      <c r="E7406" s="5"/>
      <c r="F7406" s="5"/>
      <c r="G7406" s="9"/>
      <c r="H7406" s="9"/>
      <c r="I7406" s="9"/>
    </row>
    <row r="7407" ht="14.25">
      <c r="A7407" s="5"/>
      <c r="B7407" s="7"/>
      <c r="C7407" s="7"/>
      <c r="D7407" s="7"/>
      <c r="E7407" s="5"/>
      <c r="F7407" s="5"/>
      <c r="G7407" s="9"/>
      <c r="H7407" s="9"/>
      <c r="I7407" s="9"/>
    </row>
    <row r="7408" ht="14.25">
      <c r="A7408" s="5"/>
      <c r="B7408" s="7"/>
      <c r="C7408" s="7"/>
      <c r="D7408" s="7"/>
      <c r="E7408" s="5"/>
      <c r="F7408" s="5"/>
      <c r="G7408" s="9"/>
      <c r="H7408" s="9"/>
      <c r="I7408" s="9"/>
    </row>
    <row r="7409" ht="14.25">
      <c r="A7409" s="5"/>
      <c r="B7409" s="7"/>
      <c r="C7409" s="7"/>
      <c r="D7409" s="7"/>
      <c r="E7409" s="5"/>
      <c r="F7409" s="5"/>
      <c r="G7409" s="9"/>
      <c r="H7409" s="9"/>
      <c r="I7409" s="9"/>
    </row>
    <row r="7410" ht="14.25">
      <c r="A7410" s="5"/>
      <c r="B7410" s="7"/>
      <c r="C7410" s="7"/>
      <c r="D7410" s="7"/>
      <c r="E7410" s="5"/>
      <c r="F7410" s="5"/>
      <c r="G7410" s="9"/>
      <c r="H7410" s="9"/>
      <c r="I7410" s="9"/>
    </row>
    <row r="7411" ht="14.25">
      <c r="A7411" s="5"/>
      <c r="B7411" s="7"/>
      <c r="C7411" s="7"/>
      <c r="D7411" s="7"/>
      <c r="E7411" s="5"/>
      <c r="F7411" s="5"/>
      <c r="G7411" s="9"/>
      <c r="H7411" s="9"/>
      <c r="I7411" s="9"/>
    </row>
    <row r="7412" ht="14.25">
      <c r="A7412" s="5"/>
      <c r="B7412" s="7"/>
      <c r="C7412" s="7"/>
      <c r="D7412" s="7"/>
      <c r="E7412" s="5"/>
      <c r="F7412" s="5"/>
      <c r="G7412" s="9"/>
      <c r="H7412" s="9"/>
      <c r="I7412" s="9"/>
    </row>
    <row r="7413" ht="14.25">
      <c r="A7413" s="5"/>
      <c r="B7413" s="7"/>
      <c r="C7413" s="7"/>
      <c r="D7413" s="7"/>
      <c r="E7413" s="5"/>
      <c r="F7413" s="5"/>
      <c r="G7413" s="9"/>
      <c r="H7413" s="9"/>
      <c r="I7413" s="9"/>
    </row>
    <row r="7414" ht="14.25">
      <c r="A7414" s="5"/>
      <c r="B7414" s="7"/>
      <c r="C7414" s="7"/>
      <c r="D7414" s="7"/>
      <c r="E7414" s="5"/>
      <c r="F7414" s="5"/>
      <c r="G7414" s="9"/>
      <c r="H7414" s="9"/>
      <c r="I7414" s="9"/>
    </row>
    <row r="7415" ht="14.25">
      <c r="A7415" s="5"/>
      <c r="B7415" s="7"/>
      <c r="C7415" s="7"/>
      <c r="D7415" s="7"/>
      <c r="E7415" s="5"/>
      <c r="F7415" s="5"/>
      <c r="G7415" s="9"/>
      <c r="H7415" s="9"/>
      <c r="I7415" s="9"/>
    </row>
    <row r="7416" ht="14.25">
      <c r="A7416" s="5"/>
      <c r="B7416" s="7"/>
      <c r="C7416" s="7"/>
      <c r="D7416" s="7"/>
      <c r="E7416" s="5"/>
      <c r="F7416" s="5"/>
      <c r="G7416" s="9"/>
      <c r="H7416" s="9"/>
      <c r="I7416" s="9"/>
    </row>
    <row r="7417" ht="14.25">
      <c r="A7417" s="5"/>
      <c r="B7417" s="7"/>
      <c r="C7417" s="7"/>
      <c r="D7417" s="7"/>
      <c r="E7417" s="5"/>
      <c r="F7417" s="5"/>
      <c r="G7417" s="9"/>
      <c r="H7417" s="9"/>
      <c r="I7417" s="9"/>
    </row>
    <row r="7418" ht="14.25">
      <c r="A7418" s="5"/>
      <c r="B7418" s="7"/>
      <c r="C7418" s="7"/>
      <c r="D7418" s="7"/>
      <c r="E7418" s="5"/>
      <c r="F7418" s="5"/>
      <c r="G7418" s="9"/>
      <c r="H7418" s="9"/>
      <c r="I7418" s="9"/>
    </row>
    <row r="7419" ht="14.25">
      <c r="A7419" s="5"/>
      <c r="B7419" s="7"/>
      <c r="C7419" s="7"/>
      <c r="D7419" s="7"/>
      <c r="E7419" s="5"/>
      <c r="F7419" s="5"/>
      <c r="G7419" s="9"/>
      <c r="H7419" s="9"/>
      <c r="I7419" s="9"/>
    </row>
    <row r="7420" ht="14.25">
      <c r="A7420" s="5"/>
      <c r="B7420" s="7"/>
      <c r="C7420" s="7"/>
      <c r="D7420" s="7"/>
      <c r="E7420" s="5"/>
      <c r="F7420" s="5"/>
      <c r="G7420" s="9"/>
      <c r="H7420" s="9"/>
      <c r="I7420" s="9"/>
    </row>
    <row r="7421" ht="14.25">
      <c r="A7421" s="5"/>
      <c r="B7421" s="7"/>
      <c r="C7421" s="7"/>
      <c r="D7421" s="7"/>
      <c r="E7421" s="5"/>
      <c r="F7421" s="5"/>
      <c r="G7421" s="9"/>
      <c r="H7421" s="9"/>
      <c r="I7421" s="9"/>
    </row>
    <row r="7422" ht="14.25">
      <c r="A7422" s="5"/>
      <c r="B7422" s="7"/>
      <c r="C7422" s="7"/>
      <c r="D7422" s="7"/>
      <c r="E7422" s="5"/>
      <c r="F7422" s="5"/>
      <c r="G7422" s="9"/>
      <c r="H7422" s="9"/>
      <c r="I7422" s="9"/>
    </row>
    <row r="7423" ht="14.25">
      <c r="A7423" s="5"/>
      <c r="B7423" s="7"/>
      <c r="C7423" s="7"/>
      <c r="D7423" s="7"/>
      <c r="E7423" s="5"/>
      <c r="F7423" s="5"/>
      <c r="G7423" s="9"/>
      <c r="H7423" s="9"/>
      <c r="I7423" s="9"/>
    </row>
    <row r="7424" ht="14.25">
      <c r="A7424" s="5"/>
      <c r="B7424" s="7"/>
      <c r="C7424" s="7"/>
      <c r="D7424" s="7"/>
      <c r="E7424" s="5"/>
      <c r="F7424" s="5"/>
      <c r="G7424" s="9"/>
      <c r="H7424" s="9"/>
      <c r="I7424" s="9"/>
    </row>
    <row r="7425" ht="14.25">
      <c r="A7425" s="5"/>
      <c r="B7425" s="7"/>
      <c r="C7425" s="7"/>
      <c r="D7425" s="7"/>
      <c r="E7425" s="5"/>
      <c r="F7425" s="5"/>
      <c r="G7425" s="9"/>
      <c r="H7425" s="9"/>
      <c r="I7425" s="9"/>
    </row>
    <row r="7426" ht="14.25">
      <c r="A7426" s="5"/>
      <c r="B7426" s="7"/>
      <c r="C7426" s="7"/>
      <c r="D7426" s="7"/>
      <c r="E7426" s="5"/>
      <c r="F7426" s="5"/>
      <c r="G7426" s="9"/>
      <c r="H7426" s="9"/>
      <c r="I7426" s="9"/>
    </row>
    <row r="7427" ht="14.25">
      <c r="A7427" s="5"/>
      <c r="B7427" s="7"/>
      <c r="C7427" s="7"/>
      <c r="D7427" s="7"/>
      <c r="E7427" s="5"/>
      <c r="F7427" s="5"/>
      <c r="G7427" s="9"/>
      <c r="H7427" s="9"/>
      <c r="I7427" s="9"/>
    </row>
    <row r="7428" ht="14.25">
      <c r="A7428" s="5"/>
      <c r="B7428" s="7"/>
      <c r="C7428" s="7"/>
      <c r="D7428" s="7"/>
      <c r="E7428" s="5"/>
      <c r="F7428" s="5"/>
      <c r="G7428" s="9"/>
      <c r="H7428" s="9"/>
      <c r="I7428" s="9"/>
    </row>
    <row r="7429" ht="14.25">
      <c r="A7429" s="5"/>
      <c r="B7429" s="7"/>
      <c r="C7429" s="7"/>
      <c r="D7429" s="7"/>
      <c r="E7429" s="5"/>
      <c r="F7429" s="5"/>
      <c r="G7429" s="9"/>
      <c r="H7429" s="9"/>
      <c r="I7429" s="9"/>
    </row>
    <row r="7430" ht="14.25">
      <c r="A7430" s="5"/>
      <c r="B7430" s="7"/>
      <c r="C7430" s="7"/>
      <c r="D7430" s="7"/>
      <c r="E7430" s="5"/>
      <c r="F7430" s="5"/>
      <c r="G7430" s="9"/>
      <c r="H7430" s="9"/>
      <c r="I7430" s="9"/>
    </row>
    <row r="7431" ht="14.25">
      <c r="A7431" s="5"/>
      <c r="B7431" s="7"/>
      <c r="C7431" s="7"/>
      <c r="D7431" s="7"/>
      <c r="E7431" s="5"/>
      <c r="F7431" s="5"/>
      <c r="G7431" s="9"/>
      <c r="H7431" s="9"/>
      <c r="I7431" s="9"/>
    </row>
    <row r="7432" ht="14.25">
      <c r="A7432" s="5"/>
      <c r="B7432" s="7"/>
      <c r="C7432" s="7"/>
      <c r="D7432" s="7"/>
      <c r="E7432" s="5"/>
      <c r="F7432" s="5"/>
      <c r="G7432" s="9"/>
      <c r="H7432" s="9"/>
      <c r="I7432" s="9"/>
    </row>
    <row r="7433" ht="14.25">
      <c r="A7433" s="5"/>
      <c r="B7433" s="7"/>
      <c r="C7433" s="7"/>
      <c r="D7433" s="7"/>
      <c r="E7433" s="5"/>
      <c r="F7433" s="5"/>
      <c r="G7433" s="9"/>
      <c r="H7433" s="9"/>
      <c r="I7433" s="9"/>
    </row>
    <row r="7434" ht="14.25">
      <c r="A7434" s="5"/>
      <c r="B7434" s="7"/>
      <c r="C7434" s="7"/>
      <c r="D7434" s="7"/>
      <c r="E7434" s="5"/>
      <c r="F7434" s="5"/>
      <c r="G7434" s="9"/>
      <c r="H7434" s="9"/>
      <c r="I7434" s="9"/>
    </row>
    <row r="7435" ht="14.25">
      <c r="A7435" s="5"/>
      <c r="B7435" s="7"/>
      <c r="C7435" s="7"/>
      <c r="D7435" s="7"/>
      <c r="E7435" s="5"/>
      <c r="F7435" s="5"/>
      <c r="G7435" s="9"/>
      <c r="H7435" s="9"/>
      <c r="I7435" s="9"/>
    </row>
    <row r="7436" ht="14.25">
      <c r="A7436" s="5"/>
      <c r="B7436" s="7"/>
      <c r="C7436" s="7"/>
      <c r="D7436" s="7"/>
      <c r="E7436" s="5"/>
      <c r="F7436" s="5"/>
      <c r="G7436" s="9"/>
      <c r="H7436" s="9"/>
      <c r="I7436" s="9"/>
    </row>
    <row r="7437" ht="14.25">
      <c r="A7437" s="5"/>
      <c r="B7437" s="7"/>
      <c r="C7437" s="7"/>
      <c r="D7437" s="7"/>
      <c r="E7437" s="5"/>
      <c r="F7437" s="5"/>
      <c r="G7437" s="9"/>
      <c r="H7437" s="9"/>
      <c r="I7437" s="9"/>
    </row>
    <row r="7438" ht="14.25">
      <c r="A7438" s="5"/>
      <c r="B7438" s="7"/>
      <c r="C7438" s="7"/>
      <c r="D7438" s="7"/>
      <c r="E7438" s="5"/>
      <c r="F7438" s="5"/>
      <c r="G7438" s="9"/>
      <c r="H7438" s="9"/>
      <c r="I7438" s="9"/>
    </row>
    <row r="7439" ht="14.25">
      <c r="A7439" s="5"/>
      <c r="B7439" s="7"/>
      <c r="C7439" s="7"/>
      <c r="D7439" s="7"/>
      <c r="E7439" s="5"/>
      <c r="F7439" s="5"/>
      <c r="G7439" s="9"/>
      <c r="H7439" s="9"/>
      <c r="I7439" s="9"/>
    </row>
    <row r="7440" ht="14.25">
      <c r="A7440" s="5"/>
      <c r="B7440" s="7"/>
      <c r="C7440" s="7"/>
      <c r="D7440" s="7"/>
      <c r="E7440" s="5"/>
      <c r="F7440" s="5"/>
      <c r="G7440" s="9"/>
      <c r="H7440" s="9"/>
      <c r="I7440" s="9"/>
    </row>
    <row r="7441" ht="14.25">
      <c r="A7441" s="5"/>
      <c r="B7441" s="7"/>
      <c r="C7441" s="7"/>
      <c r="D7441" s="7"/>
      <c r="E7441" s="5"/>
      <c r="F7441" s="5"/>
      <c r="G7441" s="9"/>
      <c r="H7441" s="9"/>
      <c r="I7441" s="9"/>
    </row>
    <row r="7442" ht="14.25">
      <c r="A7442" s="5"/>
      <c r="B7442" s="7"/>
      <c r="C7442" s="7"/>
      <c r="D7442" s="7"/>
      <c r="E7442" s="5"/>
      <c r="F7442" s="5"/>
      <c r="G7442" s="9"/>
      <c r="H7442" s="9"/>
      <c r="I7442" s="9"/>
    </row>
    <row r="7443" ht="14.25">
      <c r="A7443" s="5"/>
      <c r="B7443" s="7"/>
      <c r="C7443" s="7"/>
      <c r="D7443" s="7"/>
      <c r="E7443" s="5"/>
      <c r="F7443" s="5"/>
      <c r="G7443" s="9"/>
      <c r="H7443" s="9"/>
      <c r="I7443" s="9"/>
    </row>
    <row r="7444" ht="14.25">
      <c r="A7444" s="5"/>
      <c r="B7444" s="7"/>
      <c r="C7444" s="7"/>
      <c r="D7444" s="7"/>
      <c r="E7444" s="5"/>
      <c r="F7444" s="5"/>
      <c r="G7444" s="9"/>
      <c r="H7444" s="9"/>
      <c r="I7444" s="9"/>
    </row>
    <row r="7445" ht="14.25">
      <c r="A7445" s="5"/>
      <c r="B7445" s="7"/>
      <c r="C7445" s="7"/>
      <c r="D7445" s="7"/>
      <c r="E7445" s="5"/>
      <c r="F7445" s="5"/>
      <c r="G7445" s="9"/>
      <c r="H7445" s="9"/>
      <c r="I7445" s="9"/>
    </row>
    <row r="7446" ht="14.25">
      <c r="A7446" s="5"/>
      <c r="B7446" s="7"/>
      <c r="C7446" s="7"/>
      <c r="D7446" s="7"/>
      <c r="E7446" s="5"/>
      <c r="F7446" s="5"/>
      <c r="G7446" s="9"/>
      <c r="H7446" s="9"/>
      <c r="I7446" s="9"/>
    </row>
    <row r="7447" ht="14.25">
      <c r="A7447" s="5"/>
      <c r="B7447" s="7"/>
      <c r="C7447" s="7"/>
      <c r="D7447" s="7"/>
      <c r="E7447" s="5"/>
      <c r="F7447" s="5"/>
      <c r="G7447" s="9"/>
      <c r="H7447" s="9"/>
      <c r="I7447" s="9"/>
    </row>
    <row r="7448" ht="14.25">
      <c r="A7448" s="5"/>
      <c r="B7448" s="7"/>
      <c r="C7448" s="7"/>
      <c r="D7448" s="7"/>
      <c r="E7448" s="5"/>
      <c r="F7448" s="5"/>
      <c r="G7448" s="9"/>
      <c r="H7448" s="9"/>
      <c r="I7448" s="9"/>
    </row>
    <row r="7449" ht="14.25">
      <c r="A7449" s="5"/>
      <c r="B7449" s="7"/>
      <c r="C7449" s="7"/>
      <c r="D7449" s="7"/>
      <c r="E7449" s="5"/>
      <c r="F7449" s="5"/>
      <c r="G7449" s="9"/>
      <c r="H7449" s="9"/>
      <c r="I7449" s="9"/>
    </row>
    <row r="7450" ht="14.25">
      <c r="A7450" s="5"/>
      <c r="B7450" s="7"/>
      <c r="C7450" s="7"/>
      <c r="D7450" s="7"/>
      <c r="E7450" s="5"/>
      <c r="F7450" s="5"/>
      <c r="G7450" s="9"/>
      <c r="H7450" s="9"/>
      <c r="I7450" s="9"/>
    </row>
    <row r="7451" ht="14.25">
      <c r="A7451" s="5"/>
      <c r="B7451" s="7"/>
      <c r="C7451" s="7"/>
      <c r="D7451" s="7"/>
      <c r="E7451" s="5"/>
      <c r="F7451" s="5"/>
      <c r="G7451" s="9"/>
      <c r="H7451" s="9"/>
      <c r="I7451" s="9"/>
    </row>
    <row r="7452" ht="14.25">
      <c r="A7452" s="5"/>
      <c r="B7452" s="7"/>
      <c r="C7452" s="7"/>
      <c r="D7452" s="7"/>
      <c r="E7452" s="5"/>
      <c r="F7452" s="5"/>
      <c r="G7452" s="9"/>
      <c r="H7452" s="9"/>
      <c r="I7452" s="9"/>
    </row>
    <row r="7453" ht="14.25">
      <c r="A7453" s="5"/>
      <c r="B7453" s="7"/>
      <c r="C7453" s="7"/>
      <c r="D7453" s="7"/>
      <c r="E7453" s="5"/>
      <c r="F7453" s="5"/>
      <c r="G7453" s="9"/>
      <c r="H7453" s="9"/>
      <c r="I7453" s="9"/>
    </row>
    <row r="7454" ht="14.25">
      <c r="A7454" s="5"/>
      <c r="B7454" s="7"/>
      <c r="C7454" s="7"/>
      <c r="D7454" s="7"/>
      <c r="E7454" s="5"/>
      <c r="F7454" s="5"/>
      <c r="G7454" s="9"/>
      <c r="H7454" s="9"/>
      <c r="I7454" s="9"/>
    </row>
    <row r="7455" ht="14.25">
      <c r="A7455" s="5"/>
      <c r="B7455" s="7"/>
      <c r="C7455" s="7"/>
      <c r="D7455" s="7"/>
      <c r="E7455" s="5"/>
      <c r="F7455" s="5"/>
      <c r="G7455" s="9"/>
      <c r="H7455" s="9"/>
      <c r="I7455" s="9"/>
    </row>
    <row r="7456" ht="14.25">
      <c r="A7456" s="5"/>
      <c r="B7456" s="7"/>
      <c r="C7456" s="7"/>
      <c r="D7456" s="7"/>
      <c r="E7456" s="5"/>
      <c r="F7456" s="5"/>
      <c r="G7456" s="9"/>
      <c r="H7456" s="9"/>
      <c r="I7456" s="9"/>
    </row>
    <row r="7457" ht="14.25">
      <c r="A7457" s="5"/>
      <c r="B7457" s="7"/>
      <c r="C7457" s="7"/>
      <c r="D7457" s="7"/>
      <c r="E7457" s="5"/>
      <c r="F7457" s="5"/>
      <c r="G7457" s="9"/>
      <c r="H7457" s="9"/>
      <c r="I7457" s="9"/>
    </row>
    <row r="7458" ht="14.25">
      <c r="A7458" s="5"/>
      <c r="B7458" s="7"/>
      <c r="C7458" s="7"/>
      <c r="D7458" s="7"/>
      <c r="E7458" s="5"/>
      <c r="F7458" s="5"/>
      <c r="G7458" s="9"/>
      <c r="H7458" s="9"/>
      <c r="I7458" s="9"/>
    </row>
    <row r="7459" ht="14.25">
      <c r="A7459" s="5"/>
      <c r="B7459" s="7"/>
      <c r="C7459" s="7"/>
      <c r="D7459" s="7"/>
      <c r="E7459" s="5"/>
      <c r="F7459" s="5"/>
      <c r="G7459" s="9"/>
      <c r="H7459" s="9"/>
      <c r="I7459" s="9"/>
    </row>
    <row r="7460" ht="14.25">
      <c r="A7460" s="5"/>
      <c r="B7460" s="7"/>
      <c r="C7460" s="7"/>
      <c r="D7460" s="7"/>
      <c r="E7460" s="5"/>
      <c r="F7460" s="5"/>
      <c r="G7460" s="9"/>
      <c r="H7460" s="9"/>
      <c r="I7460" s="9"/>
    </row>
    <row r="7461" ht="14.25">
      <c r="A7461" s="5"/>
      <c r="B7461" s="7"/>
      <c r="C7461" s="7"/>
      <c r="D7461" s="7"/>
      <c r="E7461" s="5"/>
      <c r="F7461" s="5"/>
      <c r="G7461" s="9"/>
      <c r="H7461" s="9"/>
      <c r="I7461" s="9"/>
    </row>
    <row r="7462" ht="14.25">
      <c r="A7462" s="5"/>
      <c r="B7462" s="7"/>
      <c r="C7462" s="7"/>
      <c r="D7462" s="7"/>
      <c r="E7462" s="5"/>
      <c r="F7462" s="5"/>
      <c r="G7462" s="9"/>
      <c r="H7462" s="9"/>
      <c r="I7462" s="9"/>
    </row>
    <row r="7463" ht="14.25">
      <c r="A7463" s="5"/>
      <c r="B7463" s="7"/>
      <c r="C7463" s="7"/>
      <c r="D7463" s="7"/>
      <c r="E7463" s="5"/>
      <c r="F7463" s="5"/>
      <c r="G7463" s="9"/>
      <c r="H7463" s="9"/>
      <c r="I7463" s="9"/>
    </row>
    <row r="7464" ht="14.25">
      <c r="A7464" s="5"/>
      <c r="B7464" s="7"/>
      <c r="C7464" s="7"/>
      <c r="D7464" s="7"/>
      <c r="E7464" s="5"/>
      <c r="F7464" s="5"/>
      <c r="G7464" s="9"/>
      <c r="H7464" s="9"/>
      <c r="I7464" s="9"/>
    </row>
    <row r="7465" ht="14.25">
      <c r="A7465" s="5"/>
      <c r="B7465" s="7"/>
      <c r="C7465" s="7"/>
      <c r="D7465" s="7"/>
      <c r="E7465" s="5"/>
      <c r="F7465" s="5"/>
      <c r="G7465" s="9"/>
      <c r="H7465" s="9"/>
      <c r="I7465" s="9"/>
    </row>
    <row r="7466" ht="14.25">
      <c r="A7466" s="5"/>
      <c r="B7466" s="7"/>
      <c r="C7466" s="7"/>
      <c r="D7466" s="7"/>
      <c r="E7466" s="5"/>
      <c r="F7466" s="5"/>
      <c r="G7466" s="9"/>
      <c r="H7466" s="9"/>
      <c r="I7466" s="9"/>
    </row>
    <row r="7467" ht="14.25">
      <c r="A7467" s="5"/>
      <c r="B7467" s="7"/>
      <c r="C7467" s="7"/>
      <c r="D7467" s="7"/>
      <c r="E7467" s="5"/>
      <c r="F7467" s="5"/>
      <c r="G7467" s="9"/>
      <c r="H7467" s="9"/>
      <c r="I7467" s="9"/>
    </row>
    <row r="7468" ht="14.25">
      <c r="A7468" s="5"/>
      <c r="B7468" s="7"/>
      <c r="C7468" s="7"/>
      <c r="D7468" s="7"/>
      <c r="E7468" s="5"/>
      <c r="F7468" s="5"/>
      <c r="G7468" s="9"/>
      <c r="H7468" s="9"/>
      <c r="I7468" s="9"/>
    </row>
    <row r="7469" ht="14.25">
      <c r="A7469" s="5"/>
      <c r="B7469" s="7"/>
      <c r="C7469" s="7"/>
      <c r="D7469" s="7"/>
      <c r="E7469" s="5"/>
      <c r="F7469" s="5"/>
      <c r="G7469" s="9"/>
      <c r="H7469" s="9"/>
      <c r="I7469" s="9"/>
    </row>
    <row r="7470" ht="14.25">
      <c r="A7470" s="5"/>
      <c r="B7470" s="7"/>
      <c r="C7470" s="7"/>
      <c r="D7470" s="7"/>
      <c r="E7470" s="5"/>
      <c r="F7470" s="5"/>
      <c r="G7470" s="9"/>
      <c r="H7470" s="9"/>
      <c r="I7470" s="9"/>
    </row>
    <row r="7471" ht="14.25">
      <c r="A7471" s="5"/>
      <c r="B7471" s="7"/>
      <c r="C7471" s="7"/>
      <c r="D7471" s="7"/>
      <c r="E7471" s="5"/>
      <c r="F7471" s="5"/>
      <c r="G7471" s="9"/>
      <c r="H7471" s="9"/>
      <c r="I7471" s="9"/>
    </row>
    <row r="7472" ht="14.25">
      <c r="A7472" s="5"/>
      <c r="B7472" s="7"/>
      <c r="C7472" s="7"/>
      <c r="D7472" s="7"/>
      <c r="E7472" s="5"/>
      <c r="F7472" s="5"/>
      <c r="G7472" s="9"/>
      <c r="H7472" s="9"/>
      <c r="I7472" s="9"/>
    </row>
    <row r="7473" ht="14.25">
      <c r="A7473" s="5"/>
      <c r="B7473" s="7"/>
      <c r="C7473" s="7"/>
      <c r="D7473" s="7"/>
      <c r="E7473" s="5"/>
      <c r="F7473" s="5"/>
      <c r="G7473" s="9"/>
      <c r="H7473" s="9"/>
      <c r="I7473" s="9"/>
    </row>
    <row r="7474" ht="14.25">
      <c r="A7474" s="5"/>
      <c r="B7474" s="7"/>
      <c r="C7474" s="7"/>
      <c r="D7474" s="7"/>
      <c r="E7474" s="5"/>
      <c r="F7474" s="5"/>
      <c r="G7474" s="9"/>
      <c r="H7474" s="9"/>
      <c r="I7474" s="9"/>
    </row>
    <row r="7475" ht="14.25">
      <c r="A7475" s="5"/>
      <c r="B7475" s="7"/>
      <c r="C7475" s="7"/>
      <c r="D7475" s="7"/>
      <c r="E7475" s="5"/>
      <c r="F7475" s="5"/>
      <c r="G7475" s="9"/>
      <c r="H7475" s="9"/>
      <c r="I7475" s="9"/>
    </row>
    <row r="7476" ht="14.25">
      <c r="A7476" s="5"/>
      <c r="B7476" s="7"/>
      <c r="C7476" s="7"/>
      <c r="D7476" s="7"/>
      <c r="E7476" s="5"/>
      <c r="F7476" s="5"/>
      <c r="G7476" s="9"/>
      <c r="H7476" s="9"/>
      <c r="I7476" s="9"/>
    </row>
    <row r="7477" ht="14.25">
      <c r="A7477" s="5"/>
      <c r="B7477" s="7"/>
      <c r="C7477" s="7"/>
      <c r="D7477" s="7"/>
      <c r="E7477" s="5"/>
      <c r="F7477" s="5"/>
      <c r="G7477" s="9"/>
      <c r="H7477" s="9"/>
      <c r="I7477" s="9"/>
    </row>
    <row r="7478" ht="14.25">
      <c r="A7478" s="5"/>
      <c r="B7478" s="7"/>
      <c r="C7478" s="7"/>
      <c r="D7478" s="7"/>
      <c r="E7478" s="5"/>
      <c r="F7478" s="5"/>
      <c r="G7478" s="9"/>
      <c r="H7478" s="9"/>
      <c r="I7478" s="9"/>
    </row>
    <row r="7479" ht="14.25">
      <c r="A7479" s="5"/>
      <c r="B7479" s="7"/>
      <c r="C7479" s="7"/>
      <c r="D7479" s="7"/>
      <c r="E7479" s="5"/>
      <c r="F7479" s="5"/>
      <c r="G7479" s="9"/>
      <c r="H7479" s="9"/>
      <c r="I7479" s="9"/>
    </row>
    <row r="7480" ht="14.25">
      <c r="A7480" s="5"/>
      <c r="B7480" s="7"/>
      <c r="C7480" s="7"/>
      <c r="D7480" s="7"/>
      <c r="E7480" s="5"/>
      <c r="F7480" s="5"/>
      <c r="G7480" s="9"/>
      <c r="H7480" s="9"/>
      <c r="I7480" s="9"/>
    </row>
    <row r="7481" ht="14.25">
      <c r="A7481" s="5"/>
      <c r="B7481" s="7"/>
      <c r="C7481" s="7"/>
      <c r="D7481" s="7"/>
      <c r="E7481" s="5"/>
      <c r="F7481" s="5"/>
      <c r="G7481" s="9"/>
      <c r="H7481" s="9"/>
      <c r="I7481" s="9"/>
    </row>
    <row r="7482" ht="14.25">
      <c r="A7482" s="5"/>
      <c r="B7482" s="7"/>
      <c r="C7482" s="7"/>
      <c r="D7482" s="7"/>
      <c r="E7482" s="5"/>
      <c r="F7482" s="5"/>
      <c r="G7482" s="9"/>
      <c r="H7482" s="9"/>
      <c r="I7482" s="9"/>
    </row>
    <row r="7483" ht="14.25">
      <c r="A7483" s="5"/>
      <c r="B7483" s="7"/>
      <c r="C7483" s="7"/>
      <c r="D7483" s="7"/>
      <c r="E7483" s="5"/>
      <c r="F7483" s="5"/>
      <c r="G7483" s="9"/>
      <c r="H7483" s="9"/>
      <c r="I7483" s="9"/>
    </row>
    <row r="7484" ht="14.25">
      <c r="A7484" s="5"/>
      <c r="B7484" s="7"/>
      <c r="C7484" s="7"/>
      <c r="D7484" s="7"/>
      <c r="E7484" s="5"/>
      <c r="F7484" s="5"/>
      <c r="G7484" s="9"/>
      <c r="H7484" s="9"/>
      <c r="I7484" s="9"/>
    </row>
    <row r="7485" ht="14.25">
      <c r="A7485" s="5"/>
      <c r="B7485" s="7"/>
      <c r="C7485" s="7"/>
      <c r="D7485" s="7"/>
      <c r="E7485" s="5"/>
      <c r="F7485" s="5"/>
      <c r="G7485" s="9"/>
      <c r="H7485" s="9"/>
      <c r="I7485" s="9"/>
    </row>
    <row r="7486" ht="14.25">
      <c r="A7486" s="5"/>
      <c r="B7486" s="7"/>
      <c r="C7486" s="7"/>
      <c r="D7486" s="7"/>
      <c r="E7486" s="5"/>
      <c r="F7486" s="5"/>
      <c r="G7486" s="9"/>
      <c r="H7486" s="9"/>
      <c r="I7486" s="9"/>
    </row>
    <row r="7487" ht="14.25">
      <c r="A7487" s="5"/>
      <c r="B7487" s="7"/>
      <c r="C7487" s="7"/>
      <c r="D7487" s="7"/>
      <c r="E7487" s="5"/>
      <c r="F7487" s="5"/>
      <c r="G7487" s="9"/>
      <c r="H7487" s="9"/>
      <c r="I7487" s="9"/>
    </row>
    <row r="7488" ht="14.25">
      <c r="A7488" s="5"/>
      <c r="B7488" s="7"/>
      <c r="C7488" s="7"/>
      <c r="D7488" s="7"/>
      <c r="E7488" s="5"/>
      <c r="F7488" s="5"/>
      <c r="G7488" s="9"/>
      <c r="H7488" s="9"/>
      <c r="I7488" s="9"/>
    </row>
    <row r="7489" ht="14.25">
      <c r="A7489" s="5"/>
      <c r="B7489" s="7"/>
      <c r="C7489" s="7"/>
      <c r="D7489" s="7"/>
      <c r="E7489" s="5"/>
      <c r="F7489" s="5"/>
      <c r="G7489" s="9"/>
      <c r="H7489" s="9"/>
      <c r="I7489" s="9"/>
    </row>
    <row r="7490" ht="14.25">
      <c r="A7490" s="5"/>
      <c r="B7490" s="7"/>
      <c r="C7490" s="7"/>
      <c r="D7490" s="7"/>
      <c r="E7490" s="5"/>
      <c r="F7490" s="5"/>
      <c r="G7490" s="9"/>
      <c r="H7490" s="9"/>
      <c r="I7490" s="9"/>
    </row>
    <row r="7491" ht="14.25">
      <c r="A7491" s="5"/>
      <c r="B7491" s="7"/>
      <c r="C7491" s="7"/>
      <c r="D7491" s="7"/>
      <c r="E7491" s="5"/>
      <c r="F7491" s="5"/>
      <c r="G7491" s="9"/>
      <c r="H7491" s="9"/>
      <c r="I7491" s="9"/>
    </row>
    <row r="7492" ht="14.25">
      <c r="A7492" s="5"/>
      <c r="B7492" s="7"/>
      <c r="C7492" s="7"/>
      <c r="D7492" s="7"/>
      <c r="E7492" s="5"/>
      <c r="F7492" s="5"/>
      <c r="G7492" s="9"/>
      <c r="H7492" s="9"/>
      <c r="I7492" s="9"/>
    </row>
    <row r="7493" ht="14.25">
      <c r="A7493" s="5"/>
      <c r="B7493" s="7"/>
      <c r="C7493" s="7"/>
      <c r="D7493" s="7"/>
      <c r="E7493" s="5"/>
      <c r="F7493" s="5"/>
      <c r="G7493" s="9"/>
      <c r="H7493" s="9"/>
      <c r="I7493" s="9"/>
    </row>
    <row r="7494" ht="14.25">
      <c r="A7494" s="5"/>
      <c r="B7494" s="7"/>
      <c r="C7494" s="7"/>
      <c r="D7494" s="7"/>
      <c r="E7494" s="5"/>
      <c r="F7494" s="5"/>
      <c r="G7494" s="9"/>
      <c r="H7494" s="9"/>
      <c r="I7494" s="9"/>
    </row>
    <row r="7495" ht="14.25">
      <c r="A7495" s="5"/>
      <c r="B7495" s="7"/>
      <c r="C7495" s="7"/>
      <c r="D7495" s="7"/>
      <c r="E7495" s="5"/>
      <c r="F7495" s="5"/>
      <c r="G7495" s="9"/>
      <c r="H7495" s="9"/>
      <c r="I7495" s="9"/>
    </row>
    <row r="7496" ht="14.25">
      <c r="A7496" s="5"/>
      <c r="B7496" s="7"/>
      <c r="C7496" s="7"/>
      <c r="D7496" s="7"/>
      <c r="E7496" s="5"/>
      <c r="F7496" s="5"/>
      <c r="G7496" s="9"/>
      <c r="H7496" s="9"/>
      <c r="I7496" s="9"/>
    </row>
    <row r="7497" ht="14.25">
      <c r="A7497" s="5"/>
      <c r="B7497" s="7"/>
      <c r="C7497" s="7"/>
      <c r="D7497" s="7"/>
      <c r="E7497" s="5"/>
      <c r="F7497" s="5"/>
      <c r="G7497" s="9"/>
      <c r="H7497" s="9"/>
      <c r="I7497" s="9"/>
    </row>
    <row r="7498" ht="14.25">
      <c r="A7498" s="5"/>
      <c r="B7498" s="7"/>
      <c r="C7498" s="7"/>
      <c r="D7498" s="7"/>
      <c r="E7498" s="5"/>
      <c r="F7498" s="5"/>
      <c r="G7498" s="9"/>
      <c r="H7498" s="9"/>
      <c r="I7498" s="9"/>
    </row>
    <row r="7499" ht="14.25">
      <c r="A7499" s="5"/>
      <c r="B7499" s="7"/>
      <c r="C7499" s="7"/>
      <c r="D7499" s="7"/>
      <c r="E7499" s="5"/>
      <c r="F7499" s="5"/>
      <c r="G7499" s="9"/>
      <c r="H7499" s="9"/>
      <c r="I7499" s="9"/>
    </row>
    <row r="7500" ht="14.25">
      <c r="A7500" s="5"/>
      <c r="B7500" s="7"/>
      <c r="C7500" s="7"/>
      <c r="D7500" s="7"/>
      <c r="E7500" s="5"/>
      <c r="F7500" s="5"/>
      <c r="G7500" s="9"/>
      <c r="H7500" s="9"/>
      <c r="I7500" s="9"/>
    </row>
    <row r="7501" ht="14.25">
      <c r="A7501" s="5"/>
      <c r="B7501" s="7"/>
      <c r="C7501" s="7"/>
      <c r="D7501" s="7"/>
      <c r="E7501" s="5"/>
      <c r="F7501" s="5"/>
      <c r="G7501" s="9"/>
      <c r="H7501" s="9"/>
      <c r="I7501" s="9"/>
    </row>
    <row r="7502" ht="14.25">
      <c r="A7502" s="5"/>
      <c r="B7502" s="7"/>
      <c r="C7502" s="7"/>
      <c r="D7502" s="7"/>
      <c r="E7502" s="5"/>
      <c r="F7502" s="5"/>
      <c r="G7502" s="9"/>
      <c r="H7502" s="9"/>
      <c r="I7502" s="9"/>
    </row>
    <row r="7503" ht="14.25">
      <c r="A7503" s="5"/>
      <c r="B7503" s="7"/>
      <c r="C7503" s="7"/>
      <c r="D7503" s="7"/>
      <c r="E7503" s="5"/>
      <c r="F7503" s="5"/>
      <c r="G7503" s="9"/>
      <c r="H7503" s="9"/>
      <c r="I7503" s="9"/>
    </row>
    <row r="7504" ht="14.25">
      <c r="A7504" s="5"/>
      <c r="B7504" s="7"/>
      <c r="C7504" s="7"/>
      <c r="D7504" s="7"/>
      <c r="E7504" s="5"/>
      <c r="F7504" s="5"/>
      <c r="G7504" s="9"/>
      <c r="H7504" s="9"/>
      <c r="I7504" s="9"/>
    </row>
    <row r="7505" ht="14.25">
      <c r="A7505" s="5"/>
      <c r="B7505" s="7"/>
      <c r="C7505" s="7"/>
      <c r="D7505" s="7"/>
      <c r="E7505" s="5"/>
      <c r="F7505" s="5"/>
      <c r="G7505" s="9"/>
      <c r="H7505" s="9"/>
      <c r="I7505" s="9"/>
    </row>
    <row r="7506" ht="14.25">
      <c r="A7506" s="5"/>
      <c r="B7506" s="7"/>
      <c r="C7506" s="7"/>
      <c r="D7506" s="7"/>
      <c r="E7506" s="5"/>
      <c r="F7506" s="5"/>
      <c r="G7506" s="9"/>
      <c r="H7506" s="9"/>
      <c r="I7506" s="9"/>
    </row>
    <row r="7507" ht="14.25">
      <c r="A7507" s="5"/>
      <c r="B7507" s="7"/>
      <c r="C7507" s="7"/>
      <c r="D7507" s="7"/>
      <c r="E7507" s="5"/>
      <c r="F7507" s="5"/>
      <c r="G7507" s="9"/>
      <c r="H7507" s="9"/>
      <c r="I7507" s="9"/>
    </row>
    <row r="7508" ht="14.25">
      <c r="A7508" s="5"/>
      <c r="B7508" s="7"/>
      <c r="C7508" s="7"/>
      <c r="D7508" s="7"/>
      <c r="E7508" s="5"/>
      <c r="F7508" s="5"/>
      <c r="G7508" s="9"/>
      <c r="H7508" s="9"/>
      <c r="I7508" s="9"/>
    </row>
    <row r="7509" ht="14.25">
      <c r="A7509" s="5"/>
      <c r="B7509" s="7"/>
      <c r="C7509" s="7"/>
      <c r="D7509" s="7"/>
      <c r="E7509" s="5"/>
      <c r="F7509" s="5"/>
      <c r="G7509" s="9"/>
      <c r="H7509" s="9"/>
      <c r="I7509" s="9"/>
    </row>
    <row r="7510" ht="14.25">
      <c r="A7510" s="5"/>
      <c r="B7510" s="7"/>
      <c r="C7510" s="7"/>
      <c r="D7510" s="7"/>
      <c r="E7510" s="5"/>
      <c r="F7510" s="5"/>
      <c r="G7510" s="9"/>
      <c r="H7510" s="9"/>
      <c r="I7510" s="9"/>
    </row>
    <row r="7511" ht="14.25">
      <c r="A7511" s="5"/>
      <c r="B7511" s="7"/>
      <c r="C7511" s="7"/>
      <c r="D7511" s="7"/>
      <c r="E7511" s="5"/>
      <c r="F7511" s="5"/>
      <c r="G7511" s="9"/>
      <c r="H7511" s="9"/>
      <c r="I7511" s="9"/>
    </row>
    <row r="7512" ht="14.25">
      <c r="A7512" s="5"/>
      <c r="B7512" s="7"/>
      <c r="C7512" s="7"/>
      <c r="D7512" s="7"/>
      <c r="E7512" s="5"/>
      <c r="F7512" s="5"/>
      <c r="G7512" s="9"/>
      <c r="H7512" s="9"/>
      <c r="I7512" s="9"/>
    </row>
    <row r="7513" ht="14.25">
      <c r="A7513" s="5"/>
      <c r="B7513" s="7"/>
      <c r="C7513" s="7"/>
      <c r="D7513" s="7"/>
      <c r="E7513" s="5"/>
      <c r="F7513" s="5"/>
      <c r="G7513" s="9"/>
      <c r="H7513" s="9"/>
      <c r="I7513" s="9"/>
    </row>
    <row r="7514" ht="14.25">
      <c r="A7514" s="5"/>
      <c r="B7514" s="7"/>
      <c r="C7514" s="7"/>
      <c r="D7514" s="7"/>
      <c r="E7514" s="5"/>
      <c r="F7514" s="5"/>
      <c r="G7514" s="9"/>
      <c r="H7514" s="9"/>
      <c r="I7514" s="9"/>
    </row>
    <row r="7515" ht="14.25">
      <c r="A7515" s="5"/>
      <c r="B7515" s="7"/>
      <c r="C7515" s="7"/>
      <c r="D7515" s="7"/>
      <c r="E7515" s="5"/>
      <c r="F7515" s="5"/>
      <c r="G7515" s="9"/>
      <c r="H7515" s="9"/>
      <c r="I7515" s="9"/>
    </row>
    <row r="7516" ht="14.25">
      <c r="A7516" s="5"/>
      <c r="B7516" s="7"/>
      <c r="C7516" s="7"/>
      <c r="D7516" s="7"/>
      <c r="E7516" s="5"/>
      <c r="F7516" s="5"/>
      <c r="G7516" s="9"/>
      <c r="H7516" s="9"/>
      <c r="I7516" s="9"/>
    </row>
    <row r="7517" ht="14.25">
      <c r="A7517" s="5"/>
      <c r="B7517" s="7"/>
      <c r="C7517" s="7"/>
      <c r="D7517" s="7"/>
      <c r="E7517" s="5"/>
      <c r="F7517" s="5"/>
      <c r="G7517" s="9"/>
      <c r="H7517" s="9"/>
      <c r="I7517" s="9"/>
    </row>
    <row r="7518" ht="14.25">
      <c r="A7518" s="5"/>
      <c r="B7518" s="7"/>
      <c r="C7518" s="7"/>
      <c r="D7518" s="7"/>
      <c r="E7518" s="5"/>
      <c r="F7518" s="5"/>
      <c r="G7518" s="9"/>
      <c r="H7518" s="9"/>
      <c r="I7518" s="9"/>
    </row>
    <row r="7519" ht="14.25">
      <c r="A7519" s="5"/>
      <c r="B7519" s="7"/>
      <c r="C7519" s="7"/>
      <c r="D7519" s="7"/>
      <c r="E7519" s="5"/>
      <c r="F7519" s="5"/>
      <c r="G7519" s="9"/>
      <c r="H7519" s="9"/>
      <c r="I7519" s="9"/>
    </row>
    <row r="7520" ht="14.25">
      <c r="A7520" s="5"/>
      <c r="B7520" s="7"/>
      <c r="C7520" s="7"/>
      <c r="D7520" s="7"/>
      <c r="E7520" s="5"/>
      <c r="F7520" s="5"/>
      <c r="G7520" s="9"/>
      <c r="H7520" s="9"/>
      <c r="I7520" s="9"/>
    </row>
    <row r="7521" ht="14.25">
      <c r="A7521" s="5"/>
      <c r="B7521" s="7"/>
      <c r="C7521" s="7"/>
      <c r="D7521" s="7"/>
      <c r="E7521" s="5"/>
      <c r="F7521" s="5"/>
      <c r="G7521" s="9"/>
      <c r="H7521" s="9"/>
      <c r="I7521" s="9"/>
    </row>
    <row r="7522" ht="14.25">
      <c r="A7522" s="5"/>
      <c r="B7522" s="7"/>
      <c r="C7522" s="7"/>
      <c r="D7522" s="7"/>
      <c r="E7522" s="5"/>
      <c r="F7522" s="5"/>
      <c r="G7522" s="9"/>
      <c r="H7522" s="9"/>
      <c r="I7522" s="9"/>
    </row>
    <row r="7523" ht="14.25">
      <c r="A7523" s="5"/>
      <c r="B7523" s="7"/>
      <c r="C7523" s="7"/>
      <c r="D7523" s="7"/>
      <c r="E7523" s="5"/>
      <c r="F7523" s="5"/>
      <c r="G7523" s="9"/>
      <c r="H7523" s="9"/>
      <c r="I7523" s="9"/>
    </row>
    <row r="7524" ht="14.25">
      <c r="A7524" s="5"/>
      <c r="B7524" s="7"/>
      <c r="C7524" s="7"/>
      <c r="D7524" s="7"/>
      <c r="E7524" s="5"/>
      <c r="F7524" s="5"/>
      <c r="G7524" s="9"/>
      <c r="H7524" s="9"/>
      <c r="I7524" s="9"/>
    </row>
    <row r="7525" ht="14.25">
      <c r="A7525" s="5"/>
      <c r="B7525" s="7"/>
      <c r="C7525" s="7"/>
      <c r="D7525" s="7"/>
      <c r="E7525" s="5"/>
      <c r="F7525" s="5"/>
      <c r="G7525" s="9"/>
      <c r="H7525" s="9"/>
      <c r="I7525" s="9"/>
    </row>
    <row r="7526" ht="14.25">
      <c r="A7526" s="5"/>
      <c r="B7526" s="7"/>
      <c r="C7526" s="7"/>
      <c r="D7526" s="7"/>
      <c r="E7526" s="5"/>
      <c r="F7526" s="5"/>
      <c r="G7526" s="9"/>
      <c r="H7526" s="9"/>
      <c r="I7526" s="9"/>
    </row>
    <row r="7527" ht="14.25">
      <c r="A7527" s="5"/>
      <c r="B7527" s="7"/>
      <c r="C7527" s="7"/>
      <c r="D7527" s="7"/>
      <c r="E7527" s="5"/>
      <c r="F7527" s="5"/>
      <c r="G7527" s="9"/>
      <c r="H7527" s="9"/>
      <c r="I7527" s="9"/>
    </row>
    <row r="7528" ht="14.25">
      <c r="A7528" s="5"/>
      <c r="B7528" s="7"/>
      <c r="C7528" s="7"/>
      <c r="D7528" s="7"/>
      <c r="E7528" s="5"/>
      <c r="F7528" s="5"/>
      <c r="G7528" s="9"/>
      <c r="H7528" s="9"/>
      <c r="I7528" s="9"/>
    </row>
    <row r="7529" ht="14.25">
      <c r="A7529" s="5"/>
      <c r="B7529" s="7"/>
      <c r="C7529" s="7"/>
      <c r="D7529" s="7"/>
      <c r="E7529" s="5"/>
      <c r="F7529" s="5"/>
      <c r="G7529" s="9"/>
      <c r="H7529" s="9"/>
      <c r="I7529" s="9"/>
    </row>
    <row r="7530" ht="14.25">
      <c r="A7530" s="5"/>
      <c r="B7530" s="7"/>
      <c r="C7530" s="7"/>
      <c r="D7530" s="7"/>
      <c r="E7530" s="5"/>
      <c r="F7530" s="5"/>
      <c r="G7530" s="9"/>
      <c r="H7530" s="9"/>
      <c r="I7530" s="9"/>
    </row>
    <row r="7531" ht="14.25">
      <c r="A7531" s="5"/>
      <c r="B7531" s="7"/>
      <c r="C7531" s="7"/>
      <c r="D7531" s="7"/>
      <c r="E7531" s="5"/>
      <c r="F7531" s="5"/>
      <c r="G7531" s="9"/>
      <c r="H7531" s="9"/>
      <c r="I7531" s="9"/>
    </row>
    <row r="7532" ht="14.25">
      <c r="A7532" s="5"/>
      <c r="B7532" s="7"/>
      <c r="C7532" s="7"/>
      <c r="D7532" s="7"/>
      <c r="E7532" s="5"/>
      <c r="F7532" s="5"/>
      <c r="G7532" s="9"/>
      <c r="H7532" s="9"/>
      <c r="I7532" s="9"/>
    </row>
    <row r="7533" ht="14.25">
      <c r="A7533" s="5"/>
      <c r="B7533" s="7"/>
      <c r="C7533" s="7"/>
      <c r="D7533" s="7"/>
      <c r="E7533" s="5"/>
      <c r="F7533" s="5"/>
      <c r="G7533" s="9"/>
      <c r="H7533" s="9"/>
      <c r="I7533" s="9"/>
    </row>
    <row r="7534" ht="14.25">
      <c r="A7534" s="5"/>
      <c r="B7534" s="7"/>
      <c r="C7534" s="7"/>
      <c r="D7534" s="7"/>
      <c r="E7534" s="5"/>
      <c r="F7534" s="5"/>
      <c r="G7534" s="9"/>
      <c r="H7534" s="9"/>
      <c r="I7534" s="9"/>
    </row>
    <row r="7535" ht="14.25">
      <c r="A7535" s="5"/>
      <c r="B7535" s="7"/>
      <c r="C7535" s="7"/>
      <c r="D7535" s="7"/>
      <c r="E7535" s="5"/>
      <c r="F7535" s="5"/>
      <c r="G7535" s="9"/>
      <c r="H7535" s="9"/>
      <c r="I7535" s="9"/>
    </row>
    <row r="7536" ht="14.25">
      <c r="A7536" s="5"/>
      <c r="B7536" s="7"/>
      <c r="C7536" s="7"/>
      <c r="D7536" s="7"/>
      <c r="E7536" s="5"/>
      <c r="F7536" s="5"/>
      <c r="G7536" s="9"/>
      <c r="H7536" s="9"/>
      <c r="I7536" s="9"/>
    </row>
    <row r="7537" ht="14.25">
      <c r="A7537" s="5"/>
      <c r="B7537" s="7"/>
      <c r="C7537" s="7"/>
      <c r="D7537" s="7"/>
      <c r="E7537" s="5"/>
      <c r="F7537" s="5"/>
      <c r="G7537" s="9"/>
      <c r="H7537" s="9"/>
      <c r="I7537" s="9"/>
    </row>
    <row r="7538" ht="14.25">
      <c r="A7538" s="5"/>
      <c r="B7538" s="7"/>
      <c r="C7538" s="7"/>
      <c r="D7538" s="7"/>
      <c r="E7538" s="5"/>
      <c r="F7538" s="5"/>
      <c r="G7538" s="9"/>
      <c r="H7538" s="9"/>
      <c r="I7538" s="9"/>
    </row>
    <row r="7539" ht="14.25">
      <c r="A7539" s="5"/>
      <c r="B7539" s="7"/>
      <c r="C7539" s="7"/>
      <c r="D7539" s="7"/>
      <c r="E7539" s="5"/>
      <c r="F7539" s="5"/>
      <c r="G7539" s="9"/>
      <c r="H7539" s="9"/>
      <c r="I7539" s="9"/>
    </row>
    <row r="7540" ht="14.25">
      <c r="A7540" s="5"/>
      <c r="B7540" s="7"/>
      <c r="C7540" s="7"/>
      <c r="D7540" s="7"/>
      <c r="E7540" s="5"/>
      <c r="F7540" s="5"/>
      <c r="G7540" s="9"/>
      <c r="H7540" s="9"/>
      <c r="I7540" s="9"/>
    </row>
    <row r="7541" ht="14.25">
      <c r="A7541" s="5"/>
      <c r="B7541" s="7"/>
      <c r="C7541" s="7"/>
      <c r="D7541" s="7"/>
      <c r="E7541" s="5"/>
      <c r="F7541" s="5"/>
      <c r="G7541" s="9"/>
      <c r="H7541" s="9"/>
      <c r="I7541" s="9"/>
    </row>
    <row r="7542" ht="14.25">
      <c r="A7542" s="5"/>
      <c r="B7542" s="7"/>
      <c r="C7542" s="7"/>
      <c r="D7542" s="7"/>
      <c r="E7542" s="5"/>
      <c r="F7542" s="5"/>
      <c r="G7542" s="9"/>
      <c r="H7542" s="9"/>
      <c r="I7542" s="9"/>
    </row>
    <row r="7543" ht="14.25">
      <c r="A7543" s="5"/>
      <c r="B7543" s="7"/>
      <c r="C7543" s="7"/>
      <c r="D7543" s="7"/>
      <c r="E7543" s="5"/>
      <c r="F7543" s="5"/>
      <c r="G7543" s="9"/>
      <c r="H7543" s="9"/>
      <c r="I7543" s="9"/>
    </row>
    <row r="7544" ht="14.25">
      <c r="A7544" s="5"/>
      <c r="B7544" s="7"/>
      <c r="C7544" s="7"/>
      <c r="D7544" s="7"/>
      <c r="E7544" s="5"/>
      <c r="F7544" s="5"/>
      <c r="G7544" s="9"/>
      <c r="H7544" s="9"/>
      <c r="I7544" s="9"/>
    </row>
    <row r="7545" ht="14.25">
      <c r="A7545" s="5"/>
      <c r="B7545" s="7"/>
      <c r="C7545" s="7"/>
      <c r="D7545" s="7"/>
      <c r="E7545" s="5"/>
      <c r="F7545" s="5"/>
      <c r="G7545" s="9"/>
      <c r="H7545" s="9"/>
      <c r="I7545" s="9"/>
    </row>
    <row r="7546" ht="14.25">
      <c r="A7546" s="5"/>
      <c r="B7546" s="7"/>
      <c r="C7546" s="7"/>
      <c r="D7546" s="7"/>
      <c r="E7546" s="5"/>
      <c r="F7546" s="5"/>
      <c r="G7546" s="9"/>
      <c r="H7546" s="9"/>
      <c r="I7546" s="9"/>
    </row>
    <row r="7547" ht="14.25">
      <c r="A7547" s="5"/>
      <c r="B7547" s="7"/>
      <c r="C7547" s="7"/>
      <c r="D7547" s="7"/>
      <c r="E7547" s="5"/>
      <c r="F7547" s="5"/>
      <c r="G7547" s="9"/>
      <c r="H7547" s="9"/>
      <c r="I7547" s="9"/>
    </row>
    <row r="7548" ht="14.25">
      <c r="A7548" s="5"/>
      <c r="B7548" s="7"/>
      <c r="C7548" s="7"/>
      <c r="D7548" s="7"/>
      <c r="E7548" s="5"/>
      <c r="F7548" s="5"/>
      <c r="G7548" s="9"/>
      <c r="H7548" s="9"/>
      <c r="I7548" s="9"/>
    </row>
    <row r="7549" ht="14.25">
      <c r="A7549" s="5"/>
      <c r="B7549" s="7"/>
      <c r="C7549" s="7"/>
      <c r="D7549" s="7"/>
      <c r="E7549" s="5"/>
      <c r="F7549" s="5"/>
      <c r="G7549" s="9"/>
      <c r="H7549" s="9"/>
      <c r="I7549" s="9"/>
    </row>
    <row r="7550" ht="14.25">
      <c r="A7550" s="5"/>
      <c r="B7550" s="7"/>
      <c r="C7550" s="7"/>
      <c r="D7550" s="7"/>
      <c r="E7550" s="5"/>
      <c r="F7550" s="5"/>
      <c r="G7550" s="9"/>
      <c r="H7550" s="9"/>
      <c r="I7550" s="9"/>
    </row>
    <row r="7551" ht="14.25">
      <c r="A7551" s="5"/>
      <c r="B7551" s="7"/>
      <c r="C7551" s="7"/>
      <c r="D7551" s="7"/>
      <c r="E7551" s="5"/>
      <c r="F7551" s="5"/>
      <c r="G7551" s="9"/>
      <c r="H7551" s="9"/>
      <c r="I7551" s="9"/>
    </row>
    <row r="7552" ht="14.25">
      <c r="A7552" s="5"/>
      <c r="B7552" s="7"/>
      <c r="C7552" s="7"/>
      <c r="D7552" s="7"/>
      <c r="E7552" s="5"/>
      <c r="F7552" s="5"/>
      <c r="G7552" s="9"/>
      <c r="H7552" s="9"/>
      <c r="I7552" s="9"/>
    </row>
    <row r="7553" ht="14.25">
      <c r="A7553" s="5"/>
      <c r="B7553" s="7"/>
      <c r="C7553" s="7"/>
      <c r="D7553" s="7"/>
      <c r="E7553" s="5"/>
      <c r="F7553" s="5"/>
      <c r="G7553" s="9"/>
      <c r="H7553" s="9"/>
      <c r="I7553" s="9"/>
    </row>
    <row r="7554" ht="14.25">
      <c r="A7554" s="5"/>
      <c r="B7554" s="7"/>
      <c r="C7554" s="7"/>
      <c r="D7554" s="7"/>
      <c r="E7554" s="5"/>
      <c r="F7554" s="5"/>
      <c r="G7554" s="9"/>
      <c r="H7554" s="9"/>
      <c r="I7554" s="9"/>
    </row>
    <row r="7555" ht="14.25">
      <c r="A7555" s="5"/>
      <c r="B7555" s="7"/>
      <c r="C7555" s="7"/>
      <c r="D7555" s="7"/>
      <c r="E7555" s="5"/>
      <c r="F7555" s="5"/>
      <c r="G7555" s="9"/>
      <c r="H7555" s="9"/>
      <c r="I7555" s="9"/>
    </row>
    <row r="7556" ht="14.25">
      <c r="A7556" s="5"/>
      <c r="B7556" s="7"/>
      <c r="C7556" s="7"/>
      <c r="D7556" s="7"/>
      <c r="E7556" s="5"/>
      <c r="F7556" s="5"/>
      <c r="G7556" s="9"/>
      <c r="H7556" s="9"/>
      <c r="I7556" s="9"/>
    </row>
    <row r="7557" ht="14.25">
      <c r="A7557" s="5"/>
      <c r="B7557" s="7"/>
      <c r="C7557" s="7"/>
      <c r="D7557" s="7"/>
      <c r="E7557" s="5"/>
      <c r="F7557" s="5"/>
      <c r="G7557" s="9"/>
      <c r="H7557" s="9"/>
      <c r="I7557" s="9"/>
    </row>
    <row r="7558" ht="14.25">
      <c r="A7558" s="5"/>
      <c r="B7558" s="7"/>
      <c r="C7558" s="7"/>
      <c r="D7558" s="7"/>
      <c r="E7558" s="5"/>
      <c r="F7558" s="5"/>
      <c r="G7558" s="9"/>
      <c r="H7558" s="9"/>
      <c r="I7558" s="9"/>
    </row>
    <row r="7559" ht="14.25">
      <c r="A7559" s="5"/>
      <c r="B7559" s="7"/>
      <c r="C7559" s="7"/>
      <c r="D7559" s="7"/>
      <c r="E7559" s="5"/>
      <c r="F7559" s="5"/>
      <c r="G7559" s="9"/>
      <c r="H7559" s="9"/>
      <c r="I7559" s="9"/>
    </row>
    <row r="7560" ht="14.25">
      <c r="A7560" s="5"/>
      <c r="B7560" s="7"/>
      <c r="C7560" s="7"/>
      <c r="D7560" s="7"/>
      <c r="E7560" s="5"/>
      <c r="F7560" s="5"/>
      <c r="G7560" s="9"/>
      <c r="H7560" s="9"/>
      <c r="I7560" s="9"/>
    </row>
    <row r="7561" ht="14.25">
      <c r="A7561" s="5"/>
      <c r="B7561" s="7"/>
      <c r="C7561" s="7"/>
      <c r="D7561" s="7"/>
      <c r="E7561" s="5"/>
      <c r="F7561" s="5"/>
      <c r="G7561" s="9"/>
      <c r="H7561" s="9"/>
      <c r="I7561" s="9"/>
    </row>
    <row r="7562" ht="14.25">
      <c r="A7562" s="5"/>
      <c r="B7562" s="7"/>
      <c r="C7562" s="7"/>
      <c r="D7562" s="7"/>
      <c r="E7562" s="5"/>
      <c r="F7562" s="5"/>
      <c r="G7562" s="9"/>
      <c r="H7562" s="9"/>
      <c r="I7562" s="9"/>
    </row>
    <row r="7563" ht="14.25">
      <c r="A7563" s="5"/>
      <c r="B7563" s="7"/>
      <c r="C7563" s="7"/>
      <c r="D7563" s="7"/>
      <c r="E7563" s="5"/>
      <c r="F7563" s="5"/>
      <c r="G7563" s="9"/>
      <c r="H7563" s="9"/>
      <c r="I7563" s="9"/>
    </row>
    <row r="7564" ht="14.25">
      <c r="A7564" s="5"/>
      <c r="B7564" s="7"/>
      <c r="C7564" s="7"/>
      <c r="D7564" s="7"/>
      <c r="E7564" s="5"/>
      <c r="F7564" s="5"/>
      <c r="G7564" s="9"/>
      <c r="H7564" s="9"/>
      <c r="I7564" s="9"/>
    </row>
    <row r="7565" ht="14.25">
      <c r="A7565" s="5"/>
      <c r="B7565" s="7"/>
      <c r="C7565" s="7"/>
      <c r="D7565" s="7"/>
      <c r="E7565" s="5"/>
      <c r="F7565" s="5"/>
      <c r="G7565" s="9"/>
      <c r="H7565" s="9"/>
      <c r="I7565" s="9"/>
    </row>
    <row r="7566" ht="14.25">
      <c r="A7566" s="5"/>
      <c r="B7566" s="7"/>
      <c r="C7566" s="7"/>
      <c r="D7566" s="7"/>
      <c r="E7566" s="5"/>
      <c r="F7566" s="5"/>
      <c r="G7566" s="9"/>
      <c r="H7566" s="9"/>
      <c r="I7566" s="9"/>
    </row>
    <row r="7567" ht="14.25">
      <c r="A7567" s="5"/>
      <c r="B7567" s="7"/>
      <c r="C7567" s="7"/>
      <c r="D7567" s="7"/>
      <c r="E7567" s="5"/>
      <c r="F7567" s="5"/>
      <c r="G7567" s="9"/>
      <c r="H7567" s="9"/>
      <c r="I7567" s="9"/>
    </row>
    <row r="7568" ht="14.25">
      <c r="A7568" s="5"/>
      <c r="B7568" s="7"/>
      <c r="C7568" s="7"/>
      <c r="D7568" s="7"/>
      <c r="E7568" s="5"/>
      <c r="F7568" s="5"/>
      <c r="G7568" s="9"/>
      <c r="H7568" s="9"/>
      <c r="I7568" s="9"/>
    </row>
    <row r="7569" ht="14.25">
      <c r="A7569" s="5"/>
      <c r="B7569" s="7"/>
      <c r="C7569" s="7"/>
      <c r="D7569" s="7"/>
      <c r="E7569" s="5"/>
      <c r="F7569" s="5"/>
      <c r="G7569" s="9"/>
      <c r="H7569" s="9"/>
      <c r="I7569" s="9"/>
    </row>
    <row r="7570" ht="14.25">
      <c r="A7570" s="5"/>
      <c r="B7570" s="7"/>
      <c r="C7570" s="7"/>
      <c r="D7570" s="7"/>
      <c r="E7570" s="5"/>
      <c r="F7570" s="5"/>
      <c r="G7570" s="9"/>
      <c r="H7570" s="9"/>
      <c r="I7570" s="9"/>
    </row>
    <row r="7571" ht="14.25">
      <c r="A7571" s="5"/>
      <c r="B7571" s="7"/>
      <c r="C7571" s="7"/>
      <c r="D7571" s="7"/>
      <c r="E7571" s="5"/>
      <c r="F7571" s="5"/>
      <c r="G7571" s="9"/>
      <c r="H7571" s="9"/>
      <c r="I7571" s="9"/>
    </row>
    <row r="7572" ht="14.25">
      <c r="A7572" s="5"/>
      <c r="B7572" s="7"/>
      <c r="C7572" s="7"/>
      <c r="D7572" s="7"/>
      <c r="E7572" s="5"/>
      <c r="F7572" s="5"/>
      <c r="G7572" s="9"/>
      <c r="H7572" s="9"/>
      <c r="I7572" s="9"/>
    </row>
    <row r="7573" ht="14.25">
      <c r="A7573" s="5"/>
      <c r="B7573" s="7"/>
      <c r="C7573" s="7"/>
      <c r="D7573" s="7"/>
      <c r="E7573" s="5"/>
      <c r="F7573" s="5"/>
      <c r="G7573" s="9"/>
      <c r="H7573" s="9"/>
      <c r="I7573" s="9"/>
    </row>
    <row r="7574" ht="14.25">
      <c r="A7574" s="5"/>
      <c r="B7574" s="7"/>
      <c r="C7574" s="7"/>
      <c r="D7574" s="7"/>
      <c r="E7574" s="5"/>
      <c r="F7574" s="5"/>
      <c r="G7574" s="9"/>
      <c r="H7574" s="9"/>
      <c r="I7574" s="9"/>
    </row>
    <row r="7575" ht="14.25">
      <c r="A7575" s="5"/>
      <c r="B7575" s="7"/>
      <c r="C7575" s="7"/>
      <c r="D7575" s="7"/>
      <c r="E7575" s="5"/>
      <c r="F7575" s="5"/>
      <c r="G7575" s="9"/>
      <c r="H7575" s="9"/>
      <c r="I7575" s="9"/>
    </row>
    <row r="7576" ht="14.25">
      <c r="A7576" s="5"/>
      <c r="B7576" s="7"/>
      <c r="C7576" s="7"/>
      <c r="D7576" s="7"/>
      <c r="E7576" s="5"/>
      <c r="F7576" s="5"/>
      <c r="G7576" s="9"/>
      <c r="H7576" s="9"/>
      <c r="I7576" s="9"/>
    </row>
    <row r="7577" ht="14.25">
      <c r="A7577" s="5"/>
      <c r="B7577" s="7"/>
      <c r="C7577" s="7"/>
      <c r="D7577" s="7"/>
      <c r="E7577" s="5"/>
      <c r="F7577" s="5"/>
      <c r="G7577" s="9"/>
      <c r="H7577" s="9"/>
      <c r="I7577" s="9"/>
    </row>
    <row r="7578" ht="14.25">
      <c r="A7578" s="5"/>
      <c r="B7578" s="7"/>
      <c r="C7578" s="7"/>
      <c r="D7578" s="7"/>
      <c r="E7578" s="5"/>
      <c r="F7578" s="5"/>
      <c r="G7578" s="9"/>
      <c r="H7578" s="9"/>
      <c r="I7578" s="9"/>
    </row>
    <row r="7579" ht="14.25">
      <c r="A7579" s="5"/>
      <c r="B7579" s="7"/>
      <c r="C7579" s="7"/>
      <c r="D7579" s="7"/>
      <c r="E7579" s="5"/>
      <c r="F7579" s="5"/>
      <c r="G7579" s="9"/>
      <c r="H7579" s="9"/>
      <c r="I7579" s="9"/>
    </row>
    <row r="7580" ht="14.25">
      <c r="A7580" s="5"/>
      <c r="B7580" s="7"/>
      <c r="C7580" s="7"/>
      <c r="D7580" s="7"/>
      <c r="E7580" s="5"/>
      <c r="F7580" s="5"/>
      <c r="G7580" s="9"/>
      <c r="H7580" s="9"/>
      <c r="I7580" s="9"/>
    </row>
    <row r="7581" ht="14.25">
      <c r="A7581" s="5"/>
      <c r="B7581" s="7"/>
      <c r="C7581" s="7"/>
      <c r="D7581" s="7"/>
      <c r="E7581" s="5"/>
      <c r="F7581" s="5"/>
      <c r="G7581" s="9"/>
      <c r="H7581" s="9"/>
      <c r="I7581" s="9"/>
    </row>
    <row r="7582" ht="14.25">
      <c r="A7582" s="5"/>
      <c r="B7582" s="7"/>
      <c r="C7582" s="7"/>
      <c r="D7582" s="7"/>
      <c r="E7582" s="5"/>
      <c r="F7582" s="5"/>
      <c r="G7582" s="9"/>
      <c r="H7582" s="9"/>
      <c r="I7582" s="9"/>
    </row>
    <row r="7583" ht="14.25">
      <c r="A7583" s="5"/>
      <c r="B7583" s="7"/>
      <c r="C7583" s="7"/>
      <c r="D7583" s="7"/>
      <c r="E7583" s="5"/>
      <c r="F7583" s="5"/>
      <c r="G7583" s="9"/>
      <c r="H7583" s="9"/>
      <c r="I7583" s="9"/>
    </row>
    <row r="7584" ht="14.25">
      <c r="A7584" s="5"/>
      <c r="B7584" s="7"/>
      <c r="C7584" s="7"/>
      <c r="D7584" s="7"/>
      <c r="E7584" s="5"/>
      <c r="F7584" s="5"/>
      <c r="G7584" s="9"/>
      <c r="H7584" s="9"/>
      <c r="I7584" s="9"/>
    </row>
    <row r="7585" ht="14.25">
      <c r="A7585" s="5"/>
      <c r="B7585" s="7"/>
      <c r="C7585" s="7"/>
      <c r="D7585" s="7"/>
      <c r="E7585" s="5"/>
      <c r="F7585" s="5"/>
      <c r="G7585" s="9"/>
      <c r="H7585" s="9"/>
      <c r="I7585" s="9"/>
    </row>
    <row r="7586" ht="14.25">
      <c r="A7586" s="5"/>
      <c r="B7586" s="7"/>
      <c r="C7586" s="7"/>
      <c r="D7586" s="7"/>
      <c r="E7586" s="5"/>
      <c r="F7586" s="5"/>
      <c r="G7586" s="9"/>
      <c r="H7586" s="9"/>
      <c r="I7586" s="9"/>
    </row>
    <row r="7587" ht="14.25">
      <c r="A7587" s="5"/>
      <c r="B7587" s="7"/>
      <c r="C7587" s="7"/>
      <c r="D7587" s="7"/>
      <c r="E7587" s="5"/>
      <c r="F7587" s="5"/>
      <c r="G7587" s="9"/>
      <c r="H7587" s="9"/>
      <c r="I7587" s="9"/>
    </row>
    <row r="7588" ht="14.25">
      <c r="A7588" s="5"/>
      <c r="B7588" s="7"/>
      <c r="C7588" s="7"/>
      <c r="D7588" s="7"/>
      <c r="E7588" s="5"/>
      <c r="F7588" s="5"/>
      <c r="G7588" s="9"/>
      <c r="H7588" s="9"/>
      <c r="I7588" s="9"/>
    </row>
    <row r="7589" ht="14.25">
      <c r="A7589" s="5"/>
      <c r="B7589" s="7"/>
      <c r="C7589" s="7"/>
      <c r="D7589" s="7"/>
      <c r="E7589" s="5"/>
      <c r="F7589" s="5"/>
      <c r="G7589" s="9"/>
      <c r="H7589" s="9"/>
      <c r="I7589" s="9"/>
    </row>
    <row r="7590" ht="14.25">
      <c r="A7590" s="5"/>
      <c r="B7590" s="7"/>
      <c r="C7590" s="7"/>
      <c r="D7590" s="7"/>
      <c r="E7590" s="5"/>
      <c r="F7590" s="5"/>
      <c r="G7590" s="9"/>
      <c r="H7590" s="9"/>
      <c r="I7590" s="9"/>
    </row>
    <row r="7591" ht="14.25">
      <c r="A7591" s="5"/>
      <c r="B7591" s="7"/>
      <c r="C7591" s="7"/>
      <c r="D7591" s="7"/>
      <c r="E7591" s="5"/>
      <c r="F7591" s="5"/>
      <c r="G7591" s="9"/>
      <c r="H7591" s="9"/>
      <c r="I7591" s="9"/>
    </row>
    <row r="7592" ht="14.25">
      <c r="A7592" s="5"/>
      <c r="B7592" s="7"/>
      <c r="C7592" s="7"/>
      <c r="D7592" s="7"/>
      <c r="E7592" s="5"/>
      <c r="F7592" s="5"/>
      <c r="G7592" s="9"/>
      <c r="H7592" s="9"/>
      <c r="I7592" s="9"/>
    </row>
    <row r="7593" ht="14.25">
      <c r="A7593" s="5"/>
      <c r="B7593" s="7"/>
      <c r="C7593" s="7"/>
      <c r="D7593" s="7"/>
      <c r="E7593" s="5"/>
      <c r="F7593" s="5"/>
      <c r="G7593" s="9"/>
      <c r="H7593" s="9"/>
      <c r="I7593" s="9"/>
    </row>
    <row r="7594" ht="14.25">
      <c r="A7594" s="5"/>
      <c r="B7594" s="7"/>
      <c r="C7594" s="7"/>
      <c r="D7594" s="7"/>
      <c r="E7594" s="5"/>
      <c r="F7594" s="5"/>
      <c r="G7594" s="9"/>
      <c r="H7594" s="9"/>
      <c r="I7594" s="9"/>
    </row>
    <row r="7595" ht="14.25">
      <c r="A7595" s="5"/>
      <c r="B7595" s="7"/>
      <c r="C7595" s="7"/>
      <c r="D7595" s="7"/>
      <c r="E7595" s="5"/>
      <c r="F7595" s="5"/>
      <c r="G7595" s="9"/>
      <c r="H7595" s="9"/>
      <c r="I7595" s="9"/>
    </row>
    <row r="7596" ht="14.25">
      <c r="A7596" s="5"/>
      <c r="B7596" s="7"/>
      <c r="C7596" s="7"/>
      <c r="D7596" s="7"/>
      <c r="E7596" s="5"/>
      <c r="F7596" s="5"/>
      <c r="G7596" s="9"/>
      <c r="H7596" s="9"/>
      <c r="I7596" s="9"/>
    </row>
    <row r="7597" ht="14.25">
      <c r="A7597" s="5"/>
      <c r="B7597" s="7"/>
      <c r="C7597" s="7"/>
      <c r="D7597" s="7"/>
      <c r="E7597" s="5"/>
      <c r="F7597" s="5"/>
      <c r="G7597" s="9"/>
      <c r="H7597" s="9"/>
      <c r="I7597" s="9"/>
    </row>
    <row r="7598" ht="14.25">
      <c r="A7598" s="5"/>
      <c r="B7598" s="7"/>
      <c r="C7598" s="7"/>
      <c r="D7598" s="7"/>
      <c r="E7598" s="5"/>
      <c r="F7598" s="5"/>
      <c r="G7598" s="9"/>
      <c r="H7598" s="9"/>
      <c r="I7598" s="9"/>
    </row>
    <row r="7599" ht="14.25">
      <c r="A7599" s="5"/>
      <c r="B7599" s="7"/>
      <c r="C7599" s="7"/>
      <c r="D7599" s="7"/>
      <c r="E7599" s="5"/>
      <c r="F7599" s="5"/>
      <c r="G7599" s="9"/>
      <c r="H7599" s="9"/>
      <c r="I7599" s="9"/>
    </row>
    <row r="7600" ht="14.25">
      <c r="A7600" s="5"/>
      <c r="B7600" s="7"/>
      <c r="C7600" s="7"/>
      <c r="D7600" s="7"/>
      <c r="E7600" s="5"/>
      <c r="F7600" s="5"/>
      <c r="G7600" s="9"/>
      <c r="H7600" s="9"/>
      <c r="I7600" s="9"/>
    </row>
    <row r="7601" ht="14.25">
      <c r="A7601" s="5"/>
      <c r="B7601" s="7"/>
      <c r="C7601" s="7"/>
      <c r="D7601" s="7"/>
      <c r="E7601" s="5"/>
      <c r="F7601" s="5"/>
      <c r="G7601" s="9"/>
      <c r="H7601" s="9"/>
      <c r="I7601" s="9"/>
    </row>
    <row r="7602" ht="14.25">
      <c r="A7602" s="5"/>
      <c r="B7602" s="7"/>
      <c r="C7602" s="7"/>
      <c r="D7602" s="7"/>
      <c r="E7602" s="5"/>
      <c r="F7602" s="5"/>
      <c r="G7602" s="9"/>
      <c r="H7602" s="9"/>
      <c r="I7602" s="9"/>
    </row>
    <row r="7603" ht="14.25">
      <c r="A7603" s="5"/>
      <c r="B7603" s="7"/>
      <c r="C7603" s="7"/>
      <c r="D7603" s="7"/>
      <c r="E7603" s="5"/>
      <c r="F7603" s="5"/>
      <c r="G7603" s="9"/>
      <c r="H7603" s="9"/>
      <c r="I7603" s="9"/>
    </row>
    <row r="7604" ht="14.25">
      <c r="A7604" s="5"/>
      <c r="B7604" s="7"/>
      <c r="C7604" s="7"/>
      <c r="D7604" s="7"/>
      <c r="E7604" s="5"/>
      <c r="F7604" s="5"/>
      <c r="G7604" s="9"/>
      <c r="H7604" s="9"/>
      <c r="I7604" s="9"/>
    </row>
    <row r="7605" ht="14.25">
      <c r="A7605" s="5"/>
      <c r="B7605" s="7"/>
      <c r="C7605" s="7"/>
      <c r="D7605" s="7"/>
      <c r="E7605" s="5"/>
      <c r="F7605" s="5"/>
      <c r="G7605" s="9"/>
      <c r="H7605" s="9"/>
      <c r="I7605" s="9"/>
    </row>
    <row r="7606" ht="14.25">
      <c r="A7606" s="5"/>
      <c r="B7606" s="7"/>
      <c r="C7606" s="7"/>
      <c r="D7606" s="7"/>
      <c r="E7606" s="5"/>
      <c r="F7606" s="5"/>
      <c r="G7606" s="9"/>
      <c r="H7606" s="9"/>
      <c r="I7606" s="9"/>
    </row>
    <row r="7607" ht="14.25">
      <c r="A7607" s="5"/>
      <c r="B7607" s="7"/>
      <c r="C7607" s="7"/>
      <c r="D7607" s="7"/>
      <c r="E7607" s="5"/>
      <c r="F7607" s="5"/>
      <c r="G7607" s="9"/>
      <c r="H7607" s="9"/>
      <c r="I7607" s="9"/>
    </row>
    <row r="7608" ht="14.25">
      <c r="A7608" s="5"/>
      <c r="B7608" s="7"/>
      <c r="C7608" s="7"/>
      <c r="D7608" s="7"/>
      <c r="E7608" s="5"/>
      <c r="F7608" s="5"/>
      <c r="G7608" s="9"/>
      <c r="H7608" s="9"/>
      <c r="I7608" s="9"/>
    </row>
    <row r="7609" ht="14.25">
      <c r="A7609" s="5"/>
      <c r="B7609" s="7"/>
      <c r="C7609" s="7"/>
      <c r="D7609" s="7"/>
      <c r="E7609" s="5"/>
      <c r="F7609" s="5"/>
      <c r="G7609" s="9"/>
      <c r="H7609" s="9"/>
      <c r="I7609" s="9"/>
    </row>
    <row r="7610" ht="14.25">
      <c r="A7610" s="5"/>
      <c r="B7610" s="7"/>
      <c r="C7610" s="7"/>
      <c r="D7610" s="7"/>
      <c r="E7610" s="5"/>
      <c r="F7610" s="5"/>
      <c r="G7610" s="9"/>
      <c r="H7610" s="9"/>
      <c r="I7610" s="9"/>
    </row>
    <row r="7611" ht="14.25">
      <c r="A7611" s="5"/>
      <c r="B7611" s="7"/>
      <c r="C7611" s="7"/>
      <c r="D7611" s="7"/>
      <c r="E7611" s="5"/>
      <c r="F7611" s="5"/>
      <c r="G7611" s="9"/>
      <c r="H7611" s="9"/>
      <c r="I7611" s="9"/>
    </row>
    <row r="7612" ht="14.25">
      <c r="A7612" s="5"/>
      <c r="B7612" s="7"/>
      <c r="C7612" s="7"/>
      <c r="D7612" s="7"/>
      <c r="E7612" s="5"/>
      <c r="F7612" s="5"/>
      <c r="G7612" s="9"/>
      <c r="H7612" s="9"/>
      <c r="I7612" s="9"/>
    </row>
    <row r="7613" ht="14.25">
      <c r="A7613" s="5"/>
      <c r="B7613" s="7"/>
      <c r="C7613" s="7"/>
      <c r="D7613" s="7"/>
      <c r="E7613" s="5"/>
      <c r="F7613" s="5"/>
      <c r="G7613" s="9"/>
      <c r="H7613" s="9"/>
      <c r="I7613" s="9"/>
    </row>
    <row r="7614" ht="14.25">
      <c r="A7614" s="5"/>
      <c r="B7614" s="7"/>
      <c r="C7614" s="7"/>
      <c r="D7614" s="7"/>
      <c r="E7614" s="5"/>
      <c r="F7614" s="5"/>
      <c r="G7614" s="9"/>
      <c r="H7614" s="9"/>
      <c r="I7614" s="9"/>
    </row>
    <row r="7615" ht="14.25">
      <c r="A7615" s="5"/>
      <c r="B7615" s="7"/>
      <c r="C7615" s="7"/>
      <c r="D7615" s="7"/>
      <c r="E7615" s="5"/>
      <c r="F7615" s="5"/>
      <c r="G7615" s="9"/>
      <c r="H7615" s="9"/>
      <c r="I7615" s="9"/>
    </row>
    <row r="7616" ht="14.25">
      <c r="A7616" s="5"/>
      <c r="B7616" s="7"/>
      <c r="C7616" s="7"/>
      <c r="D7616" s="7"/>
      <c r="E7616" s="5"/>
      <c r="F7616" s="5"/>
      <c r="G7616" s="9"/>
      <c r="H7616" s="9"/>
      <c r="I7616" s="9"/>
    </row>
    <row r="7617" ht="14.25">
      <c r="A7617" s="5"/>
      <c r="B7617" s="7"/>
      <c r="C7617" s="7"/>
      <c r="D7617" s="7"/>
      <c r="E7617" s="5"/>
      <c r="F7617" s="5"/>
      <c r="G7617" s="9"/>
      <c r="H7617" s="9"/>
      <c r="I7617" s="9"/>
    </row>
    <row r="7618" ht="14.25">
      <c r="A7618" s="5"/>
      <c r="B7618" s="7"/>
      <c r="C7618" s="7"/>
      <c r="D7618" s="7"/>
      <c r="E7618" s="5"/>
      <c r="F7618" s="5"/>
      <c r="G7618" s="9"/>
      <c r="H7618" s="9"/>
      <c r="I7618" s="9"/>
    </row>
    <row r="7619" ht="14.25">
      <c r="A7619" s="5"/>
      <c r="B7619" s="7"/>
      <c r="C7619" s="7"/>
      <c r="D7619" s="7"/>
      <c r="E7619" s="5"/>
      <c r="F7619" s="5"/>
      <c r="G7619" s="9"/>
      <c r="H7619" s="9"/>
      <c r="I7619" s="9"/>
    </row>
    <row r="7620" ht="14.25">
      <c r="A7620" s="5"/>
      <c r="B7620" s="7"/>
      <c r="C7620" s="7"/>
      <c r="D7620" s="7"/>
      <c r="E7620" s="5"/>
      <c r="F7620" s="5"/>
      <c r="G7620" s="9"/>
      <c r="H7620" s="9"/>
      <c r="I7620" s="9"/>
    </row>
    <row r="7621" ht="14.25">
      <c r="A7621" s="5"/>
      <c r="B7621" s="7"/>
      <c r="C7621" s="7"/>
      <c r="D7621" s="7"/>
      <c r="E7621" s="5"/>
      <c r="F7621" s="5"/>
      <c r="G7621" s="9"/>
      <c r="H7621" s="9"/>
      <c r="I7621" s="9"/>
    </row>
    <row r="7622" ht="14.25">
      <c r="A7622" s="5"/>
      <c r="B7622" s="7"/>
      <c r="C7622" s="7"/>
      <c r="D7622" s="7"/>
      <c r="E7622" s="5"/>
      <c r="F7622" s="5"/>
      <c r="G7622" s="9"/>
      <c r="H7622" s="9"/>
      <c r="I7622" s="9"/>
    </row>
    <row r="7623" ht="14.25">
      <c r="A7623" s="5"/>
      <c r="B7623" s="7"/>
      <c r="C7623" s="7"/>
      <c r="D7623" s="7"/>
      <c r="E7623" s="5"/>
      <c r="F7623" s="5"/>
      <c r="G7623" s="9"/>
      <c r="H7623" s="9"/>
      <c r="I7623" s="9"/>
    </row>
    <row r="7624" ht="14.25">
      <c r="A7624" s="5"/>
      <c r="B7624" s="7"/>
      <c r="C7624" s="7"/>
      <c r="D7624" s="7"/>
      <c r="E7624" s="5"/>
      <c r="F7624" s="5"/>
      <c r="G7624" s="9"/>
      <c r="H7624" s="9"/>
      <c r="I7624" s="9"/>
    </row>
    <row r="7625" ht="14.25">
      <c r="A7625" s="5"/>
      <c r="B7625" s="7"/>
      <c r="C7625" s="7"/>
      <c r="D7625" s="7"/>
      <c r="E7625" s="5"/>
      <c r="F7625" s="5"/>
      <c r="G7625" s="9"/>
      <c r="H7625" s="9"/>
      <c r="I7625" s="9"/>
    </row>
    <row r="7626" ht="14.25">
      <c r="A7626" s="5"/>
      <c r="B7626" s="7"/>
      <c r="C7626" s="7"/>
      <c r="D7626" s="7"/>
      <c r="E7626" s="5"/>
      <c r="F7626" s="5"/>
      <c r="G7626" s="9"/>
      <c r="H7626" s="9"/>
      <c r="I7626" s="9"/>
    </row>
    <row r="7627" ht="14.25">
      <c r="A7627" s="5"/>
      <c r="B7627" s="7"/>
      <c r="C7627" s="7"/>
      <c r="D7627" s="7"/>
      <c r="E7627" s="5"/>
      <c r="F7627" s="5"/>
      <c r="G7627" s="9"/>
      <c r="H7627" s="9"/>
      <c r="I7627" s="9"/>
    </row>
    <row r="7628" ht="14.25">
      <c r="A7628" s="5"/>
      <c r="B7628" s="7"/>
      <c r="C7628" s="7"/>
      <c r="D7628" s="7"/>
      <c r="E7628" s="5"/>
      <c r="F7628" s="5"/>
      <c r="G7628" s="9"/>
      <c r="H7628" s="9"/>
      <c r="I7628" s="9"/>
    </row>
    <row r="7629" ht="14.25">
      <c r="A7629" s="5"/>
      <c r="B7629" s="7"/>
      <c r="C7629" s="7"/>
      <c r="D7629" s="7"/>
      <c r="E7629" s="5"/>
      <c r="F7629" s="5"/>
      <c r="G7629" s="9"/>
      <c r="H7629" s="9"/>
      <c r="I7629" s="9"/>
    </row>
    <row r="7630" ht="14.25">
      <c r="A7630" s="5"/>
      <c r="B7630" s="7"/>
      <c r="C7630" s="7"/>
      <c r="D7630" s="7"/>
      <c r="E7630" s="5"/>
      <c r="F7630" s="5"/>
      <c r="G7630" s="9"/>
      <c r="H7630" s="9"/>
      <c r="I7630" s="9"/>
    </row>
    <row r="7631" ht="14.25">
      <c r="A7631" s="5"/>
      <c r="B7631" s="7"/>
      <c r="C7631" s="7"/>
      <c r="D7631" s="7"/>
      <c r="E7631" s="5"/>
      <c r="F7631" s="5"/>
      <c r="G7631" s="9"/>
      <c r="H7631" s="9"/>
      <c r="I7631" s="9"/>
    </row>
    <row r="7632" ht="14.25">
      <c r="A7632" s="5"/>
      <c r="B7632" s="7"/>
      <c r="C7632" s="7"/>
      <c r="D7632" s="7"/>
      <c r="E7632" s="5"/>
      <c r="F7632" s="5"/>
      <c r="G7632" s="9"/>
      <c r="H7632" s="9"/>
      <c r="I7632" s="9"/>
    </row>
    <row r="7633" ht="14.25">
      <c r="A7633" s="5"/>
      <c r="B7633" s="7"/>
      <c r="C7633" s="7"/>
      <c r="D7633" s="7"/>
      <c r="E7633" s="5"/>
      <c r="F7633" s="5"/>
      <c r="G7633" s="9"/>
      <c r="H7633" s="9"/>
      <c r="I7633" s="9"/>
    </row>
    <row r="7634" ht="14.25">
      <c r="A7634" s="5"/>
      <c r="B7634" s="7"/>
      <c r="C7634" s="7"/>
      <c r="D7634" s="7"/>
      <c r="E7634" s="5"/>
      <c r="F7634" s="5"/>
      <c r="G7634" s="9"/>
      <c r="H7634" s="9"/>
      <c r="I7634" s="9"/>
    </row>
    <row r="7635" ht="14.25">
      <c r="A7635" s="5"/>
      <c r="B7635" s="7"/>
      <c r="C7635" s="7"/>
      <c r="D7635" s="7"/>
      <c r="E7635" s="5"/>
      <c r="F7635" s="5"/>
      <c r="G7635" s="9"/>
      <c r="H7635" s="9"/>
      <c r="I7635" s="9"/>
    </row>
    <row r="7636" ht="14.25">
      <c r="A7636" s="5"/>
      <c r="B7636" s="7"/>
      <c r="C7636" s="7"/>
      <c r="D7636" s="7"/>
      <c r="E7636" s="5"/>
      <c r="F7636" s="5"/>
      <c r="G7636" s="9"/>
      <c r="H7636" s="9"/>
      <c r="I7636" s="9"/>
    </row>
    <row r="7637" ht="14.25">
      <c r="A7637" s="5"/>
      <c r="B7637" s="7"/>
      <c r="C7637" s="7"/>
      <c r="D7637" s="7"/>
      <c r="E7637" s="5"/>
      <c r="F7637" s="5"/>
      <c r="G7637" s="9"/>
      <c r="H7637" s="9"/>
      <c r="I7637" s="9"/>
    </row>
    <row r="7638" ht="14.25">
      <c r="A7638" s="5"/>
      <c r="B7638" s="7"/>
      <c r="C7638" s="7"/>
      <c r="D7638" s="7"/>
      <c r="E7638" s="5"/>
      <c r="F7638" s="5"/>
      <c r="G7638" s="9"/>
      <c r="H7638" s="9"/>
      <c r="I7638" s="9"/>
    </row>
    <row r="7639" ht="14.25">
      <c r="A7639" s="5"/>
      <c r="B7639" s="7"/>
      <c r="C7639" s="7"/>
      <c r="D7639" s="7"/>
      <c r="E7639" s="5"/>
      <c r="F7639" s="5"/>
      <c r="G7639" s="9"/>
      <c r="H7639" s="9"/>
      <c r="I7639" s="9"/>
    </row>
    <row r="7640" ht="14.25">
      <c r="A7640" s="5"/>
      <c r="B7640" s="7"/>
      <c r="C7640" s="7"/>
      <c r="D7640" s="7"/>
      <c r="E7640" s="5"/>
      <c r="F7640" s="5"/>
      <c r="G7640" s="9"/>
      <c r="H7640" s="9"/>
      <c r="I7640" s="9"/>
    </row>
    <row r="7641" ht="14.25">
      <c r="A7641" s="5"/>
      <c r="B7641" s="7"/>
      <c r="C7641" s="7"/>
      <c r="D7641" s="7"/>
      <c r="E7641" s="5"/>
      <c r="F7641" s="5"/>
      <c r="G7641" s="9"/>
      <c r="H7641" s="9"/>
      <c r="I7641" s="9"/>
    </row>
    <row r="7642" ht="14.25">
      <c r="A7642" s="5"/>
      <c r="B7642" s="7"/>
      <c r="C7642" s="7"/>
      <c r="D7642" s="7"/>
      <c r="E7642" s="5"/>
      <c r="F7642" s="5"/>
      <c r="G7642" s="9"/>
      <c r="H7642" s="9"/>
      <c r="I7642" s="9"/>
    </row>
    <row r="7643" ht="14.25">
      <c r="A7643" s="5"/>
      <c r="B7643" s="7"/>
      <c r="C7643" s="7"/>
      <c r="D7643" s="7"/>
      <c r="E7643" s="5"/>
      <c r="F7643" s="5"/>
      <c r="G7643" s="9"/>
      <c r="H7643" s="9"/>
      <c r="I7643" s="9"/>
    </row>
    <row r="7644" ht="14.25">
      <c r="A7644" s="5"/>
      <c r="B7644" s="7"/>
      <c r="C7644" s="7"/>
      <c r="D7644" s="7"/>
      <c r="E7644" s="5"/>
      <c r="F7644" s="5"/>
      <c r="G7644" s="9"/>
      <c r="H7644" s="9"/>
      <c r="I7644" s="9"/>
    </row>
    <row r="7645" ht="14.25">
      <c r="A7645" s="5"/>
      <c r="B7645" s="7"/>
      <c r="C7645" s="7"/>
      <c r="D7645" s="7"/>
      <c r="E7645" s="5"/>
      <c r="F7645" s="5"/>
      <c r="G7645" s="9"/>
      <c r="H7645" s="9"/>
      <c r="I7645" s="9"/>
    </row>
    <row r="7646" ht="14.25">
      <c r="A7646" s="5"/>
      <c r="B7646" s="7"/>
      <c r="C7646" s="7"/>
      <c r="D7646" s="7"/>
      <c r="E7646" s="5"/>
      <c r="F7646" s="5"/>
      <c r="G7646" s="9"/>
      <c r="H7646" s="9"/>
      <c r="I7646" s="9"/>
    </row>
    <row r="7647" ht="14.25">
      <c r="A7647" s="5"/>
      <c r="B7647" s="7"/>
      <c r="C7647" s="7"/>
      <c r="D7647" s="7"/>
      <c r="E7647" s="5"/>
      <c r="F7647" s="5"/>
      <c r="G7647" s="9"/>
      <c r="H7647" s="9"/>
      <c r="I7647" s="9"/>
    </row>
    <row r="7648" ht="14.25">
      <c r="A7648" s="5"/>
      <c r="B7648" s="7"/>
      <c r="C7648" s="7"/>
      <c r="D7648" s="7"/>
      <c r="E7648" s="5"/>
      <c r="F7648" s="5"/>
      <c r="G7648" s="9"/>
      <c r="H7648" s="9"/>
      <c r="I7648" s="9"/>
    </row>
    <row r="7649" ht="14.25">
      <c r="A7649" s="5"/>
      <c r="B7649" s="7"/>
      <c r="C7649" s="7"/>
      <c r="D7649" s="7"/>
      <c r="E7649" s="5"/>
      <c r="F7649" s="5"/>
      <c r="G7649" s="9"/>
      <c r="H7649" s="9"/>
      <c r="I7649" s="9"/>
    </row>
    <row r="7650" ht="14.25">
      <c r="A7650" s="5"/>
      <c r="B7650" s="7"/>
      <c r="C7650" s="7"/>
      <c r="D7650" s="7"/>
      <c r="E7650" s="5"/>
      <c r="F7650" s="5"/>
      <c r="G7650" s="9"/>
      <c r="H7650" s="9"/>
      <c r="I7650" s="9"/>
    </row>
    <row r="7651" ht="14.25">
      <c r="A7651" s="5"/>
      <c r="B7651" s="7"/>
      <c r="C7651" s="7"/>
      <c r="D7651" s="7"/>
      <c r="E7651" s="5"/>
      <c r="F7651" s="5"/>
      <c r="G7651" s="9"/>
      <c r="H7651" s="9"/>
      <c r="I7651" s="9"/>
    </row>
    <row r="7652" ht="14.25">
      <c r="A7652" s="5"/>
      <c r="B7652" s="7"/>
      <c r="C7652" s="7"/>
      <c r="D7652" s="7"/>
      <c r="E7652" s="5"/>
      <c r="F7652" s="5"/>
      <c r="G7652" s="9"/>
      <c r="H7652" s="9"/>
      <c r="I7652" s="9"/>
    </row>
    <row r="7653" ht="14.25">
      <c r="A7653" s="5"/>
      <c r="B7653" s="7"/>
      <c r="C7653" s="7"/>
      <c r="D7653" s="7"/>
      <c r="E7653" s="5"/>
      <c r="F7653" s="5"/>
      <c r="G7653" s="9"/>
      <c r="H7653" s="9"/>
      <c r="I7653" s="9"/>
    </row>
    <row r="7654" ht="14.25">
      <c r="A7654" s="5"/>
      <c r="B7654" s="7"/>
      <c r="C7654" s="7"/>
      <c r="D7654" s="7"/>
      <c r="E7654" s="5"/>
      <c r="F7654" s="5"/>
      <c r="G7654" s="9"/>
      <c r="H7654" s="9"/>
      <c r="I7654" s="9"/>
    </row>
    <row r="7655" ht="14.25">
      <c r="A7655" s="5"/>
      <c r="B7655" s="7"/>
      <c r="C7655" s="7"/>
      <c r="D7655" s="7"/>
      <c r="E7655" s="5"/>
      <c r="F7655" s="5"/>
      <c r="G7655" s="9"/>
      <c r="H7655" s="9"/>
      <c r="I7655" s="9"/>
    </row>
    <row r="7656" ht="14.25">
      <c r="A7656" s="5"/>
      <c r="B7656" s="7"/>
      <c r="C7656" s="7"/>
      <c r="D7656" s="7"/>
      <c r="E7656" s="5"/>
      <c r="F7656" s="5"/>
      <c r="G7656" s="9"/>
      <c r="H7656" s="9"/>
      <c r="I7656" s="9"/>
    </row>
    <row r="7657" ht="14.25">
      <c r="A7657" s="5"/>
      <c r="B7657" s="7"/>
      <c r="C7657" s="7"/>
      <c r="D7657" s="7"/>
      <c r="E7657" s="5"/>
      <c r="F7657" s="5"/>
      <c r="G7657" s="9"/>
      <c r="H7657" s="9"/>
      <c r="I7657" s="9"/>
    </row>
    <row r="7658" ht="14.25">
      <c r="A7658" s="5"/>
      <c r="B7658" s="7"/>
      <c r="C7658" s="7"/>
      <c r="D7658" s="7"/>
      <c r="E7658" s="5"/>
      <c r="F7658" s="5"/>
      <c r="G7658" s="9"/>
      <c r="H7658" s="9"/>
      <c r="I7658" s="9"/>
    </row>
    <row r="7659" ht="14.25">
      <c r="A7659" s="5"/>
      <c r="B7659" s="7"/>
      <c r="C7659" s="7"/>
      <c r="D7659" s="7"/>
      <c r="E7659" s="5"/>
      <c r="F7659" s="5"/>
      <c r="G7659" s="9"/>
      <c r="H7659" s="9"/>
      <c r="I7659" s="9"/>
    </row>
    <row r="7660" ht="14.25">
      <c r="A7660" s="5"/>
      <c r="B7660" s="7"/>
      <c r="C7660" s="7"/>
      <c r="D7660" s="7"/>
      <c r="E7660" s="5"/>
      <c r="F7660" s="5"/>
      <c r="G7660" s="9"/>
      <c r="H7660" s="9"/>
      <c r="I7660" s="9"/>
    </row>
    <row r="7661" ht="14.25">
      <c r="A7661" s="5"/>
      <c r="B7661" s="7"/>
      <c r="C7661" s="7"/>
      <c r="D7661" s="7"/>
      <c r="E7661" s="5"/>
      <c r="F7661" s="5"/>
      <c r="G7661" s="9"/>
      <c r="H7661" s="9"/>
      <c r="I7661" s="9"/>
    </row>
    <row r="7662" ht="14.25">
      <c r="A7662" s="5"/>
      <c r="B7662" s="7"/>
      <c r="C7662" s="7"/>
      <c r="D7662" s="7"/>
      <c r="E7662" s="5"/>
      <c r="F7662" s="5"/>
      <c r="G7662" s="9"/>
      <c r="H7662" s="9"/>
      <c r="I7662" s="9"/>
    </row>
    <row r="7663" ht="14.25">
      <c r="A7663" s="5"/>
      <c r="B7663" s="7"/>
      <c r="C7663" s="7"/>
      <c r="D7663" s="7"/>
      <c r="E7663" s="5"/>
      <c r="F7663" s="5"/>
      <c r="G7663" s="9"/>
      <c r="H7663" s="9"/>
      <c r="I7663" s="9"/>
    </row>
    <row r="7664" ht="14.25">
      <c r="A7664" s="5"/>
      <c r="B7664" s="7"/>
      <c r="C7664" s="7"/>
      <c r="D7664" s="7"/>
      <c r="E7664" s="5"/>
      <c r="F7664" s="5"/>
      <c r="G7664" s="9"/>
      <c r="H7664" s="9"/>
      <c r="I7664" s="9"/>
    </row>
    <row r="7665" ht="14.25">
      <c r="A7665" s="5"/>
      <c r="B7665" s="7"/>
      <c r="C7665" s="7"/>
      <c r="D7665" s="7"/>
      <c r="E7665" s="5"/>
      <c r="F7665" s="5"/>
      <c r="G7665" s="9"/>
      <c r="H7665" s="9"/>
      <c r="I7665" s="9"/>
    </row>
    <row r="7666" ht="14.25">
      <c r="A7666" s="5"/>
      <c r="B7666" s="7"/>
      <c r="C7666" s="7"/>
      <c r="D7666" s="7"/>
      <c r="E7666" s="5"/>
      <c r="F7666" s="5"/>
      <c r="G7666" s="9"/>
      <c r="H7666" s="9"/>
      <c r="I7666" s="9"/>
    </row>
    <row r="7667" ht="14.25">
      <c r="A7667" s="5"/>
      <c r="B7667" s="7"/>
      <c r="C7667" s="7"/>
      <c r="D7667" s="7"/>
      <c r="E7667" s="5"/>
      <c r="F7667" s="5"/>
      <c r="G7667" s="9"/>
      <c r="H7667" s="9"/>
      <c r="I7667" s="9"/>
    </row>
    <row r="7668" ht="14.25">
      <c r="A7668" s="5"/>
      <c r="B7668" s="7"/>
      <c r="C7668" s="7"/>
      <c r="D7668" s="7"/>
      <c r="E7668" s="5"/>
      <c r="F7668" s="5"/>
      <c r="G7668" s="9"/>
      <c r="H7668" s="9"/>
      <c r="I7668" s="9"/>
    </row>
    <row r="7669" ht="14.25">
      <c r="A7669" s="5"/>
      <c r="B7669" s="7"/>
      <c r="C7669" s="7"/>
      <c r="D7669" s="7"/>
      <c r="E7669" s="5"/>
      <c r="F7669" s="5"/>
      <c r="G7669" s="9"/>
      <c r="H7669" s="9"/>
      <c r="I7669" s="9"/>
    </row>
    <row r="7670" ht="14.25">
      <c r="A7670" s="5"/>
      <c r="B7670" s="7"/>
      <c r="C7670" s="7"/>
      <c r="D7670" s="7"/>
      <c r="E7670" s="5"/>
      <c r="F7670" s="5"/>
      <c r="G7670" s="9"/>
      <c r="H7670" s="9"/>
      <c r="I7670" s="9"/>
    </row>
    <row r="7671" ht="14.25">
      <c r="A7671" s="5"/>
      <c r="B7671" s="7"/>
      <c r="C7671" s="7"/>
      <c r="D7671" s="7"/>
      <c r="E7671" s="5"/>
      <c r="F7671" s="5"/>
      <c r="G7671" s="9"/>
      <c r="H7671" s="9"/>
      <c r="I7671" s="9"/>
    </row>
    <row r="7672" ht="14.25">
      <c r="A7672" s="5"/>
      <c r="B7672" s="7"/>
      <c r="C7672" s="7"/>
      <c r="D7672" s="7"/>
      <c r="E7672" s="5"/>
      <c r="F7672" s="5"/>
      <c r="G7672" s="9"/>
      <c r="H7672" s="9"/>
      <c r="I7672" s="9"/>
    </row>
    <row r="7673" ht="14.25">
      <c r="A7673" s="5"/>
      <c r="B7673" s="7"/>
      <c r="C7673" s="7"/>
      <c r="D7673" s="7"/>
      <c r="E7673" s="5"/>
      <c r="F7673" s="5"/>
      <c r="G7673" s="9"/>
      <c r="H7673" s="9"/>
      <c r="I7673" s="9"/>
    </row>
    <row r="7674" ht="14.25">
      <c r="A7674" s="5"/>
      <c r="B7674" s="7"/>
      <c r="C7674" s="7"/>
      <c r="D7674" s="7"/>
      <c r="E7674" s="5"/>
      <c r="F7674" s="5"/>
      <c r="G7674" s="9"/>
      <c r="H7674" s="9"/>
      <c r="I7674" s="9"/>
    </row>
    <row r="7675" ht="14.25">
      <c r="A7675" s="5"/>
      <c r="B7675" s="7"/>
      <c r="C7675" s="7"/>
      <c r="D7675" s="7"/>
      <c r="E7675" s="5"/>
      <c r="F7675" s="5"/>
      <c r="G7675" s="9"/>
      <c r="H7675" s="9"/>
      <c r="I7675" s="9"/>
    </row>
    <row r="7676" ht="14.25">
      <c r="A7676" s="5"/>
      <c r="B7676" s="7"/>
      <c r="C7676" s="7"/>
      <c r="D7676" s="7"/>
      <c r="E7676" s="5"/>
      <c r="F7676" s="5"/>
      <c r="G7676" s="9"/>
      <c r="H7676" s="9"/>
      <c r="I7676" s="9"/>
    </row>
    <row r="7677" ht="14.25">
      <c r="A7677" s="5"/>
      <c r="B7677" s="7"/>
      <c r="C7677" s="7"/>
      <c r="D7677" s="7"/>
      <c r="E7677" s="5"/>
      <c r="F7677" s="5"/>
      <c r="G7677" s="9"/>
      <c r="H7677" s="9"/>
      <c r="I7677" s="9"/>
    </row>
    <row r="7678" ht="14.25">
      <c r="A7678" s="5"/>
      <c r="B7678" s="7"/>
      <c r="C7678" s="7"/>
      <c r="D7678" s="7"/>
      <c r="E7678" s="5"/>
      <c r="F7678" s="5"/>
      <c r="G7678" s="9"/>
      <c r="H7678" s="9"/>
      <c r="I7678" s="9"/>
    </row>
    <row r="7679" ht="14.25">
      <c r="A7679" s="5"/>
      <c r="B7679" s="7"/>
      <c r="C7679" s="7"/>
      <c r="D7679" s="7"/>
      <c r="E7679" s="5"/>
      <c r="F7679" s="5"/>
      <c r="G7679" s="9"/>
      <c r="H7679" s="9"/>
      <c r="I7679" s="9"/>
    </row>
    <row r="7680" ht="14.25">
      <c r="A7680" s="5"/>
      <c r="B7680" s="7"/>
      <c r="C7680" s="7"/>
      <c r="D7680" s="7"/>
      <c r="E7680" s="5"/>
      <c r="F7680" s="5"/>
      <c r="G7680" s="9"/>
      <c r="H7680" s="9"/>
      <c r="I7680" s="9"/>
    </row>
    <row r="7681" ht="14.25">
      <c r="A7681" s="5"/>
      <c r="B7681" s="7"/>
      <c r="C7681" s="7"/>
      <c r="D7681" s="7"/>
      <c r="E7681" s="5"/>
      <c r="F7681" s="5"/>
      <c r="G7681" s="9"/>
      <c r="H7681" s="9"/>
      <c r="I7681" s="9"/>
    </row>
    <row r="7682" ht="14.25">
      <c r="A7682" s="5"/>
      <c r="B7682" s="7"/>
      <c r="C7682" s="7"/>
      <c r="D7682" s="7"/>
      <c r="E7682" s="5"/>
      <c r="F7682" s="5"/>
      <c r="G7682" s="9"/>
      <c r="H7682" s="9"/>
      <c r="I7682" s="9"/>
    </row>
    <row r="7683" ht="14.25">
      <c r="A7683" s="5"/>
      <c r="B7683" s="7"/>
      <c r="C7683" s="7"/>
      <c r="D7683" s="7"/>
      <c r="E7683" s="5"/>
      <c r="F7683" s="5"/>
      <c r="G7683" s="9"/>
      <c r="H7683" s="9"/>
      <c r="I7683" s="9"/>
    </row>
    <row r="7684" ht="14.25">
      <c r="A7684" s="5"/>
      <c r="B7684" s="7"/>
      <c r="C7684" s="7"/>
      <c r="D7684" s="7"/>
      <c r="E7684" s="5"/>
      <c r="F7684" s="5"/>
      <c r="G7684" s="9"/>
      <c r="H7684" s="9"/>
      <c r="I7684" s="9"/>
    </row>
    <row r="7685" ht="14.25">
      <c r="A7685" s="5"/>
      <c r="B7685" s="7"/>
      <c r="C7685" s="7"/>
      <c r="D7685" s="7"/>
      <c r="E7685" s="5"/>
      <c r="F7685" s="5"/>
      <c r="G7685" s="9"/>
      <c r="H7685" s="9"/>
      <c r="I7685" s="9"/>
    </row>
    <row r="7686" ht="14.25">
      <c r="A7686" s="5"/>
      <c r="B7686" s="7"/>
      <c r="C7686" s="7"/>
      <c r="D7686" s="7"/>
      <c r="E7686" s="5"/>
      <c r="F7686" s="5"/>
      <c r="G7686" s="9"/>
      <c r="H7686" s="9"/>
      <c r="I7686" s="9"/>
    </row>
    <row r="7687" ht="14.25">
      <c r="A7687" s="5"/>
      <c r="B7687" s="7"/>
      <c r="C7687" s="7"/>
      <c r="D7687" s="7"/>
      <c r="E7687" s="5"/>
      <c r="F7687" s="5"/>
      <c r="G7687" s="9"/>
      <c r="H7687" s="9"/>
      <c r="I7687" s="9"/>
    </row>
    <row r="7688" ht="14.25">
      <c r="A7688" s="5"/>
      <c r="B7688" s="7"/>
      <c r="C7688" s="7"/>
      <c r="D7688" s="7"/>
      <c r="E7688" s="5"/>
      <c r="F7688" s="5"/>
      <c r="G7688" s="9"/>
      <c r="H7688" s="9"/>
      <c r="I7688" s="9"/>
    </row>
    <row r="7689" ht="14.25">
      <c r="A7689" s="5"/>
      <c r="B7689" s="7"/>
      <c r="C7689" s="7"/>
      <c r="D7689" s="7"/>
      <c r="E7689" s="5"/>
      <c r="F7689" s="5"/>
      <c r="G7689" s="9"/>
      <c r="H7689" s="9"/>
      <c r="I7689" s="9"/>
    </row>
    <row r="7690" ht="14.25">
      <c r="A7690" s="5"/>
      <c r="B7690" s="7"/>
      <c r="C7690" s="7"/>
      <c r="D7690" s="7"/>
      <c r="E7690" s="5"/>
      <c r="F7690" s="5"/>
      <c r="G7690" s="9"/>
      <c r="H7690" s="9"/>
      <c r="I7690" s="9"/>
    </row>
    <row r="7691" ht="14.25">
      <c r="A7691" s="5"/>
      <c r="B7691" s="7"/>
      <c r="C7691" s="7"/>
      <c r="D7691" s="7"/>
      <c r="E7691" s="5"/>
      <c r="F7691" s="5"/>
      <c r="G7691" s="9"/>
      <c r="H7691" s="9"/>
      <c r="I7691" s="9"/>
    </row>
    <row r="7692" ht="14.25">
      <c r="A7692" s="5"/>
      <c r="B7692" s="7"/>
      <c r="C7692" s="7"/>
      <c r="D7692" s="7"/>
      <c r="E7692" s="5"/>
      <c r="F7692" s="5"/>
      <c r="G7692" s="9"/>
      <c r="H7692" s="9"/>
      <c r="I7692" s="9"/>
    </row>
    <row r="7693" ht="14.25">
      <c r="A7693" s="5"/>
      <c r="B7693" s="7"/>
      <c r="C7693" s="7"/>
      <c r="D7693" s="7"/>
      <c r="E7693" s="5"/>
      <c r="F7693" s="5"/>
      <c r="G7693" s="9"/>
      <c r="H7693" s="9"/>
      <c r="I7693" s="9"/>
    </row>
    <row r="7694" ht="14.25">
      <c r="A7694" s="5"/>
      <c r="B7694" s="7"/>
      <c r="C7694" s="7"/>
      <c r="D7694" s="7"/>
      <c r="E7694" s="5"/>
      <c r="F7694" s="5"/>
      <c r="G7694" s="9"/>
      <c r="H7694" s="9"/>
      <c r="I7694" s="9"/>
    </row>
    <row r="7695" ht="14.25">
      <c r="A7695" s="5"/>
      <c r="B7695" s="7"/>
      <c r="C7695" s="7"/>
      <c r="D7695" s="7"/>
      <c r="E7695" s="5"/>
      <c r="F7695" s="5"/>
      <c r="G7695" s="9"/>
      <c r="H7695" s="9"/>
      <c r="I7695" s="9"/>
    </row>
    <row r="7696" ht="14.25">
      <c r="A7696" s="5"/>
      <c r="B7696" s="7"/>
      <c r="C7696" s="7"/>
      <c r="D7696" s="7"/>
      <c r="E7696" s="5"/>
      <c r="F7696" s="5"/>
      <c r="G7696" s="9"/>
      <c r="H7696" s="9"/>
      <c r="I7696" s="9"/>
    </row>
    <row r="7697" ht="14.25">
      <c r="A7697" s="5"/>
      <c r="B7697" s="7"/>
      <c r="C7697" s="7"/>
      <c r="D7697" s="7"/>
      <c r="E7697" s="5"/>
      <c r="F7697" s="5"/>
      <c r="G7697" s="9"/>
      <c r="H7697" s="9"/>
      <c r="I7697" s="9"/>
    </row>
    <row r="7698" ht="14.25">
      <c r="A7698" s="5"/>
      <c r="B7698" s="7"/>
      <c r="C7698" s="7"/>
      <c r="D7698" s="7"/>
      <c r="E7698" s="5"/>
      <c r="F7698" s="5"/>
      <c r="G7698" s="9"/>
      <c r="H7698" s="9"/>
      <c r="I7698" s="9"/>
    </row>
    <row r="7699" ht="14.25">
      <c r="A7699" s="5"/>
      <c r="B7699" s="7"/>
      <c r="C7699" s="7"/>
      <c r="D7699" s="7"/>
      <c r="E7699" s="5"/>
      <c r="F7699" s="5"/>
      <c r="G7699" s="9"/>
      <c r="H7699" s="9"/>
      <c r="I7699" s="9"/>
    </row>
    <row r="7700" ht="14.25">
      <c r="A7700" s="5"/>
      <c r="B7700" s="7"/>
      <c r="C7700" s="7"/>
      <c r="D7700" s="7"/>
      <c r="E7700" s="5"/>
      <c r="F7700" s="5"/>
      <c r="G7700" s="9"/>
      <c r="H7700" s="9"/>
      <c r="I7700" s="9"/>
    </row>
    <row r="7701" ht="14.25">
      <c r="A7701" s="5"/>
      <c r="B7701" s="7"/>
      <c r="C7701" s="7"/>
      <c r="D7701" s="7"/>
      <c r="E7701" s="5"/>
      <c r="F7701" s="5"/>
      <c r="G7701" s="9"/>
      <c r="H7701" s="9"/>
      <c r="I7701" s="9"/>
    </row>
    <row r="7702" ht="14.25">
      <c r="A7702" s="5"/>
      <c r="B7702" s="7"/>
      <c r="C7702" s="7"/>
      <c r="D7702" s="7"/>
      <c r="E7702" s="5"/>
      <c r="F7702" s="5"/>
      <c r="G7702" s="9"/>
      <c r="H7702" s="9"/>
      <c r="I7702" s="9"/>
    </row>
    <row r="7703" ht="14.25">
      <c r="A7703" s="5"/>
      <c r="B7703" s="7"/>
      <c r="C7703" s="7"/>
      <c r="D7703" s="7"/>
      <c r="E7703" s="5"/>
      <c r="F7703" s="5"/>
      <c r="G7703" s="9"/>
      <c r="H7703" s="9"/>
      <c r="I7703" s="9"/>
    </row>
    <row r="7704" ht="14.25">
      <c r="A7704" s="5"/>
      <c r="B7704" s="7"/>
      <c r="C7704" s="7"/>
      <c r="D7704" s="7"/>
      <c r="E7704" s="5"/>
      <c r="F7704" s="5"/>
      <c r="G7704" s="9"/>
      <c r="H7704" s="9"/>
      <c r="I7704" s="9"/>
    </row>
    <row r="7705" ht="14.25">
      <c r="A7705" s="5"/>
      <c r="B7705" s="7"/>
      <c r="C7705" s="7"/>
      <c r="D7705" s="7"/>
      <c r="E7705" s="5"/>
      <c r="F7705" s="5"/>
      <c r="G7705" s="9"/>
      <c r="H7705" s="9"/>
      <c r="I7705" s="9"/>
    </row>
    <row r="7706" ht="14.25">
      <c r="A7706" s="5"/>
      <c r="B7706" s="7"/>
      <c r="C7706" s="7"/>
      <c r="D7706" s="7"/>
      <c r="E7706" s="5"/>
      <c r="F7706" s="5"/>
      <c r="G7706" s="9"/>
      <c r="H7706" s="9"/>
      <c r="I7706" s="9"/>
    </row>
    <row r="7707" ht="14.25">
      <c r="A7707" s="5"/>
      <c r="B7707" s="7"/>
      <c r="C7707" s="7"/>
      <c r="D7707" s="7"/>
      <c r="E7707" s="5"/>
      <c r="F7707" s="5"/>
      <c r="G7707" s="9"/>
      <c r="H7707" s="9"/>
      <c r="I7707" s="9"/>
    </row>
    <row r="7708" ht="14.25">
      <c r="A7708" s="5"/>
      <c r="B7708" s="7"/>
      <c r="C7708" s="7"/>
      <c r="D7708" s="7"/>
      <c r="E7708" s="5"/>
      <c r="F7708" s="5"/>
      <c r="G7708" s="9"/>
      <c r="H7708" s="9"/>
      <c r="I7708" s="9"/>
    </row>
    <row r="7709" ht="14.25">
      <c r="A7709" s="5"/>
      <c r="B7709" s="7"/>
      <c r="C7709" s="7"/>
      <c r="D7709" s="7"/>
      <c r="E7709" s="5"/>
      <c r="F7709" s="5"/>
      <c r="G7709" s="9"/>
      <c r="H7709" s="9"/>
      <c r="I7709" s="9"/>
    </row>
    <row r="7710" ht="14.25">
      <c r="A7710" s="5"/>
      <c r="B7710" s="7"/>
      <c r="C7710" s="7"/>
      <c r="D7710" s="7"/>
      <c r="E7710" s="5"/>
      <c r="F7710" s="5"/>
      <c r="G7710" s="9"/>
      <c r="H7710" s="9"/>
      <c r="I7710" s="9"/>
    </row>
    <row r="7711" ht="14.25">
      <c r="A7711" s="5"/>
      <c r="B7711" s="7"/>
      <c r="C7711" s="7"/>
      <c r="D7711" s="7"/>
      <c r="E7711" s="5"/>
      <c r="F7711" s="5"/>
      <c r="G7711" s="9"/>
      <c r="H7711" s="9"/>
      <c r="I7711" s="9"/>
    </row>
    <row r="7712" ht="14.25">
      <c r="A7712" s="5"/>
      <c r="B7712" s="7"/>
      <c r="C7712" s="7"/>
      <c r="D7712" s="7"/>
      <c r="E7712" s="5"/>
      <c r="F7712" s="5"/>
      <c r="G7712" s="9"/>
      <c r="H7712" s="9"/>
      <c r="I7712" s="9"/>
    </row>
    <row r="7713" ht="14.25">
      <c r="A7713" s="5"/>
      <c r="B7713" s="7"/>
      <c r="C7713" s="7"/>
      <c r="D7713" s="7"/>
      <c r="E7713" s="5"/>
      <c r="F7713" s="5"/>
      <c r="G7713" s="9"/>
      <c r="H7713" s="9"/>
      <c r="I7713" s="9"/>
    </row>
    <row r="7714" ht="14.25">
      <c r="A7714" s="5"/>
      <c r="B7714" s="7"/>
      <c r="C7714" s="7"/>
      <c r="D7714" s="7"/>
      <c r="E7714" s="5"/>
      <c r="F7714" s="5"/>
      <c r="G7714" s="9"/>
      <c r="H7714" s="9"/>
      <c r="I7714" s="9"/>
    </row>
    <row r="7715" ht="14.25">
      <c r="A7715" s="5"/>
      <c r="B7715" s="7"/>
      <c r="C7715" s="7"/>
      <c r="D7715" s="7"/>
      <c r="E7715" s="5"/>
      <c r="F7715" s="5"/>
      <c r="G7715" s="9"/>
      <c r="H7715" s="9"/>
      <c r="I7715" s="9"/>
    </row>
    <row r="7716" ht="14.25">
      <c r="A7716" s="5"/>
      <c r="B7716" s="7"/>
      <c r="C7716" s="7"/>
      <c r="D7716" s="7"/>
      <c r="E7716" s="5"/>
      <c r="F7716" s="5"/>
      <c r="G7716" s="9"/>
      <c r="H7716" s="9"/>
      <c r="I7716" s="9"/>
    </row>
    <row r="7717" ht="14.25">
      <c r="A7717" s="5"/>
      <c r="B7717" s="7"/>
      <c r="C7717" s="7"/>
      <c r="D7717" s="7"/>
      <c r="E7717" s="5"/>
      <c r="F7717" s="5"/>
      <c r="G7717" s="9"/>
      <c r="H7717" s="9"/>
      <c r="I7717" s="9"/>
    </row>
    <row r="7718" ht="14.25">
      <c r="A7718" s="5"/>
      <c r="B7718" s="7"/>
      <c r="C7718" s="7"/>
      <c r="D7718" s="7"/>
      <c r="E7718" s="5"/>
      <c r="F7718" s="5"/>
      <c r="G7718" s="9"/>
      <c r="H7718" s="9"/>
      <c r="I7718" s="9"/>
    </row>
    <row r="7719" ht="14.25">
      <c r="A7719" s="5"/>
      <c r="B7719" s="7"/>
      <c r="C7719" s="7"/>
      <c r="D7719" s="7"/>
      <c r="E7719" s="5"/>
      <c r="F7719" s="5"/>
      <c r="G7719" s="9"/>
      <c r="H7719" s="9"/>
      <c r="I7719" s="9"/>
    </row>
    <row r="7720" ht="14.25">
      <c r="A7720" s="5"/>
      <c r="B7720" s="7"/>
      <c r="C7720" s="7"/>
      <c r="D7720" s="7"/>
      <c r="E7720" s="5"/>
      <c r="F7720" s="5"/>
      <c r="G7720" s="9"/>
      <c r="H7720" s="9"/>
      <c r="I7720" s="9"/>
    </row>
    <row r="7721" ht="14.25">
      <c r="A7721" s="5"/>
      <c r="B7721" s="7"/>
      <c r="C7721" s="7"/>
      <c r="D7721" s="7"/>
      <c r="E7721" s="5"/>
      <c r="F7721" s="5"/>
      <c r="G7721" s="9"/>
      <c r="H7721" s="9"/>
      <c r="I7721" s="9"/>
    </row>
    <row r="7722" ht="14.25">
      <c r="A7722" s="5"/>
      <c r="B7722" s="7"/>
      <c r="C7722" s="7"/>
      <c r="D7722" s="7"/>
      <c r="E7722" s="5"/>
      <c r="F7722" s="5"/>
      <c r="G7722" s="9"/>
      <c r="H7722" s="9"/>
      <c r="I7722" s="9"/>
    </row>
    <row r="7723" ht="14.25">
      <c r="A7723" s="5"/>
      <c r="B7723" s="7"/>
      <c r="C7723" s="7"/>
      <c r="D7723" s="7"/>
      <c r="E7723" s="5"/>
      <c r="F7723" s="5"/>
      <c r="G7723" s="9"/>
      <c r="H7723" s="9"/>
      <c r="I7723" s="9"/>
    </row>
    <row r="7724" ht="14.25">
      <c r="A7724" s="5"/>
      <c r="B7724" s="7"/>
      <c r="C7724" s="7"/>
      <c r="D7724" s="7"/>
      <c r="E7724" s="5"/>
      <c r="F7724" s="5"/>
      <c r="G7724" s="9"/>
      <c r="H7724" s="9"/>
      <c r="I7724" s="9"/>
    </row>
    <row r="7725" ht="14.25">
      <c r="A7725" s="5"/>
      <c r="B7725" s="7"/>
      <c r="C7725" s="7"/>
      <c r="D7725" s="7"/>
      <c r="E7725" s="5"/>
      <c r="F7725" s="5"/>
      <c r="G7725" s="9"/>
      <c r="H7725" s="9"/>
      <c r="I7725" s="9"/>
    </row>
    <row r="7726" ht="14.25">
      <c r="A7726" s="5"/>
      <c r="B7726" s="7"/>
      <c r="C7726" s="7"/>
      <c r="D7726" s="7"/>
      <c r="E7726" s="5"/>
      <c r="F7726" s="5"/>
      <c r="G7726" s="9"/>
      <c r="H7726" s="9"/>
      <c r="I7726" s="9"/>
    </row>
    <row r="7727" ht="14.25">
      <c r="A7727" s="5"/>
      <c r="B7727" s="7"/>
      <c r="C7727" s="7"/>
      <c r="D7727" s="7"/>
      <c r="E7727" s="5"/>
      <c r="F7727" s="5"/>
      <c r="G7727" s="9"/>
      <c r="H7727" s="9"/>
      <c r="I7727" s="9"/>
    </row>
    <row r="7728" ht="14.25">
      <c r="A7728" s="5"/>
      <c r="B7728" s="7"/>
      <c r="C7728" s="7"/>
      <c r="D7728" s="7"/>
      <c r="E7728" s="5"/>
      <c r="F7728" s="5"/>
      <c r="G7728" s="9"/>
      <c r="H7728" s="9"/>
      <c r="I7728" s="9"/>
    </row>
    <row r="7729" ht="14.25">
      <c r="A7729" s="5"/>
      <c r="B7729" s="7"/>
      <c r="C7729" s="7"/>
      <c r="D7729" s="7"/>
      <c r="E7729" s="5"/>
      <c r="F7729" s="5"/>
      <c r="G7729" s="9"/>
      <c r="H7729" s="9"/>
      <c r="I7729" s="9"/>
    </row>
    <row r="7730" ht="14.25">
      <c r="A7730" s="5"/>
      <c r="B7730" s="7"/>
      <c r="C7730" s="7"/>
      <c r="D7730" s="7"/>
      <c r="E7730" s="5"/>
      <c r="F7730" s="5"/>
      <c r="G7730" s="9"/>
      <c r="H7730" s="9"/>
      <c r="I7730" s="9"/>
    </row>
    <row r="7731" ht="14.25">
      <c r="A7731" s="5"/>
      <c r="B7731" s="7"/>
      <c r="C7731" s="7"/>
      <c r="D7731" s="7"/>
      <c r="E7731" s="5"/>
      <c r="F7731" s="5"/>
      <c r="G7731" s="9"/>
      <c r="H7731" s="9"/>
      <c r="I7731" s="9"/>
    </row>
    <row r="7732" ht="14.25">
      <c r="A7732" s="5"/>
      <c r="B7732" s="7"/>
      <c r="C7732" s="7"/>
      <c r="D7732" s="7"/>
      <c r="E7732" s="5"/>
      <c r="F7732" s="5"/>
      <c r="G7732" s="9"/>
      <c r="H7732" s="9"/>
      <c r="I7732" s="9"/>
    </row>
    <row r="7733" ht="14.25">
      <c r="A7733" s="5"/>
      <c r="B7733" s="7"/>
      <c r="C7733" s="7"/>
      <c r="D7733" s="7"/>
      <c r="E7733" s="5"/>
      <c r="F7733" s="5"/>
      <c r="G7733" s="9"/>
      <c r="H7733" s="9"/>
      <c r="I7733" s="9"/>
    </row>
    <row r="7734" ht="14.25">
      <c r="A7734" s="5"/>
      <c r="B7734" s="7"/>
      <c r="C7734" s="7"/>
      <c r="D7734" s="7"/>
      <c r="E7734" s="5"/>
      <c r="F7734" s="5"/>
      <c r="G7734" s="9"/>
      <c r="H7734" s="9"/>
      <c r="I7734" s="9"/>
    </row>
    <row r="7735" ht="14.25">
      <c r="A7735" s="5"/>
      <c r="B7735" s="7"/>
      <c r="C7735" s="7"/>
      <c r="D7735" s="7"/>
      <c r="E7735" s="5"/>
      <c r="F7735" s="5"/>
      <c r="G7735" s="9"/>
      <c r="H7735" s="9"/>
      <c r="I7735" s="9"/>
    </row>
    <row r="7736" ht="14.25">
      <c r="A7736" s="5"/>
      <c r="B7736" s="7"/>
      <c r="C7736" s="7"/>
      <c r="D7736" s="7"/>
      <c r="E7736" s="5"/>
      <c r="F7736" s="5"/>
      <c r="G7736" s="9"/>
      <c r="H7736" s="9"/>
      <c r="I7736" s="9"/>
    </row>
    <row r="7737" ht="14.25">
      <c r="A7737" s="5"/>
      <c r="B7737" s="7"/>
      <c r="C7737" s="7"/>
      <c r="D7737" s="7"/>
      <c r="E7737" s="5"/>
      <c r="F7737" s="5"/>
      <c r="G7737" s="9"/>
      <c r="H7737" s="9"/>
      <c r="I7737" s="9"/>
    </row>
    <row r="7738" ht="14.25">
      <c r="A7738" s="5"/>
      <c r="B7738" s="7"/>
      <c r="C7738" s="7"/>
      <c r="D7738" s="7"/>
      <c r="E7738" s="5"/>
      <c r="F7738" s="5"/>
      <c r="G7738" s="9"/>
      <c r="H7738" s="9"/>
      <c r="I7738" s="9"/>
    </row>
    <row r="7739" ht="14.25">
      <c r="A7739" s="5"/>
      <c r="B7739" s="7"/>
      <c r="C7739" s="7"/>
      <c r="D7739" s="7"/>
      <c r="E7739" s="5"/>
      <c r="F7739" s="5"/>
      <c r="G7739" s="9"/>
      <c r="H7739" s="9"/>
      <c r="I7739" s="9"/>
    </row>
    <row r="7740" ht="14.25">
      <c r="A7740" s="5"/>
      <c r="B7740" s="7"/>
      <c r="C7740" s="7"/>
      <c r="D7740" s="7"/>
      <c r="E7740" s="5"/>
      <c r="F7740" s="5"/>
      <c r="G7740" s="9"/>
      <c r="H7740" s="9"/>
      <c r="I7740" s="9"/>
    </row>
    <row r="7741" ht="14.25">
      <c r="A7741" s="5"/>
      <c r="B7741" s="7"/>
      <c r="C7741" s="7"/>
      <c r="D7741" s="7"/>
      <c r="E7741" s="5"/>
      <c r="F7741" s="5"/>
      <c r="G7741" s="9"/>
      <c r="H7741" s="9"/>
      <c r="I7741" s="9"/>
    </row>
    <row r="7742" ht="14.25">
      <c r="A7742" s="5"/>
      <c r="B7742" s="7"/>
      <c r="C7742" s="7"/>
      <c r="D7742" s="7"/>
      <c r="E7742" s="5"/>
      <c r="F7742" s="5"/>
      <c r="G7742" s="9"/>
      <c r="H7742" s="9"/>
      <c r="I7742" s="9"/>
    </row>
    <row r="7743" ht="14.25">
      <c r="A7743" s="5"/>
      <c r="B7743" s="7"/>
      <c r="C7743" s="7"/>
      <c r="D7743" s="7"/>
      <c r="E7743" s="5"/>
      <c r="F7743" s="5"/>
      <c r="G7743" s="9"/>
      <c r="H7743" s="9"/>
      <c r="I7743" s="9"/>
    </row>
    <row r="7744" ht="14.25">
      <c r="A7744" s="5"/>
      <c r="B7744" s="7"/>
      <c r="C7744" s="7"/>
      <c r="D7744" s="7"/>
      <c r="E7744" s="5"/>
      <c r="F7744" s="5"/>
      <c r="G7744" s="9"/>
      <c r="H7744" s="9"/>
      <c r="I7744" s="9"/>
    </row>
    <row r="7745" ht="14.25">
      <c r="A7745" s="5"/>
      <c r="B7745" s="7"/>
      <c r="C7745" s="7"/>
      <c r="D7745" s="7"/>
      <c r="E7745" s="5"/>
      <c r="F7745" s="5"/>
      <c r="G7745" s="9"/>
      <c r="H7745" s="9"/>
      <c r="I7745" s="9"/>
    </row>
    <row r="7746" ht="14.25">
      <c r="A7746" s="5"/>
      <c r="B7746" s="7"/>
      <c r="C7746" s="7"/>
      <c r="D7746" s="7"/>
      <c r="E7746" s="5"/>
      <c r="F7746" s="5"/>
      <c r="G7746" s="9"/>
      <c r="H7746" s="9"/>
      <c r="I7746" s="9"/>
    </row>
    <row r="7747" ht="14.25">
      <c r="A7747" s="5"/>
      <c r="B7747" s="7"/>
      <c r="C7747" s="7"/>
      <c r="D7747" s="7"/>
      <c r="E7747" s="5"/>
      <c r="F7747" s="5"/>
      <c r="G7747" s="9"/>
      <c r="H7747" s="9"/>
      <c r="I7747" s="9"/>
    </row>
    <row r="7748" ht="14.25">
      <c r="A7748" s="5"/>
      <c r="B7748" s="7"/>
      <c r="C7748" s="7"/>
      <c r="D7748" s="7"/>
      <c r="E7748" s="5"/>
      <c r="F7748" s="5"/>
      <c r="G7748" s="9"/>
      <c r="H7748" s="9"/>
      <c r="I7748" s="9"/>
    </row>
    <row r="7749" ht="14.25">
      <c r="A7749" s="5"/>
      <c r="B7749" s="7"/>
      <c r="C7749" s="7"/>
      <c r="D7749" s="7"/>
      <c r="E7749" s="5"/>
      <c r="F7749" s="5"/>
      <c r="G7749" s="9"/>
      <c r="H7749" s="9"/>
      <c r="I7749" s="9"/>
    </row>
    <row r="7750" ht="14.25">
      <c r="A7750" s="5"/>
      <c r="B7750" s="7"/>
      <c r="C7750" s="7"/>
      <c r="D7750" s="7"/>
      <c r="E7750" s="5"/>
      <c r="F7750" s="5"/>
      <c r="G7750" s="9"/>
      <c r="H7750" s="9"/>
      <c r="I7750" s="9"/>
    </row>
    <row r="7751" ht="14.25">
      <c r="A7751" s="5"/>
      <c r="B7751" s="7"/>
      <c r="C7751" s="7"/>
      <c r="D7751" s="7"/>
      <c r="E7751" s="5"/>
      <c r="F7751" s="5"/>
      <c r="G7751" s="9"/>
      <c r="H7751" s="9"/>
      <c r="I7751" s="9"/>
    </row>
    <row r="7752" ht="14.25">
      <c r="A7752" s="5"/>
      <c r="B7752" s="7"/>
      <c r="C7752" s="7"/>
      <c r="D7752" s="7"/>
      <c r="E7752" s="5"/>
      <c r="F7752" s="5"/>
      <c r="G7752" s="9"/>
      <c r="H7752" s="9"/>
      <c r="I7752" s="9"/>
    </row>
    <row r="7753" ht="14.25">
      <c r="A7753" s="5"/>
      <c r="B7753" s="7"/>
      <c r="C7753" s="7"/>
      <c r="D7753" s="7"/>
      <c r="E7753" s="5"/>
      <c r="F7753" s="5"/>
      <c r="G7753" s="9"/>
      <c r="H7753" s="9"/>
      <c r="I7753" s="9"/>
    </row>
    <row r="7754" ht="14.25">
      <c r="A7754" s="5"/>
      <c r="B7754" s="7"/>
      <c r="C7754" s="7"/>
      <c r="D7754" s="7"/>
      <c r="E7754" s="5"/>
      <c r="F7754" s="5"/>
      <c r="G7754" s="9"/>
      <c r="H7754" s="9"/>
      <c r="I7754" s="9"/>
    </row>
    <row r="7755" ht="14.25">
      <c r="A7755" s="5"/>
      <c r="B7755" s="7"/>
      <c r="C7755" s="7"/>
      <c r="D7755" s="7"/>
      <c r="E7755" s="5"/>
      <c r="F7755" s="5"/>
      <c r="G7755" s="9"/>
      <c r="H7755" s="9"/>
      <c r="I7755" s="9"/>
    </row>
    <row r="7756" ht="14.25">
      <c r="A7756" s="5"/>
      <c r="B7756" s="7"/>
      <c r="C7756" s="7"/>
      <c r="D7756" s="7"/>
      <c r="E7756" s="5"/>
      <c r="F7756" s="5"/>
      <c r="G7756" s="9"/>
      <c r="H7756" s="9"/>
      <c r="I7756" s="9"/>
    </row>
    <row r="7757" ht="14.25">
      <c r="A7757" s="5"/>
      <c r="B7757" s="7"/>
      <c r="C7757" s="7"/>
      <c r="D7757" s="7"/>
      <c r="E7757" s="5"/>
      <c r="F7757" s="5"/>
      <c r="G7757" s="9"/>
      <c r="H7757" s="9"/>
      <c r="I7757" s="9"/>
    </row>
    <row r="7758" ht="14.25">
      <c r="A7758" s="5"/>
      <c r="B7758" s="7"/>
      <c r="C7758" s="7"/>
      <c r="D7758" s="7"/>
      <c r="E7758" s="5"/>
      <c r="F7758" s="5"/>
      <c r="G7758" s="9"/>
      <c r="H7758" s="9"/>
      <c r="I7758" s="9"/>
    </row>
    <row r="7759" ht="14.25">
      <c r="A7759" s="5"/>
      <c r="B7759" s="7"/>
      <c r="C7759" s="7"/>
      <c r="D7759" s="7"/>
      <c r="E7759" s="5"/>
      <c r="F7759" s="5"/>
      <c r="G7759" s="9"/>
      <c r="H7759" s="9"/>
      <c r="I7759" s="9"/>
    </row>
    <row r="7760" ht="14.25">
      <c r="A7760" s="5"/>
      <c r="B7760" s="7"/>
      <c r="C7760" s="7"/>
      <c r="D7760" s="7"/>
      <c r="E7760" s="5"/>
      <c r="F7760" s="5"/>
      <c r="G7760" s="9"/>
      <c r="H7760" s="9"/>
      <c r="I7760" s="9"/>
    </row>
    <row r="7761" ht="14.25">
      <c r="A7761" s="5"/>
      <c r="B7761" s="7"/>
      <c r="C7761" s="7"/>
      <c r="D7761" s="7"/>
      <c r="E7761" s="5"/>
      <c r="F7761" s="5"/>
      <c r="G7761" s="9"/>
      <c r="H7761" s="9"/>
      <c r="I7761" s="9"/>
    </row>
    <row r="7762" ht="14.25">
      <c r="A7762" s="5"/>
      <c r="B7762" s="7"/>
      <c r="C7762" s="7"/>
      <c r="D7762" s="7"/>
      <c r="E7762" s="5"/>
      <c r="F7762" s="5"/>
      <c r="G7762" s="9"/>
      <c r="H7762" s="9"/>
      <c r="I7762" s="9"/>
    </row>
    <row r="7763" ht="14.25">
      <c r="A7763" s="5"/>
      <c r="B7763" s="7"/>
      <c r="C7763" s="7"/>
      <c r="D7763" s="7"/>
      <c r="E7763" s="5"/>
      <c r="F7763" s="5"/>
      <c r="G7763" s="9"/>
      <c r="H7763" s="9"/>
      <c r="I7763" s="9"/>
    </row>
    <row r="7764" ht="14.25">
      <c r="A7764" s="5"/>
      <c r="B7764" s="7"/>
      <c r="C7764" s="7"/>
      <c r="D7764" s="7"/>
      <c r="E7764" s="5"/>
      <c r="F7764" s="5"/>
      <c r="G7764" s="9"/>
      <c r="H7764" s="9"/>
      <c r="I7764" s="9"/>
    </row>
    <row r="7765" ht="14.25">
      <c r="A7765" s="5"/>
      <c r="B7765" s="7"/>
      <c r="C7765" s="7"/>
      <c r="D7765" s="7"/>
      <c r="E7765" s="5"/>
      <c r="F7765" s="5"/>
      <c r="G7765" s="9"/>
      <c r="H7765" s="9"/>
      <c r="I7765" s="9"/>
    </row>
    <row r="7766" ht="14.25">
      <c r="A7766" s="5"/>
      <c r="B7766" s="7"/>
      <c r="C7766" s="7"/>
      <c r="D7766" s="7"/>
      <c r="E7766" s="5"/>
      <c r="F7766" s="5"/>
      <c r="G7766" s="9"/>
      <c r="H7766" s="9"/>
      <c r="I7766" s="9"/>
    </row>
    <row r="7767" ht="14.25">
      <c r="A7767" s="5"/>
      <c r="B7767" s="7"/>
      <c r="C7767" s="7"/>
      <c r="D7767" s="7"/>
      <c r="E7767" s="5"/>
      <c r="F7767" s="5"/>
      <c r="G7767" s="9"/>
      <c r="H7767" s="9"/>
      <c r="I7767" s="9"/>
    </row>
    <row r="7768" ht="14.25">
      <c r="A7768" s="5"/>
      <c r="B7768" s="7"/>
      <c r="C7768" s="7"/>
      <c r="D7768" s="7"/>
      <c r="E7768" s="5"/>
      <c r="F7768" s="5"/>
      <c r="G7768" s="9"/>
      <c r="H7768" s="9"/>
      <c r="I7768" s="9"/>
    </row>
    <row r="7769" ht="14.25">
      <c r="A7769" s="5"/>
      <c r="B7769" s="7"/>
      <c r="C7769" s="7"/>
      <c r="D7769" s="7"/>
      <c r="E7769" s="5"/>
      <c r="F7769" s="5"/>
      <c r="G7769" s="9"/>
      <c r="H7769" s="9"/>
      <c r="I7769" s="9"/>
    </row>
    <row r="7770" ht="14.25">
      <c r="A7770" s="5"/>
      <c r="B7770" s="7"/>
      <c r="C7770" s="7"/>
      <c r="D7770" s="7"/>
      <c r="E7770" s="5"/>
      <c r="F7770" s="5"/>
      <c r="G7770" s="9"/>
      <c r="H7770" s="9"/>
      <c r="I7770" s="9"/>
    </row>
    <row r="7771" ht="14.25">
      <c r="A7771" s="5"/>
      <c r="B7771" s="7"/>
      <c r="C7771" s="7"/>
      <c r="D7771" s="7"/>
      <c r="E7771" s="5"/>
      <c r="F7771" s="5"/>
      <c r="G7771" s="9"/>
      <c r="H7771" s="9"/>
      <c r="I7771" s="9"/>
    </row>
    <row r="7772" ht="14.25">
      <c r="A7772" s="5"/>
      <c r="B7772" s="7"/>
      <c r="C7772" s="7"/>
      <c r="D7772" s="7"/>
      <c r="E7772" s="5"/>
      <c r="F7772" s="5"/>
      <c r="G7772" s="9"/>
      <c r="H7772" s="9"/>
      <c r="I7772" s="9"/>
    </row>
    <row r="7773" ht="14.25">
      <c r="A7773" s="5"/>
      <c r="B7773" s="7"/>
      <c r="C7773" s="7"/>
      <c r="D7773" s="7"/>
      <c r="E7773" s="5"/>
      <c r="F7773" s="5"/>
      <c r="G7773" s="9"/>
      <c r="H7773" s="9"/>
      <c r="I7773" s="9"/>
    </row>
    <row r="7774" ht="14.25">
      <c r="A7774" s="5"/>
      <c r="B7774" s="7"/>
      <c r="C7774" s="7"/>
      <c r="D7774" s="7"/>
      <c r="E7774" s="5"/>
      <c r="F7774" s="5"/>
      <c r="G7774" s="9"/>
      <c r="H7774" s="9"/>
      <c r="I7774" s="9"/>
    </row>
    <row r="7775" ht="14.25">
      <c r="A7775" s="5"/>
      <c r="B7775" s="7"/>
      <c r="C7775" s="7"/>
      <c r="D7775" s="7"/>
      <c r="E7775" s="5"/>
      <c r="F7775" s="5"/>
      <c r="G7775" s="9"/>
      <c r="H7775" s="9"/>
      <c r="I7775" s="9"/>
    </row>
    <row r="7776" ht="14.25">
      <c r="A7776" s="5"/>
      <c r="B7776" s="7"/>
      <c r="C7776" s="7"/>
      <c r="D7776" s="7"/>
      <c r="E7776" s="5"/>
      <c r="F7776" s="5"/>
      <c r="G7776" s="9"/>
      <c r="H7776" s="9"/>
      <c r="I7776" s="9"/>
    </row>
    <row r="7777" ht="14.25">
      <c r="A7777" s="5"/>
      <c r="B7777" s="7"/>
      <c r="C7777" s="7"/>
      <c r="D7777" s="7"/>
      <c r="E7777" s="5"/>
      <c r="F7777" s="5"/>
      <c r="G7777" s="9"/>
      <c r="H7777" s="9"/>
      <c r="I7777" s="9"/>
    </row>
    <row r="7778" ht="14.25">
      <c r="A7778" s="5"/>
      <c r="B7778" s="7"/>
      <c r="C7778" s="7"/>
      <c r="D7778" s="7"/>
      <c r="E7778" s="5"/>
      <c r="F7778" s="5"/>
      <c r="G7778" s="9"/>
      <c r="H7778" s="9"/>
      <c r="I7778" s="9"/>
    </row>
    <row r="7779" ht="14.25">
      <c r="A7779" s="5"/>
      <c r="B7779" s="7"/>
      <c r="C7779" s="7"/>
      <c r="D7779" s="7"/>
      <c r="E7779" s="5"/>
      <c r="F7779" s="5"/>
      <c r="G7779" s="9"/>
      <c r="H7779" s="9"/>
      <c r="I7779" s="9"/>
    </row>
    <row r="7780" ht="14.25">
      <c r="A7780" s="5"/>
      <c r="B7780" s="7"/>
      <c r="C7780" s="7"/>
      <c r="D7780" s="7"/>
      <c r="E7780" s="5"/>
      <c r="F7780" s="5"/>
      <c r="G7780" s="9"/>
      <c r="H7780" s="9"/>
      <c r="I7780" s="9"/>
    </row>
    <row r="7781" ht="14.25">
      <c r="A7781" s="5"/>
      <c r="B7781" s="7"/>
      <c r="C7781" s="7"/>
      <c r="D7781" s="7"/>
      <c r="E7781" s="5"/>
      <c r="F7781" s="5"/>
      <c r="G7781" s="9"/>
      <c r="H7781" s="9"/>
      <c r="I7781" s="9"/>
    </row>
    <row r="7782" ht="14.25">
      <c r="A7782" s="5"/>
      <c r="B7782" s="7"/>
      <c r="C7782" s="7"/>
      <c r="D7782" s="7"/>
      <c r="E7782" s="5"/>
      <c r="F7782" s="5"/>
      <c r="G7782" s="9"/>
      <c r="H7782" s="9"/>
      <c r="I7782" s="9"/>
    </row>
    <row r="7783" ht="14.25">
      <c r="A7783" s="5"/>
      <c r="B7783" s="7"/>
      <c r="C7783" s="7"/>
      <c r="D7783" s="7"/>
      <c r="E7783" s="5"/>
      <c r="F7783" s="5"/>
      <c r="G7783" s="9"/>
      <c r="H7783" s="9"/>
      <c r="I7783" s="9"/>
    </row>
    <row r="7784" ht="14.25">
      <c r="A7784" s="5"/>
      <c r="B7784" s="7"/>
      <c r="C7784" s="7"/>
      <c r="D7784" s="7"/>
      <c r="E7784" s="5"/>
      <c r="F7784" s="5"/>
      <c r="G7784" s="9"/>
      <c r="H7784" s="9"/>
      <c r="I7784" s="9"/>
    </row>
    <row r="7785" ht="14.25">
      <c r="A7785" s="5"/>
      <c r="B7785" s="7"/>
      <c r="C7785" s="7"/>
      <c r="D7785" s="7"/>
      <c r="E7785" s="5"/>
      <c r="F7785" s="5"/>
      <c r="G7785" s="9"/>
      <c r="H7785" s="9"/>
      <c r="I7785" s="9"/>
    </row>
    <row r="7786" ht="14.25">
      <c r="A7786" s="5"/>
      <c r="B7786" s="7"/>
      <c r="C7786" s="7"/>
      <c r="D7786" s="7"/>
      <c r="E7786" s="5"/>
      <c r="F7786" s="5"/>
      <c r="G7786" s="9"/>
      <c r="H7786" s="9"/>
      <c r="I7786" s="9"/>
    </row>
    <row r="7787" ht="14.25">
      <c r="A7787" s="5"/>
      <c r="B7787" s="7"/>
      <c r="C7787" s="7"/>
      <c r="D7787" s="7"/>
      <c r="E7787" s="5"/>
      <c r="F7787" s="5"/>
      <c r="G7787" s="9"/>
      <c r="H7787" s="9"/>
      <c r="I7787" s="9"/>
    </row>
    <row r="7788" ht="14.25">
      <c r="A7788" s="5"/>
      <c r="B7788" s="7"/>
      <c r="C7788" s="7"/>
      <c r="D7788" s="7"/>
      <c r="E7788" s="5"/>
      <c r="F7788" s="5"/>
      <c r="G7788" s="9"/>
      <c r="H7788" s="9"/>
      <c r="I7788" s="9"/>
    </row>
    <row r="7789" ht="14.25">
      <c r="A7789" s="5"/>
      <c r="B7789" s="7"/>
      <c r="C7789" s="7"/>
      <c r="D7789" s="7"/>
      <c r="E7789" s="5"/>
      <c r="F7789" s="5"/>
      <c r="G7789" s="9"/>
      <c r="H7789" s="9"/>
      <c r="I7789" s="9"/>
    </row>
    <row r="7790" ht="14.25">
      <c r="A7790" s="5"/>
      <c r="B7790" s="7"/>
      <c r="C7790" s="7"/>
      <c r="D7790" s="7"/>
      <c r="E7790" s="5"/>
      <c r="F7790" s="5"/>
      <c r="G7790" s="9"/>
      <c r="H7790" s="9"/>
      <c r="I7790" s="9"/>
    </row>
    <row r="7791" ht="14.25">
      <c r="A7791" s="5"/>
      <c r="B7791" s="7"/>
      <c r="C7791" s="7"/>
      <c r="D7791" s="7"/>
      <c r="E7791" s="5"/>
      <c r="F7791" s="5"/>
      <c r="G7791" s="9"/>
      <c r="H7791" s="9"/>
      <c r="I7791" s="9"/>
    </row>
    <row r="7792" ht="14.25">
      <c r="A7792" s="5"/>
      <c r="B7792" s="7"/>
      <c r="C7792" s="7"/>
      <c r="D7792" s="7"/>
      <c r="E7792" s="5"/>
      <c r="F7792" s="5"/>
      <c r="G7792" s="9"/>
      <c r="H7792" s="9"/>
      <c r="I7792" s="9"/>
    </row>
    <row r="7793" ht="14.25">
      <c r="A7793" s="5"/>
      <c r="B7793" s="7"/>
      <c r="C7793" s="7"/>
      <c r="D7793" s="7"/>
      <c r="E7793" s="5"/>
      <c r="F7793" s="5"/>
      <c r="G7793" s="9"/>
      <c r="H7793" s="9"/>
      <c r="I7793" s="9"/>
    </row>
    <row r="7794" ht="14.25">
      <c r="A7794" s="5"/>
      <c r="B7794" s="7"/>
      <c r="C7794" s="7"/>
      <c r="D7794" s="7"/>
      <c r="E7794" s="5"/>
      <c r="F7794" s="5"/>
      <c r="G7794" s="9"/>
      <c r="H7794" s="9"/>
      <c r="I7794" s="9"/>
    </row>
    <row r="7795" ht="14.25">
      <c r="A7795" s="5"/>
      <c r="B7795" s="7"/>
      <c r="C7795" s="7"/>
      <c r="D7795" s="7"/>
      <c r="E7795" s="5"/>
      <c r="F7795" s="5"/>
      <c r="G7795" s="9"/>
      <c r="H7795" s="9"/>
      <c r="I7795" s="9"/>
    </row>
    <row r="7796" ht="14.25">
      <c r="A7796" s="5"/>
      <c r="B7796" s="7"/>
      <c r="C7796" s="7"/>
      <c r="D7796" s="7"/>
      <c r="E7796" s="5"/>
      <c r="F7796" s="5"/>
      <c r="G7796" s="9"/>
      <c r="H7796" s="9"/>
      <c r="I7796" s="9"/>
    </row>
    <row r="7797" ht="14.25">
      <c r="A7797" s="5"/>
      <c r="B7797" s="7"/>
      <c r="C7797" s="7"/>
      <c r="D7797" s="7"/>
      <c r="E7797" s="5"/>
      <c r="F7797" s="5"/>
      <c r="G7797" s="9"/>
      <c r="H7797" s="9"/>
      <c r="I7797" s="9"/>
    </row>
    <row r="7798" ht="14.25">
      <c r="A7798" s="5"/>
      <c r="B7798" s="7"/>
      <c r="C7798" s="7"/>
      <c r="D7798" s="7"/>
      <c r="E7798" s="5"/>
      <c r="F7798" s="5"/>
      <c r="G7798" s="9"/>
      <c r="H7798" s="9"/>
      <c r="I7798" s="9"/>
    </row>
    <row r="7799" ht="14.25">
      <c r="A7799" s="5"/>
      <c r="B7799" s="7"/>
      <c r="C7799" s="7"/>
      <c r="D7799" s="7"/>
      <c r="E7799" s="5"/>
      <c r="F7799" s="5"/>
      <c r="G7799" s="9"/>
      <c r="H7799" s="9"/>
      <c r="I7799" s="9"/>
    </row>
    <row r="7800" ht="14.25">
      <c r="A7800" s="5"/>
      <c r="B7800" s="7"/>
      <c r="C7800" s="7"/>
      <c r="D7800" s="7"/>
      <c r="E7800" s="5"/>
      <c r="F7800" s="5"/>
      <c r="G7800" s="9"/>
      <c r="H7800" s="9"/>
      <c r="I7800" s="9"/>
    </row>
    <row r="7801" ht="14.25">
      <c r="A7801" s="5"/>
      <c r="B7801" s="7"/>
      <c r="C7801" s="7"/>
      <c r="D7801" s="7"/>
      <c r="E7801" s="5"/>
      <c r="F7801" s="5"/>
      <c r="G7801" s="9"/>
      <c r="H7801" s="9"/>
      <c r="I7801" s="9"/>
    </row>
    <row r="7802" ht="14.25">
      <c r="A7802" s="5"/>
      <c r="B7802" s="7"/>
      <c r="C7802" s="7"/>
      <c r="D7802" s="7"/>
      <c r="E7802" s="5"/>
      <c r="F7802" s="5"/>
      <c r="G7802" s="9"/>
      <c r="H7802" s="9"/>
      <c r="I7802" s="9"/>
    </row>
    <row r="7803" ht="14.25">
      <c r="A7803" s="5"/>
      <c r="B7803" s="7"/>
      <c r="C7803" s="7"/>
      <c r="D7803" s="7"/>
      <c r="E7803" s="5"/>
      <c r="F7803" s="5"/>
      <c r="G7803" s="9"/>
      <c r="H7803" s="9"/>
      <c r="I7803" s="9"/>
    </row>
    <row r="7804" ht="14.25">
      <c r="A7804" s="5"/>
      <c r="B7804" s="7"/>
      <c r="C7804" s="7"/>
      <c r="D7804" s="7"/>
      <c r="E7804" s="5"/>
      <c r="F7804" s="5"/>
      <c r="G7804" s="9"/>
      <c r="H7804" s="9"/>
      <c r="I7804" s="9"/>
    </row>
    <row r="7805" ht="14.25">
      <c r="A7805" s="5"/>
      <c r="B7805" s="7"/>
      <c r="C7805" s="7"/>
      <c r="D7805" s="7"/>
      <c r="E7805" s="5"/>
      <c r="F7805" s="5"/>
      <c r="G7805" s="9"/>
      <c r="H7805" s="9"/>
      <c r="I7805" s="9"/>
    </row>
    <row r="7806" ht="14.25">
      <c r="A7806" s="5"/>
      <c r="B7806" s="7"/>
      <c r="C7806" s="7"/>
      <c r="D7806" s="7"/>
      <c r="E7806" s="5"/>
      <c r="F7806" s="5"/>
      <c r="G7806" s="9"/>
      <c r="H7806" s="9"/>
      <c r="I7806" s="9"/>
    </row>
    <row r="7807" ht="14.25">
      <c r="A7807" s="5"/>
      <c r="B7807" s="7"/>
      <c r="C7807" s="7"/>
      <c r="D7807" s="7"/>
      <c r="E7807" s="5"/>
      <c r="F7807" s="5"/>
      <c r="G7807" s="9"/>
      <c r="H7807" s="9"/>
      <c r="I7807" s="9"/>
    </row>
    <row r="7808" ht="14.25">
      <c r="A7808" s="5"/>
      <c r="B7808" s="7"/>
      <c r="C7808" s="7"/>
      <c r="D7808" s="7"/>
      <c r="E7808" s="5"/>
      <c r="F7808" s="5"/>
      <c r="G7808" s="9"/>
      <c r="H7808" s="9"/>
      <c r="I7808" s="9"/>
    </row>
    <row r="7809" ht="14.25">
      <c r="A7809" s="5"/>
      <c r="B7809" s="7"/>
      <c r="C7809" s="7"/>
      <c r="D7809" s="7"/>
      <c r="E7809" s="5"/>
      <c r="F7809" s="5"/>
      <c r="G7809" s="9"/>
      <c r="H7809" s="9"/>
      <c r="I7809" s="9"/>
    </row>
    <row r="7810" ht="14.25">
      <c r="A7810" s="5"/>
      <c r="B7810" s="7"/>
      <c r="C7810" s="7"/>
      <c r="D7810" s="7"/>
      <c r="E7810" s="5"/>
      <c r="F7810" s="5"/>
      <c r="G7810" s="9"/>
      <c r="H7810" s="9"/>
      <c r="I7810" s="9"/>
    </row>
    <row r="7811" ht="14.25">
      <c r="A7811" s="5"/>
      <c r="B7811" s="7"/>
      <c r="C7811" s="7"/>
      <c r="D7811" s="7"/>
      <c r="E7811" s="5"/>
      <c r="F7811" s="5"/>
      <c r="G7811" s="9"/>
      <c r="H7811" s="9"/>
      <c r="I7811" s="9"/>
    </row>
    <row r="7812" ht="14.25">
      <c r="A7812" s="5"/>
      <c r="B7812" s="7"/>
      <c r="C7812" s="7"/>
      <c r="D7812" s="7"/>
      <c r="E7812" s="5"/>
      <c r="F7812" s="5"/>
      <c r="G7812" s="9"/>
      <c r="H7812" s="9"/>
      <c r="I7812" s="9"/>
    </row>
    <row r="7813" ht="14.25">
      <c r="A7813" s="5"/>
      <c r="B7813" s="7"/>
      <c r="C7813" s="7"/>
      <c r="D7813" s="7"/>
      <c r="E7813" s="5"/>
      <c r="F7813" s="5"/>
      <c r="G7813" s="9"/>
      <c r="H7813" s="9"/>
      <c r="I7813" s="9"/>
    </row>
    <row r="7814" ht="14.25">
      <c r="A7814" s="5"/>
      <c r="B7814" s="7"/>
      <c r="C7814" s="7"/>
      <c r="D7814" s="7"/>
      <c r="E7814" s="5"/>
      <c r="F7814" s="5"/>
      <c r="G7814" s="9"/>
      <c r="H7814" s="9"/>
      <c r="I7814" s="9"/>
    </row>
    <row r="7815" ht="14.25">
      <c r="A7815" s="5"/>
      <c r="B7815" s="7"/>
      <c r="C7815" s="7"/>
      <c r="D7815" s="7"/>
      <c r="E7815" s="5"/>
      <c r="F7815" s="5"/>
      <c r="G7815" s="9"/>
      <c r="H7815" s="9"/>
      <c r="I7815" s="9"/>
    </row>
    <row r="7816" ht="14.25">
      <c r="A7816" s="5"/>
      <c r="B7816" s="7"/>
      <c r="C7816" s="7"/>
      <c r="D7816" s="7"/>
      <c r="E7816" s="5"/>
      <c r="F7816" s="5"/>
      <c r="G7816" s="9"/>
      <c r="H7816" s="9"/>
      <c r="I7816" s="9"/>
    </row>
    <row r="7817" ht="14.25">
      <c r="A7817" s="5"/>
      <c r="B7817" s="7"/>
      <c r="C7817" s="7"/>
      <c r="D7817" s="7"/>
      <c r="E7817" s="5"/>
      <c r="F7817" s="5"/>
      <c r="G7817" s="9"/>
      <c r="H7817" s="9"/>
      <c r="I7817" s="9"/>
    </row>
    <row r="7818" ht="14.25">
      <c r="A7818" s="5"/>
      <c r="B7818" s="7"/>
      <c r="C7818" s="7"/>
      <c r="D7818" s="7"/>
      <c r="E7818" s="5"/>
      <c r="F7818" s="5"/>
      <c r="G7818" s="9"/>
      <c r="H7818" s="9"/>
      <c r="I7818" s="9"/>
    </row>
    <row r="7819" ht="14.25">
      <c r="A7819" s="5"/>
      <c r="B7819" s="7"/>
      <c r="C7819" s="7"/>
      <c r="D7819" s="7"/>
      <c r="E7819" s="5"/>
      <c r="F7819" s="5"/>
      <c r="G7819" s="9"/>
      <c r="H7819" s="9"/>
      <c r="I7819" s="9"/>
    </row>
    <row r="7820" ht="14.25">
      <c r="A7820" s="5"/>
      <c r="B7820" s="7"/>
      <c r="C7820" s="7"/>
      <c r="D7820" s="7"/>
      <c r="E7820" s="5"/>
      <c r="F7820" s="5"/>
      <c r="G7820" s="9"/>
      <c r="H7820" s="9"/>
      <c r="I7820" s="9"/>
    </row>
    <row r="7821" ht="14.25">
      <c r="A7821" s="5"/>
      <c r="B7821" s="7"/>
      <c r="C7821" s="7"/>
      <c r="D7821" s="7"/>
      <c r="E7821" s="5"/>
      <c r="F7821" s="5"/>
      <c r="G7821" s="9"/>
      <c r="H7821" s="9"/>
      <c r="I7821" s="9"/>
    </row>
    <row r="7822" ht="14.25">
      <c r="A7822" s="5"/>
      <c r="B7822" s="7"/>
      <c r="C7822" s="7"/>
      <c r="D7822" s="7"/>
      <c r="E7822" s="5"/>
      <c r="F7822" s="5"/>
      <c r="G7822" s="9"/>
      <c r="H7822" s="9"/>
      <c r="I7822" s="9"/>
    </row>
    <row r="7823" ht="14.25">
      <c r="A7823" s="5"/>
      <c r="B7823" s="7"/>
      <c r="C7823" s="7"/>
      <c r="D7823" s="7"/>
      <c r="E7823" s="5"/>
      <c r="F7823" s="5"/>
      <c r="G7823" s="9"/>
      <c r="H7823" s="9"/>
      <c r="I7823" s="9"/>
    </row>
    <row r="7824" ht="14.25">
      <c r="A7824" s="5"/>
      <c r="B7824" s="7"/>
      <c r="C7824" s="7"/>
      <c r="D7824" s="7"/>
      <c r="E7824" s="5"/>
      <c r="F7824" s="5"/>
      <c r="G7824" s="9"/>
      <c r="H7824" s="9"/>
      <c r="I7824" s="9"/>
    </row>
    <row r="7825" ht="14.25">
      <c r="A7825" s="5"/>
      <c r="B7825" s="7"/>
      <c r="C7825" s="7"/>
      <c r="D7825" s="7"/>
      <c r="E7825" s="5"/>
      <c r="F7825" s="5"/>
      <c r="G7825" s="9"/>
      <c r="H7825" s="9"/>
      <c r="I7825" s="9"/>
    </row>
    <row r="7826" ht="14.25">
      <c r="A7826" s="5"/>
      <c r="B7826" s="7"/>
      <c r="C7826" s="7"/>
      <c r="D7826" s="7"/>
      <c r="E7826" s="5"/>
      <c r="F7826" s="5"/>
      <c r="G7826" s="9"/>
      <c r="H7826" s="9"/>
      <c r="I7826" s="9"/>
    </row>
    <row r="7827" ht="14.25">
      <c r="A7827" s="5"/>
      <c r="B7827" s="7"/>
      <c r="C7827" s="7"/>
      <c r="D7827" s="7"/>
      <c r="E7827" s="5"/>
      <c r="F7827" s="5"/>
      <c r="G7827" s="9"/>
      <c r="H7827" s="9"/>
      <c r="I7827" s="9"/>
    </row>
    <row r="7828" ht="14.25">
      <c r="A7828" s="5"/>
      <c r="B7828" s="7"/>
      <c r="C7828" s="7"/>
      <c r="D7828" s="7"/>
      <c r="E7828" s="5"/>
      <c r="F7828" s="5"/>
      <c r="G7828" s="9"/>
      <c r="H7828" s="9"/>
      <c r="I7828" s="9"/>
    </row>
    <row r="7829" ht="14.25">
      <c r="A7829" s="5"/>
      <c r="B7829" s="7"/>
      <c r="C7829" s="7"/>
      <c r="D7829" s="7"/>
      <c r="E7829" s="5"/>
      <c r="F7829" s="5"/>
      <c r="G7829" s="9"/>
      <c r="H7829" s="9"/>
      <c r="I7829" s="9"/>
    </row>
    <row r="7830" ht="14.25">
      <c r="A7830" s="5"/>
      <c r="B7830" s="7"/>
      <c r="C7830" s="7"/>
      <c r="D7830" s="7"/>
      <c r="E7830" s="5"/>
      <c r="F7830" s="5"/>
      <c r="G7830" s="9"/>
      <c r="H7830" s="9"/>
      <c r="I7830" s="9"/>
    </row>
    <row r="7831" ht="14.25">
      <c r="A7831" s="5"/>
      <c r="B7831" s="7"/>
      <c r="C7831" s="7"/>
      <c r="D7831" s="7"/>
      <c r="E7831" s="5"/>
      <c r="F7831" s="5"/>
      <c r="G7831" s="9"/>
      <c r="H7831" s="9"/>
      <c r="I7831" s="9"/>
    </row>
    <row r="7832" ht="14.25">
      <c r="A7832" s="5"/>
      <c r="B7832" s="7"/>
      <c r="C7832" s="7"/>
      <c r="D7832" s="7"/>
      <c r="E7832" s="5"/>
      <c r="F7832" s="5"/>
      <c r="G7832" s="9"/>
      <c r="H7832" s="9"/>
      <c r="I7832" s="9"/>
    </row>
    <row r="7833" ht="14.25">
      <c r="A7833" s="5"/>
      <c r="B7833" s="7"/>
      <c r="C7833" s="7"/>
      <c r="D7833" s="7"/>
      <c r="E7833" s="5"/>
      <c r="F7833" s="5"/>
      <c r="G7833" s="9"/>
      <c r="H7833" s="9"/>
      <c r="I7833" s="9"/>
    </row>
    <row r="7834" ht="14.25">
      <c r="A7834" s="5"/>
      <c r="B7834" s="7"/>
      <c r="C7834" s="7"/>
      <c r="D7834" s="7"/>
      <c r="E7834" s="5"/>
      <c r="F7834" s="5"/>
      <c r="G7834" s="9"/>
      <c r="H7834" s="9"/>
      <c r="I7834" s="9"/>
    </row>
    <row r="7835" ht="14.25">
      <c r="A7835" s="5"/>
      <c r="B7835" s="7"/>
      <c r="C7835" s="7"/>
      <c r="D7835" s="7"/>
      <c r="E7835" s="5"/>
      <c r="F7835" s="5"/>
      <c r="G7835" s="9"/>
      <c r="H7835" s="9"/>
      <c r="I7835" s="9"/>
    </row>
    <row r="7836" ht="14.25">
      <c r="A7836" s="5"/>
      <c r="B7836" s="7"/>
      <c r="C7836" s="7"/>
      <c r="D7836" s="7"/>
      <c r="E7836" s="5"/>
      <c r="F7836" s="5"/>
      <c r="G7836" s="9"/>
      <c r="H7836" s="9"/>
      <c r="I7836" s="9"/>
    </row>
    <row r="7837" ht="14.25">
      <c r="A7837" s="5"/>
      <c r="B7837" s="7"/>
      <c r="C7837" s="7"/>
      <c r="D7837" s="7"/>
      <c r="E7837" s="5"/>
      <c r="F7837" s="5"/>
      <c r="G7837" s="9"/>
      <c r="H7837" s="9"/>
      <c r="I7837" s="9"/>
    </row>
    <row r="7838" ht="14.25">
      <c r="A7838" s="5"/>
      <c r="B7838" s="7"/>
      <c r="C7838" s="7"/>
      <c r="D7838" s="7"/>
      <c r="E7838" s="5"/>
      <c r="F7838" s="5"/>
      <c r="G7838" s="9"/>
      <c r="H7838" s="9"/>
      <c r="I7838" s="9"/>
    </row>
    <row r="7839" ht="14.25">
      <c r="A7839" s="5"/>
      <c r="B7839" s="7"/>
      <c r="C7839" s="7"/>
      <c r="D7839" s="7"/>
      <c r="E7839" s="5"/>
      <c r="F7839" s="5"/>
      <c r="G7839" s="9"/>
      <c r="H7839" s="9"/>
      <c r="I7839" s="9"/>
    </row>
    <row r="7840" ht="14.25">
      <c r="A7840" s="5"/>
      <c r="B7840" s="7"/>
      <c r="C7840" s="7"/>
      <c r="D7840" s="7"/>
      <c r="E7840" s="5"/>
      <c r="F7840" s="5"/>
      <c r="G7840" s="9"/>
      <c r="H7840" s="9"/>
      <c r="I7840" s="9"/>
    </row>
    <row r="7841" ht="14.25">
      <c r="A7841" s="5"/>
      <c r="B7841" s="7"/>
      <c r="C7841" s="7"/>
      <c r="D7841" s="7"/>
      <c r="E7841" s="5"/>
      <c r="F7841" s="5"/>
      <c r="G7841" s="9"/>
      <c r="H7841" s="9"/>
      <c r="I7841" s="9"/>
    </row>
    <row r="7842" ht="14.25">
      <c r="A7842" s="5"/>
      <c r="B7842" s="7"/>
      <c r="C7842" s="7"/>
      <c r="D7842" s="7"/>
      <c r="E7842" s="5"/>
      <c r="F7842" s="5"/>
      <c r="G7842" s="9"/>
      <c r="H7842" s="9"/>
      <c r="I7842" s="9"/>
    </row>
    <row r="7843" ht="14.25">
      <c r="A7843" s="5"/>
      <c r="B7843" s="7"/>
      <c r="C7843" s="7"/>
      <c r="D7843" s="7"/>
      <c r="E7843" s="5"/>
      <c r="F7843" s="5"/>
      <c r="G7843" s="9"/>
      <c r="H7843" s="9"/>
      <c r="I7843" s="9"/>
    </row>
    <row r="7844" ht="14.25">
      <c r="A7844" s="5"/>
      <c r="B7844" s="7"/>
      <c r="C7844" s="7"/>
      <c r="D7844" s="7"/>
      <c r="E7844" s="5"/>
      <c r="F7844" s="5"/>
      <c r="G7844" s="9"/>
      <c r="H7844" s="9"/>
      <c r="I7844" s="9"/>
    </row>
    <row r="7845" ht="14.25">
      <c r="A7845" s="5"/>
      <c r="B7845" s="7"/>
      <c r="C7845" s="7"/>
      <c r="D7845" s="7"/>
      <c r="E7845" s="5"/>
      <c r="F7845" s="5"/>
      <c r="G7845" s="9"/>
      <c r="H7845" s="9"/>
      <c r="I7845" s="9"/>
    </row>
    <row r="7846" ht="14.25">
      <c r="A7846" s="5"/>
      <c r="B7846" s="7"/>
      <c r="C7846" s="7"/>
      <c r="D7846" s="7"/>
      <c r="E7846" s="5"/>
      <c r="F7846" s="5"/>
      <c r="G7846" s="9"/>
      <c r="H7846" s="9"/>
      <c r="I7846" s="9"/>
    </row>
    <row r="7847" ht="14.25">
      <c r="A7847" s="5"/>
      <c r="B7847" s="7"/>
      <c r="C7847" s="7"/>
      <c r="D7847" s="7"/>
      <c r="E7847" s="5"/>
      <c r="F7847" s="5"/>
      <c r="G7847" s="9"/>
      <c r="H7847" s="9"/>
      <c r="I7847" s="9"/>
    </row>
    <row r="7848" ht="14.25">
      <c r="A7848" s="5"/>
      <c r="B7848" s="7"/>
      <c r="C7848" s="7"/>
      <c r="D7848" s="7"/>
      <c r="E7848" s="5"/>
      <c r="F7848" s="5"/>
      <c r="G7848" s="9"/>
      <c r="H7848" s="9"/>
      <c r="I7848" s="9"/>
    </row>
    <row r="7849" ht="14.25">
      <c r="A7849" s="5"/>
      <c r="B7849" s="7"/>
      <c r="C7849" s="7"/>
      <c r="D7849" s="7"/>
      <c r="E7849" s="5"/>
      <c r="F7849" s="5"/>
      <c r="G7849" s="9"/>
      <c r="H7849" s="9"/>
      <c r="I7849" s="9"/>
    </row>
    <row r="7850" ht="14.25">
      <c r="A7850" s="5"/>
      <c r="B7850" s="7"/>
      <c r="C7850" s="7"/>
      <c r="D7850" s="7"/>
      <c r="E7850" s="5"/>
      <c r="F7850" s="5"/>
      <c r="G7850" s="9"/>
      <c r="H7850" s="9"/>
      <c r="I7850" s="9"/>
    </row>
    <row r="7851" ht="14.25">
      <c r="A7851" s="5"/>
      <c r="B7851" s="7"/>
      <c r="C7851" s="7"/>
      <c r="D7851" s="7"/>
      <c r="E7851" s="5"/>
      <c r="F7851" s="5"/>
      <c r="G7851" s="9"/>
      <c r="H7851" s="9"/>
      <c r="I7851" s="9"/>
    </row>
    <row r="7852" ht="14.25">
      <c r="A7852" s="5"/>
      <c r="B7852" s="7"/>
      <c r="C7852" s="7"/>
      <c r="D7852" s="7"/>
      <c r="E7852" s="5"/>
      <c r="F7852" s="5"/>
      <c r="G7852" s="9"/>
      <c r="H7852" s="9"/>
      <c r="I7852" s="9"/>
    </row>
    <row r="7853" ht="14.25">
      <c r="A7853" s="5"/>
      <c r="B7853" s="7"/>
      <c r="C7853" s="7"/>
      <c r="D7853" s="7"/>
      <c r="E7853" s="5"/>
      <c r="F7853" s="5"/>
      <c r="G7853" s="9"/>
      <c r="H7853" s="9"/>
      <c r="I7853" s="9"/>
    </row>
    <row r="7854" ht="14.25">
      <c r="A7854" s="5"/>
      <c r="B7854" s="7"/>
      <c r="C7854" s="7"/>
      <c r="D7854" s="7"/>
      <c r="E7854" s="5"/>
      <c r="F7854" s="5"/>
      <c r="G7854" s="9"/>
      <c r="H7854" s="9"/>
      <c r="I7854" s="9"/>
    </row>
    <row r="7855" ht="14.25">
      <c r="A7855" s="5"/>
      <c r="B7855" s="7"/>
      <c r="C7855" s="7"/>
      <c r="D7855" s="7"/>
      <c r="E7855" s="5"/>
      <c r="F7855" s="5"/>
      <c r="G7855" s="9"/>
      <c r="H7855" s="9"/>
      <c r="I7855" s="9"/>
    </row>
    <row r="7856" ht="14.25">
      <c r="A7856" s="5"/>
      <c r="B7856" s="7"/>
      <c r="C7856" s="7"/>
      <c r="D7856" s="7"/>
      <c r="E7856" s="5"/>
      <c r="F7856" s="5"/>
      <c r="G7856" s="9"/>
      <c r="H7856" s="9"/>
      <c r="I7856" s="9"/>
    </row>
    <row r="7857" ht="14.25">
      <c r="A7857" s="5"/>
      <c r="B7857" s="7"/>
      <c r="C7857" s="7"/>
      <c r="D7857" s="7"/>
      <c r="E7857" s="5"/>
      <c r="F7857" s="5"/>
      <c r="G7857" s="9"/>
      <c r="H7857" s="9"/>
      <c r="I7857" s="9"/>
    </row>
    <row r="7858" ht="14.25">
      <c r="A7858" s="5"/>
      <c r="B7858" s="7"/>
      <c r="C7858" s="7"/>
      <c r="D7858" s="7"/>
      <c r="E7858" s="5"/>
      <c r="F7858" s="5"/>
      <c r="G7858" s="9"/>
      <c r="H7858" s="9"/>
      <c r="I7858" s="9"/>
    </row>
    <row r="7859" ht="14.25">
      <c r="A7859" s="5"/>
      <c r="B7859" s="7"/>
      <c r="C7859" s="7"/>
      <c r="D7859" s="7"/>
      <c r="E7859" s="5"/>
      <c r="F7859" s="5"/>
      <c r="G7859" s="9"/>
      <c r="H7859" s="9"/>
      <c r="I7859" s="9"/>
    </row>
    <row r="7860" ht="14.25">
      <c r="A7860" s="5"/>
      <c r="B7860" s="7"/>
      <c r="C7860" s="7"/>
      <c r="D7860" s="7"/>
      <c r="E7860" s="5"/>
      <c r="F7860" s="5"/>
      <c r="G7860" s="9"/>
      <c r="H7860" s="9"/>
      <c r="I7860" s="9"/>
    </row>
    <row r="7861" ht="14.25">
      <c r="A7861" s="5"/>
      <c r="B7861" s="7"/>
      <c r="C7861" s="7"/>
      <c r="D7861" s="7"/>
      <c r="E7861" s="5"/>
      <c r="F7861" s="5"/>
      <c r="G7861" s="9"/>
      <c r="H7861" s="9"/>
      <c r="I7861" s="9"/>
    </row>
    <row r="7862" ht="14.25">
      <c r="A7862" s="5"/>
      <c r="B7862" s="7"/>
      <c r="C7862" s="7"/>
      <c r="D7862" s="7"/>
      <c r="E7862" s="5"/>
      <c r="F7862" s="5"/>
      <c r="G7862" s="9"/>
      <c r="H7862" s="9"/>
      <c r="I7862" s="9"/>
    </row>
    <row r="7863" ht="14.25">
      <c r="A7863" s="5"/>
      <c r="B7863" s="7"/>
      <c r="C7863" s="7"/>
      <c r="D7863" s="7"/>
      <c r="E7863" s="5"/>
      <c r="F7863" s="5"/>
      <c r="G7863" s="9"/>
      <c r="H7863" s="9"/>
      <c r="I7863" s="9"/>
    </row>
    <row r="7864" ht="14.25">
      <c r="A7864" s="5"/>
      <c r="B7864" s="7"/>
      <c r="C7864" s="7"/>
      <c r="D7864" s="7"/>
      <c r="E7864" s="5"/>
      <c r="F7864" s="5"/>
      <c r="G7864" s="9"/>
      <c r="H7864" s="9"/>
      <c r="I7864" s="9"/>
    </row>
    <row r="7865" ht="14.25">
      <c r="A7865" s="5"/>
      <c r="B7865" s="7"/>
      <c r="C7865" s="7"/>
      <c r="D7865" s="7"/>
      <c r="E7865" s="5"/>
      <c r="F7865" s="5"/>
      <c r="G7865" s="9"/>
      <c r="H7865" s="9"/>
      <c r="I7865" s="9"/>
    </row>
    <row r="7866" ht="14.25">
      <c r="A7866" s="5"/>
      <c r="B7866" s="7"/>
      <c r="C7866" s="7"/>
      <c r="D7866" s="7"/>
      <c r="E7866" s="5"/>
      <c r="F7866" s="5"/>
      <c r="G7866" s="9"/>
      <c r="H7866" s="9"/>
      <c r="I7866" s="9"/>
    </row>
    <row r="7867" ht="14.25">
      <c r="A7867" s="5"/>
      <c r="B7867" s="7"/>
      <c r="C7867" s="7"/>
      <c r="D7867" s="7"/>
      <c r="E7867" s="5"/>
      <c r="F7867" s="5"/>
      <c r="G7867" s="9"/>
      <c r="H7867" s="9"/>
      <c r="I7867" s="9"/>
    </row>
    <row r="7868" ht="14.25">
      <c r="A7868" s="5"/>
      <c r="B7868" s="7"/>
      <c r="C7868" s="7"/>
      <c r="D7868" s="7"/>
      <c r="E7868" s="5"/>
      <c r="F7868" s="5"/>
      <c r="G7868" s="9"/>
      <c r="H7868" s="9"/>
      <c r="I7868" s="9"/>
    </row>
    <row r="7869" ht="14.25">
      <c r="A7869" s="5"/>
      <c r="B7869" s="7"/>
      <c r="C7869" s="7"/>
      <c r="D7869" s="7"/>
      <c r="E7869" s="5"/>
      <c r="F7869" s="5"/>
      <c r="G7869" s="9"/>
      <c r="H7869" s="9"/>
      <c r="I7869" s="9"/>
    </row>
    <row r="7870" ht="14.25">
      <c r="A7870" s="5"/>
      <c r="B7870" s="7"/>
      <c r="C7870" s="7"/>
      <c r="D7870" s="7"/>
      <c r="E7870" s="5"/>
      <c r="F7870" s="5"/>
      <c r="G7870" s="9"/>
      <c r="H7870" s="9"/>
      <c r="I7870" s="9"/>
    </row>
    <row r="7871" ht="14.25">
      <c r="A7871" s="5"/>
      <c r="B7871" s="7"/>
      <c r="C7871" s="7"/>
      <c r="D7871" s="7"/>
      <c r="E7871" s="5"/>
      <c r="F7871" s="5"/>
      <c r="G7871" s="9"/>
      <c r="H7871" s="9"/>
      <c r="I7871" s="9"/>
    </row>
    <row r="7872" ht="14.25">
      <c r="A7872" s="5"/>
      <c r="B7872" s="7"/>
      <c r="C7872" s="7"/>
      <c r="D7872" s="7"/>
      <c r="E7872" s="5"/>
      <c r="F7872" s="5"/>
      <c r="G7872" s="9"/>
      <c r="H7872" s="9"/>
      <c r="I7872" s="9"/>
    </row>
    <row r="7873" ht="14.25">
      <c r="A7873" s="5"/>
      <c r="B7873" s="7"/>
      <c r="C7873" s="7"/>
      <c r="D7873" s="7"/>
      <c r="E7873" s="5"/>
      <c r="F7873" s="5"/>
      <c r="G7873" s="9"/>
      <c r="H7873" s="9"/>
      <c r="I7873" s="9"/>
    </row>
    <row r="7874" ht="14.25">
      <c r="A7874" s="5"/>
      <c r="B7874" s="7"/>
      <c r="C7874" s="7"/>
      <c r="D7874" s="7"/>
      <c r="E7874" s="5"/>
      <c r="F7874" s="5"/>
      <c r="G7874" s="9"/>
      <c r="H7874" s="9"/>
      <c r="I7874" s="9"/>
    </row>
    <row r="7875" ht="14.25">
      <c r="A7875" s="5"/>
      <c r="B7875" s="7"/>
      <c r="C7875" s="7"/>
      <c r="D7875" s="7"/>
      <c r="E7875" s="5"/>
      <c r="F7875" s="5"/>
      <c r="G7875" s="9"/>
      <c r="H7875" s="9"/>
      <c r="I7875" s="9"/>
    </row>
    <row r="7876" ht="14.25">
      <c r="A7876" s="5"/>
      <c r="B7876" s="7"/>
      <c r="C7876" s="7"/>
      <c r="D7876" s="7"/>
      <c r="E7876" s="5"/>
      <c r="F7876" s="5"/>
      <c r="G7876" s="9"/>
      <c r="H7876" s="9"/>
      <c r="I7876" s="9"/>
    </row>
    <row r="7877" ht="14.25">
      <c r="A7877" s="5"/>
      <c r="B7877" s="7"/>
      <c r="C7877" s="7"/>
      <c r="D7877" s="7"/>
      <c r="E7877" s="5"/>
      <c r="F7877" s="5"/>
      <c r="G7877" s="9"/>
      <c r="H7877" s="9"/>
      <c r="I7877" s="9"/>
    </row>
    <row r="7878" ht="14.25">
      <c r="A7878" s="5"/>
      <c r="B7878" s="7"/>
      <c r="C7878" s="7"/>
      <c r="D7878" s="7"/>
      <c r="E7878" s="5"/>
      <c r="F7878" s="5"/>
      <c r="G7878" s="9"/>
      <c r="H7878" s="9"/>
      <c r="I7878" s="9"/>
    </row>
    <row r="7879" ht="14.25">
      <c r="A7879" s="5"/>
      <c r="B7879" s="7"/>
      <c r="C7879" s="7"/>
      <c r="D7879" s="7"/>
      <c r="E7879" s="5"/>
      <c r="F7879" s="5"/>
      <c r="G7879" s="9"/>
      <c r="H7879" s="9"/>
      <c r="I7879" s="9"/>
    </row>
    <row r="7880" ht="14.25">
      <c r="A7880" s="5"/>
      <c r="B7880" s="7"/>
      <c r="C7880" s="7"/>
      <c r="D7880" s="7"/>
      <c r="E7880" s="5"/>
      <c r="F7880" s="5"/>
      <c r="G7880" s="9"/>
      <c r="H7880" s="9"/>
      <c r="I7880" s="9"/>
    </row>
    <row r="7881" ht="14.25">
      <c r="A7881" s="5"/>
      <c r="B7881" s="7"/>
      <c r="C7881" s="7"/>
      <c r="D7881" s="7"/>
      <c r="E7881" s="5"/>
      <c r="F7881" s="5"/>
      <c r="G7881" s="9"/>
      <c r="H7881" s="9"/>
      <c r="I7881" s="9"/>
    </row>
    <row r="7882" ht="14.25">
      <c r="A7882" s="5"/>
      <c r="B7882" s="7"/>
      <c r="C7882" s="7"/>
      <c r="D7882" s="7"/>
      <c r="E7882" s="5"/>
      <c r="F7882" s="5"/>
      <c r="G7882" s="9"/>
      <c r="H7882" s="9"/>
      <c r="I7882" s="9"/>
    </row>
    <row r="7883" ht="14.25">
      <c r="A7883" s="5"/>
      <c r="B7883" s="7"/>
      <c r="C7883" s="7"/>
      <c r="D7883" s="7"/>
      <c r="E7883" s="5"/>
      <c r="F7883" s="5"/>
      <c r="G7883" s="9"/>
      <c r="H7883" s="9"/>
      <c r="I7883" s="9"/>
    </row>
    <row r="7884" ht="14.25">
      <c r="A7884" s="5"/>
      <c r="B7884" s="7"/>
      <c r="C7884" s="7"/>
      <c r="D7884" s="7"/>
      <c r="E7884" s="5"/>
      <c r="F7884" s="5"/>
      <c r="G7884" s="9"/>
      <c r="H7884" s="9"/>
      <c r="I7884" s="9"/>
    </row>
    <row r="7885" ht="14.25">
      <c r="A7885" s="5"/>
      <c r="B7885" s="7"/>
      <c r="C7885" s="7"/>
      <c r="D7885" s="7"/>
      <c r="E7885" s="5"/>
      <c r="F7885" s="5"/>
      <c r="G7885" s="9"/>
      <c r="H7885" s="9"/>
      <c r="I7885" s="9"/>
    </row>
    <row r="7886" ht="14.25">
      <c r="A7886" s="5"/>
      <c r="B7886" s="7"/>
      <c r="C7886" s="7"/>
      <c r="D7886" s="7"/>
      <c r="E7886" s="5"/>
      <c r="F7886" s="5"/>
      <c r="G7886" s="9"/>
      <c r="H7886" s="9"/>
      <c r="I7886" s="9"/>
    </row>
    <row r="7887" ht="14.25">
      <c r="A7887" s="5"/>
      <c r="B7887" s="7"/>
      <c r="C7887" s="7"/>
      <c r="D7887" s="7"/>
      <c r="E7887" s="5"/>
      <c r="F7887" s="5"/>
      <c r="G7887" s="9"/>
      <c r="H7887" s="9"/>
      <c r="I7887" s="9"/>
    </row>
    <row r="7888" ht="14.25">
      <c r="A7888" s="5"/>
      <c r="B7888" s="7"/>
      <c r="C7888" s="7"/>
      <c r="D7888" s="7"/>
      <c r="E7888" s="5"/>
      <c r="F7888" s="5"/>
      <c r="G7888" s="9"/>
      <c r="H7888" s="9"/>
      <c r="I7888" s="9"/>
    </row>
    <row r="7889" ht="14.25">
      <c r="A7889" s="5"/>
      <c r="B7889" s="7"/>
      <c r="C7889" s="7"/>
      <c r="D7889" s="7"/>
      <c r="E7889" s="5"/>
      <c r="F7889" s="5"/>
      <c r="G7889" s="9"/>
      <c r="H7889" s="9"/>
      <c r="I7889" s="9"/>
    </row>
    <row r="7890" ht="14.25">
      <c r="A7890" s="5"/>
      <c r="B7890" s="7"/>
      <c r="C7890" s="7"/>
      <c r="D7890" s="7"/>
      <c r="E7890" s="5"/>
      <c r="F7890" s="5"/>
      <c r="G7890" s="9"/>
      <c r="H7890" s="9"/>
      <c r="I7890" s="9"/>
    </row>
    <row r="7891" ht="14.25">
      <c r="A7891" s="5"/>
      <c r="B7891" s="7"/>
      <c r="C7891" s="7"/>
      <c r="D7891" s="7"/>
      <c r="E7891" s="5"/>
      <c r="F7891" s="5"/>
      <c r="G7891" s="9"/>
      <c r="H7891" s="9"/>
      <c r="I7891" s="9"/>
    </row>
    <row r="7892" ht="14.25">
      <c r="A7892" s="5"/>
      <c r="B7892" s="7"/>
      <c r="C7892" s="7"/>
      <c r="D7892" s="7"/>
      <c r="E7892" s="5"/>
      <c r="F7892" s="5"/>
      <c r="G7892" s="9"/>
      <c r="H7892" s="9"/>
      <c r="I7892" s="9"/>
    </row>
    <row r="7893" ht="14.25">
      <c r="A7893" s="5"/>
      <c r="B7893" s="7"/>
      <c r="C7893" s="7"/>
      <c r="D7893" s="7"/>
      <c r="E7893" s="5"/>
      <c r="F7893" s="5"/>
      <c r="G7893" s="9"/>
      <c r="H7893" s="9"/>
      <c r="I7893" s="9"/>
    </row>
    <row r="7894" ht="14.25">
      <c r="A7894" s="5"/>
      <c r="B7894" s="7"/>
      <c r="C7894" s="7"/>
      <c r="D7894" s="7"/>
      <c r="E7894" s="5"/>
      <c r="F7894" s="5"/>
      <c r="G7894" s="9"/>
      <c r="H7894" s="9"/>
      <c r="I7894" s="9"/>
    </row>
    <row r="7895" ht="14.25">
      <c r="A7895" s="5"/>
      <c r="B7895" s="7"/>
      <c r="C7895" s="7"/>
      <c r="D7895" s="7"/>
      <c r="E7895" s="5"/>
      <c r="F7895" s="5"/>
      <c r="G7895" s="9"/>
      <c r="H7895" s="9"/>
      <c r="I7895" s="9"/>
    </row>
    <row r="7896" ht="14.25">
      <c r="A7896" s="5"/>
      <c r="B7896" s="7"/>
      <c r="C7896" s="7"/>
      <c r="D7896" s="7"/>
      <c r="E7896" s="5"/>
      <c r="F7896" s="5"/>
      <c r="G7896" s="9"/>
      <c r="H7896" s="9"/>
      <c r="I7896" s="9"/>
    </row>
    <row r="7897" ht="14.25">
      <c r="A7897" s="5"/>
      <c r="B7897" s="7"/>
      <c r="C7897" s="7"/>
      <c r="D7897" s="7"/>
      <c r="E7897" s="5"/>
      <c r="F7897" s="5"/>
      <c r="G7897" s="9"/>
      <c r="H7897" s="9"/>
      <c r="I7897" s="9"/>
    </row>
    <row r="7898" ht="14.25">
      <c r="A7898" s="5"/>
      <c r="B7898" s="7"/>
      <c r="C7898" s="7"/>
      <c r="D7898" s="7"/>
      <c r="E7898" s="5"/>
      <c r="F7898" s="5"/>
      <c r="G7898" s="9"/>
      <c r="H7898" s="9"/>
      <c r="I7898" s="9"/>
    </row>
    <row r="7899" ht="14.25">
      <c r="A7899" s="5"/>
      <c r="B7899" s="7"/>
      <c r="C7899" s="7"/>
      <c r="D7899" s="7"/>
      <c r="E7899" s="5"/>
      <c r="F7899" s="5"/>
      <c r="G7899" s="9"/>
      <c r="H7899" s="9"/>
      <c r="I7899" s="9"/>
    </row>
    <row r="7900" ht="14.25">
      <c r="A7900" s="5"/>
      <c r="B7900" s="7"/>
      <c r="C7900" s="7"/>
      <c r="D7900" s="7"/>
      <c r="E7900" s="5"/>
      <c r="F7900" s="5"/>
      <c r="G7900" s="9"/>
      <c r="H7900" s="9"/>
      <c r="I7900" s="9"/>
    </row>
    <row r="7901" ht="14.25">
      <c r="A7901" s="5"/>
      <c r="B7901" s="7"/>
      <c r="C7901" s="7"/>
      <c r="D7901" s="7"/>
      <c r="E7901" s="5"/>
      <c r="F7901" s="5"/>
      <c r="G7901" s="9"/>
      <c r="H7901" s="9"/>
      <c r="I7901" s="9"/>
    </row>
    <row r="7902" ht="14.25">
      <c r="A7902" s="5"/>
      <c r="B7902" s="7"/>
      <c r="C7902" s="7"/>
      <c r="D7902" s="7"/>
      <c r="E7902" s="5"/>
      <c r="F7902" s="5"/>
      <c r="G7902" s="9"/>
      <c r="H7902" s="9"/>
      <c r="I7902" s="9"/>
    </row>
    <row r="7903" ht="14.25">
      <c r="A7903" s="5"/>
      <c r="B7903" s="7"/>
      <c r="C7903" s="7"/>
      <c r="D7903" s="7"/>
      <c r="E7903" s="5"/>
      <c r="F7903" s="5"/>
      <c r="G7903" s="9"/>
      <c r="H7903" s="9"/>
      <c r="I7903" s="9"/>
    </row>
    <row r="7904" ht="14.25">
      <c r="A7904" s="5"/>
      <c r="B7904" s="7"/>
      <c r="C7904" s="7"/>
      <c r="D7904" s="7"/>
      <c r="E7904" s="5"/>
      <c r="F7904" s="5"/>
      <c r="G7904" s="9"/>
      <c r="H7904" s="9"/>
      <c r="I7904" s="9"/>
    </row>
    <row r="7905" ht="14.25">
      <c r="A7905" s="5"/>
      <c r="B7905" s="7"/>
      <c r="C7905" s="7"/>
      <c r="D7905" s="7"/>
      <c r="E7905" s="5"/>
      <c r="F7905" s="5"/>
      <c r="G7905" s="9"/>
      <c r="H7905" s="9"/>
      <c r="I7905" s="9"/>
    </row>
    <row r="7906" ht="14.25">
      <c r="A7906" s="5"/>
      <c r="B7906" s="7"/>
      <c r="C7906" s="7"/>
      <c r="D7906" s="7"/>
      <c r="E7906" s="5"/>
      <c r="F7906" s="5"/>
      <c r="G7906" s="9"/>
      <c r="H7906" s="9"/>
      <c r="I7906" s="9"/>
    </row>
    <row r="7907" ht="14.25">
      <c r="A7907" s="5"/>
      <c r="B7907" s="7"/>
      <c r="C7907" s="7"/>
      <c r="D7907" s="7"/>
      <c r="E7907" s="5"/>
      <c r="F7907" s="5"/>
      <c r="G7907" s="9"/>
      <c r="H7907" s="9"/>
      <c r="I7907" s="9"/>
    </row>
    <row r="7908" ht="14.25">
      <c r="A7908" s="5"/>
      <c r="B7908" s="7"/>
      <c r="C7908" s="7"/>
      <c r="D7908" s="7"/>
      <c r="E7908" s="5"/>
      <c r="F7908" s="5"/>
      <c r="G7908" s="9"/>
      <c r="H7908" s="9"/>
      <c r="I7908" s="9"/>
    </row>
    <row r="7909" ht="14.25">
      <c r="A7909" s="5"/>
      <c r="B7909" s="7"/>
      <c r="C7909" s="7"/>
      <c r="D7909" s="7"/>
      <c r="E7909" s="5"/>
      <c r="F7909" s="5"/>
      <c r="G7909" s="9"/>
      <c r="H7909" s="9"/>
      <c r="I7909" s="9"/>
    </row>
    <row r="7910" ht="14.25">
      <c r="A7910" s="5"/>
      <c r="B7910" s="7"/>
      <c r="C7910" s="7"/>
      <c r="D7910" s="7"/>
      <c r="E7910" s="5"/>
      <c r="F7910" s="5"/>
      <c r="G7910" s="9"/>
      <c r="H7910" s="9"/>
      <c r="I7910" s="9"/>
    </row>
    <row r="7911" ht="14.25">
      <c r="A7911" s="5"/>
      <c r="B7911" s="7"/>
      <c r="C7911" s="7"/>
      <c r="D7911" s="7"/>
      <c r="E7911" s="5"/>
      <c r="F7911" s="5"/>
      <c r="G7911" s="9"/>
      <c r="H7911" s="9"/>
      <c r="I7911" s="9"/>
    </row>
    <row r="7912" ht="14.25">
      <c r="A7912" s="5"/>
      <c r="B7912" s="7"/>
      <c r="C7912" s="7"/>
      <c r="D7912" s="7"/>
      <c r="E7912" s="5"/>
      <c r="F7912" s="5"/>
      <c r="G7912" s="9"/>
      <c r="H7912" s="9"/>
      <c r="I7912" s="9"/>
    </row>
    <row r="7913" ht="14.25">
      <c r="A7913" s="5"/>
      <c r="B7913" s="7"/>
      <c r="C7913" s="7"/>
      <c r="D7913" s="7"/>
      <c r="E7913" s="5"/>
      <c r="F7913" s="5"/>
      <c r="G7913" s="9"/>
      <c r="H7913" s="9"/>
      <c r="I7913" s="9"/>
    </row>
    <row r="7914" ht="14.25">
      <c r="A7914" s="5"/>
      <c r="B7914" s="7"/>
      <c r="C7914" s="7"/>
      <c r="D7914" s="7"/>
      <c r="E7914" s="5"/>
      <c r="F7914" s="5"/>
      <c r="G7914" s="9"/>
      <c r="H7914" s="9"/>
      <c r="I7914" s="9"/>
    </row>
    <row r="7915" ht="14.25">
      <c r="A7915" s="5"/>
      <c r="B7915" s="7"/>
      <c r="C7915" s="7"/>
      <c r="D7915" s="7"/>
      <c r="E7915" s="5"/>
      <c r="F7915" s="5"/>
      <c r="G7915" s="9"/>
      <c r="H7915" s="9"/>
      <c r="I7915" s="9"/>
    </row>
    <row r="7916" ht="14.25">
      <c r="A7916" s="5"/>
      <c r="B7916" s="7"/>
      <c r="C7916" s="7"/>
      <c r="D7916" s="7"/>
      <c r="E7916" s="5"/>
      <c r="F7916" s="5"/>
      <c r="G7916" s="9"/>
      <c r="H7916" s="9"/>
      <c r="I7916" s="9"/>
    </row>
    <row r="7917" ht="14.25">
      <c r="A7917" s="5"/>
      <c r="B7917" s="7"/>
      <c r="C7917" s="7"/>
      <c r="D7917" s="7"/>
      <c r="E7917" s="5"/>
      <c r="F7917" s="5"/>
      <c r="G7917" s="9"/>
      <c r="H7917" s="9"/>
      <c r="I7917" s="9"/>
    </row>
    <row r="7918" ht="14.25">
      <c r="A7918" s="5"/>
      <c r="B7918" s="7"/>
      <c r="C7918" s="7"/>
      <c r="D7918" s="7"/>
      <c r="E7918" s="5"/>
      <c r="F7918" s="5"/>
      <c r="G7918" s="9"/>
      <c r="H7918" s="9"/>
      <c r="I7918" s="9"/>
    </row>
    <row r="7919" ht="14.25">
      <c r="A7919" s="5"/>
      <c r="B7919" s="7"/>
      <c r="C7919" s="7"/>
      <c r="D7919" s="7"/>
      <c r="E7919" s="5"/>
      <c r="F7919" s="5"/>
      <c r="G7919" s="9"/>
      <c r="H7919" s="9"/>
      <c r="I7919" s="9"/>
    </row>
    <row r="7920" ht="14.25">
      <c r="A7920" s="5"/>
      <c r="B7920" s="7"/>
      <c r="C7920" s="7"/>
      <c r="D7920" s="7"/>
      <c r="E7920" s="5"/>
      <c r="F7920" s="5"/>
      <c r="G7920" s="9"/>
      <c r="H7920" s="9"/>
      <c r="I7920" s="9"/>
    </row>
    <row r="7921" ht="14.25">
      <c r="A7921" s="5"/>
      <c r="B7921" s="7"/>
      <c r="C7921" s="7"/>
      <c r="D7921" s="7"/>
      <c r="E7921" s="5"/>
      <c r="F7921" s="5"/>
      <c r="G7921" s="9"/>
      <c r="H7921" s="9"/>
      <c r="I7921" s="9"/>
    </row>
    <row r="7922" ht="14.25">
      <c r="A7922" s="5"/>
      <c r="B7922" s="7"/>
      <c r="C7922" s="7"/>
      <c r="D7922" s="7"/>
      <c r="E7922" s="5"/>
      <c r="F7922" s="5"/>
      <c r="G7922" s="9"/>
      <c r="H7922" s="9"/>
      <c r="I7922" s="9"/>
    </row>
    <row r="7923" ht="14.25">
      <c r="A7923" s="5"/>
      <c r="B7923" s="7"/>
      <c r="C7923" s="7"/>
      <c r="D7923" s="7"/>
      <c r="E7923" s="5"/>
      <c r="F7923" s="5"/>
      <c r="G7923" s="9"/>
      <c r="H7923" s="9"/>
      <c r="I7923" s="9"/>
    </row>
    <row r="7924" ht="14.25">
      <c r="A7924" s="5"/>
      <c r="B7924" s="7"/>
      <c r="C7924" s="7"/>
      <c r="D7924" s="7"/>
      <c r="E7924" s="5"/>
      <c r="F7924" s="5"/>
      <c r="G7924" s="9"/>
      <c r="H7924" s="9"/>
      <c r="I7924" s="9"/>
    </row>
    <row r="7925" ht="14.25">
      <c r="A7925" s="5"/>
      <c r="B7925" s="7"/>
      <c r="C7925" s="7"/>
      <c r="D7925" s="7"/>
      <c r="E7925" s="5"/>
      <c r="F7925" s="5"/>
      <c r="G7925" s="9"/>
      <c r="H7925" s="9"/>
      <c r="I7925" s="9"/>
    </row>
    <row r="7926" ht="14.25">
      <c r="A7926" s="5"/>
      <c r="B7926" s="7"/>
      <c r="C7926" s="7"/>
      <c r="D7926" s="7"/>
      <c r="E7926" s="5"/>
      <c r="F7926" s="5"/>
      <c r="G7926" s="9"/>
      <c r="H7926" s="9"/>
      <c r="I7926" s="9"/>
    </row>
    <row r="7927" ht="14.25">
      <c r="A7927" s="5"/>
      <c r="B7927" s="7"/>
      <c r="C7927" s="7"/>
      <c r="D7927" s="7"/>
      <c r="E7927" s="5"/>
      <c r="F7927" s="5"/>
      <c r="G7927" s="9"/>
      <c r="H7927" s="9"/>
      <c r="I7927" s="9"/>
    </row>
    <row r="7928" ht="14.25">
      <c r="A7928" s="5"/>
      <c r="B7928" s="7"/>
      <c r="C7928" s="7"/>
      <c r="D7928" s="7"/>
      <c r="E7928" s="5"/>
      <c r="F7928" s="5"/>
      <c r="G7928" s="9"/>
      <c r="H7928" s="9"/>
      <c r="I7928" s="9"/>
    </row>
    <row r="7929" ht="14.25">
      <c r="A7929" s="5"/>
      <c r="B7929" s="7"/>
      <c r="C7929" s="7"/>
      <c r="D7929" s="7"/>
      <c r="E7929" s="5"/>
      <c r="F7929" s="5"/>
      <c r="G7929" s="9"/>
      <c r="H7929" s="9"/>
      <c r="I7929" s="9"/>
    </row>
    <row r="7930" ht="14.25">
      <c r="A7930" s="5"/>
      <c r="B7930" s="7"/>
      <c r="C7930" s="7"/>
      <c r="D7930" s="7"/>
      <c r="E7930" s="5"/>
      <c r="F7930" s="5"/>
      <c r="G7930" s="9"/>
      <c r="H7930" s="9"/>
      <c r="I7930" s="9"/>
    </row>
    <row r="7931" ht="14.25">
      <c r="A7931" s="5"/>
      <c r="B7931" s="7"/>
      <c r="C7931" s="7"/>
      <c r="D7931" s="7"/>
      <c r="E7931" s="5"/>
      <c r="F7931" s="5"/>
      <c r="G7931" s="9"/>
      <c r="H7931" s="9"/>
      <c r="I7931" s="9"/>
    </row>
    <row r="7932" ht="14.25">
      <c r="A7932" s="5"/>
      <c r="B7932" s="7"/>
      <c r="C7932" s="7"/>
      <c r="D7932" s="7"/>
      <c r="E7932" s="5"/>
      <c r="F7932" s="5"/>
      <c r="G7932" s="9"/>
      <c r="H7932" s="9"/>
      <c r="I7932" s="9"/>
    </row>
    <row r="7933" ht="14.25">
      <c r="A7933" s="5"/>
      <c r="B7933" s="7"/>
      <c r="C7933" s="7"/>
      <c r="D7933" s="7"/>
      <c r="E7933" s="5"/>
      <c r="F7933" s="5"/>
      <c r="G7933" s="9"/>
      <c r="H7933" s="9"/>
      <c r="I7933" s="9"/>
    </row>
    <row r="7934" ht="14.25">
      <c r="A7934" s="5"/>
      <c r="B7934" s="7"/>
      <c r="C7934" s="7"/>
      <c r="D7934" s="7"/>
      <c r="E7934" s="5"/>
      <c r="F7934" s="5"/>
      <c r="G7934" s="9"/>
      <c r="H7934" s="9"/>
      <c r="I7934" s="9"/>
    </row>
    <row r="7935" ht="14.25">
      <c r="A7935" s="5"/>
      <c r="B7935" s="7"/>
      <c r="C7935" s="7"/>
      <c r="D7935" s="7"/>
      <c r="E7935" s="5"/>
      <c r="F7935" s="5"/>
      <c r="G7935" s="9"/>
      <c r="H7935" s="9"/>
      <c r="I7935" s="9"/>
    </row>
    <row r="7936" ht="14.25">
      <c r="A7936" s="5"/>
      <c r="B7936" s="7"/>
      <c r="C7936" s="7"/>
      <c r="D7936" s="7"/>
      <c r="E7936" s="5"/>
      <c r="F7936" s="5"/>
      <c r="G7936" s="9"/>
      <c r="H7936" s="9"/>
      <c r="I7936" s="9"/>
    </row>
    <row r="7937" ht="14.25">
      <c r="A7937" s="5"/>
      <c r="B7937" s="7"/>
      <c r="C7937" s="7"/>
      <c r="D7937" s="7"/>
      <c r="E7937" s="5"/>
      <c r="F7937" s="5"/>
      <c r="G7937" s="9"/>
      <c r="H7937" s="9"/>
      <c r="I7937" s="9"/>
    </row>
    <row r="7938" ht="14.25">
      <c r="A7938" s="5"/>
      <c r="B7938" s="7"/>
      <c r="C7938" s="7"/>
      <c r="D7938" s="7"/>
      <c r="E7938" s="5"/>
      <c r="F7938" s="5"/>
      <c r="G7938" s="9"/>
      <c r="H7938" s="9"/>
      <c r="I7938" s="9"/>
    </row>
    <row r="7939" ht="14.25">
      <c r="A7939" s="5"/>
      <c r="B7939" s="7"/>
      <c r="C7939" s="7"/>
      <c r="D7939" s="7"/>
      <c r="E7939" s="5"/>
      <c r="F7939" s="5"/>
      <c r="G7939" s="9"/>
      <c r="H7939" s="9"/>
      <c r="I7939" s="9"/>
    </row>
    <row r="7940" ht="14.25">
      <c r="A7940" s="5"/>
      <c r="B7940" s="7"/>
      <c r="C7940" s="7"/>
      <c r="D7940" s="7"/>
      <c r="E7940" s="5"/>
      <c r="F7940" s="5"/>
      <c r="G7940" s="9"/>
      <c r="H7940" s="9"/>
      <c r="I7940" s="9"/>
    </row>
    <row r="7941" ht="14.25">
      <c r="A7941" s="5"/>
      <c r="B7941" s="7"/>
      <c r="C7941" s="7"/>
      <c r="D7941" s="7"/>
      <c r="E7941" s="5"/>
      <c r="F7941" s="5"/>
      <c r="G7941" s="9"/>
      <c r="H7941" s="9"/>
      <c r="I7941" s="9"/>
    </row>
    <row r="7942" ht="14.25">
      <c r="A7942" s="5"/>
      <c r="B7942" s="7"/>
      <c r="C7942" s="7"/>
      <c r="D7942" s="7"/>
      <c r="E7942" s="5"/>
      <c r="F7942" s="5"/>
      <c r="G7942" s="9"/>
      <c r="H7942" s="9"/>
      <c r="I7942" s="9"/>
    </row>
    <row r="7943" ht="14.25">
      <c r="A7943" s="5"/>
      <c r="B7943" s="7"/>
      <c r="C7943" s="7"/>
      <c r="D7943" s="7"/>
      <c r="E7943" s="5"/>
      <c r="F7943" s="5"/>
      <c r="G7943" s="9"/>
      <c r="H7943" s="9"/>
      <c r="I7943" s="9"/>
    </row>
    <row r="7944" ht="14.25">
      <c r="A7944" s="5"/>
      <c r="B7944" s="7"/>
      <c r="C7944" s="7"/>
      <c r="D7944" s="7"/>
      <c r="E7944" s="5"/>
      <c r="F7944" s="5"/>
      <c r="G7944" s="9"/>
      <c r="H7944" s="9"/>
      <c r="I7944" s="9"/>
    </row>
    <row r="7945" ht="14.25">
      <c r="A7945" s="5"/>
      <c r="B7945" s="7"/>
      <c r="C7945" s="7"/>
      <c r="D7945" s="7"/>
      <c r="E7945" s="5"/>
      <c r="F7945" s="5"/>
      <c r="G7945" s="9"/>
      <c r="H7945" s="9"/>
      <c r="I7945" s="9"/>
    </row>
    <row r="7946" ht="14.25">
      <c r="A7946" s="5"/>
      <c r="B7946" s="7"/>
      <c r="C7946" s="7"/>
      <c r="D7946" s="7"/>
      <c r="E7946" s="5"/>
      <c r="F7946" s="5"/>
      <c r="G7946" s="9"/>
      <c r="H7946" s="9"/>
      <c r="I7946" s="9"/>
    </row>
    <row r="7947" ht="14.25">
      <c r="A7947" s="5"/>
      <c r="B7947" s="7"/>
      <c r="C7947" s="7"/>
      <c r="D7947" s="7"/>
      <c r="E7947" s="5"/>
      <c r="F7947" s="5"/>
      <c r="G7947" s="9"/>
      <c r="H7947" s="9"/>
      <c r="I7947" s="9"/>
    </row>
    <row r="7948" ht="14.25">
      <c r="A7948" s="5"/>
      <c r="B7948" s="7"/>
      <c r="C7948" s="7"/>
      <c r="D7948" s="7"/>
      <c r="E7948" s="5"/>
      <c r="F7948" s="5"/>
      <c r="G7948" s="9"/>
      <c r="H7948" s="9"/>
      <c r="I7948" s="9"/>
    </row>
    <row r="7949" ht="14.25">
      <c r="A7949" s="5"/>
      <c r="B7949" s="7"/>
      <c r="C7949" s="7"/>
      <c r="D7949" s="7"/>
      <c r="E7949" s="5"/>
      <c r="F7949" s="5"/>
      <c r="G7949" s="9"/>
      <c r="H7949" s="9"/>
      <c r="I7949" s="9"/>
    </row>
    <row r="7950" ht="14.25">
      <c r="A7950" s="5"/>
      <c r="B7950" s="7"/>
      <c r="C7950" s="7"/>
      <c r="D7950" s="7"/>
      <c r="E7950" s="5"/>
      <c r="F7950" s="5"/>
      <c r="G7950" s="9"/>
      <c r="H7950" s="9"/>
      <c r="I7950" s="9"/>
    </row>
    <row r="7951" ht="14.25">
      <c r="A7951" s="5"/>
      <c r="B7951" s="7"/>
      <c r="C7951" s="7"/>
      <c r="D7951" s="7"/>
      <c r="E7951" s="5"/>
      <c r="F7951" s="5"/>
      <c r="G7951" s="9"/>
      <c r="H7951" s="9"/>
      <c r="I7951" s="9"/>
    </row>
    <row r="7952" ht="14.25">
      <c r="A7952" s="5"/>
      <c r="B7952" s="7"/>
      <c r="C7952" s="7"/>
      <c r="D7952" s="7"/>
      <c r="E7952" s="5"/>
      <c r="F7952" s="5"/>
      <c r="G7952" s="9"/>
      <c r="H7952" s="9"/>
      <c r="I7952" s="9"/>
    </row>
    <row r="7953" ht="14.25">
      <c r="A7953" s="5"/>
      <c r="B7953" s="7"/>
      <c r="C7953" s="7"/>
      <c r="D7953" s="7"/>
      <c r="E7953" s="5"/>
      <c r="F7953" s="5"/>
      <c r="G7953" s="9"/>
      <c r="H7953" s="9"/>
      <c r="I7953" s="9"/>
    </row>
    <row r="7954" ht="14.25">
      <c r="A7954" s="5"/>
      <c r="B7954" s="7"/>
      <c r="C7954" s="7"/>
      <c r="D7954" s="7"/>
      <c r="E7954" s="5"/>
      <c r="F7954" s="5"/>
      <c r="G7954" s="9"/>
      <c r="H7954" s="9"/>
      <c r="I7954" s="9"/>
    </row>
    <row r="7955" ht="14.25">
      <c r="A7955" s="5"/>
      <c r="B7955" s="7"/>
      <c r="C7955" s="7"/>
      <c r="D7955" s="7"/>
      <c r="E7955" s="5"/>
      <c r="F7955" s="5"/>
      <c r="G7955" s="9"/>
      <c r="H7955" s="9"/>
      <c r="I7955" s="9"/>
    </row>
    <row r="7956" ht="14.25">
      <c r="A7956" s="5"/>
      <c r="B7956" s="7"/>
      <c r="C7956" s="7"/>
      <c r="D7956" s="7"/>
      <c r="E7956" s="5"/>
      <c r="F7956" s="5"/>
      <c r="G7956" s="9"/>
      <c r="H7956" s="9"/>
      <c r="I7956" s="9"/>
    </row>
    <row r="7957" ht="14.25">
      <c r="A7957" s="5"/>
      <c r="B7957" s="7"/>
      <c r="C7957" s="7"/>
      <c r="D7957" s="7"/>
      <c r="E7957" s="5"/>
      <c r="F7957" s="5"/>
      <c r="G7957" s="9"/>
      <c r="H7957" s="9"/>
      <c r="I7957" s="9"/>
    </row>
    <row r="7958" ht="14.25">
      <c r="A7958" s="5"/>
      <c r="B7958" s="7"/>
      <c r="C7958" s="7"/>
      <c r="D7958" s="7"/>
      <c r="E7958" s="5"/>
      <c r="F7958" s="5"/>
      <c r="G7958" s="9"/>
      <c r="H7958" s="9"/>
      <c r="I7958" s="9"/>
    </row>
    <row r="7959" ht="14.25">
      <c r="A7959" s="5"/>
      <c r="B7959" s="7"/>
      <c r="C7959" s="7"/>
      <c r="D7959" s="7"/>
      <c r="E7959" s="5"/>
      <c r="F7959" s="5"/>
      <c r="G7959" s="9"/>
      <c r="H7959" s="9"/>
      <c r="I7959" s="9"/>
    </row>
    <row r="7960" ht="14.25">
      <c r="A7960" s="5"/>
      <c r="B7960" s="7"/>
      <c r="C7960" s="7"/>
      <c r="D7960" s="7"/>
      <c r="E7960" s="5"/>
      <c r="F7960" s="5"/>
      <c r="G7960" s="9"/>
      <c r="H7960" s="9"/>
      <c r="I7960" s="9"/>
    </row>
    <row r="7961" ht="14.25">
      <c r="A7961" s="5"/>
      <c r="B7961" s="7"/>
      <c r="C7961" s="7"/>
      <c r="D7961" s="7"/>
      <c r="E7961" s="5"/>
      <c r="F7961" s="5"/>
      <c r="G7961" s="9"/>
      <c r="H7961" s="9"/>
      <c r="I7961" s="9"/>
    </row>
    <row r="7962" ht="14.25">
      <c r="A7962" s="5"/>
      <c r="B7962" s="7"/>
      <c r="C7962" s="7"/>
      <c r="D7962" s="7"/>
      <c r="E7962" s="5"/>
      <c r="F7962" s="5"/>
      <c r="G7962" s="9"/>
      <c r="H7962" s="9"/>
      <c r="I7962" s="9"/>
    </row>
    <row r="7963" ht="14.25">
      <c r="A7963" s="5"/>
      <c r="B7963" s="7"/>
      <c r="C7963" s="7"/>
      <c r="D7963" s="7"/>
      <c r="E7963" s="5"/>
      <c r="F7963" s="5"/>
      <c r="G7963" s="9"/>
      <c r="H7963" s="9"/>
      <c r="I7963" s="9"/>
    </row>
    <row r="7964" ht="14.25">
      <c r="A7964" s="5"/>
      <c r="B7964" s="7"/>
      <c r="C7964" s="7"/>
      <c r="D7964" s="7"/>
      <c r="E7964" s="5"/>
      <c r="F7964" s="5"/>
      <c r="G7964" s="9"/>
      <c r="H7964" s="9"/>
      <c r="I7964" s="9"/>
    </row>
    <row r="7965" ht="14.25">
      <c r="A7965" s="5"/>
      <c r="B7965" s="7"/>
      <c r="C7965" s="7"/>
      <c r="D7965" s="7"/>
      <c r="E7965" s="5"/>
      <c r="F7965" s="5"/>
      <c r="G7965" s="9"/>
      <c r="H7965" s="9"/>
      <c r="I7965" s="9"/>
    </row>
    <row r="7966" ht="14.25">
      <c r="A7966" s="5"/>
      <c r="B7966" s="7"/>
      <c r="C7966" s="7"/>
      <c r="D7966" s="7"/>
      <c r="E7966" s="5"/>
      <c r="F7966" s="5"/>
      <c r="G7966" s="9"/>
      <c r="H7966" s="9"/>
      <c r="I7966" s="9"/>
    </row>
    <row r="7967" ht="14.25">
      <c r="A7967" s="5"/>
      <c r="B7967" s="7"/>
      <c r="C7967" s="7"/>
      <c r="D7967" s="7"/>
      <c r="E7967" s="5"/>
      <c r="F7967" s="5"/>
      <c r="G7967" s="9"/>
      <c r="H7967" s="9"/>
      <c r="I7967" s="9"/>
    </row>
    <row r="7968" ht="14.25">
      <c r="A7968" s="5"/>
      <c r="B7968" s="7"/>
      <c r="C7968" s="7"/>
      <c r="D7968" s="7"/>
      <c r="E7968" s="5"/>
      <c r="F7968" s="5"/>
      <c r="G7968" s="9"/>
      <c r="H7968" s="9"/>
      <c r="I7968" s="9"/>
    </row>
    <row r="7969" ht="14.25">
      <c r="A7969" s="5"/>
      <c r="B7969" s="7"/>
      <c r="C7969" s="7"/>
      <c r="D7969" s="7"/>
      <c r="E7969" s="5"/>
      <c r="F7969" s="5"/>
      <c r="G7969" s="9"/>
      <c r="H7969" s="9"/>
      <c r="I7969" s="9"/>
    </row>
    <row r="7970" ht="14.25">
      <c r="A7970" s="5"/>
      <c r="B7970" s="7"/>
      <c r="C7970" s="7"/>
      <c r="D7970" s="7"/>
      <c r="E7970" s="5"/>
      <c r="F7970" s="5"/>
      <c r="G7970" s="9"/>
      <c r="H7970" s="9"/>
      <c r="I7970" s="9"/>
    </row>
    <row r="7971" ht="14.25">
      <c r="A7971" s="5"/>
      <c r="B7971" s="7"/>
      <c r="C7971" s="7"/>
      <c r="D7971" s="7"/>
      <c r="E7971" s="5"/>
      <c r="F7971" s="5"/>
      <c r="G7971" s="9"/>
      <c r="H7971" s="9"/>
      <c r="I7971" s="9"/>
    </row>
    <row r="7972" ht="14.25">
      <c r="A7972" s="5"/>
      <c r="B7972" s="7"/>
      <c r="C7972" s="7"/>
      <c r="D7972" s="7"/>
      <c r="E7972" s="5"/>
      <c r="F7972" s="5"/>
      <c r="G7972" s="9"/>
      <c r="H7972" s="9"/>
      <c r="I7972" s="9"/>
    </row>
    <row r="7973" ht="14.25">
      <c r="A7973" s="5"/>
      <c r="B7973" s="7"/>
      <c r="C7973" s="7"/>
      <c r="D7973" s="7"/>
      <c r="E7973" s="5"/>
      <c r="F7973" s="5"/>
      <c r="G7973" s="9"/>
      <c r="H7973" s="9"/>
      <c r="I7973" s="9"/>
    </row>
    <row r="7974" ht="14.25">
      <c r="A7974" s="5"/>
      <c r="B7974" s="7"/>
      <c r="C7974" s="7"/>
      <c r="D7974" s="7"/>
      <c r="E7974" s="5"/>
      <c r="F7974" s="5"/>
      <c r="G7974" s="9"/>
      <c r="H7974" s="9"/>
      <c r="I7974" s="9"/>
    </row>
    <row r="7975" ht="14.25">
      <c r="A7975" s="5"/>
      <c r="B7975" s="7"/>
      <c r="C7975" s="7"/>
      <c r="D7975" s="7"/>
      <c r="E7975" s="5"/>
      <c r="F7975" s="5"/>
      <c r="G7975" s="9"/>
      <c r="H7975" s="9"/>
      <c r="I7975" s="9"/>
    </row>
    <row r="7976" ht="14.25">
      <c r="A7976" s="5"/>
      <c r="B7976" s="7"/>
      <c r="C7976" s="7"/>
      <c r="D7976" s="7"/>
      <c r="E7976" s="5"/>
      <c r="F7976" s="5"/>
      <c r="G7976" s="9"/>
      <c r="H7976" s="9"/>
      <c r="I7976" s="9"/>
    </row>
    <row r="7977" ht="14.25">
      <c r="A7977" s="5"/>
      <c r="B7977" s="7"/>
      <c r="C7977" s="7"/>
      <c r="D7977" s="7"/>
      <c r="E7977" s="5"/>
      <c r="F7977" s="5"/>
      <c r="G7977" s="9"/>
      <c r="H7977" s="9"/>
      <c r="I7977" s="9"/>
    </row>
    <row r="7978" ht="14.25">
      <c r="A7978" s="5"/>
      <c r="B7978" s="7"/>
      <c r="C7978" s="7"/>
      <c r="D7978" s="7"/>
      <c r="E7978" s="5"/>
      <c r="F7978" s="5"/>
      <c r="G7978" s="9"/>
      <c r="H7978" s="9"/>
      <c r="I7978" s="9"/>
    </row>
    <row r="7979" ht="14.25">
      <c r="A7979" s="5"/>
      <c r="B7979" s="7"/>
      <c r="C7979" s="7"/>
      <c r="D7979" s="7"/>
      <c r="E7979" s="5"/>
      <c r="F7979" s="5"/>
      <c r="G7979" s="9"/>
      <c r="H7979" s="9"/>
      <c r="I7979" s="9"/>
    </row>
    <row r="7980" ht="14.25">
      <c r="A7980" s="5"/>
      <c r="B7980" s="7"/>
      <c r="C7980" s="7"/>
      <c r="D7980" s="7"/>
      <c r="E7980" s="5"/>
      <c r="F7980" s="5"/>
      <c r="G7980" s="9"/>
      <c r="H7980" s="9"/>
      <c r="I7980" s="9"/>
    </row>
    <row r="7981" ht="14.25">
      <c r="A7981" s="5"/>
      <c r="B7981" s="7"/>
      <c r="C7981" s="7"/>
      <c r="D7981" s="7"/>
      <c r="E7981" s="5"/>
      <c r="F7981" s="5"/>
      <c r="G7981" s="9"/>
      <c r="H7981" s="9"/>
      <c r="I7981" s="9"/>
    </row>
    <row r="7982" ht="14.25">
      <c r="A7982" s="5"/>
      <c r="B7982" s="7"/>
      <c r="C7982" s="7"/>
      <c r="D7982" s="7"/>
      <c r="E7982" s="5"/>
      <c r="F7982" s="5"/>
      <c r="G7982" s="9"/>
      <c r="H7982" s="9"/>
      <c r="I7982" s="9"/>
    </row>
    <row r="7983" ht="14.25">
      <c r="A7983" s="5"/>
      <c r="B7983" s="7"/>
      <c r="C7983" s="7"/>
      <c r="D7983" s="7"/>
      <c r="E7983" s="5"/>
      <c r="F7983" s="5"/>
      <c r="G7983" s="9"/>
      <c r="H7983" s="9"/>
      <c r="I7983" s="9"/>
    </row>
    <row r="7984" ht="14.25">
      <c r="A7984" s="5"/>
      <c r="B7984" s="7"/>
      <c r="C7984" s="7"/>
      <c r="D7984" s="7"/>
      <c r="E7984" s="5"/>
      <c r="F7984" s="5"/>
      <c r="G7984" s="9"/>
      <c r="H7984" s="9"/>
      <c r="I7984" s="9"/>
    </row>
    <row r="7985" ht="14.25">
      <c r="A7985" s="5"/>
      <c r="B7985" s="7"/>
      <c r="C7985" s="7"/>
      <c r="D7985" s="7"/>
      <c r="E7985" s="5"/>
      <c r="F7985" s="5"/>
      <c r="G7985" s="9"/>
      <c r="H7985" s="9"/>
      <c r="I7985" s="9"/>
    </row>
    <row r="7986" ht="14.25">
      <c r="A7986" s="5"/>
      <c r="B7986" s="7"/>
      <c r="C7986" s="7"/>
      <c r="D7986" s="7"/>
      <c r="E7986" s="5"/>
      <c r="F7986" s="5"/>
      <c r="G7986" s="9"/>
      <c r="H7986" s="9"/>
      <c r="I7986" s="9"/>
    </row>
    <row r="7987" ht="14.25">
      <c r="A7987" s="5"/>
      <c r="B7987" s="7"/>
      <c r="C7987" s="7"/>
      <c r="D7987" s="7"/>
      <c r="E7987" s="5"/>
      <c r="F7987" s="5"/>
      <c r="G7987" s="9"/>
      <c r="H7987" s="9"/>
      <c r="I7987" s="9"/>
    </row>
    <row r="7988" ht="14.25">
      <c r="A7988" s="5"/>
      <c r="B7988" s="7"/>
      <c r="C7988" s="7"/>
      <c r="D7988" s="7"/>
      <c r="E7988" s="5"/>
      <c r="F7988" s="5"/>
      <c r="G7988" s="9"/>
      <c r="H7988" s="9"/>
      <c r="I7988" s="9"/>
    </row>
    <row r="7989" ht="14.25">
      <c r="A7989" s="5"/>
      <c r="B7989" s="7"/>
      <c r="C7989" s="7"/>
      <c r="D7989" s="7"/>
      <c r="E7989" s="5"/>
      <c r="F7989" s="5"/>
      <c r="G7989" s="9"/>
      <c r="H7989" s="9"/>
      <c r="I7989" s="9"/>
    </row>
    <row r="7990" ht="14.25">
      <c r="A7990" s="5"/>
      <c r="B7990" s="7"/>
      <c r="C7990" s="7"/>
      <c r="D7990" s="7"/>
      <c r="E7990" s="5"/>
      <c r="F7990" s="5"/>
      <c r="G7990" s="9"/>
      <c r="H7990" s="9"/>
      <c r="I7990" s="9"/>
    </row>
    <row r="7991" ht="14.25">
      <c r="A7991" s="5"/>
      <c r="B7991" s="7"/>
      <c r="C7991" s="7"/>
      <c r="D7991" s="7"/>
      <c r="E7991" s="5"/>
      <c r="F7991" s="5"/>
      <c r="G7991" s="9"/>
      <c r="H7991" s="9"/>
      <c r="I7991" s="9"/>
    </row>
    <row r="7992" ht="14.25">
      <c r="A7992" s="5"/>
      <c r="B7992" s="7"/>
      <c r="C7992" s="7"/>
      <c r="D7992" s="7"/>
      <c r="E7992" s="5"/>
      <c r="F7992" s="5"/>
      <c r="G7992" s="9"/>
      <c r="H7992" s="9"/>
      <c r="I7992" s="9"/>
    </row>
    <row r="7993" ht="14.25">
      <c r="A7993" s="5"/>
      <c r="B7993" s="7"/>
      <c r="C7993" s="7"/>
      <c r="D7993" s="7"/>
      <c r="E7993" s="5"/>
      <c r="F7993" s="5"/>
      <c r="G7993" s="9"/>
      <c r="H7993" s="9"/>
      <c r="I7993" s="9"/>
    </row>
    <row r="7994" ht="14.25">
      <c r="A7994" s="5"/>
      <c r="B7994" s="7"/>
      <c r="C7994" s="7"/>
      <c r="D7994" s="7"/>
      <c r="E7994" s="5"/>
      <c r="F7994" s="5"/>
      <c r="G7994" s="9"/>
      <c r="H7994" s="9"/>
      <c r="I7994" s="9"/>
    </row>
    <row r="7995" ht="14.25">
      <c r="A7995" s="5"/>
      <c r="B7995" s="7"/>
      <c r="C7995" s="7"/>
      <c r="D7995" s="7"/>
      <c r="E7995" s="5"/>
      <c r="F7995" s="5"/>
      <c r="G7995" s="9"/>
      <c r="H7995" s="9"/>
      <c r="I7995" s="9"/>
    </row>
    <row r="7996" ht="14.25">
      <c r="A7996" s="5"/>
      <c r="B7996" s="7"/>
      <c r="C7996" s="7"/>
      <c r="D7996" s="7"/>
      <c r="E7996" s="5"/>
      <c r="F7996" s="5"/>
      <c r="G7996" s="9"/>
      <c r="H7996" s="9"/>
      <c r="I7996" s="9"/>
    </row>
    <row r="7997" ht="14.25">
      <c r="A7997" s="5"/>
      <c r="B7997" s="7"/>
      <c r="C7997" s="7"/>
      <c r="D7997" s="7"/>
      <c r="E7997" s="5"/>
      <c r="F7997" s="5"/>
      <c r="G7997" s="9"/>
      <c r="H7997" s="9"/>
      <c r="I7997" s="9"/>
    </row>
    <row r="7998" ht="14.25">
      <c r="A7998" s="5"/>
      <c r="B7998" s="7"/>
      <c r="C7998" s="7"/>
      <c r="D7998" s="7"/>
      <c r="E7998" s="5"/>
      <c r="F7998" s="5"/>
      <c r="G7998" s="9"/>
      <c r="H7998" s="9"/>
      <c r="I7998" s="9"/>
    </row>
    <row r="7999" ht="14.25">
      <c r="A7999" s="5"/>
      <c r="B7999" s="7"/>
      <c r="C7999" s="7"/>
      <c r="D7999" s="7"/>
      <c r="E7999" s="5"/>
      <c r="F7999" s="5"/>
      <c r="G7999" s="9"/>
      <c r="H7999" s="9"/>
      <c r="I7999" s="9"/>
    </row>
    <row r="8000" ht="14.25">
      <c r="A8000" s="5"/>
      <c r="B8000" s="7"/>
      <c r="C8000" s="7"/>
      <c r="D8000" s="7"/>
      <c r="E8000" s="5"/>
      <c r="F8000" s="5"/>
      <c r="G8000" s="9"/>
      <c r="H8000" s="9"/>
      <c r="I8000" s="9"/>
    </row>
    <row r="8001" ht="14.25">
      <c r="A8001" s="5"/>
      <c r="B8001" s="7"/>
      <c r="C8001" s="7"/>
      <c r="D8001" s="7"/>
      <c r="E8001" s="5"/>
      <c r="F8001" s="5"/>
      <c r="G8001" s="9"/>
      <c r="H8001" s="9"/>
      <c r="I8001" s="9"/>
    </row>
    <row r="8002" ht="14.25">
      <c r="A8002" s="5"/>
      <c r="B8002" s="7"/>
      <c r="C8002" s="7"/>
      <c r="D8002" s="7"/>
      <c r="E8002" s="5"/>
      <c r="F8002" s="5"/>
      <c r="G8002" s="9"/>
      <c r="H8002" s="9"/>
      <c r="I8002" s="9"/>
    </row>
    <row r="8003" ht="14.25">
      <c r="A8003" s="5"/>
      <c r="B8003" s="7"/>
      <c r="C8003" s="7"/>
      <c r="D8003" s="7"/>
      <c r="E8003" s="5"/>
      <c r="F8003" s="5"/>
      <c r="G8003" s="9"/>
      <c r="H8003" s="9"/>
      <c r="I8003" s="9"/>
    </row>
    <row r="8004" ht="14.25">
      <c r="A8004" s="5"/>
      <c r="B8004" s="7"/>
      <c r="C8004" s="7"/>
      <c r="D8004" s="7"/>
      <c r="E8004" s="5"/>
      <c r="F8004" s="5"/>
      <c r="G8004" s="9"/>
      <c r="H8004" s="9"/>
      <c r="I8004" s="9"/>
    </row>
    <row r="8005" ht="14.25">
      <c r="A8005" s="5"/>
      <c r="B8005" s="7"/>
      <c r="C8005" s="7"/>
      <c r="D8005" s="7"/>
      <c r="E8005" s="5"/>
      <c r="F8005" s="5"/>
      <c r="G8005" s="9"/>
      <c r="H8005" s="9"/>
      <c r="I8005" s="9"/>
    </row>
    <row r="8006" ht="14.25">
      <c r="A8006" s="5"/>
      <c r="B8006" s="7"/>
      <c r="C8006" s="7"/>
      <c r="D8006" s="7"/>
      <c r="E8006" s="5"/>
      <c r="F8006" s="5"/>
      <c r="G8006" s="9"/>
      <c r="H8006" s="9"/>
      <c r="I8006" s="9"/>
    </row>
    <row r="8007" ht="14.25">
      <c r="A8007" s="5"/>
      <c r="B8007" s="7"/>
      <c r="C8007" s="7"/>
      <c r="D8007" s="7"/>
      <c r="E8007" s="5"/>
      <c r="F8007" s="5"/>
      <c r="G8007" s="9"/>
      <c r="H8007" s="9"/>
      <c r="I8007" s="9"/>
    </row>
    <row r="8008" ht="14.25">
      <c r="A8008" s="5"/>
      <c r="B8008" s="7"/>
      <c r="C8008" s="7"/>
      <c r="D8008" s="7"/>
      <c r="E8008" s="5"/>
      <c r="F8008" s="5"/>
      <c r="G8008" s="9"/>
      <c r="H8008" s="9"/>
      <c r="I8008" s="9"/>
    </row>
    <row r="8009" ht="14.25">
      <c r="A8009" s="5"/>
      <c r="B8009" s="7"/>
      <c r="C8009" s="7"/>
      <c r="D8009" s="7"/>
      <c r="E8009" s="5"/>
      <c r="F8009" s="5"/>
      <c r="G8009" s="9"/>
      <c r="H8009" s="9"/>
      <c r="I8009" s="9"/>
    </row>
    <row r="8010" ht="14.25">
      <c r="A8010" s="5"/>
      <c r="B8010" s="7"/>
      <c r="C8010" s="7"/>
      <c r="D8010" s="7"/>
      <c r="E8010" s="5"/>
      <c r="F8010" s="5"/>
      <c r="G8010" s="9"/>
      <c r="H8010" s="9"/>
      <c r="I8010" s="9"/>
    </row>
    <row r="8011" ht="14.25">
      <c r="A8011" s="5"/>
      <c r="B8011" s="7"/>
      <c r="C8011" s="7"/>
      <c r="D8011" s="7"/>
      <c r="E8011" s="5"/>
      <c r="F8011" s="5"/>
      <c r="G8011" s="9"/>
      <c r="H8011" s="9"/>
      <c r="I8011" s="9"/>
    </row>
    <row r="8012" ht="14.25">
      <c r="A8012" s="5"/>
      <c r="B8012" s="7"/>
      <c r="C8012" s="7"/>
      <c r="D8012" s="7"/>
      <c r="E8012" s="5"/>
      <c r="F8012" s="5"/>
      <c r="G8012" s="9"/>
      <c r="H8012" s="9"/>
      <c r="I8012" s="9"/>
    </row>
    <row r="8013" ht="14.25">
      <c r="A8013" s="5"/>
      <c r="B8013" s="7"/>
      <c r="C8013" s="7"/>
      <c r="D8013" s="7"/>
      <c r="E8013" s="5"/>
      <c r="F8013" s="5"/>
      <c r="G8013" s="9"/>
      <c r="H8013" s="9"/>
      <c r="I8013" s="9"/>
    </row>
    <row r="8014" ht="14.25">
      <c r="A8014" s="5"/>
      <c r="B8014" s="7"/>
      <c r="C8014" s="7"/>
      <c r="D8014" s="7"/>
      <c r="E8014" s="5"/>
      <c r="F8014" s="5"/>
      <c r="G8014" s="9"/>
      <c r="H8014" s="9"/>
      <c r="I8014" s="9"/>
    </row>
    <row r="8015" ht="14.25">
      <c r="A8015" s="5"/>
      <c r="B8015" s="7"/>
      <c r="C8015" s="7"/>
      <c r="D8015" s="7"/>
      <c r="E8015" s="5"/>
      <c r="F8015" s="5"/>
      <c r="G8015" s="9"/>
      <c r="H8015" s="9"/>
      <c r="I8015" s="9"/>
    </row>
    <row r="8016" ht="14.25">
      <c r="A8016" s="5"/>
      <c r="B8016" s="7"/>
      <c r="C8016" s="7"/>
      <c r="D8016" s="7"/>
      <c r="E8016" s="5"/>
      <c r="F8016" s="5"/>
      <c r="G8016" s="9"/>
      <c r="H8016" s="9"/>
      <c r="I8016" s="9"/>
    </row>
    <row r="8017" ht="14.25">
      <c r="A8017" s="5"/>
      <c r="B8017" s="7"/>
      <c r="C8017" s="7"/>
      <c r="D8017" s="7"/>
      <c r="E8017" s="5"/>
      <c r="F8017" s="5"/>
      <c r="G8017" s="9"/>
      <c r="H8017" s="9"/>
      <c r="I8017" s="9"/>
    </row>
    <row r="8018" ht="14.25">
      <c r="A8018" s="5"/>
      <c r="B8018" s="7"/>
      <c r="C8018" s="7"/>
      <c r="D8018" s="7"/>
      <c r="E8018" s="5"/>
      <c r="F8018" s="5"/>
      <c r="G8018" s="9"/>
      <c r="H8018" s="9"/>
      <c r="I8018" s="9"/>
    </row>
    <row r="8019" ht="14.25">
      <c r="A8019" s="5"/>
      <c r="B8019" s="7"/>
      <c r="C8019" s="7"/>
      <c r="D8019" s="7"/>
      <c r="E8019" s="5"/>
      <c r="F8019" s="5"/>
      <c r="G8019" s="9"/>
      <c r="H8019" s="9"/>
      <c r="I8019" s="9"/>
    </row>
    <row r="8020" ht="14.25">
      <c r="A8020" s="5"/>
      <c r="B8020" s="7"/>
      <c r="C8020" s="7"/>
      <c r="D8020" s="7"/>
      <c r="E8020" s="5"/>
      <c r="F8020" s="5"/>
      <c r="G8020" s="9"/>
      <c r="H8020" s="9"/>
      <c r="I8020" s="9"/>
    </row>
    <row r="8021" ht="14.25">
      <c r="A8021" s="5"/>
      <c r="B8021" s="7"/>
      <c r="C8021" s="7"/>
      <c r="D8021" s="7"/>
      <c r="E8021" s="5"/>
      <c r="F8021" s="5"/>
      <c r="G8021" s="9"/>
      <c r="H8021" s="9"/>
      <c r="I8021" s="9"/>
    </row>
    <row r="8022" ht="14.25">
      <c r="A8022" s="5"/>
      <c r="B8022" s="7"/>
      <c r="C8022" s="7"/>
      <c r="D8022" s="7"/>
      <c r="E8022" s="5"/>
      <c r="F8022" s="5"/>
      <c r="G8022" s="9"/>
      <c r="H8022" s="9"/>
      <c r="I8022" s="9"/>
    </row>
    <row r="8023" ht="14.25">
      <c r="A8023" s="5"/>
      <c r="B8023" s="7"/>
      <c r="C8023" s="7"/>
      <c r="D8023" s="7"/>
      <c r="E8023" s="5"/>
      <c r="F8023" s="5"/>
      <c r="G8023" s="9"/>
      <c r="H8023" s="9"/>
      <c r="I8023" s="9"/>
    </row>
    <row r="8024" ht="14.25">
      <c r="A8024" s="5"/>
      <c r="B8024" s="7"/>
      <c r="C8024" s="7"/>
      <c r="D8024" s="7"/>
      <c r="E8024" s="5"/>
      <c r="F8024" s="5"/>
      <c r="G8024" s="9"/>
      <c r="H8024" s="9"/>
      <c r="I8024" s="9"/>
    </row>
    <row r="8025" ht="14.25">
      <c r="A8025" s="5"/>
      <c r="B8025" s="7"/>
      <c r="C8025" s="7"/>
      <c r="D8025" s="7"/>
      <c r="E8025" s="5"/>
      <c r="F8025" s="5"/>
      <c r="G8025" s="9"/>
      <c r="H8025" s="9"/>
      <c r="I8025" s="9"/>
    </row>
    <row r="8026" ht="14.25">
      <c r="A8026" s="5"/>
      <c r="B8026" s="7"/>
      <c r="C8026" s="7"/>
      <c r="D8026" s="7"/>
      <c r="E8026" s="5"/>
      <c r="F8026" s="5"/>
      <c r="G8026" s="9"/>
      <c r="H8026" s="9"/>
      <c r="I8026" s="9"/>
    </row>
    <row r="8027" ht="14.25">
      <c r="A8027" s="5"/>
      <c r="B8027" s="7"/>
      <c r="C8027" s="7"/>
      <c r="D8027" s="7"/>
      <c r="E8027" s="5"/>
      <c r="F8027" s="5"/>
      <c r="G8027" s="9"/>
      <c r="H8027" s="9"/>
      <c r="I8027" s="9"/>
    </row>
    <row r="8028" ht="14.25">
      <c r="A8028" s="5"/>
      <c r="B8028" s="7"/>
      <c r="C8028" s="7"/>
      <c r="D8028" s="7"/>
      <c r="E8028" s="5"/>
      <c r="F8028" s="5"/>
      <c r="G8028" s="9"/>
      <c r="H8028" s="9"/>
      <c r="I8028" s="9"/>
    </row>
    <row r="8029" ht="14.25">
      <c r="A8029" s="5"/>
      <c r="B8029" s="7"/>
      <c r="C8029" s="7"/>
      <c r="D8029" s="7"/>
      <c r="E8029" s="5"/>
      <c r="F8029" s="5"/>
      <c r="G8029" s="9"/>
      <c r="H8029" s="9"/>
      <c r="I8029" s="9"/>
    </row>
    <row r="8030" ht="14.25">
      <c r="A8030" s="5"/>
      <c r="B8030" s="7"/>
      <c r="C8030" s="7"/>
      <c r="D8030" s="7"/>
      <c r="E8030" s="5"/>
      <c r="F8030" s="5"/>
      <c r="G8030" s="9"/>
      <c r="H8030" s="9"/>
      <c r="I8030" s="9"/>
    </row>
    <row r="8031" ht="14.25">
      <c r="A8031" s="5"/>
      <c r="B8031" s="7"/>
      <c r="C8031" s="7"/>
      <c r="D8031" s="7"/>
      <c r="E8031" s="5"/>
      <c r="F8031" s="5"/>
      <c r="G8031" s="9"/>
      <c r="H8031" s="9"/>
      <c r="I8031" s="9"/>
    </row>
    <row r="8032" ht="14.25">
      <c r="A8032" s="5"/>
      <c r="B8032" s="7"/>
      <c r="C8032" s="7"/>
      <c r="D8032" s="7"/>
      <c r="E8032" s="5"/>
      <c r="F8032" s="5"/>
      <c r="G8032" s="9"/>
      <c r="H8032" s="9"/>
      <c r="I8032" s="9"/>
    </row>
    <row r="8033" ht="14.25">
      <c r="A8033" s="5"/>
      <c r="B8033" s="7"/>
      <c r="C8033" s="7"/>
      <c r="D8033" s="7"/>
      <c r="E8033" s="5"/>
      <c r="F8033" s="5"/>
      <c r="G8033" s="9"/>
      <c r="H8033" s="9"/>
      <c r="I8033" s="9"/>
    </row>
    <row r="8034" ht="14.25">
      <c r="A8034" s="5"/>
      <c r="B8034" s="7"/>
      <c r="C8034" s="7"/>
      <c r="D8034" s="7"/>
      <c r="E8034" s="5"/>
      <c r="F8034" s="5"/>
      <c r="G8034" s="9"/>
      <c r="H8034" s="9"/>
      <c r="I8034" s="9"/>
    </row>
    <row r="8035" ht="14.25">
      <c r="A8035" s="5"/>
      <c r="B8035" s="7"/>
      <c r="C8035" s="7"/>
      <c r="D8035" s="7"/>
      <c r="E8035" s="5"/>
      <c r="F8035" s="5"/>
      <c r="G8035" s="9"/>
      <c r="H8035" s="9"/>
      <c r="I8035" s="9"/>
    </row>
    <row r="8036" ht="14.25">
      <c r="A8036" s="5"/>
      <c r="B8036" s="7"/>
      <c r="C8036" s="7"/>
      <c r="D8036" s="7"/>
      <c r="E8036" s="5"/>
      <c r="F8036" s="5"/>
      <c r="G8036" s="9"/>
      <c r="H8036" s="9"/>
      <c r="I8036" s="9"/>
    </row>
    <row r="8037" ht="14.25">
      <c r="A8037" s="5"/>
      <c r="B8037" s="7"/>
      <c r="C8037" s="7"/>
      <c r="D8037" s="7"/>
      <c r="E8037" s="5"/>
      <c r="F8037" s="5"/>
      <c r="G8037" s="9"/>
      <c r="H8037" s="9"/>
      <c r="I8037" s="9"/>
    </row>
    <row r="8038" ht="14.25">
      <c r="A8038" s="5"/>
      <c r="B8038" s="7"/>
      <c r="C8038" s="7"/>
      <c r="D8038" s="7"/>
      <c r="E8038" s="5"/>
      <c r="F8038" s="5"/>
      <c r="G8038" s="9"/>
      <c r="H8038" s="9"/>
      <c r="I8038" s="9"/>
    </row>
    <row r="8039" ht="14.25">
      <c r="A8039" s="5"/>
      <c r="B8039" s="7"/>
      <c r="C8039" s="7"/>
      <c r="D8039" s="7"/>
      <c r="E8039" s="5"/>
      <c r="F8039" s="5"/>
      <c r="G8039" s="9"/>
      <c r="H8039" s="9"/>
      <c r="I8039" s="9"/>
    </row>
    <row r="8040" ht="14.25">
      <c r="A8040" s="5"/>
      <c r="B8040" s="7"/>
      <c r="C8040" s="7"/>
      <c r="D8040" s="7"/>
      <c r="E8040" s="5"/>
      <c r="F8040" s="5"/>
      <c r="G8040" s="9"/>
      <c r="H8040" s="9"/>
      <c r="I8040" s="9"/>
    </row>
    <row r="8041" ht="14.25">
      <c r="A8041" s="5"/>
      <c r="B8041" s="7"/>
      <c r="C8041" s="7"/>
      <c r="D8041" s="7"/>
      <c r="E8041" s="5"/>
      <c r="F8041" s="5"/>
      <c r="G8041" s="9"/>
      <c r="H8041" s="9"/>
      <c r="I8041" s="9"/>
    </row>
    <row r="8042" ht="14.25">
      <c r="A8042" s="5"/>
      <c r="B8042" s="7"/>
      <c r="C8042" s="7"/>
      <c r="D8042" s="7"/>
      <c r="E8042" s="5"/>
      <c r="F8042" s="5"/>
      <c r="G8042" s="9"/>
      <c r="H8042" s="9"/>
      <c r="I8042" s="9"/>
    </row>
    <row r="8043" ht="14.25">
      <c r="A8043" s="5"/>
      <c r="B8043" s="7"/>
      <c r="C8043" s="7"/>
      <c r="D8043" s="7"/>
      <c r="E8043" s="5"/>
      <c r="F8043" s="5"/>
      <c r="G8043" s="9"/>
      <c r="H8043" s="9"/>
      <c r="I8043" s="9"/>
    </row>
    <row r="8044" ht="14.25">
      <c r="A8044" s="5"/>
      <c r="B8044" s="7"/>
      <c r="C8044" s="7"/>
      <c r="D8044" s="7"/>
      <c r="E8044" s="5"/>
      <c r="F8044" s="5"/>
      <c r="G8044" s="9"/>
      <c r="H8044" s="9"/>
      <c r="I8044" s="9"/>
    </row>
    <row r="8045" ht="14.25">
      <c r="A8045" s="5"/>
      <c r="B8045" s="7"/>
      <c r="C8045" s="7"/>
      <c r="D8045" s="7"/>
      <c r="E8045" s="5"/>
      <c r="F8045" s="5"/>
      <c r="G8045" s="9"/>
      <c r="H8045" s="9"/>
      <c r="I8045" s="9"/>
    </row>
    <row r="8046" ht="14.25">
      <c r="A8046" s="5"/>
      <c r="B8046" s="7"/>
      <c r="C8046" s="7"/>
      <c r="D8046" s="7"/>
      <c r="E8046" s="5"/>
      <c r="F8046" s="5"/>
      <c r="G8046" s="9"/>
      <c r="H8046" s="9"/>
      <c r="I8046" s="9"/>
    </row>
    <row r="8047" ht="14.25">
      <c r="A8047" s="5"/>
      <c r="B8047" s="7"/>
      <c r="C8047" s="7"/>
      <c r="D8047" s="7"/>
      <c r="E8047" s="5"/>
      <c r="F8047" s="5"/>
      <c r="G8047" s="9"/>
      <c r="H8047" s="9"/>
      <c r="I8047" s="9"/>
    </row>
    <row r="8048" ht="14.25">
      <c r="A8048" s="5"/>
      <c r="B8048" s="7"/>
      <c r="C8048" s="7"/>
      <c r="D8048" s="7"/>
      <c r="E8048" s="5"/>
      <c r="F8048" s="5"/>
      <c r="G8048" s="9"/>
      <c r="H8048" s="9"/>
      <c r="I8048" s="9"/>
    </row>
    <row r="8049" ht="14.25">
      <c r="A8049" s="5"/>
      <c r="B8049" s="7"/>
      <c r="C8049" s="7"/>
      <c r="D8049" s="7"/>
      <c r="E8049" s="5"/>
      <c r="F8049" s="5"/>
      <c r="G8049" s="9"/>
      <c r="H8049" s="9"/>
      <c r="I8049" s="9"/>
    </row>
    <row r="8050" ht="14.25">
      <c r="A8050" s="5"/>
      <c r="B8050" s="7"/>
      <c r="C8050" s="7"/>
      <c r="D8050" s="7"/>
      <c r="E8050" s="5"/>
      <c r="F8050" s="5"/>
      <c r="G8050" s="9"/>
      <c r="H8050" s="9"/>
      <c r="I8050" s="9"/>
    </row>
    <row r="8051" ht="14.25">
      <c r="A8051" s="5"/>
      <c r="B8051" s="7"/>
      <c r="C8051" s="7"/>
      <c r="D8051" s="7"/>
      <c r="E8051" s="5"/>
      <c r="F8051" s="5"/>
      <c r="G8051" s="9"/>
      <c r="H8051" s="9"/>
      <c r="I8051" s="9"/>
    </row>
    <row r="8052" ht="14.25">
      <c r="A8052" s="5"/>
      <c r="B8052" s="7"/>
      <c r="C8052" s="7"/>
      <c r="D8052" s="7"/>
      <c r="E8052" s="5"/>
      <c r="F8052" s="5"/>
      <c r="G8052" s="9"/>
      <c r="H8052" s="9"/>
      <c r="I8052" s="9"/>
    </row>
    <row r="8053" ht="14.25">
      <c r="A8053" s="5"/>
      <c r="B8053" s="7"/>
      <c r="C8053" s="7"/>
      <c r="D8053" s="7"/>
      <c r="E8053" s="5"/>
      <c r="F8053" s="5"/>
      <c r="G8053" s="9"/>
      <c r="H8053" s="9"/>
      <c r="I8053" s="9"/>
    </row>
    <row r="8054" ht="14.25">
      <c r="A8054" s="5"/>
      <c r="B8054" s="7"/>
      <c r="C8054" s="7"/>
      <c r="D8054" s="7"/>
      <c r="E8054" s="5"/>
      <c r="F8054" s="5"/>
      <c r="G8054" s="9"/>
      <c r="H8054" s="9"/>
      <c r="I8054" s="9"/>
    </row>
    <row r="8055" ht="14.25">
      <c r="A8055" s="5"/>
      <c r="B8055" s="7"/>
      <c r="C8055" s="7"/>
      <c r="D8055" s="7"/>
      <c r="E8055" s="5"/>
      <c r="F8055" s="5"/>
      <c r="G8055" s="9"/>
      <c r="H8055" s="9"/>
      <c r="I8055" s="9"/>
    </row>
    <row r="8056" ht="14.25">
      <c r="A8056" s="5"/>
      <c r="B8056" s="7"/>
      <c r="C8056" s="7"/>
      <c r="D8056" s="7"/>
      <c r="E8056" s="5"/>
      <c r="F8056" s="5"/>
      <c r="G8056" s="9"/>
      <c r="H8056" s="9"/>
      <c r="I8056" s="9"/>
    </row>
    <row r="8057" ht="14.25">
      <c r="A8057" s="5"/>
      <c r="B8057" s="7"/>
      <c r="C8057" s="7"/>
      <c r="D8057" s="7"/>
      <c r="E8057" s="5"/>
      <c r="F8057" s="5"/>
      <c r="G8057" s="9"/>
      <c r="H8057" s="9"/>
      <c r="I8057" s="9"/>
    </row>
    <row r="8058" ht="14.25">
      <c r="A8058" s="5"/>
      <c r="B8058" s="7"/>
      <c r="C8058" s="7"/>
      <c r="D8058" s="7"/>
      <c r="E8058" s="5"/>
      <c r="F8058" s="5"/>
      <c r="G8058" s="9"/>
      <c r="H8058" s="9"/>
      <c r="I8058" s="9"/>
    </row>
    <row r="8059" ht="14.25">
      <c r="A8059" s="5"/>
      <c r="B8059" s="7"/>
      <c r="C8059" s="7"/>
      <c r="D8059" s="7"/>
      <c r="E8059" s="5"/>
      <c r="F8059" s="5"/>
      <c r="G8059" s="9"/>
      <c r="H8059" s="9"/>
      <c r="I8059" s="9"/>
    </row>
    <row r="8060" ht="14.25">
      <c r="A8060" s="5"/>
      <c r="B8060" s="7"/>
      <c r="C8060" s="7"/>
      <c r="D8060" s="7"/>
      <c r="E8060" s="5"/>
      <c r="F8060" s="5"/>
      <c r="G8060" s="9"/>
      <c r="H8060" s="9"/>
      <c r="I8060" s="9"/>
    </row>
    <row r="8061" ht="14.25">
      <c r="A8061" s="5"/>
      <c r="B8061" s="7"/>
      <c r="C8061" s="7"/>
      <c r="D8061" s="7"/>
      <c r="E8061" s="5"/>
      <c r="F8061" s="5"/>
      <c r="G8061" s="9"/>
      <c r="H8061" s="9"/>
      <c r="I8061" s="9"/>
    </row>
    <row r="8062" ht="14.25">
      <c r="A8062" s="5"/>
      <c r="B8062" s="7"/>
      <c r="C8062" s="7"/>
      <c r="D8062" s="7"/>
      <c r="E8062" s="5"/>
      <c r="F8062" s="5"/>
      <c r="G8062" s="9"/>
      <c r="H8062" s="9"/>
      <c r="I8062" s="9"/>
    </row>
    <row r="8063" ht="14.25">
      <c r="A8063" s="5"/>
      <c r="B8063" s="7"/>
      <c r="C8063" s="7"/>
      <c r="D8063" s="7"/>
      <c r="E8063" s="5"/>
      <c r="F8063" s="5"/>
      <c r="G8063" s="9"/>
      <c r="H8063" s="9"/>
      <c r="I8063" s="9"/>
    </row>
    <row r="8064" ht="14.25">
      <c r="A8064" s="5"/>
      <c r="B8064" s="7"/>
      <c r="C8064" s="7"/>
      <c r="D8064" s="7"/>
      <c r="E8064" s="5"/>
      <c r="F8064" s="5"/>
      <c r="G8064" s="9"/>
      <c r="H8064" s="9"/>
      <c r="I8064" s="9"/>
    </row>
    <row r="8065" ht="14.25">
      <c r="A8065" s="5"/>
      <c r="B8065" s="7"/>
      <c r="C8065" s="7"/>
      <c r="D8065" s="7"/>
      <c r="E8065" s="5"/>
      <c r="F8065" s="5"/>
      <c r="G8065" s="9"/>
      <c r="H8065" s="9"/>
      <c r="I8065" s="9"/>
    </row>
    <row r="8066" ht="14.25">
      <c r="A8066" s="5"/>
      <c r="B8066" s="7"/>
      <c r="C8066" s="7"/>
      <c r="D8066" s="7"/>
      <c r="E8066" s="5"/>
      <c r="F8066" s="5"/>
      <c r="G8066" s="9"/>
      <c r="H8066" s="9"/>
      <c r="I8066" s="9"/>
    </row>
    <row r="8067" ht="14.25">
      <c r="A8067" s="5"/>
      <c r="B8067" s="7"/>
      <c r="C8067" s="7"/>
      <c r="D8067" s="7"/>
      <c r="E8067" s="5"/>
      <c r="F8067" s="5"/>
      <c r="G8067" s="9"/>
      <c r="H8067" s="9"/>
      <c r="I8067" s="9"/>
    </row>
    <row r="8068" ht="14.25">
      <c r="A8068" s="5"/>
      <c r="B8068" s="7"/>
      <c r="C8068" s="7"/>
      <c r="D8068" s="7"/>
      <c r="E8068" s="5"/>
      <c r="F8068" s="5"/>
      <c r="G8068" s="9"/>
      <c r="H8068" s="9"/>
      <c r="I8068" s="9"/>
    </row>
    <row r="8069" ht="14.25">
      <c r="A8069" s="5"/>
      <c r="B8069" s="7"/>
      <c r="C8069" s="7"/>
      <c r="D8069" s="7"/>
      <c r="E8069" s="5"/>
      <c r="F8069" s="5"/>
      <c r="G8069" s="9"/>
      <c r="H8069" s="9"/>
      <c r="I8069" s="9"/>
    </row>
    <row r="8070" ht="14.25">
      <c r="A8070" s="5"/>
      <c r="B8070" s="7"/>
      <c r="C8070" s="7"/>
      <c r="D8070" s="7"/>
      <c r="E8070" s="5"/>
      <c r="F8070" s="5"/>
      <c r="G8070" s="9"/>
      <c r="H8070" s="9"/>
      <c r="I8070" s="9"/>
    </row>
    <row r="8071" ht="14.25">
      <c r="A8071" s="5"/>
      <c r="B8071" s="7"/>
      <c r="C8071" s="7"/>
      <c r="D8071" s="7"/>
      <c r="E8071" s="5"/>
      <c r="F8071" s="5"/>
      <c r="G8071" s="9"/>
      <c r="H8071" s="9"/>
      <c r="I8071" s="9"/>
    </row>
    <row r="8072" ht="14.25">
      <c r="A8072" s="5"/>
      <c r="B8072" s="7"/>
      <c r="C8072" s="7"/>
      <c r="D8072" s="7"/>
      <c r="E8072" s="5"/>
      <c r="F8072" s="5"/>
      <c r="G8072" s="9"/>
      <c r="H8072" s="9"/>
      <c r="I8072" s="9"/>
    </row>
    <row r="8073" ht="14.25">
      <c r="A8073" s="5"/>
      <c r="B8073" s="7"/>
      <c r="C8073" s="7"/>
      <c r="D8073" s="7"/>
      <c r="E8073" s="5"/>
      <c r="F8073" s="5"/>
      <c r="G8073" s="9"/>
      <c r="H8073" s="9"/>
      <c r="I8073" s="9"/>
    </row>
    <row r="8074" ht="14.25">
      <c r="A8074" s="5"/>
      <c r="B8074" s="7"/>
      <c r="C8074" s="7"/>
      <c r="D8074" s="7"/>
      <c r="E8074" s="5"/>
      <c r="F8074" s="5"/>
      <c r="G8074" s="9"/>
      <c r="H8074" s="9"/>
      <c r="I8074" s="9"/>
    </row>
    <row r="8075" ht="14.25">
      <c r="A8075" s="5"/>
      <c r="B8075" s="7"/>
      <c r="C8075" s="7"/>
      <c r="D8075" s="7"/>
      <c r="E8075" s="5"/>
      <c r="F8075" s="5"/>
      <c r="G8075" s="9"/>
      <c r="H8075" s="9"/>
      <c r="I8075" s="9"/>
    </row>
    <row r="8076" ht="14.25">
      <c r="A8076" s="5"/>
      <c r="B8076" s="7"/>
      <c r="C8076" s="7"/>
      <c r="D8076" s="7"/>
      <c r="E8076" s="5"/>
      <c r="F8076" s="5"/>
      <c r="G8076" s="9"/>
      <c r="H8076" s="9"/>
      <c r="I8076" s="9"/>
    </row>
    <row r="8077" ht="14.25">
      <c r="A8077" s="5"/>
      <c r="B8077" s="7"/>
      <c r="C8077" s="7"/>
      <c r="D8077" s="7"/>
      <c r="E8077" s="5"/>
      <c r="F8077" s="5"/>
      <c r="G8077" s="9"/>
      <c r="H8077" s="9"/>
      <c r="I8077" s="9"/>
    </row>
    <row r="8078" ht="14.25">
      <c r="A8078" s="5"/>
      <c r="B8078" s="7"/>
      <c r="C8078" s="7"/>
      <c r="D8078" s="7"/>
      <c r="E8078" s="5"/>
      <c r="F8078" s="5"/>
      <c r="G8078" s="9"/>
      <c r="H8078" s="9"/>
      <c r="I8078" s="9"/>
    </row>
    <row r="8079" ht="14.25">
      <c r="A8079" s="5"/>
      <c r="B8079" s="7"/>
      <c r="C8079" s="7"/>
      <c r="D8079" s="7"/>
      <c r="E8079" s="5"/>
      <c r="F8079" s="5"/>
      <c r="G8079" s="9"/>
      <c r="H8079" s="9"/>
      <c r="I8079" s="9"/>
    </row>
    <row r="8080" ht="14.25">
      <c r="A8080" s="5"/>
      <c r="B8080" s="7"/>
      <c r="C8080" s="7"/>
      <c r="D8080" s="7"/>
      <c r="E8080" s="5"/>
      <c r="F8080" s="5"/>
      <c r="G8080" s="9"/>
      <c r="H8080" s="9"/>
      <c r="I8080" s="9"/>
    </row>
    <row r="8081" ht="14.25">
      <c r="A8081" s="5"/>
      <c r="B8081" s="7"/>
      <c r="C8081" s="7"/>
      <c r="D8081" s="7"/>
      <c r="E8081" s="5"/>
      <c r="F8081" s="5"/>
      <c r="G8081" s="9"/>
      <c r="H8081" s="9"/>
      <c r="I8081" s="9"/>
    </row>
    <row r="8082" ht="14.25">
      <c r="A8082" s="5"/>
      <c r="B8082" s="7"/>
      <c r="C8082" s="7"/>
      <c r="D8082" s="7"/>
      <c r="E8082" s="5"/>
      <c r="F8082" s="5"/>
      <c r="G8082" s="9"/>
      <c r="H8082" s="9"/>
      <c r="I8082" s="9"/>
    </row>
    <row r="8083" ht="14.25">
      <c r="A8083" s="5"/>
      <c r="B8083" s="7"/>
      <c r="C8083" s="7"/>
      <c r="D8083" s="7"/>
      <c r="E8083" s="5"/>
      <c r="F8083" s="5"/>
      <c r="G8083" s="9"/>
      <c r="H8083" s="9"/>
      <c r="I8083" s="9"/>
    </row>
    <row r="8084" ht="14.25">
      <c r="A8084" s="5"/>
      <c r="B8084" s="7"/>
      <c r="C8084" s="7"/>
      <c r="D8084" s="7"/>
      <c r="E8084" s="5"/>
      <c r="F8084" s="5"/>
      <c r="G8084" s="9"/>
      <c r="H8084" s="9"/>
      <c r="I8084" s="9"/>
    </row>
    <row r="8085" ht="14.25">
      <c r="A8085" s="5"/>
      <c r="B8085" s="7"/>
      <c r="C8085" s="7"/>
      <c r="D8085" s="7"/>
      <c r="E8085" s="5"/>
      <c r="F8085" s="5"/>
      <c r="G8085" s="9"/>
      <c r="H8085" s="9"/>
      <c r="I8085" s="9"/>
    </row>
    <row r="8086" ht="14.25">
      <c r="A8086" s="5"/>
      <c r="B8086" s="7"/>
      <c r="C8086" s="7"/>
      <c r="D8086" s="7"/>
      <c r="E8086" s="5"/>
      <c r="F8086" s="5"/>
      <c r="G8086" s="9"/>
      <c r="H8086" s="9"/>
      <c r="I8086" s="9"/>
    </row>
    <row r="8087" ht="14.25">
      <c r="A8087" s="5"/>
      <c r="B8087" s="7"/>
      <c r="C8087" s="7"/>
      <c r="D8087" s="7"/>
      <c r="E8087" s="5"/>
      <c r="F8087" s="5"/>
      <c r="G8087" s="9"/>
      <c r="H8087" s="9"/>
      <c r="I8087" s="9"/>
    </row>
    <row r="8088" ht="14.25">
      <c r="A8088" s="5"/>
      <c r="B8088" s="7"/>
      <c r="C8088" s="7"/>
      <c r="D8088" s="7"/>
      <c r="E8088" s="5"/>
      <c r="F8088" s="5"/>
      <c r="G8088" s="9"/>
      <c r="H8088" s="9"/>
      <c r="I8088" s="9"/>
    </row>
    <row r="8089" ht="14.25">
      <c r="A8089" s="5"/>
      <c r="B8089" s="7"/>
      <c r="C8089" s="7"/>
      <c r="D8089" s="7"/>
      <c r="E8089" s="5"/>
      <c r="F8089" s="5"/>
      <c r="G8089" s="9"/>
      <c r="H8089" s="9"/>
      <c r="I8089" s="9"/>
    </row>
    <row r="8090" ht="14.25">
      <c r="A8090" s="5"/>
      <c r="B8090" s="7"/>
      <c r="C8090" s="7"/>
      <c r="D8090" s="7"/>
      <c r="E8090" s="5"/>
      <c r="F8090" s="5"/>
      <c r="G8090" s="9"/>
      <c r="H8090" s="9"/>
      <c r="I8090" s="9"/>
    </row>
    <row r="8091" ht="14.25">
      <c r="A8091" s="5"/>
      <c r="B8091" s="7"/>
      <c r="C8091" s="7"/>
      <c r="D8091" s="7"/>
      <c r="E8091" s="5"/>
      <c r="F8091" s="5"/>
      <c r="G8091" s="9"/>
      <c r="H8091" s="9"/>
      <c r="I8091" s="9"/>
    </row>
    <row r="8092" ht="14.25">
      <c r="A8092" s="5"/>
      <c r="B8092" s="7"/>
      <c r="C8092" s="7"/>
      <c r="D8092" s="7"/>
      <c r="E8092" s="5"/>
      <c r="F8092" s="5"/>
      <c r="G8092" s="9"/>
      <c r="H8092" s="9"/>
      <c r="I8092" s="9"/>
    </row>
    <row r="8093" ht="14.25">
      <c r="A8093" s="5"/>
      <c r="B8093" s="7"/>
      <c r="C8093" s="7"/>
      <c r="D8093" s="7"/>
      <c r="E8093" s="5"/>
      <c r="F8093" s="5"/>
      <c r="G8093" s="9"/>
      <c r="H8093" s="9"/>
      <c r="I8093" s="9"/>
    </row>
    <row r="8094" ht="14.25">
      <c r="A8094" s="5"/>
      <c r="B8094" s="7"/>
      <c r="C8094" s="7"/>
      <c r="D8094" s="7"/>
      <c r="E8094" s="5"/>
      <c r="F8094" s="5"/>
      <c r="G8094" s="9"/>
      <c r="H8094" s="9"/>
      <c r="I8094" s="9"/>
    </row>
    <row r="8095" ht="14.25">
      <c r="A8095" s="5"/>
      <c r="B8095" s="7"/>
      <c r="C8095" s="7"/>
      <c r="D8095" s="7"/>
      <c r="E8095" s="5"/>
      <c r="F8095" s="5"/>
      <c r="G8095" s="9"/>
      <c r="H8095" s="9"/>
      <c r="I8095" s="9"/>
    </row>
    <row r="8096" ht="14.25">
      <c r="A8096" s="5"/>
      <c r="B8096" s="7"/>
      <c r="C8096" s="7"/>
      <c r="D8096" s="7"/>
      <c r="E8096" s="5"/>
      <c r="F8096" s="5"/>
      <c r="G8096" s="9"/>
      <c r="H8096" s="9"/>
      <c r="I8096" s="9"/>
    </row>
    <row r="8097" ht="14.25">
      <c r="A8097" s="5"/>
      <c r="B8097" s="7"/>
      <c r="C8097" s="7"/>
      <c r="D8097" s="7"/>
      <c r="E8097" s="5"/>
      <c r="F8097" s="5"/>
      <c r="G8097" s="9"/>
      <c r="H8097" s="9"/>
      <c r="I8097" s="9"/>
    </row>
    <row r="8098" ht="14.25">
      <c r="A8098" s="5"/>
      <c r="B8098" s="7"/>
      <c r="C8098" s="7"/>
      <c r="D8098" s="7"/>
      <c r="E8098" s="5"/>
      <c r="F8098" s="5"/>
      <c r="G8098" s="9"/>
      <c r="H8098" s="9"/>
      <c r="I8098" s="9"/>
    </row>
    <row r="8099" ht="14.25">
      <c r="A8099" s="5"/>
      <c r="B8099" s="7"/>
      <c r="C8099" s="7"/>
      <c r="D8099" s="7"/>
      <c r="E8099" s="5"/>
      <c r="F8099" s="5"/>
      <c r="G8099" s="9"/>
      <c r="H8099" s="9"/>
      <c r="I8099" s="9"/>
    </row>
    <row r="8100" ht="14.25">
      <c r="A8100" s="5"/>
      <c r="B8100" s="7"/>
      <c r="C8100" s="7"/>
      <c r="D8100" s="7"/>
      <c r="E8100" s="5"/>
      <c r="F8100" s="5"/>
      <c r="G8100" s="9"/>
      <c r="H8100" s="9"/>
      <c r="I8100" s="9"/>
    </row>
    <row r="8101" ht="14.25">
      <c r="A8101" s="5"/>
      <c r="B8101" s="7"/>
      <c r="C8101" s="7"/>
      <c r="D8101" s="7"/>
      <c r="E8101" s="5"/>
      <c r="F8101" s="5"/>
      <c r="G8101" s="9"/>
      <c r="H8101" s="9"/>
      <c r="I8101" s="9"/>
    </row>
    <row r="8102" ht="14.25">
      <c r="A8102" s="5"/>
      <c r="B8102" s="7"/>
      <c r="C8102" s="7"/>
      <c r="D8102" s="7"/>
      <c r="E8102" s="5"/>
      <c r="F8102" s="5"/>
      <c r="G8102" s="9"/>
      <c r="H8102" s="9"/>
      <c r="I8102" s="9"/>
    </row>
    <row r="8103" ht="14.25">
      <c r="A8103" s="5"/>
      <c r="B8103" s="7"/>
      <c r="C8103" s="7"/>
      <c r="D8103" s="7"/>
      <c r="E8103" s="5"/>
      <c r="F8103" s="5"/>
      <c r="G8103" s="9"/>
      <c r="H8103" s="9"/>
      <c r="I8103" s="9"/>
    </row>
    <row r="8104" ht="14.25">
      <c r="A8104" s="5"/>
      <c r="B8104" s="7"/>
      <c r="C8104" s="7"/>
      <c r="D8104" s="7"/>
      <c r="E8104" s="5"/>
      <c r="F8104" s="5"/>
      <c r="G8104" s="9"/>
      <c r="H8104" s="9"/>
      <c r="I8104" s="9"/>
    </row>
    <row r="8105" ht="14.25">
      <c r="A8105" s="5"/>
      <c r="B8105" s="7"/>
      <c r="C8105" s="7"/>
      <c r="D8105" s="7"/>
      <c r="E8105" s="5"/>
      <c r="F8105" s="5"/>
      <c r="G8105" s="9"/>
      <c r="H8105" s="9"/>
      <c r="I8105" s="9"/>
    </row>
    <row r="8106" ht="14.25">
      <c r="A8106" s="5"/>
      <c r="B8106" s="7"/>
      <c r="C8106" s="7"/>
      <c r="D8106" s="7"/>
      <c r="E8106" s="5"/>
      <c r="F8106" s="5"/>
      <c r="G8106" s="9"/>
      <c r="H8106" s="9"/>
      <c r="I8106" s="9"/>
    </row>
    <row r="8107" ht="14.25">
      <c r="A8107" s="5"/>
      <c r="B8107" s="7"/>
      <c r="C8107" s="7"/>
      <c r="D8107" s="7"/>
      <c r="E8107" s="5"/>
      <c r="F8107" s="5"/>
      <c r="G8107" s="9"/>
      <c r="H8107" s="9"/>
      <c r="I8107" s="9"/>
    </row>
    <row r="8108" ht="14.25">
      <c r="A8108" s="5"/>
      <c r="B8108" s="7"/>
      <c r="C8108" s="7"/>
      <c r="D8108" s="7"/>
      <c r="E8108" s="5"/>
      <c r="F8108" s="5"/>
      <c r="G8108" s="9"/>
      <c r="H8108" s="9"/>
      <c r="I8108" s="9"/>
    </row>
    <row r="8109" ht="14.25">
      <c r="A8109" s="5"/>
      <c r="B8109" s="7"/>
      <c r="C8109" s="7"/>
      <c r="D8109" s="7"/>
      <c r="E8109" s="5"/>
      <c r="F8109" s="5"/>
      <c r="G8109" s="9"/>
      <c r="H8109" s="9"/>
      <c r="I8109" s="9"/>
    </row>
    <row r="8110" ht="14.25">
      <c r="A8110" s="5"/>
      <c r="B8110" s="7"/>
      <c r="C8110" s="7"/>
      <c r="D8110" s="7"/>
      <c r="E8110" s="5"/>
      <c r="F8110" s="5"/>
      <c r="G8110" s="9"/>
      <c r="H8110" s="9"/>
      <c r="I8110" s="9"/>
    </row>
    <row r="8111" ht="14.25">
      <c r="A8111" s="5"/>
      <c r="B8111" s="7"/>
      <c r="C8111" s="7"/>
      <c r="D8111" s="7"/>
      <c r="E8111" s="5"/>
      <c r="F8111" s="5"/>
      <c r="G8111" s="9"/>
      <c r="H8111" s="9"/>
      <c r="I8111" s="9"/>
    </row>
    <row r="8112" ht="14.25">
      <c r="A8112" s="5"/>
      <c r="B8112" s="7"/>
      <c r="C8112" s="7"/>
      <c r="D8112" s="7"/>
      <c r="E8112" s="5"/>
      <c r="F8112" s="5"/>
      <c r="G8112" s="9"/>
      <c r="H8112" s="9"/>
      <c r="I8112" s="9"/>
    </row>
    <row r="8113" ht="14.25">
      <c r="A8113" s="5"/>
      <c r="B8113" s="7"/>
      <c r="C8113" s="7"/>
      <c r="D8113" s="7"/>
      <c r="E8113" s="5"/>
      <c r="F8113" s="5"/>
      <c r="G8113" s="9"/>
      <c r="H8113" s="9"/>
      <c r="I8113" s="9"/>
    </row>
    <row r="8114" ht="14.25">
      <c r="A8114" s="5"/>
      <c r="B8114" s="7"/>
      <c r="C8114" s="7"/>
      <c r="D8114" s="7"/>
      <c r="E8114" s="5"/>
      <c r="F8114" s="5"/>
      <c r="G8114" s="9"/>
      <c r="H8114" s="9"/>
      <c r="I8114" s="9"/>
    </row>
    <row r="8115" ht="14.25">
      <c r="A8115" s="5"/>
      <c r="B8115" s="7"/>
      <c r="C8115" s="7"/>
      <c r="D8115" s="7"/>
      <c r="E8115" s="5"/>
      <c r="F8115" s="5"/>
      <c r="G8115" s="9"/>
      <c r="H8115" s="9"/>
      <c r="I8115" s="9"/>
    </row>
    <row r="8116" ht="14.25">
      <c r="A8116" s="5"/>
      <c r="B8116" s="7"/>
      <c r="C8116" s="7"/>
      <c r="D8116" s="7"/>
      <c r="E8116" s="5"/>
      <c r="F8116" s="5"/>
      <c r="G8116" s="9"/>
      <c r="H8116" s="9"/>
      <c r="I8116" s="9"/>
    </row>
    <row r="8117" ht="14.25">
      <c r="A8117" s="5"/>
      <c r="B8117" s="7"/>
      <c r="C8117" s="7"/>
      <c r="D8117" s="7"/>
      <c r="E8117" s="5"/>
      <c r="F8117" s="5"/>
      <c r="G8117" s="9"/>
      <c r="H8117" s="9"/>
      <c r="I8117" s="9"/>
    </row>
    <row r="8118" ht="14.25">
      <c r="A8118" s="5"/>
      <c r="B8118" s="7"/>
      <c r="C8118" s="7"/>
      <c r="D8118" s="7"/>
      <c r="E8118" s="5"/>
      <c r="F8118" s="5"/>
      <c r="G8118" s="9"/>
      <c r="H8118" s="9"/>
      <c r="I8118" s="9"/>
    </row>
    <row r="8119" ht="14.25">
      <c r="A8119" s="5"/>
      <c r="B8119" s="7"/>
      <c r="C8119" s="7"/>
      <c r="D8119" s="7"/>
      <c r="E8119" s="5"/>
      <c r="F8119" s="5"/>
      <c r="G8119" s="9"/>
      <c r="H8119" s="9"/>
      <c r="I8119" s="9"/>
    </row>
    <row r="8120" ht="14.25">
      <c r="A8120" s="5"/>
      <c r="B8120" s="7"/>
      <c r="C8120" s="7"/>
      <c r="D8120" s="7"/>
      <c r="E8120" s="5"/>
      <c r="F8120" s="5"/>
      <c r="G8120" s="9"/>
      <c r="H8120" s="9"/>
      <c r="I8120" s="9"/>
    </row>
    <row r="8121" ht="14.25">
      <c r="A8121" s="5"/>
      <c r="B8121" s="7"/>
      <c r="C8121" s="7"/>
      <c r="D8121" s="7"/>
      <c r="E8121" s="5"/>
      <c r="F8121" s="5"/>
      <c r="G8121" s="9"/>
      <c r="H8121" s="9"/>
      <c r="I8121" s="9"/>
    </row>
    <row r="8122" ht="14.25">
      <c r="A8122" s="5"/>
      <c r="B8122" s="7"/>
      <c r="C8122" s="7"/>
      <c r="D8122" s="7"/>
      <c r="E8122" s="5"/>
      <c r="F8122" s="5"/>
      <c r="G8122" s="9"/>
      <c r="H8122" s="9"/>
      <c r="I8122" s="9"/>
    </row>
    <row r="8123" ht="14.25">
      <c r="A8123" s="5"/>
      <c r="B8123" s="7"/>
      <c r="C8123" s="7"/>
      <c r="D8123" s="7"/>
      <c r="E8123" s="5"/>
      <c r="F8123" s="5"/>
      <c r="G8123" s="9"/>
      <c r="H8123" s="9"/>
      <c r="I8123" s="9"/>
    </row>
    <row r="8124" ht="14.25">
      <c r="A8124" s="5"/>
      <c r="B8124" s="7"/>
      <c r="C8124" s="7"/>
      <c r="D8124" s="7"/>
      <c r="E8124" s="5"/>
      <c r="F8124" s="5"/>
      <c r="G8124" s="9"/>
      <c r="H8124" s="9"/>
      <c r="I8124" s="9"/>
    </row>
    <row r="8125" ht="14.25">
      <c r="A8125" s="5"/>
      <c r="B8125" s="7"/>
      <c r="C8125" s="7"/>
      <c r="D8125" s="7"/>
      <c r="E8125" s="5"/>
      <c r="F8125" s="5"/>
      <c r="G8125" s="9"/>
      <c r="H8125" s="9"/>
      <c r="I8125" s="9"/>
    </row>
    <row r="8126" ht="14.25">
      <c r="A8126" s="5"/>
      <c r="B8126" s="7"/>
      <c r="C8126" s="7"/>
      <c r="D8126" s="7"/>
      <c r="E8126" s="5"/>
      <c r="F8126" s="5"/>
      <c r="G8126" s="9"/>
      <c r="H8126" s="9"/>
      <c r="I8126" s="9"/>
    </row>
    <row r="8127" ht="14.25">
      <c r="A8127" s="5"/>
      <c r="B8127" s="7"/>
      <c r="C8127" s="7"/>
      <c r="D8127" s="7"/>
      <c r="E8127" s="5"/>
      <c r="F8127" s="5"/>
      <c r="G8127" s="9"/>
      <c r="H8127" s="9"/>
      <c r="I8127" s="9"/>
    </row>
    <row r="8128" ht="14.25">
      <c r="A8128" s="5"/>
      <c r="B8128" s="7"/>
      <c r="C8128" s="7"/>
      <c r="D8128" s="7"/>
      <c r="E8128" s="5"/>
      <c r="F8128" s="5"/>
      <c r="G8128" s="9"/>
      <c r="H8128" s="9"/>
      <c r="I8128" s="9"/>
    </row>
    <row r="8129" ht="14.25">
      <c r="A8129" s="5"/>
      <c r="B8129" s="7"/>
      <c r="C8129" s="7"/>
      <c r="D8129" s="7"/>
      <c r="E8129" s="5"/>
      <c r="F8129" s="5"/>
      <c r="G8129" s="9"/>
      <c r="H8129" s="9"/>
      <c r="I8129" s="9"/>
    </row>
    <row r="8130" ht="14.25">
      <c r="A8130" s="5"/>
      <c r="B8130" s="7"/>
      <c r="C8130" s="7"/>
      <c r="D8130" s="7"/>
      <c r="E8130" s="5"/>
      <c r="F8130" s="5"/>
      <c r="G8130" s="9"/>
      <c r="H8130" s="9"/>
      <c r="I8130" s="9"/>
    </row>
    <row r="8131" ht="14.25">
      <c r="A8131" s="5"/>
      <c r="B8131" s="7"/>
      <c r="C8131" s="7"/>
      <c r="D8131" s="7"/>
      <c r="E8131" s="5"/>
      <c r="F8131" s="5"/>
      <c r="G8131" s="9"/>
      <c r="H8131" s="9"/>
      <c r="I8131" s="9"/>
    </row>
    <row r="8132" ht="14.25">
      <c r="A8132" s="5"/>
      <c r="B8132" s="7"/>
      <c r="C8132" s="7"/>
      <c r="D8132" s="7"/>
      <c r="E8132" s="5"/>
      <c r="F8132" s="5"/>
      <c r="G8132" s="9"/>
      <c r="H8132" s="9"/>
      <c r="I8132" s="9"/>
    </row>
    <row r="8133" ht="14.25">
      <c r="A8133" s="5"/>
      <c r="B8133" s="7"/>
      <c r="C8133" s="7"/>
      <c r="D8133" s="7"/>
      <c r="E8133" s="5"/>
      <c r="F8133" s="5"/>
      <c r="G8133" s="9"/>
      <c r="H8133" s="9"/>
      <c r="I8133" s="9"/>
    </row>
    <row r="8134" ht="14.25">
      <c r="A8134" s="5"/>
      <c r="B8134" s="7"/>
      <c r="C8134" s="7"/>
      <c r="D8134" s="7"/>
      <c r="E8134" s="5"/>
      <c r="F8134" s="5"/>
      <c r="G8134" s="9"/>
      <c r="H8134" s="9"/>
      <c r="I8134" s="9"/>
    </row>
    <row r="8135" ht="14.25">
      <c r="A8135" s="5"/>
      <c r="B8135" s="7"/>
      <c r="C8135" s="7"/>
      <c r="D8135" s="7"/>
      <c r="E8135" s="5"/>
      <c r="F8135" s="5"/>
      <c r="G8135" s="9"/>
      <c r="H8135" s="9"/>
      <c r="I8135" s="9"/>
    </row>
    <row r="8136" ht="14.25">
      <c r="A8136" s="5"/>
      <c r="B8136" s="7"/>
      <c r="C8136" s="7"/>
      <c r="D8136" s="7"/>
      <c r="E8136" s="5"/>
      <c r="F8136" s="5"/>
      <c r="G8136" s="9"/>
      <c r="H8136" s="9"/>
      <c r="I8136" s="9"/>
    </row>
    <row r="8137" ht="14.25">
      <c r="A8137" s="5"/>
      <c r="B8137" s="7"/>
      <c r="C8137" s="7"/>
      <c r="D8137" s="7"/>
      <c r="E8137" s="5"/>
      <c r="F8137" s="5"/>
      <c r="G8137" s="9"/>
      <c r="H8137" s="9"/>
      <c r="I8137" s="9"/>
    </row>
    <row r="8138" ht="14.25">
      <c r="A8138" s="5"/>
      <c r="B8138" s="7"/>
      <c r="C8138" s="7"/>
      <c r="D8138" s="7"/>
      <c r="E8138" s="5"/>
      <c r="F8138" s="5"/>
      <c r="G8138" s="9"/>
      <c r="H8138" s="9"/>
      <c r="I8138" s="9"/>
    </row>
    <row r="8139" ht="14.25">
      <c r="A8139" s="5"/>
      <c r="B8139" s="7"/>
      <c r="C8139" s="7"/>
      <c r="D8139" s="7"/>
      <c r="E8139" s="5"/>
      <c r="F8139" s="5"/>
      <c r="G8139" s="9"/>
      <c r="H8139" s="9"/>
      <c r="I8139" s="9"/>
    </row>
    <row r="8140" ht="14.25">
      <c r="A8140" s="5"/>
      <c r="B8140" s="7"/>
      <c r="C8140" s="7"/>
      <c r="D8140" s="7"/>
      <c r="E8140" s="5"/>
      <c r="F8140" s="5"/>
      <c r="G8140" s="9"/>
      <c r="H8140" s="9"/>
      <c r="I8140" s="9"/>
    </row>
    <row r="8141" ht="14.25">
      <c r="A8141" s="5"/>
      <c r="B8141" s="7"/>
      <c r="C8141" s="7"/>
      <c r="D8141" s="7"/>
      <c r="E8141" s="5"/>
      <c r="F8141" s="5"/>
      <c r="G8141" s="9"/>
      <c r="H8141" s="9"/>
      <c r="I8141" s="9"/>
    </row>
    <row r="8142" ht="14.25">
      <c r="A8142" s="5"/>
      <c r="B8142" s="7"/>
      <c r="C8142" s="7"/>
      <c r="D8142" s="7"/>
      <c r="E8142" s="5"/>
      <c r="F8142" s="5"/>
      <c r="G8142" s="9"/>
      <c r="H8142" s="9"/>
      <c r="I8142" s="9"/>
    </row>
    <row r="8143" ht="14.25">
      <c r="A8143" s="5"/>
      <c r="B8143" s="7"/>
      <c r="C8143" s="7"/>
      <c r="D8143" s="7"/>
      <c r="E8143" s="5"/>
      <c r="F8143" s="5"/>
      <c r="G8143" s="9"/>
      <c r="H8143" s="9"/>
      <c r="I8143" s="9"/>
    </row>
    <row r="8144" ht="14.25">
      <c r="A8144" s="5"/>
      <c r="B8144" s="7"/>
      <c r="C8144" s="7"/>
      <c r="D8144" s="7"/>
      <c r="E8144" s="5"/>
      <c r="F8144" s="5"/>
      <c r="G8144" s="9"/>
      <c r="H8144" s="9"/>
      <c r="I8144" s="9"/>
    </row>
    <row r="8145" ht="14.25">
      <c r="A8145" s="5"/>
      <c r="B8145" s="7"/>
      <c r="C8145" s="7"/>
      <c r="D8145" s="7"/>
      <c r="E8145" s="5"/>
      <c r="F8145" s="5"/>
      <c r="G8145" s="9"/>
      <c r="H8145" s="9"/>
      <c r="I8145" s="9"/>
    </row>
    <row r="8146" ht="14.25">
      <c r="A8146" s="5"/>
      <c r="B8146" s="7"/>
      <c r="C8146" s="7"/>
      <c r="D8146" s="7"/>
      <c r="E8146" s="5"/>
      <c r="F8146" s="5"/>
      <c r="G8146" s="9"/>
      <c r="H8146" s="9"/>
      <c r="I8146" s="9"/>
    </row>
    <row r="8147" ht="14.25">
      <c r="A8147" s="5"/>
      <c r="B8147" s="7"/>
      <c r="C8147" s="7"/>
      <c r="D8147" s="7"/>
      <c r="E8147" s="5"/>
      <c r="F8147" s="5"/>
      <c r="G8147" s="9"/>
      <c r="H8147" s="9"/>
      <c r="I8147" s="9"/>
    </row>
    <row r="8148" ht="14.25">
      <c r="A8148" s="5"/>
      <c r="B8148" s="7"/>
      <c r="C8148" s="7"/>
      <c r="D8148" s="7"/>
      <c r="E8148" s="5"/>
      <c r="F8148" s="5"/>
      <c r="G8148" s="9"/>
      <c r="H8148" s="9"/>
      <c r="I8148" s="9"/>
    </row>
    <row r="8149" ht="14.25">
      <c r="A8149" s="5"/>
      <c r="B8149" s="7"/>
      <c r="C8149" s="7"/>
      <c r="D8149" s="7"/>
      <c r="E8149" s="5"/>
      <c r="F8149" s="5"/>
      <c r="G8149" s="9"/>
      <c r="H8149" s="9"/>
      <c r="I8149" s="9"/>
    </row>
    <row r="8150" ht="14.25">
      <c r="A8150" s="5"/>
      <c r="B8150" s="7"/>
      <c r="C8150" s="7"/>
      <c r="D8150" s="7"/>
      <c r="E8150" s="5"/>
      <c r="F8150" s="5"/>
      <c r="G8150" s="9"/>
      <c r="H8150" s="9"/>
      <c r="I8150" s="9"/>
    </row>
    <row r="8151" ht="14.25">
      <c r="A8151" s="5"/>
      <c r="B8151" s="7"/>
      <c r="C8151" s="7"/>
      <c r="D8151" s="7"/>
      <c r="E8151" s="5"/>
      <c r="F8151" s="5"/>
      <c r="G8151" s="9"/>
      <c r="H8151" s="9"/>
      <c r="I8151" s="9"/>
    </row>
    <row r="8152" ht="14.25">
      <c r="A8152" s="5"/>
      <c r="B8152" s="7"/>
      <c r="C8152" s="7"/>
      <c r="D8152" s="7"/>
      <c r="E8152" s="5"/>
      <c r="F8152" s="5"/>
      <c r="G8152" s="9"/>
      <c r="H8152" s="9"/>
      <c r="I8152" s="9"/>
    </row>
    <row r="8153" ht="14.25">
      <c r="A8153" s="5"/>
      <c r="B8153" s="7"/>
      <c r="C8153" s="7"/>
      <c r="D8153" s="7"/>
      <c r="E8153" s="5"/>
      <c r="F8153" s="5"/>
      <c r="G8153" s="9"/>
      <c r="H8153" s="9"/>
      <c r="I8153" s="9"/>
    </row>
    <row r="8154" ht="14.25">
      <c r="A8154" s="5"/>
      <c r="B8154" s="7"/>
      <c r="C8154" s="7"/>
      <c r="D8154" s="7"/>
      <c r="E8154" s="5"/>
      <c r="F8154" s="5"/>
      <c r="G8154" s="9"/>
      <c r="H8154" s="9"/>
      <c r="I8154" s="9"/>
    </row>
    <row r="8155" ht="14.25">
      <c r="A8155" s="5"/>
      <c r="B8155" s="7"/>
      <c r="C8155" s="7"/>
      <c r="D8155" s="7"/>
      <c r="E8155" s="5"/>
      <c r="F8155" s="5"/>
      <c r="G8155" s="9"/>
      <c r="H8155" s="9"/>
      <c r="I8155" s="9"/>
    </row>
    <row r="8156" ht="14.25">
      <c r="A8156" s="5"/>
      <c r="B8156" s="7"/>
      <c r="C8156" s="7"/>
      <c r="D8156" s="7"/>
      <c r="E8156" s="5"/>
      <c r="F8156" s="5"/>
      <c r="G8156" s="9"/>
      <c r="H8156" s="9"/>
      <c r="I8156" s="9"/>
    </row>
    <row r="8157" ht="14.25">
      <c r="A8157" s="5"/>
      <c r="B8157" s="7"/>
      <c r="C8157" s="7"/>
      <c r="D8157" s="7"/>
      <c r="E8157" s="5"/>
      <c r="F8157" s="5"/>
      <c r="G8157" s="9"/>
      <c r="H8157" s="9"/>
      <c r="I8157" s="9"/>
    </row>
    <row r="8158" ht="14.25">
      <c r="A8158" s="5"/>
      <c r="B8158" s="7"/>
      <c r="C8158" s="7"/>
      <c r="D8158" s="7"/>
      <c r="E8158" s="5"/>
      <c r="F8158" s="5"/>
      <c r="G8158" s="9"/>
      <c r="H8158" s="9"/>
      <c r="I8158" s="9"/>
    </row>
    <row r="8159" ht="14.25">
      <c r="A8159" s="5"/>
      <c r="B8159" s="7"/>
      <c r="C8159" s="7"/>
      <c r="D8159" s="7"/>
      <c r="E8159" s="5"/>
      <c r="F8159" s="5"/>
      <c r="G8159" s="9"/>
      <c r="H8159" s="9"/>
      <c r="I8159" s="9"/>
    </row>
    <row r="8160" ht="14.25">
      <c r="A8160" s="5"/>
      <c r="B8160" s="7"/>
      <c r="C8160" s="7"/>
      <c r="D8160" s="7"/>
      <c r="E8160" s="5"/>
      <c r="F8160" s="5"/>
      <c r="G8160" s="9"/>
      <c r="H8160" s="9"/>
      <c r="I8160" s="9"/>
    </row>
    <row r="8161" ht="14.25">
      <c r="A8161" s="5"/>
      <c r="B8161" s="7"/>
      <c r="C8161" s="7"/>
      <c r="D8161" s="7"/>
      <c r="E8161" s="5"/>
      <c r="F8161" s="5"/>
      <c r="G8161" s="9"/>
      <c r="H8161" s="9"/>
      <c r="I8161" s="9"/>
    </row>
    <row r="8162" ht="14.25">
      <c r="A8162" s="5"/>
      <c r="B8162" s="7"/>
      <c r="C8162" s="7"/>
      <c r="D8162" s="7"/>
      <c r="E8162" s="5"/>
      <c r="F8162" s="5"/>
      <c r="G8162" s="9"/>
      <c r="H8162" s="9"/>
      <c r="I8162" s="9"/>
    </row>
    <row r="8163" ht="14.25">
      <c r="A8163" s="5"/>
      <c r="B8163" s="7"/>
      <c r="C8163" s="7"/>
      <c r="D8163" s="7"/>
      <c r="E8163" s="5"/>
      <c r="F8163" s="5"/>
      <c r="G8163" s="9"/>
      <c r="H8163" s="9"/>
      <c r="I8163" s="9"/>
    </row>
    <row r="8164" ht="14.25">
      <c r="A8164" s="5"/>
      <c r="B8164" s="7"/>
      <c r="C8164" s="7"/>
      <c r="D8164" s="7"/>
      <c r="E8164" s="5"/>
      <c r="F8164" s="5"/>
      <c r="G8164" s="9"/>
      <c r="H8164" s="9"/>
      <c r="I8164" s="9"/>
    </row>
    <row r="8165" ht="14.25">
      <c r="A8165" s="5"/>
      <c r="B8165" s="7"/>
      <c r="C8165" s="7"/>
      <c r="D8165" s="7"/>
      <c r="E8165" s="5"/>
      <c r="F8165" s="5"/>
      <c r="G8165" s="9"/>
      <c r="H8165" s="9"/>
      <c r="I8165" s="9"/>
    </row>
    <row r="8166" ht="14.25">
      <c r="A8166" s="5"/>
      <c r="B8166" s="7"/>
      <c r="C8166" s="7"/>
      <c r="D8166" s="7"/>
      <c r="E8166" s="5"/>
      <c r="F8166" s="5"/>
      <c r="G8166" s="9"/>
      <c r="H8166" s="9"/>
      <c r="I8166" s="9"/>
    </row>
    <row r="8167" ht="14.25">
      <c r="A8167" s="5"/>
      <c r="B8167" s="7"/>
      <c r="C8167" s="7"/>
      <c r="D8167" s="7"/>
      <c r="E8167" s="5"/>
      <c r="F8167" s="5"/>
      <c r="G8167" s="9"/>
      <c r="H8167" s="9"/>
      <c r="I8167" s="9"/>
    </row>
    <row r="8168" ht="14.25">
      <c r="A8168" s="5"/>
      <c r="B8168" s="7"/>
      <c r="C8168" s="7"/>
      <c r="D8168" s="7"/>
      <c r="E8168" s="5"/>
      <c r="F8168" s="5"/>
      <c r="G8168" s="9"/>
      <c r="H8168" s="9"/>
      <c r="I8168" s="9"/>
    </row>
    <row r="8169" ht="14.25">
      <c r="A8169" s="5"/>
      <c r="B8169" s="7"/>
      <c r="C8169" s="7"/>
      <c r="D8169" s="7"/>
      <c r="E8169" s="5"/>
      <c r="F8169" s="5"/>
      <c r="G8169" s="9"/>
      <c r="H8169" s="9"/>
      <c r="I8169" s="9"/>
    </row>
    <row r="8170" ht="14.25">
      <c r="A8170" s="5"/>
      <c r="B8170" s="7"/>
      <c r="C8170" s="7"/>
      <c r="D8170" s="7"/>
      <c r="E8170" s="5"/>
      <c r="F8170" s="5"/>
      <c r="G8170" s="9"/>
      <c r="H8170" s="9"/>
      <c r="I8170" s="9"/>
    </row>
    <row r="8171" ht="14.25">
      <c r="A8171" s="5"/>
      <c r="B8171" s="7"/>
      <c r="C8171" s="7"/>
      <c r="D8171" s="7"/>
      <c r="E8171" s="5"/>
      <c r="F8171" s="5"/>
      <c r="G8171" s="9"/>
      <c r="H8171" s="9"/>
      <c r="I8171" s="9"/>
    </row>
    <row r="8172" ht="14.25">
      <c r="A8172" s="5"/>
      <c r="B8172" s="7"/>
      <c r="C8172" s="7"/>
      <c r="D8172" s="7"/>
      <c r="E8172" s="5"/>
      <c r="F8172" s="5"/>
      <c r="G8172" s="9"/>
      <c r="H8172" s="9"/>
      <c r="I8172" s="9"/>
    </row>
    <row r="8173" ht="14.25">
      <c r="A8173" s="5"/>
      <c r="B8173" s="7"/>
      <c r="C8173" s="7"/>
      <c r="D8173" s="7"/>
      <c r="E8173" s="5"/>
      <c r="F8173" s="5"/>
      <c r="G8173" s="9"/>
      <c r="H8173" s="9"/>
      <c r="I8173" s="9"/>
    </row>
    <row r="8174" ht="14.25">
      <c r="A8174" s="5"/>
      <c r="B8174" s="7"/>
      <c r="C8174" s="7"/>
      <c r="D8174" s="7"/>
      <c r="E8174" s="5"/>
      <c r="F8174" s="5"/>
      <c r="G8174" s="9"/>
      <c r="H8174" s="9"/>
      <c r="I8174" s="9"/>
    </row>
    <row r="8175" ht="14.25">
      <c r="A8175" s="5"/>
      <c r="B8175" s="7"/>
      <c r="C8175" s="7"/>
      <c r="D8175" s="7"/>
      <c r="E8175" s="5"/>
      <c r="F8175" s="5"/>
      <c r="G8175" s="9"/>
      <c r="H8175" s="9"/>
      <c r="I8175" s="9"/>
    </row>
    <row r="8176" ht="14.25">
      <c r="A8176" s="5"/>
      <c r="B8176" s="7"/>
      <c r="C8176" s="7"/>
      <c r="D8176" s="7"/>
      <c r="E8176" s="5"/>
      <c r="F8176" s="5"/>
      <c r="G8176" s="9"/>
      <c r="H8176" s="9"/>
      <c r="I8176" s="9"/>
    </row>
    <row r="8177" ht="14.25">
      <c r="A8177" s="5"/>
      <c r="B8177" s="7"/>
      <c r="C8177" s="7"/>
      <c r="D8177" s="7"/>
      <c r="E8177" s="5"/>
      <c r="F8177" s="5"/>
      <c r="G8177" s="9"/>
      <c r="H8177" s="9"/>
      <c r="I8177" s="9"/>
    </row>
    <row r="8178" ht="14.25">
      <c r="A8178" s="5"/>
      <c r="B8178" s="7"/>
      <c r="C8178" s="7"/>
      <c r="D8178" s="7"/>
      <c r="E8178" s="5"/>
      <c r="F8178" s="5"/>
      <c r="G8178" s="9"/>
      <c r="H8178" s="9"/>
      <c r="I8178" s="9"/>
    </row>
    <row r="8179" ht="14.25">
      <c r="A8179" s="5"/>
      <c r="B8179" s="7"/>
      <c r="C8179" s="7"/>
      <c r="D8179" s="7"/>
      <c r="E8179" s="5"/>
      <c r="F8179" s="5"/>
      <c r="G8179" s="9"/>
      <c r="H8179" s="9"/>
      <c r="I8179" s="9"/>
    </row>
    <row r="8180" ht="14.25">
      <c r="A8180" s="5"/>
      <c r="B8180" s="7"/>
      <c r="C8180" s="7"/>
      <c r="D8180" s="7"/>
      <c r="E8180" s="5"/>
      <c r="F8180" s="5"/>
      <c r="G8180" s="9"/>
      <c r="H8180" s="9"/>
      <c r="I8180" s="9"/>
    </row>
    <row r="8181" ht="14.25">
      <c r="A8181" s="5"/>
      <c r="B8181" s="7"/>
      <c r="C8181" s="7"/>
      <c r="D8181" s="7"/>
      <c r="E8181" s="5"/>
      <c r="F8181" s="5"/>
      <c r="G8181" s="9"/>
      <c r="H8181" s="9"/>
      <c r="I8181" s="9"/>
    </row>
    <row r="8182" ht="14.25">
      <c r="A8182" s="5"/>
      <c r="B8182" s="7"/>
      <c r="C8182" s="7"/>
      <c r="D8182" s="7"/>
      <c r="E8182" s="5"/>
      <c r="F8182" s="5"/>
      <c r="G8182" s="9"/>
      <c r="H8182" s="9"/>
      <c r="I8182" s="9"/>
    </row>
    <row r="8183" ht="14.25">
      <c r="A8183" s="5"/>
      <c r="B8183" s="7"/>
      <c r="C8183" s="7"/>
      <c r="D8183" s="7"/>
      <c r="E8183" s="5"/>
      <c r="F8183" s="5"/>
      <c r="G8183" s="9"/>
      <c r="H8183" s="9"/>
      <c r="I8183" s="9"/>
    </row>
    <row r="8184" ht="14.25">
      <c r="A8184" s="5"/>
      <c r="B8184" s="7"/>
      <c r="C8184" s="7"/>
      <c r="D8184" s="7"/>
      <c r="E8184" s="5"/>
      <c r="F8184" s="5"/>
      <c r="G8184" s="9"/>
      <c r="H8184" s="9"/>
      <c r="I8184" s="9"/>
    </row>
    <row r="8185" ht="14.25">
      <c r="A8185" s="5"/>
      <c r="B8185" s="7"/>
      <c r="C8185" s="7"/>
      <c r="D8185" s="7"/>
      <c r="E8185" s="5"/>
      <c r="F8185" s="5"/>
      <c r="G8185" s="9"/>
      <c r="H8185" s="9"/>
      <c r="I8185" s="9"/>
    </row>
    <row r="8186" ht="14.25">
      <c r="A8186" s="5"/>
      <c r="B8186" s="7"/>
      <c r="C8186" s="7"/>
      <c r="D8186" s="7"/>
      <c r="E8186" s="5"/>
      <c r="F8186" s="5"/>
      <c r="G8186" s="9"/>
      <c r="H8186" s="9"/>
      <c r="I8186" s="9"/>
    </row>
    <row r="8187" ht="14.25">
      <c r="A8187" s="5"/>
      <c r="B8187" s="7"/>
      <c r="C8187" s="7"/>
      <c r="D8187" s="7"/>
      <c r="E8187" s="5"/>
      <c r="F8187" s="5"/>
      <c r="G8187" s="9"/>
      <c r="H8187" s="9"/>
      <c r="I8187" s="9"/>
    </row>
    <row r="8188" ht="14.25">
      <c r="A8188" s="5"/>
      <c r="B8188" s="7"/>
      <c r="C8188" s="7"/>
      <c r="D8188" s="7"/>
      <c r="E8188" s="5"/>
      <c r="F8188" s="5"/>
      <c r="G8188" s="9"/>
      <c r="H8188" s="9"/>
      <c r="I8188" s="9"/>
    </row>
    <row r="8189" ht="14.25">
      <c r="A8189" s="5"/>
      <c r="B8189" s="7"/>
      <c r="C8189" s="7"/>
      <c r="D8189" s="7"/>
      <c r="E8189" s="5"/>
      <c r="F8189" s="5"/>
      <c r="G8189" s="9"/>
      <c r="H8189" s="9"/>
      <c r="I8189" s="9"/>
    </row>
    <row r="8190" ht="14.25">
      <c r="A8190" s="5"/>
      <c r="B8190" s="7"/>
      <c r="C8190" s="7"/>
      <c r="D8190" s="7"/>
      <c r="E8190" s="5"/>
      <c r="F8190" s="5"/>
      <c r="G8190" s="9"/>
      <c r="H8190" s="9"/>
      <c r="I8190" s="9"/>
    </row>
    <row r="8191" ht="14.25">
      <c r="A8191" s="5"/>
      <c r="B8191" s="7"/>
      <c r="C8191" s="7"/>
      <c r="D8191" s="7"/>
      <c r="E8191" s="5"/>
      <c r="F8191" s="5"/>
      <c r="G8191" s="9"/>
      <c r="H8191" s="9"/>
      <c r="I8191" s="9"/>
    </row>
    <row r="8192" ht="14.25">
      <c r="A8192" s="5"/>
      <c r="B8192" s="7"/>
      <c r="C8192" s="7"/>
      <c r="D8192" s="7"/>
      <c r="E8192" s="5"/>
      <c r="F8192" s="5"/>
      <c r="G8192" s="9"/>
      <c r="H8192" s="9"/>
      <c r="I8192" s="9"/>
    </row>
    <row r="8193" ht="14.25">
      <c r="A8193" s="5"/>
      <c r="B8193" s="7"/>
      <c r="C8193" s="7"/>
      <c r="D8193" s="7"/>
      <c r="E8193" s="5"/>
      <c r="F8193" s="5"/>
      <c r="G8193" s="9"/>
      <c r="H8193" s="9"/>
      <c r="I8193" s="9"/>
    </row>
    <row r="8194" ht="14.25">
      <c r="A8194" s="5"/>
      <c r="B8194" s="7"/>
      <c r="C8194" s="7"/>
      <c r="D8194" s="7"/>
      <c r="E8194" s="5"/>
      <c r="F8194" s="5"/>
      <c r="G8194" s="9"/>
      <c r="H8194" s="9"/>
      <c r="I8194" s="9"/>
    </row>
    <row r="8195" ht="14.25">
      <c r="A8195" s="5"/>
      <c r="B8195" s="7"/>
      <c r="C8195" s="7"/>
      <c r="D8195" s="7"/>
      <c r="E8195" s="5"/>
      <c r="F8195" s="5"/>
      <c r="G8195" s="9"/>
      <c r="H8195" s="9"/>
      <c r="I8195" s="9"/>
    </row>
    <row r="8196" ht="14.25">
      <c r="A8196" s="5"/>
      <c r="B8196" s="7"/>
      <c r="C8196" s="7"/>
      <c r="D8196" s="7"/>
      <c r="E8196" s="5"/>
      <c r="F8196" s="5"/>
      <c r="G8196" s="9"/>
      <c r="H8196" s="9"/>
      <c r="I8196" s="9"/>
    </row>
    <row r="8197" ht="14.25">
      <c r="A8197" s="5"/>
      <c r="B8197" s="7"/>
      <c r="C8197" s="7"/>
      <c r="D8197" s="7"/>
      <c r="E8197" s="5"/>
      <c r="F8197" s="5"/>
      <c r="G8197" s="9"/>
      <c r="H8197" s="9"/>
      <c r="I8197" s="9"/>
    </row>
    <row r="8198" ht="14.25">
      <c r="A8198" s="5"/>
      <c r="B8198" s="7"/>
      <c r="C8198" s="7"/>
      <c r="D8198" s="7"/>
      <c r="E8198" s="5"/>
      <c r="F8198" s="5"/>
      <c r="G8198" s="9"/>
      <c r="H8198" s="9"/>
      <c r="I8198" s="9"/>
    </row>
    <row r="8199" ht="14.25">
      <c r="A8199" s="5"/>
      <c r="B8199" s="7"/>
      <c r="C8199" s="7"/>
      <c r="D8199" s="7"/>
      <c r="E8199" s="5"/>
      <c r="F8199" s="5"/>
      <c r="G8199" s="9"/>
      <c r="H8199" s="9"/>
      <c r="I8199" s="9"/>
    </row>
    <row r="8200" ht="14.25">
      <c r="A8200" s="5"/>
      <c r="B8200" s="7"/>
      <c r="C8200" s="7"/>
      <c r="D8200" s="7"/>
      <c r="E8200" s="5"/>
      <c r="F8200" s="5"/>
      <c r="G8200" s="9"/>
      <c r="H8200" s="9"/>
      <c r="I8200" s="9"/>
    </row>
    <row r="8201" ht="14.25">
      <c r="A8201" s="5"/>
      <c r="B8201" s="7"/>
      <c r="C8201" s="7"/>
      <c r="D8201" s="7"/>
      <c r="E8201" s="5"/>
      <c r="F8201" s="5"/>
      <c r="G8201" s="9"/>
      <c r="H8201" s="9"/>
      <c r="I8201" s="9"/>
    </row>
    <row r="8202" ht="14.25">
      <c r="A8202" s="5"/>
      <c r="B8202" s="7"/>
      <c r="C8202" s="7"/>
      <c r="D8202" s="7"/>
      <c r="E8202" s="5"/>
      <c r="F8202" s="5"/>
      <c r="G8202" s="9"/>
      <c r="H8202" s="9"/>
      <c r="I8202" s="9"/>
    </row>
    <row r="8203" ht="14.25">
      <c r="A8203" s="5"/>
      <c r="B8203" s="7"/>
      <c r="C8203" s="7"/>
      <c r="D8203" s="7"/>
      <c r="E8203" s="5"/>
      <c r="F8203" s="5"/>
      <c r="G8203" s="9"/>
      <c r="H8203" s="9"/>
      <c r="I8203" s="9"/>
    </row>
    <row r="8204" ht="14.25">
      <c r="A8204" s="5"/>
      <c r="B8204" s="7"/>
      <c r="C8204" s="7"/>
      <c r="D8204" s="7"/>
      <c r="E8204" s="5"/>
      <c r="F8204" s="5"/>
      <c r="G8204" s="9"/>
      <c r="H8204" s="9"/>
      <c r="I8204" s="9"/>
    </row>
    <row r="8205" ht="14.25">
      <c r="A8205" s="5"/>
      <c r="B8205" s="7"/>
      <c r="C8205" s="7"/>
      <c r="D8205" s="7"/>
      <c r="E8205" s="5"/>
      <c r="F8205" s="5"/>
      <c r="G8205" s="9"/>
      <c r="H8205" s="9"/>
      <c r="I8205" s="9"/>
    </row>
    <row r="8206" ht="14.25">
      <c r="A8206" s="5"/>
      <c r="B8206" s="7"/>
      <c r="C8206" s="7"/>
      <c r="D8206" s="7"/>
      <c r="E8206" s="5"/>
      <c r="F8206" s="5"/>
      <c r="G8206" s="9"/>
      <c r="H8206" s="9"/>
      <c r="I8206" s="9"/>
    </row>
    <row r="8207" ht="14.25">
      <c r="A8207" s="5"/>
      <c r="B8207" s="7"/>
      <c r="C8207" s="7"/>
      <c r="D8207" s="7"/>
      <c r="E8207" s="5"/>
      <c r="F8207" s="5"/>
      <c r="G8207" s="9"/>
      <c r="H8207" s="9"/>
      <c r="I8207" s="9"/>
    </row>
    <row r="8208" ht="14.25">
      <c r="A8208" s="5"/>
      <c r="B8208" s="7"/>
      <c r="C8208" s="7"/>
      <c r="D8208" s="7"/>
      <c r="E8208" s="5"/>
      <c r="F8208" s="5"/>
      <c r="G8208" s="9"/>
      <c r="H8208" s="9"/>
      <c r="I8208" s="9"/>
    </row>
    <row r="8209" ht="14.25">
      <c r="A8209" s="5"/>
      <c r="B8209" s="7"/>
      <c r="C8209" s="7"/>
      <c r="D8209" s="7"/>
      <c r="E8209" s="5"/>
      <c r="F8209" s="5"/>
      <c r="G8209" s="9"/>
      <c r="H8209" s="9"/>
      <c r="I8209" s="9"/>
    </row>
    <row r="8210" ht="14.25">
      <c r="A8210" s="5"/>
      <c r="B8210" s="7"/>
      <c r="C8210" s="7"/>
      <c r="D8210" s="7"/>
      <c r="E8210" s="5"/>
      <c r="F8210" s="5"/>
      <c r="G8210" s="9"/>
      <c r="H8210" s="9"/>
      <c r="I8210" s="9"/>
    </row>
    <row r="8211" ht="14.25">
      <c r="A8211" s="5"/>
      <c r="B8211" s="7"/>
      <c r="C8211" s="7"/>
      <c r="D8211" s="7"/>
      <c r="E8211" s="5"/>
      <c r="F8211" s="5"/>
      <c r="G8211" s="9"/>
      <c r="H8211" s="9"/>
      <c r="I8211" s="9"/>
    </row>
    <row r="8212" ht="14.25">
      <c r="A8212" s="5"/>
      <c r="B8212" s="7"/>
      <c r="C8212" s="7"/>
      <c r="D8212" s="7"/>
      <c r="E8212" s="5"/>
      <c r="F8212" s="5"/>
      <c r="G8212" s="9"/>
      <c r="H8212" s="9"/>
      <c r="I8212" s="9"/>
    </row>
    <row r="8213" ht="14.25">
      <c r="A8213" s="5"/>
      <c r="B8213" s="7"/>
      <c r="C8213" s="7"/>
      <c r="D8213" s="7"/>
      <c r="E8213" s="5"/>
      <c r="F8213" s="5"/>
      <c r="G8213" s="9"/>
      <c r="H8213" s="9"/>
      <c r="I8213" s="9"/>
    </row>
    <row r="8214" ht="14.25">
      <c r="A8214" s="5"/>
      <c r="B8214" s="7"/>
      <c r="C8214" s="7"/>
      <c r="D8214" s="7"/>
      <c r="E8214" s="5"/>
      <c r="F8214" s="5"/>
      <c r="G8214" s="9"/>
      <c r="H8214" s="9"/>
      <c r="I8214" s="9"/>
    </row>
    <row r="8215" ht="14.25">
      <c r="A8215" s="5"/>
      <c r="B8215" s="7"/>
      <c r="C8215" s="7"/>
      <c r="D8215" s="7"/>
      <c r="E8215" s="5"/>
      <c r="F8215" s="5"/>
      <c r="G8215" s="9"/>
      <c r="H8215" s="9"/>
      <c r="I8215" s="9"/>
    </row>
    <row r="8216" ht="14.25">
      <c r="A8216" s="5"/>
      <c r="B8216" s="7"/>
      <c r="C8216" s="7"/>
      <c r="D8216" s="7"/>
      <c r="E8216" s="5"/>
      <c r="F8216" s="5"/>
      <c r="G8216" s="9"/>
      <c r="H8216" s="9"/>
      <c r="I8216" s="9"/>
    </row>
    <row r="8217" ht="14.25">
      <c r="A8217" s="5"/>
      <c r="B8217" s="7"/>
      <c r="C8217" s="7"/>
      <c r="D8217" s="7"/>
      <c r="E8217" s="5"/>
      <c r="F8217" s="5"/>
      <c r="G8217" s="9"/>
      <c r="H8217" s="9"/>
      <c r="I8217" s="9"/>
    </row>
    <row r="8218" ht="14.25">
      <c r="A8218" s="5"/>
      <c r="B8218" s="7"/>
      <c r="C8218" s="7"/>
      <c r="D8218" s="7"/>
      <c r="E8218" s="5"/>
      <c r="F8218" s="5"/>
      <c r="G8218" s="9"/>
      <c r="H8218" s="9"/>
      <c r="I8218" s="9"/>
    </row>
    <row r="8219" ht="14.25">
      <c r="A8219" s="5"/>
      <c r="B8219" s="7"/>
      <c r="C8219" s="7"/>
      <c r="D8219" s="7"/>
      <c r="E8219" s="5"/>
      <c r="F8219" s="5"/>
      <c r="G8219" s="9"/>
      <c r="H8219" s="9"/>
      <c r="I8219" s="9"/>
    </row>
    <row r="8220" ht="14.25">
      <c r="A8220" s="5"/>
      <c r="B8220" s="7"/>
      <c r="C8220" s="7"/>
      <c r="D8220" s="7"/>
      <c r="E8220" s="5"/>
      <c r="F8220" s="5"/>
      <c r="G8220" s="9"/>
      <c r="H8220" s="9"/>
      <c r="I8220" s="9"/>
    </row>
    <row r="8221" ht="14.25">
      <c r="A8221" s="5"/>
      <c r="B8221" s="7"/>
      <c r="C8221" s="7"/>
      <c r="D8221" s="7"/>
      <c r="E8221" s="5"/>
      <c r="F8221" s="5"/>
      <c r="G8221" s="9"/>
      <c r="H8221" s="9"/>
      <c r="I8221" s="9"/>
    </row>
    <row r="8222" ht="14.25">
      <c r="A8222" s="5"/>
      <c r="B8222" s="7"/>
      <c r="C8222" s="7"/>
      <c r="D8222" s="7"/>
      <c r="E8222" s="5"/>
      <c r="F8222" s="5"/>
      <c r="G8222" s="9"/>
      <c r="H8222" s="9"/>
      <c r="I8222" s="9"/>
    </row>
    <row r="8223" ht="14.25">
      <c r="A8223" s="5"/>
      <c r="B8223" s="7"/>
      <c r="C8223" s="7"/>
      <c r="D8223" s="7"/>
      <c r="E8223" s="5"/>
      <c r="F8223" s="5"/>
      <c r="G8223" s="9"/>
      <c r="H8223" s="9"/>
      <c r="I8223" s="9"/>
    </row>
    <row r="8224" ht="14.25">
      <c r="A8224" s="5"/>
      <c r="B8224" s="7"/>
      <c r="C8224" s="7"/>
      <c r="D8224" s="7"/>
      <c r="E8224" s="5"/>
      <c r="F8224" s="5"/>
      <c r="G8224" s="9"/>
      <c r="H8224" s="9"/>
      <c r="I8224" s="9"/>
    </row>
    <row r="8225" ht="14.25">
      <c r="A8225" s="5"/>
      <c r="B8225" s="7"/>
      <c r="C8225" s="7"/>
      <c r="D8225" s="7"/>
      <c r="E8225" s="5"/>
      <c r="F8225" s="5"/>
      <c r="G8225" s="9"/>
      <c r="H8225" s="9"/>
      <c r="I8225" s="9"/>
    </row>
    <row r="8226" ht="14.25">
      <c r="A8226" s="5"/>
      <c r="B8226" s="7"/>
      <c r="C8226" s="7"/>
      <c r="D8226" s="7"/>
      <c r="E8226" s="5"/>
      <c r="F8226" s="5"/>
      <c r="G8226" s="9"/>
      <c r="H8226" s="9"/>
      <c r="I8226" s="9"/>
    </row>
    <row r="8227" ht="14.25">
      <c r="A8227" s="5"/>
      <c r="B8227" s="7"/>
      <c r="C8227" s="7"/>
      <c r="D8227" s="7"/>
      <c r="E8227" s="5"/>
      <c r="F8227" s="5"/>
      <c r="G8227" s="9"/>
      <c r="H8227" s="9"/>
      <c r="I8227" s="9"/>
    </row>
    <row r="8228" ht="14.25">
      <c r="A8228" s="5"/>
      <c r="B8228" s="7"/>
      <c r="C8228" s="7"/>
      <c r="D8228" s="7"/>
      <c r="E8228" s="5"/>
      <c r="F8228" s="5"/>
      <c r="G8228" s="9"/>
      <c r="H8228" s="9"/>
      <c r="I8228" s="9"/>
    </row>
    <row r="8229" ht="14.25">
      <c r="A8229" s="5"/>
      <c r="B8229" s="7"/>
      <c r="C8229" s="7"/>
      <c r="D8229" s="7"/>
      <c r="E8229" s="5"/>
      <c r="F8229" s="5"/>
      <c r="G8229" s="9"/>
      <c r="H8229" s="9"/>
      <c r="I8229" s="9"/>
    </row>
    <row r="8230" ht="14.25">
      <c r="A8230" s="5"/>
      <c r="B8230" s="7"/>
      <c r="C8230" s="7"/>
      <c r="D8230" s="7"/>
      <c r="E8230" s="5"/>
      <c r="F8230" s="5"/>
      <c r="G8230" s="9"/>
      <c r="H8230" s="9"/>
      <c r="I8230" s="9"/>
    </row>
    <row r="8231" ht="14.25">
      <c r="A8231" s="5"/>
      <c r="B8231" s="7"/>
      <c r="C8231" s="7"/>
      <c r="D8231" s="7"/>
      <c r="E8231" s="5"/>
      <c r="F8231" s="5"/>
      <c r="G8231" s="9"/>
      <c r="H8231" s="9"/>
      <c r="I8231" s="9"/>
    </row>
    <row r="8232" ht="14.25">
      <c r="A8232" s="5"/>
      <c r="B8232" s="7"/>
      <c r="C8232" s="7"/>
      <c r="D8232" s="7"/>
      <c r="E8232" s="5"/>
      <c r="F8232" s="5"/>
      <c r="G8232" s="9"/>
      <c r="H8232" s="9"/>
      <c r="I8232" s="9"/>
    </row>
    <row r="8233" ht="14.25">
      <c r="A8233" s="5"/>
      <c r="B8233" s="7"/>
      <c r="C8233" s="7"/>
      <c r="D8233" s="7"/>
      <c r="E8233" s="5"/>
      <c r="F8233" s="5"/>
      <c r="G8233" s="9"/>
      <c r="H8233" s="9"/>
      <c r="I8233" s="9"/>
    </row>
    <row r="8234" ht="14.25">
      <c r="A8234" s="5"/>
      <c r="B8234" s="7"/>
      <c r="C8234" s="7"/>
      <c r="D8234" s="7"/>
      <c r="E8234" s="5"/>
      <c r="F8234" s="5"/>
      <c r="G8234" s="9"/>
      <c r="H8234" s="9"/>
      <c r="I8234" s="9"/>
    </row>
    <row r="8235" ht="14.25">
      <c r="A8235" s="5"/>
      <c r="B8235" s="7"/>
      <c r="C8235" s="7"/>
      <c r="D8235" s="7"/>
      <c r="E8235" s="5"/>
      <c r="F8235" s="5"/>
      <c r="G8235" s="9"/>
      <c r="H8235" s="9"/>
      <c r="I8235" s="9"/>
    </row>
    <row r="8236" ht="14.25">
      <c r="A8236" s="5"/>
      <c r="B8236" s="7"/>
      <c r="C8236" s="7"/>
      <c r="D8236" s="7"/>
      <c r="E8236" s="5"/>
      <c r="F8236" s="5"/>
      <c r="G8236" s="9"/>
      <c r="H8236" s="9"/>
      <c r="I8236" s="9"/>
    </row>
    <row r="8237" ht="14.25">
      <c r="A8237" s="5"/>
      <c r="B8237" s="7"/>
      <c r="C8237" s="7"/>
      <c r="D8237" s="7"/>
      <c r="E8237" s="5"/>
      <c r="F8237" s="5"/>
      <c r="G8237" s="9"/>
      <c r="H8237" s="9"/>
      <c r="I8237" s="9"/>
    </row>
    <row r="8238" ht="14.25">
      <c r="A8238" s="5"/>
      <c r="B8238" s="7"/>
      <c r="C8238" s="7"/>
      <c r="D8238" s="7"/>
      <c r="E8238" s="5"/>
      <c r="F8238" s="5"/>
      <c r="G8238" s="9"/>
      <c r="H8238" s="9"/>
      <c r="I8238" s="9"/>
    </row>
    <row r="8239" ht="14.25">
      <c r="A8239" s="5"/>
      <c r="B8239" s="7"/>
      <c r="C8239" s="7"/>
      <c r="D8239" s="7"/>
      <c r="E8239" s="5"/>
      <c r="F8239" s="5"/>
      <c r="G8239" s="9"/>
      <c r="H8239" s="9"/>
      <c r="I8239" s="9"/>
    </row>
    <row r="8240" ht="14.25">
      <c r="A8240" s="5"/>
      <c r="B8240" s="7"/>
      <c r="C8240" s="7"/>
      <c r="D8240" s="7"/>
      <c r="E8240" s="5"/>
      <c r="F8240" s="5"/>
      <c r="G8240" s="9"/>
      <c r="H8240" s="9"/>
      <c r="I8240" s="9"/>
    </row>
    <row r="8241" ht="14.25">
      <c r="A8241" s="5"/>
      <c r="B8241" s="7"/>
      <c r="C8241" s="7"/>
      <c r="D8241" s="7"/>
      <c r="E8241" s="5"/>
      <c r="F8241" s="5"/>
      <c r="G8241" s="9"/>
      <c r="H8241" s="9"/>
      <c r="I8241" s="9"/>
    </row>
    <row r="8242" ht="14.25">
      <c r="A8242" s="5"/>
      <c r="B8242" s="7"/>
      <c r="C8242" s="7"/>
      <c r="D8242" s="7"/>
      <c r="E8242" s="5"/>
      <c r="F8242" s="5"/>
      <c r="G8242" s="9"/>
      <c r="H8242" s="9"/>
      <c r="I8242" s="9"/>
    </row>
    <row r="8243" ht="14.25">
      <c r="A8243" s="5"/>
      <c r="B8243" s="7"/>
      <c r="C8243" s="7"/>
      <c r="D8243" s="7"/>
      <c r="E8243" s="5"/>
      <c r="F8243" s="5"/>
      <c r="G8243" s="9"/>
      <c r="H8243" s="9"/>
      <c r="I8243" s="9"/>
    </row>
    <row r="8244" ht="14.25">
      <c r="A8244" s="5"/>
      <c r="B8244" s="7"/>
      <c r="C8244" s="7"/>
      <c r="D8244" s="7"/>
      <c r="E8244" s="5"/>
      <c r="F8244" s="5"/>
      <c r="G8244" s="9"/>
      <c r="H8244" s="9"/>
      <c r="I8244" s="9"/>
    </row>
    <row r="8245" ht="14.25">
      <c r="A8245" s="5"/>
      <c r="B8245" s="7"/>
      <c r="C8245" s="7"/>
      <c r="D8245" s="7"/>
      <c r="E8245" s="5"/>
      <c r="F8245" s="5"/>
      <c r="G8245" s="9"/>
      <c r="H8245" s="9"/>
      <c r="I8245" s="9"/>
    </row>
    <row r="8246" ht="14.25">
      <c r="A8246" s="5"/>
      <c r="B8246" s="7"/>
      <c r="C8246" s="7"/>
      <c r="D8246" s="7"/>
      <c r="E8246" s="5"/>
      <c r="F8246" s="5"/>
      <c r="G8246" s="9"/>
      <c r="H8246" s="9"/>
      <c r="I8246" s="9"/>
    </row>
    <row r="8247" ht="14.25">
      <c r="A8247" s="5"/>
      <c r="B8247" s="7"/>
      <c r="C8247" s="7"/>
      <c r="D8247" s="7"/>
      <c r="E8247" s="5"/>
      <c r="F8247" s="5"/>
      <c r="G8247" s="9"/>
      <c r="H8247" s="9"/>
      <c r="I8247" s="9"/>
    </row>
    <row r="8248" ht="14.25">
      <c r="A8248" s="5"/>
      <c r="B8248" s="7"/>
      <c r="C8248" s="7"/>
      <c r="D8248" s="7"/>
      <c r="E8248" s="5"/>
      <c r="F8248" s="5"/>
      <c r="G8248" s="9"/>
      <c r="H8248" s="9"/>
      <c r="I8248" s="9"/>
    </row>
    <row r="8249" ht="14.25">
      <c r="A8249" s="5"/>
      <c r="B8249" s="7"/>
      <c r="C8249" s="7"/>
      <c r="D8249" s="7"/>
      <c r="E8249" s="5"/>
      <c r="F8249" s="5"/>
      <c r="G8249" s="9"/>
      <c r="H8249" s="9"/>
      <c r="I8249" s="9"/>
    </row>
    <row r="8250" ht="14.25">
      <c r="A8250" s="5"/>
      <c r="B8250" s="7"/>
      <c r="C8250" s="7"/>
      <c r="D8250" s="7"/>
      <c r="E8250" s="5"/>
      <c r="F8250" s="5"/>
      <c r="G8250" s="9"/>
      <c r="H8250" s="9"/>
      <c r="I8250" s="9"/>
    </row>
    <row r="8251" ht="14.25">
      <c r="A8251" s="5"/>
      <c r="B8251" s="7"/>
      <c r="C8251" s="7"/>
      <c r="D8251" s="7"/>
      <c r="E8251" s="5"/>
      <c r="F8251" s="5"/>
      <c r="G8251" s="9"/>
      <c r="H8251" s="9"/>
      <c r="I8251" s="9"/>
    </row>
    <row r="8252" ht="14.25">
      <c r="A8252" s="5"/>
      <c r="B8252" s="7"/>
      <c r="C8252" s="7"/>
      <c r="D8252" s="7"/>
      <c r="E8252" s="5"/>
      <c r="F8252" s="5"/>
      <c r="G8252" s="9"/>
      <c r="H8252" s="9"/>
      <c r="I8252" s="9"/>
    </row>
    <row r="8253" ht="14.25">
      <c r="A8253" s="5"/>
      <c r="B8253" s="7"/>
      <c r="C8253" s="7"/>
      <c r="D8253" s="7"/>
      <c r="E8253" s="5"/>
      <c r="F8253" s="5"/>
      <c r="G8253" s="9"/>
      <c r="H8253" s="9"/>
      <c r="I8253" s="9"/>
    </row>
    <row r="8254" ht="14.25">
      <c r="A8254" s="5"/>
      <c r="B8254" s="7"/>
      <c r="C8254" s="7"/>
      <c r="D8254" s="7"/>
      <c r="E8254" s="5"/>
      <c r="F8254" s="5"/>
      <c r="G8254" s="9"/>
      <c r="H8254" s="9"/>
      <c r="I8254" s="9"/>
    </row>
    <row r="8255" ht="14.25">
      <c r="A8255" s="5"/>
      <c r="B8255" s="7"/>
      <c r="C8255" s="7"/>
      <c r="D8255" s="7"/>
      <c r="E8255" s="5"/>
      <c r="F8255" s="5"/>
      <c r="G8255" s="9"/>
      <c r="H8255" s="9"/>
      <c r="I8255" s="9"/>
    </row>
    <row r="8256" ht="14.25">
      <c r="A8256" s="5"/>
      <c r="B8256" s="7"/>
      <c r="C8256" s="7"/>
      <c r="D8256" s="7"/>
      <c r="E8256" s="5"/>
      <c r="F8256" s="5"/>
      <c r="G8256" s="9"/>
      <c r="H8256" s="9"/>
      <c r="I8256" s="9"/>
    </row>
    <row r="8257" ht="14.25">
      <c r="A8257" s="5"/>
      <c r="B8257" s="7"/>
      <c r="C8257" s="7"/>
      <c r="D8257" s="7"/>
      <c r="E8257" s="5"/>
      <c r="F8257" s="5"/>
      <c r="G8257" s="9"/>
      <c r="H8257" s="9"/>
      <c r="I8257" s="9"/>
    </row>
    <row r="8258" ht="14.25">
      <c r="A8258" s="5"/>
      <c r="B8258" s="7"/>
      <c r="C8258" s="7"/>
      <c r="D8258" s="7"/>
      <c r="E8258" s="5"/>
      <c r="F8258" s="5"/>
      <c r="G8258" s="9"/>
      <c r="H8258" s="9"/>
      <c r="I8258" s="9"/>
    </row>
    <row r="8259" ht="14.25">
      <c r="A8259" s="5"/>
      <c r="B8259" s="7"/>
      <c r="C8259" s="7"/>
      <c r="D8259" s="7"/>
      <c r="E8259" s="5"/>
      <c r="F8259" s="5"/>
      <c r="G8259" s="9"/>
      <c r="H8259" s="9"/>
      <c r="I8259" s="9"/>
    </row>
    <row r="8260" ht="14.25">
      <c r="A8260" s="5"/>
      <c r="B8260" s="7"/>
      <c r="C8260" s="7"/>
      <c r="D8260" s="7"/>
      <c r="E8260" s="5"/>
      <c r="F8260" s="5"/>
      <c r="G8260" s="9"/>
      <c r="H8260" s="9"/>
      <c r="I8260" s="9"/>
    </row>
    <row r="8261" ht="14.25">
      <c r="A8261" s="5"/>
      <c r="B8261" s="7"/>
      <c r="C8261" s="7"/>
      <c r="D8261" s="7"/>
      <c r="E8261" s="5"/>
      <c r="F8261" s="5"/>
      <c r="G8261" s="9"/>
      <c r="H8261" s="9"/>
      <c r="I8261" s="9"/>
    </row>
    <row r="8262" ht="14.25">
      <c r="A8262" s="5"/>
      <c r="B8262" s="7"/>
      <c r="C8262" s="7"/>
      <c r="D8262" s="7"/>
      <c r="E8262" s="5"/>
      <c r="F8262" s="5"/>
      <c r="G8262" s="9"/>
      <c r="H8262" s="9"/>
      <c r="I8262" s="9"/>
    </row>
    <row r="8263" ht="14.25">
      <c r="A8263" s="5"/>
      <c r="B8263" s="7"/>
      <c r="C8263" s="7"/>
      <c r="D8263" s="7"/>
      <c r="E8263" s="5"/>
      <c r="F8263" s="5"/>
      <c r="G8263" s="9"/>
      <c r="H8263" s="9"/>
      <c r="I8263" s="9"/>
    </row>
    <row r="8264" ht="14.25">
      <c r="A8264" s="5"/>
      <c r="B8264" s="7"/>
      <c r="C8264" s="7"/>
      <c r="D8264" s="7"/>
      <c r="E8264" s="5"/>
      <c r="F8264" s="5"/>
      <c r="G8264" s="9"/>
      <c r="H8264" s="9"/>
      <c r="I8264" s="9"/>
    </row>
    <row r="8265" ht="14.25">
      <c r="A8265" s="5"/>
      <c r="B8265" s="7"/>
      <c r="C8265" s="7"/>
      <c r="D8265" s="7"/>
      <c r="E8265" s="5"/>
      <c r="F8265" s="5"/>
      <c r="G8265" s="9"/>
      <c r="H8265" s="9"/>
      <c r="I8265" s="9"/>
    </row>
    <row r="8266" ht="14.25">
      <c r="A8266" s="5"/>
      <c r="B8266" s="7"/>
      <c r="C8266" s="7"/>
      <c r="D8266" s="7"/>
      <c r="E8266" s="5"/>
      <c r="F8266" s="5"/>
      <c r="G8266" s="9"/>
      <c r="H8266" s="9"/>
      <c r="I8266" s="9"/>
    </row>
    <row r="8267" ht="14.25">
      <c r="A8267" s="5"/>
      <c r="B8267" s="7"/>
      <c r="C8267" s="7"/>
      <c r="D8267" s="7"/>
      <c r="E8267" s="5"/>
      <c r="F8267" s="5"/>
      <c r="G8267" s="9"/>
      <c r="H8267" s="9"/>
      <c r="I8267" s="9"/>
    </row>
    <row r="8268" ht="14.25">
      <c r="A8268" s="5"/>
      <c r="B8268" s="7"/>
      <c r="C8268" s="7"/>
      <c r="D8268" s="7"/>
      <c r="E8268" s="5"/>
      <c r="F8268" s="5"/>
      <c r="G8268" s="9"/>
      <c r="H8268" s="9"/>
      <c r="I8268" s="9"/>
    </row>
    <row r="8269" ht="14.25">
      <c r="A8269" s="5"/>
      <c r="B8269" s="7"/>
      <c r="C8269" s="7"/>
      <c r="D8269" s="7"/>
      <c r="E8269" s="5"/>
      <c r="F8269" s="5"/>
      <c r="G8269" s="9"/>
      <c r="H8269" s="9"/>
      <c r="I8269" s="9"/>
    </row>
    <row r="8270" ht="14.25">
      <c r="A8270" s="5"/>
      <c r="B8270" s="7"/>
      <c r="C8270" s="7"/>
      <c r="D8270" s="7"/>
      <c r="E8270" s="5"/>
      <c r="F8270" s="5"/>
      <c r="G8270" s="9"/>
      <c r="H8270" s="9"/>
      <c r="I8270" s="9"/>
    </row>
    <row r="8271" ht="14.25">
      <c r="A8271" s="5"/>
      <c r="B8271" s="7"/>
      <c r="C8271" s="7"/>
      <c r="D8271" s="7"/>
      <c r="E8271" s="5"/>
      <c r="F8271" s="5"/>
      <c r="G8271" s="9"/>
      <c r="H8271" s="9"/>
      <c r="I8271" s="9"/>
    </row>
    <row r="8272" ht="14.25">
      <c r="A8272" s="5"/>
      <c r="B8272" s="7"/>
      <c r="C8272" s="7"/>
      <c r="D8272" s="7"/>
      <c r="E8272" s="5"/>
      <c r="F8272" s="5"/>
      <c r="G8272" s="9"/>
      <c r="H8272" s="9"/>
      <c r="I8272" s="9"/>
    </row>
    <row r="8273" ht="14.25">
      <c r="A8273" s="5"/>
      <c r="B8273" s="7"/>
      <c r="C8273" s="7"/>
      <c r="D8273" s="7"/>
      <c r="E8273" s="5"/>
      <c r="F8273" s="5"/>
      <c r="G8273" s="9"/>
      <c r="H8273" s="9"/>
      <c r="I8273" s="9"/>
    </row>
    <row r="8274" ht="14.25">
      <c r="A8274" s="5"/>
      <c r="B8274" s="7"/>
      <c r="C8274" s="7"/>
      <c r="D8274" s="7"/>
      <c r="E8274" s="5"/>
      <c r="F8274" s="5"/>
      <c r="G8274" s="9"/>
      <c r="H8274" s="9"/>
      <c r="I8274" s="9"/>
    </row>
    <row r="8275" ht="14.25">
      <c r="A8275" s="5"/>
      <c r="B8275" s="7"/>
      <c r="C8275" s="7"/>
      <c r="D8275" s="7"/>
      <c r="E8275" s="5"/>
      <c r="F8275" s="5"/>
      <c r="G8275" s="9"/>
      <c r="H8275" s="9"/>
      <c r="I8275" s="9"/>
    </row>
    <row r="8276" ht="14.25">
      <c r="A8276" s="5"/>
      <c r="B8276" s="7"/>
      <c r="C8276" s="7"/>
      <c r="D8276" s="7"/>
      <c r="E8276" s="5"/>
      <c r="F8276" s="5"/>
      <c r="G8276" s="9"/>
      <c r="H8276" s="9"/>
      <c r="I8276" s="9"/>
    </row>
    <row r="8277" ht="14.25">
      <c r="A8277" s="5"/>
      <c r="B8277" s="7"/>
      <c r="C8277" s="7"/>
      <c r="D8277" s="7"/>
      <c r="E8277" s="5"/>
      <c r="F8277" s="5"/>
      <c r="G8277" s="9"/>
      <c r="H8277" s="9"/>
      <c r="I8277" s="9"/>
    </row>
    <row r="8278" ht="14.25">
      <c r="A8278" s="5"/>
      <c r="B8278" s="7"/>
      <c r="C8278" s="7"/>
      <c r="D8278" s="7"/>
      <c r="E8278" s="5"/>
      <c r="F8278" s="5"/>
      <c r="G8278" s="9"/>
      <c r="H8278" s="9"/>
      <c r="I8278" s="9"/>
    </row>
    <row r="8279" ht="14.25">
      <c r="A8279" s="5"/>
      <c r="B8279" s="7"/>
      <c r="C8279" s="7"/>
      <c r="D8279" s="7"/>
      <c r="E8279" s="5"/>
      <c r="F8279" s="5"/>
      <c r="G8279" s="9"/>
      <c r="H8279" s="9"/>
      <c r="I8279" s="9"/>
    </row>
    <row r="8280" ht="14.25">
      <c r="A8280" s="5"/>
      <c r="B8280" s="7"/>
      <c r="C8280" s="7"/>
      <c r="D8280" s="7"/>
      <c r="E8280" s="5"/>
      <c r="F8280" s="5"/>
      <c r="G8280" s="9"/>
      <c r="H8280" s="9"/>
      <c r="I8280" s="9"/>
    </row>
    <row r="8281" ht="14.25">
      <c r="A8281" s="5"/>
      <c r="B8281" s="7"/>
      <c r="C8281" s="7"/>
      <c r="D8281" s="7"/>
      <c r="E8281" s="5"/>
      <c r="F8281" s="5"/>
      <c r="G8281" s="9"/>
      <c r="H8281" s="9"/>
      <c r="I8281" s="9"/>
    </row>
    <row r="8282" ht="14.25">
      <c r="A8282" s="5"/>
      <c r="B8282" s="7"/>
      <c r="C8282" s="7"/>
      <c r="D8282" s="7"/>
      <c r="E8282" s="5"/>
      <c r="F8282" s="5"/>
      <c r="G8282" s="9"/>
      <c r="H8282" s="9"/>
      <c r="I8282" s="9"/>
    </row>
    <row r="8283" ht="14.25">
      <c r="A8283" s="5"/>
      <c r="B8283" s="7"/>
      <c r="C8283" s="7"/>
      <c r="D8283" s="7"/>
      <c r="E8283" s="5"/>
      <c r="F8283" s="5"/>
      <c r="G8283" s="9"/>
      <c r="H8283" s="9"/>
      <c r="I8283" s="9"/>
    </row>
    <row r="8284" ht="14.25">
      <c r="A8284" s="5"/>
      <c r="B8284" s="7"/>
      <c r="C8284" s="7"/>
      <c r="D8284" s="7"/>
      <c r="E8284" s="5"/>
      <c r="F8284" s="5"/>
      <c r="G8284" s="9"/>
      <c r="H8284" s="9"/>
      <c r="I8284" s="9"/>
    </row>
    <row r="8285" ht="14.25">
      <c r="A8285" s="5"/>
      <c r="B8285" s="7"/>
      <c r="C8285" s="7"/>
      <c r="D8285" s="7"/>
      <c r="E8285" s="5"/>
      <c r="F8285" s="5"/>
      <c r="G8285" s="9"/>
      <c r="H8285" s="9"/>
      <c r="I8285" s="9"/>
    </row>
    <row r="8286" ht="14.25">
      <c r="A8286" s="5"/>
      <c r="B8286" s="7"/>
      <c r="C8286" s="7"/>
      <c r="D8286" s="7"/>
      <c r="E8286" s="5"/>
      <c r="F8286" s="5"/>
      <c r="G8286" s="9"/>
      <c r="H8286" s="9"/>
      <c r="I8286" s="9"/>
    </row>
    <row r="8287" ht="14.25">
      <c r="A8287" s="5"/>
      <c r="B8287" s="7"/>
      <c r="C8287" s="7"/>
      <c r="D8287" s="7"/>
      <c r="E8287" s="5"/>
      <c r="F8287" s="5"/>
      <c r="G8287" s="9"/>
      <c r="H8287" s="9"/>
      <c r="I8287" s="9"/>
    </row>
    <row r="8288" ht="14.25">
      <c r="A8288" s="5"/>
      <c r="B8288" s="7"/>
      <c r="C8288" s="7"/>
      <c r="D8288" s="7"/>
      <c r="E8288" s="5"/>
      <c r="F8288" s="5"/>
      <c r="G8288" s="9"/>
      <c r="H8288" s="9"/>
      <c r="I8288" s="9"/>
    </row>
    <row r="8289" ht="14.25">
      <c r="A8289" s="5"/>
      <c r="B8289" s="7"/>
      <c r="C8289" s="7"/>
      <c r="D8289" s="7"/>
      <c r="E8289" s="5"/>
      <c r="F8289" s="5"/>
      <c r="G8289" s="9"/>
      <c r="H8289" s="9"/>
      <c r="I8289" s="9"/>
    </row>
    <row r="8290" ht="14.25">
      <c r="A8290" s="5"/>
      <c r="B8290" s="7"/>
      <c r="C8290" s="7"/>
      <c r="D8290" s="7"/>
      <c r="E8290" s="5"/>
      <c r="F8290" s="5"/>
      <c r="G8290" s="9"/>
      <c r="H8290" s="9"/>
      <c r="I8290" s="9"/>
    </row>
    <row r="8291" ht="14.25">
      <c r="A8291" s="5"/>
      <c r="B8291" s="7"/>
      <c r="C8291" s="7"/>
      <c r="D8291" s="7"/>
      <c r="E8291" s="5"/>
      <c r="F8291" s="5"/>
      <c r="G8291" s="9"/>
      <c r="H8291" s="9"/>
      <c r="I8291" s="9"/>
    </row>
    <row r="8292" ht="14.25">
      <c r="A8292" s="5"/>
      <c r="B8292" s="7"/>
      <c r="C8292" s="7"/>
      <c r="D8292" s="7"/>
      <c r="E8292" s="5"/>
      <c r="F8292" s="5"/>
      <c r="G8292" s="9"/>
      <c r="H8292" s="9"/>
      <c r="I8292" s="9"/>
    </row>
    <row r="8293" ht="14.25">
      <c r="A8293" s="5"/>
      <c r="B8293" s="7"/>
      <c r="C8293" s="7"/>
      <c r="D8293" s="7"/>
      <c r="E8293" s="5"/>
      <c r="F8293" s="5"/>
      <c r="G8293" s="9"/>
      <c r="H8293" s="9"/>
      <c r="I8293" s="9"/>
    </row>
    <row r="8294" ht="14.25">
      <c r="A8294" s="5"/>
      <c r="B8294" s="7"/>
      <c r="C8294" s="7"/>
      <c r="D8294" s="7"/>
      <c r="E8294" s="5"/>
      <c r="F8294" s="5"/>
      <c r="G8294" s="9"/>
      <c r="H8294" s="9"/>
      <c r="I8294" s="9"/>
    </row>
    <row r="8295" ht="14.25">
      <c r="A8295" s="5"/>
      <c r="B8295" s="7"/>
      <c r="C8295" s="7"/>
      <c r="D8295" s="7"/>
      <c r="E8295" s="5"/>
      <c r="F8295" s="5"/>
      <c r="G8295" s="9"/>
      <c r="H8295" s="9"/>
      <c r="I8295" s="9"/>
    </row>
    <row r="8296" ht="14.25">
      <c r="A8296" s="5"/>
      <c r="B8296" s="7"/>
      <c r="C8296" s="7"/>
      <c r="D8296" s="7"/>
      <c r="E8296" s="5"/>
      <c r="F8296" s="5"/>
      <c r="G8296" s="9"/>
      <c r="H8296" s="9"/>
      <c r="I8296" s="9"/>
    </row>
    <row r="8297" ht="14.25">
      <c r="A8297" s="5"/>
      <c r="B8297" s="7"/>
      <c r="C8297" s="7"/>
      <c r="D8297" s="7"/>
      <c r="E8297" s="5"/>
      <c r="F8297" s="5"/>
      <c r="G8297" s="9"/>
      <c r="H8297" s="9"/>
      <c r="I8297" s="9"/>
    </row>
    <row r="8298" ht="14.25">
      <c r="A8298" s="5"/>
      <c r="B8298" s="7"/>
      <c r="C8298" s="7"/>
      <c r="D8298" s="7"/>
      <c r="E8298" s="5"/>
      <c r="F8298" s="5"/>
      <c r="G8298" s="9"/>
      <c r="H8298" s="9"/>
      <c r="I8298" s="9"/>
    </row>
    <row r="8299" ht="14.25">
      <c r="A8299" s="5"/>
      <c r="B8299" s="7"/>
      <c r="C8299" s="7"/>
      <c r="D8299" s="7"/>
      <c r="E8299" s="5"/>
      <c r="F8299" s="5"/>
      <c r="G8299" s="9"/>
      <c r="H8299" s="9"/>
      <c r="I8299" s="9"/>
    </row>
    <row r="8300" ht="14.25">
      <c r="A8300" s="5"/>
      <c r="B8300" s="7"/>
      <c r="C8300" s="7"/>
      <c r="D8300" s="7"/>
      <c r="E8300" s="5"/>
      <c r="F8300" s="5"/>
      <c r="G8300" s="9"/>
      <c r="H8300" s="9"/>
      <c r="I8300" s="9"/>
    </row>
    <row r="8301" ht="14.25">
      <c r="A8301" s="5"/>
      <c r="B8301" s="7"/>
      <c r="C8301" s="7"/>
      <c r="D8301" s="7"/>
      <c r="E8301" s="5"/>
      <c r="F8301" s="5"/>
      <c r="G8301" s="9"/>
      <c r="H8301" s="9"/>
      <c r="I8301" s="9"/>
    </row>
    <row r="8302" ht="14.25">
      <c r="A8302" s="5"/>
      <c r="B8302" s="7"/>
      <c r="C8302" s="7"/>
      <c r="D8302" s="7"/>
      <c r="E8302" s="5"/>
      <c r="F8302" s="5"/>
      <c r="G8302" s="9"/>
      <c r="H8302" s="9"/>
      <c r="I8302" s="9"/>
    </row>
    <row r="8303" ht="14.25">
      <c r="A8303" s="5"/>
      <c r="B8303" s="7"/>
      <c r="C8303" s="7"/>
      <c r="D8303" s="7"/>
      <c r="E8303" s="5"/>
      <c r="F8303" s="5"/>
      <c r="G8303" s="9"/>
      <c r="H8303" s="9"/>
      <c r="I8303" s="9"/>
    </row>
    <row r="8304" ht="14.25">
      <c r="A8304" s="5"/>
      <c r="B8304" s="7"/>
      <c r="C8304" s="7"/>
      <c r="D8304" s="7"/>
      <c r="E8304" s="5"/>
      <c r="F8304" s="5"/>
      <c r="G8304" s="9"/>
      <c r="H8304" s="9"/>
      <c r="I8304" s="9"/>
    </row>
    <row r="8305" ht="14.25">
      <c r="A8305" s="5"/>
      <c r="B8305" s="7"/>
      <c r="C8305" s="7"/>
      <c r="D8305" s="7"/>
      <c r="E8305" s="5"/>
      <c r="F8305" s="5"/>
      <c r="G8305" s="9"/>
      <c r="H8305" s="9"/>
      <c r="I8305" s="9"/>
    </row>
    <row r="8306" ht="14.25">
      <c r="A8306" s="5"/>
      <c r="B8306" s="7"/>
      <c r="C8306" s="7"/>
      <c r="D8306" s="7"/>
      <c r="E8306" s="5"/>
      <c r="F8306" s="5"/>
      <c r="G8306" s="9"/>
      <c r="H8306" s="9"/>
      <c r="I8306" s="9"/>
    </row>
    <row r="8307" ht="14.25">
      <c r="A8307" s="5"/>
      <c r="B8307" s="7"/>
      <c r="C8307" s="7"/>
      <c r="D8307" s="7"/>
      <c r="E8307" s="5"/>
      <c r="F8307" s="5"/>
      <c r="G8307" s="9"/>
      <c r="H8307" s="9"/>
      <c r="I8307" s="9"/>
    </row>
    <row r="8308" ht="14.25">
      <c r="A8308" s="5"/>
      <c r="B8308" s="7"/>
      <c r="C8308" s="7"/>
      <c r="D8308" s="7"/>
      <c r="E8308" s="5"/>
      <c r="F8308" s="5"/>
      <c r="G8308" s="9"/>
      <c r="H8308" s="9"/>
      <c r="I8308" s="9"/>
    </row>
    <row r="8309" ht="14.25">
      <c r="A8309" s="5"/>
      <c r="B8309" s="7"/>
      <c r="C8309" s="7"/>
      <c r="D8309" s="7"/>
      <c r="E8309" s="5"/>
      <c r="F8309" s="5"/>
      <c r="G8309" s="9"/>
      <c r="H8309" s="9"/>
      <c r="I8309" s="9"/>
    </row>
    <row r="8310" ht="14.25">
      <c r="A8310" s="5"/>
      <c r="B8310" s="7"/>
      <c r="C8310" s="7"/>
      <c r="D8310" s="7"/>
      <c r="E8310" s="5"/>
      <c r="F8310" s="5"/>
      <c r="G8310" s="9"/>
      <c r="H8310" s="9"/>
      <c r="I8310" s="9"/>
    </row>
    <row r="8311" ht="14.25">
      <c r="A8311" s="5"/>
      <c r="B8311" s="7"/>
      <c r="C8311" s="7"/>
      <c r="D8311" s="7"/>
      <c r="E8311" s="5"/>
      <c r="F8311" s="5"/>
      <c r="G8311" s="9"/>
      <c r="H8311" s="9"/>
      <c r="I8311" s="9"/>
    </row>
    <row r="8312" ht="14.25">
      <c r="A8312" s="5"/>
      <c r="B8312" s="7"/>
      <c r="C8312" s="7"/>
      <c r="D8312" s="7"/>
      <c r="E8312" s="5"/>
      <c r="F8312" s="5"/>
      <c r="G8312" s="9"/>
      <c r="H8312" s="9"/>
      <c r="I8312" s="9"/>
    </row>
    <row r="8313" ht="14.25">
      <c r="A8313" s="5"/>
      <c r="B8313" s="7"/>
      <c r="C8313" s="7"/>
      <c r="D8313" s="7"/>
      <c r="E8313" s="5"/>
      <c r="F8313" s="5"/>
      <c r="G8313" s="9"/>
      <c r="H8313" s="9"/>
      <c r="I8313" s="9"/>
    </row>
    <row r="8314" ht="14.25">
      <c r="A8314" s="5"/>
      <c r="B8314" s="7"/>
      <c r="C8314" s="7"/>
      <c r="D8314" s="7"/>
      <c r="E8314" s="5"/>
      <c r="F8314" s="5"/>
      <c r="G8314" s="9"/>
      <c r="H8314" s="9"/>
      <c r="I8314" s="9"/>
    </row>
    <row r="8315" ht="14.25">
      <c r="A8315" s="5"/>
      <c r="B8315" s="7"/>
      <c r="C8315" s="7"/>
      <c r="D8315" s="7"/>
      <c r="E8315" s="5"/>
      <c r="F8315" s="5"/>
      <c r="G8315" s="9"/>
      <c r="H8315" s="9"/>
      <c r="I8315" s="9"/>
    </row>
    <row r="8316" ht="14.25">
      <c r="A8316" s="5"/>
      <c r="B8316" s="7"/>
      <c r="C8316" s="7"/>
      <c r="D8316" s="7"/>
      <c r="E8316" s="5"/>
      <c r="F8316" s="5"/>
      <c r="G8316" s="9"/>
      <c r="H8316" s="9"/>
      <c r="I8316" s="9"/>
    </row>
    <row r="8317" ht="14.25">
      <c r="A8317" s="5"/>
      <c r="B8317" s="7"/>
      <c r="C8317" s="7"/>
      <c r="D8317" s="7"/>
      <c r="E8317" s="5"/>
      <c r="F8317" s="5"/>
      <c r="G8317" s="9"/>
      <c r="H8317" s="9"/>
      <c r="I8317" s="9"/>
    </row>
    <row r="8318" ht="14.25">
      <c r="A8318" s="5"/>
      <c r="B8318" s="7"/>
      <c r="C8318" s="7"/>
      <c r="D8318" s="7"/>
      <c r="E8318" s="5"/>
      <c r="F8318" s="5"/>
      <c r="G8318" s="9"/>
      <c r="H8318" s="9"/>
      <c r="I8318" s="9"/>
    </row>
    <row r="8319" ht="14.25">
      <c r="A8319" s="5"/>
      <c r="B8319" s="7"/>
      <c r="C8319" s="7"/>
      <c r="D8319" s="7"/>
      <c r="E8319" s="5"/>
      <c r="F8319" s="5"/>
      <c r="G8319" s="9"/>
      <c r="H8319" s="9"/>
      <c r="I8319" s="9"/>
    </row>
    <row r="8320" ht="14.25">
      <c r="A8320" s="5"/>
      <c r="B8320" s="7"/>
      <c r="C8320" s="7"/>
      <c r="D8320" s="7"/>
      <c r="E8320" s="5"/>
      <c r="F8320" s="5"/>
      <c r="G8320" s="9"/>
      <c r="H8320" s="9"/>
      <c r="I8320" s="9"/>
    </row>
    <row r="8321" ht="14.25">
      <c r="A8321" s="5"/>
      <c r="B8321" s="7"/>
      <c r="C8321" s="7"/>
      <c r="D8321" s="7"/>
      <c r="E8321" s="5"/>
      <c r="F8321" s="5"/>
      <c r="G8321" s="9"/>
      <c r="H8321" s="9"/>
      <c r="I8321" s="9"/>
    </row>
    <row r="8322" ht="14.25">
      <c r="A8322" s="5"/>
      <c r="B8322" s="7"/>
      <c r="C8322" s="7"/>
      <c r="D8322" s="7"/>
      <c r="E8322" s="5"/>
      <c r="F8322" s="5"/>
      <c r="G8322" s="9"/>
      <c r="H8322" s="9"/>
      <c r="I8322" s="9"/>
    </row>
    <row r="8323" ht="14.25">
      <c r="A8323" s="5"/>
      <c r="B8323" s="7"/>
      <c r="C8323" s="7"/>
      <c r="D8323" s="7"/>
      <c r="E8323" s="5"/>
      <c r="F8323" s="5"/>
      <c r="G8323" s="9"/>
      <c r="H8323" s="9"/>
      <c r="I8323" s="9"/>
    </row>
    <row r="8324" ht="14.25">
      <c r="A8324" s="5"/>
      <c r="B8324" s="7"/>
      <c r="C8324" s="7"/>
      <c r="D8324" s="7"/>
      <c r="E8324" s="5"/>
      <c r="F8324" s="5"/>
      <c r="G8324" s="9"/>
      <c r="H8324" s="9"/>
      <c r="I8324" s="9"/>
    </row>
    <row r="8325" ht="14.25">
      <c r="A8325" s="5"/>
      <c r="B8325" s="7"/>
      <c r="C8325" s="7"/>
      <c r="D8325" s="7"/>
      <c r="E8325" s="5"/>
      <c r="F8325" s="5"/>
      <c r="G8325" s="9"/>
      <c r="H8325" s="9"/>
      <c r="I8325" s="9"/>
    </row>
    <row r="8326" ht="14.25">
      <c r="A8326" s="5"/>
      <c r="B8326" s="7"/>
      <c r="C8326" s="7"/>
      <c r="D8326" s="7"/>
      <c r="E8326" s="5"/>
      <c r="F8326" s="5"/>
      <c r="G8326" s="9"/>
      <c r="H8326" s="9"/>
      <c r="I8326" s="9"/>
    </row>
    <row r="8327" ht="14.25">
      <c r="A8327" s="5"/>
      <c r="B8327" s="7"/>
      <c r="C8327" s="7"/>
      <c r="D8327" s="7"/>
      <c r="E8327" s="5"/>
      <c r="F8327" s="5"/>
      <c r="G8327" s="9"/>
      <c r="H8327" s="9"/>
      <c r="I8327" s="9"/>
    </row>
    <row r="8328" ht="14.25">
      <c r="A8328" s="5"/>
      <c r="B8328" s="7"/>
      <c r="C8328" s="7"/>
      <c r="D8328" s="7"/>
      <c r="E8328" s="5"/>
      <c r="F8328" s="5"/>
      <c r="G8328" s="9"/>
      <c r="H8328" s="9"/>
      <c r="I8328" s="9"/>
    </row>
    <row r="8329" ht="14.25">
      <c r="A8329" s="5"/>
      <c r="B8329" s="7"/>
      <c r="C8329" s="7"/>
      <c r="D8329" s="7"/>
      <c r="E8329" s="5"/>
      <c r="F8329" s="5"/>
      <c r="G8329" s="9"/>
      <c r="H8329" s="9"/>
      <c r="I8329" s="9"/>
    </row>
    <row r="8330" ht="14.25">
      <c r="A8330" s="5"/>
      <c r="B8330" s="7"/>
      <c r="C8330" s="7"/>
      <c r="D8330" s="7"/>
      <c r="E8330" s="5"/>
      <c r="F8330" s="5"/>
      <c r="G8330" s="9"/>
      <c r="H8330" s="9"/>
      <c r="I8330" s="9"/>
    </row>
    <row r="8331" ht="14.25">
      <c r="A8331" s="5"/>
      <c r="B8331" s="7"/>
      <c r="C8331" s="7"/>
      <c r="D8331" s="7"/>
      <c r="E8331" s="5"/>
      <c r="F8331" s="5"/>
      <c r="G8331" s="9"/>
      <c r="H8331" s="9"/>
      <c r="I8331" s="9"/>
    </row>
    <row r="8332" ht="14.25">
      <c r="A8332" s="5"/>
      <c r="B8332" s="7"/>
      <c r="C8332" s="7"/>
      <c r="D8332" s="7"/>
      <c r="E8332" s="5"/>
      <c r="F8332" s="5"/>
      <c r="G8332" s="9"/>
      <c r="H8332" s="9"/>
      <c r="I8332" s="9"/>
    </row>
    <row r="8333" ht="14.25">
      <c r="A8333" s="5"/>
      <c r="B8333" s="7"/>
      <c r="C8333" s="7"/>
      <c r="D8333" s="7"/>
      <c r="E8333" s="5"/>
      <c r="F8333" s="5"/>
      <c r="G8333" s="9"/>
      <c r="H8333" s="9"/>
      <c r="I8333" s="9"/>
    </row>
    <row r="8334" ht="14.25">
      <c r="A8334" s="5"/>
      <c r="B8334" s="7"/>
      <c r="C8334" s="7"/>
      <c r="D8334" s="7"/>
      <c r="E8334" s="5"/>
      <c r="F8334" s="5"/>
      <c r="G8334" s="17"/>
      <c r="H8334" s="10"/>
      <c r="I8334" s="17"/>
    </row>
    <row r="8335" ht="14.25">
      <c r="A8335" s="5"/>
      <c r="B8335" s="7"/>
      <c r="C8335" s="7"/>
      <c r="D8335" s="7"/>
      <c r="E8335" s="5"/>
      <c r="F8335" s="5"/>
      <c r="G8335" s="17"/>
      <c r="H8335" s="10"/>
      <c r="I8335" s="17"/>
    </row>
    <row r="8336" ht="14.25">
      <c r="A8336" s="5"/>
      <c r="B8336" s="7"/>
      <c r="C8336" s="7"/>
      <c r="D8336" s="7"/>
      <c r="E8336" s="5"/>
      <c r="F8336" s="5"/>
      <c r="G8336" s="17"/>
      <c r="H8336" s="10"/>
      <c r="I8336" s="17"/>
    </row>
    <row r="8337" ht="14.25">
      <c r="A8337" s="5"/>
      <c r="B8337" s="7"/>
      <c r="C8337" s="7"/>
      <c r="D8337" s="7"/>
      <c r="E8337" s="5"/>
      <c r="F8337" s="5"/>
      <c r="G8337" s="17"/>
      <c r="H8337" s="10"/>
      <c r="I8337" s="17"/>
    </row>
    <row r="8338" ht="14.25">
      <c r="A8338" s="5"/>
      <c r="B8338" s="7"/>
      <c r="C8338" s="7"/>
      <c r="D8338" s="7"/>
      <c r="E8338" s="5"/>
      <c r="F8338" s="5"/>
      <c r="G8338" s="17"/>
      <c r="H8338" s="10"/>
      <c r="I8338" s="17"/>
    </row>
    <row r="8339" ht="14.25">
      <c r="A8339" s="5"/>
      <c r="B8339" s="7"/>
      <c r="C8339" s="7"/>
      <c r="D8339" s="7"/>
      <c r="E8339" s="5"/>
      <c r="F8339" s="5"/>
      <c r="G8339" s="17"/>
      <c r="H8339" s="10"/>
      <c r="I8339" s="17"/>
    </row>
    <row r="8340" ht="14.25">
      <c r="A8340" s="5"/>
      <c r="B8340" s="7"/>
      <c r="C8340" s="7"/>
      <c r="D8340" s="7"/>
      <c r="E8340" s="5"/>
      <c r="F8340" s="5"/>
      <c r="G8340" s="17"/>
      <c r="H8340" s="10"/>
      <c r="I8340" s="17"/>
    </row>
    <row r="8341" ht="14.25">
      <c r="A8341" s="5"/>
      <c r="B8341" s="7"/>
      <c r="C8341" s="7"/>
      <c r="D8341" s="7"/>
      <c r="E8341" s="5"/>
      <c r="F8341" s="5"/>
      <c r="G8341" s="17"/>
      <c r="H8341" s="10"/>
      <c r="I8341" s="17"/>
    </row>
    <row r="8342" ht="14.25">
      <c r="A8342" s="5"/>
      <c r="B8342" s="7"/>
      <c r="C8342" s="7"/>
      <c r="D8342" s="7"/>
      <c r="E8342" s="5"/>
      <c r="F8342" s="5"/>
      <c r="G8342" s="17"/>
      <c r="H8342" s="10"/>
      <c r="I8342" s="17"/>
    </row>
    <row r="8343" ht="14.25">
      <c r="A8343" s="5"/>
      <c r="B8343" s="7"/>
      <c r="C8343" s="7"/>
      <c r="D8343" s="7"/>
      <c r="E8343" s="5"/>
      <c r="F8343" s="5"/>
      <c r="G8343" s="17"/>
      <c r="H8343" s="10"/>
      <c r="I8343" s="17"/>
    </row>
    <row r="8344" ht="14.25">
      <c r="A8344" s="5"/>
      <c r="B8344" s="7"/>
      <c r="C8344" s="7"/>
      <c r="D8344" s="7"/>
      <c r="E8344" s="5"/>
      <c r="F8344" s="5"/>
      <c r="G8344" s="17"/>
      <c r="H8344" s="10"/>
      <c r="I8344" s="17"/>
    </row>
    <row r="8345" ht="14.25">
      <c r="A8345" s="5"/>
      <c r="B8345" s="7"/>
      <c r="C8345" s="7"/>
      <c r="D8345" s="7"/>
      <c r="E8345" s="5"/>
      <c r="F8345" s="5"/>
      <c r="G8345" s="17"/>
      <c r="H8345" s="10"/>
      <c r="I8345" s="17"/>
    </row>
    <row r="8346" ht="14.25">
      <c r="A8346" s="5"/>
      <c r="B8346" s="7"/>
      <c r="C8346" s="7"/>
      <c r="D8346" s="7"/>
      <c r="E8346" s="5"/>
      <c r="F8346" s="5"/>
      <c r="G8346" s="17"/>
      <c r="H8346" s="10"/>
      <c r="I8346" s="17"/>
    </row>
    <row r="8347" ht="14.25">
      <c r="A8347" s="5"/>
      <c r="B8347" s="7"/>
      <c r="C8347" s="7"/>
      <c r="D8347" s="7"/>
      <c r="E8347" s="5"/>
      <c r="F8347" s="5"/>
      <c r="G8347" s="17"/>
      <c r="H8347" s="10"/>
      <c r="I8347" s="17"/>
    </row>
    <row r="8348" ht="14.25">
      <c r="A8348" s="5"/>
      <c r="B8348" s="7"/>
      <c r="C8348" s="7"/>
      <c r="D8348" s="7"/>
      <c r="E8348" s="5"/>
      <c r="F8348" s="5"/>
      <c r="G8348" s="17"/>
      <c r="H8348" s="10"/>
      <c r="I8348" s="17"/>
    </row>
    <row r="8349" ht="14.25">
      <c r="A8349" s="5"/>
      <c r="B8349" s="7"/>
      <c r="C8349" s="7"/>
      <c r="D8349" s="7"/>
      <c r="E8349" s="5"/>
      <c r="F8349" s="5"/>
      <c r="G8349" s="17"/>
      <c r="H8349" s="10"/>
      <c r="I8349" s="17"/>
    </row>
    <row r="8350" ht="14.25">
      <c r="A8350" s="5"/>
      <c r="B8350" s="7"/>
      <c r="C8350" s="7"/>
      <c r="D8350" s="7"/>
      <c r="E8350" s="5"/>
      <c r="F8350" s="5"/>
      <c r="G8350" s="17"/>
      <c r="H8350" s="10"/>
      <c r="I8350" s="17"/>
    </row>
    <row r="8351" ht="14.25">
      <c r="A8351" s="5"/>
      <c r="B8351" s="7"/>
      <c r="C8351" s="7"/>
      <c r="D8351" s="7"/>
      <c r="E8351" s="5"/>
      <c r="F8351" s="5"/>
      <c r="G8351" s="17"/>
      <c r="H8351" s="10"/>
      <c r="I8351" s="17"/>
    </row>
    <row r="8352" ht="14.25">
      <c r="A8352" s="5"/>
      <c r="B8352" s="7"/>
      <c r="C8352" s="7"/>
      <c r="D8352" s="7"/>
      <c r="E8352" s="5"/>
      <c r="F8352" s="5"/>
      <c r="G8352" s="17"/>
      <c r="H8352" s="10"/>
      <c r="I8352" s="17"/>
    </row>
    <row r="8353" ht="14.25">
      <c r="A8353" s="5"/>
      <c r="B8353" s="7"/>
      <c r="C8353" s="7"/>
      <c r="D8353" s="7"/>
      <c r="E8353" s="5"/>
      <c r="F8353" s="5"/>
      <c r="G8353" s="17"/>
      <c r="H8353" s="10"/>
      <c r="I8353" s="17"/>
    </row>
    <row r="8354" ht="14.25">
      <c r="A8354" s="5"/>
      <c r="B8354" s="7"/>
      <c r="C8354" s="7"/>
      <c r="D8354" s="7"/>
      <c r="E8354" s="5"/>
      <c r="F8354" s="5"/>
      <c r="G8354" s="17"/>
      <c r="H8354" s="10"/>
      <c r="I8354" s="17"/>
    </row>
    <row r="8355" ht="14.25">
      <c r="A8355" s="5"/>
      <c r="B8355" s="7"/>
      <c r="C8355" s="7"/>
      <c r="D8355" s="7"/>
      <c r="E8355" s="5"/>
      <c r="F8355" s="5"/>
      <c r="G8355" s="17"/>
      <c r="H8355" s="10"/>
      <c r="I8355" s="17"/>
    </row>
    <row r="8356" ht="14.25">
      <c r="A8356" s="5"/>
      <c r="B8356" s="7"/>
      <c r="C8356" s="7"/>
      <c r="D8356" s="7"/>
      <c r="E8356" s="5"/>
      <c r="F8356" s="5"/>
      <c r="G8356" s="17"/>
      <c r="H8356" s="10"/>
      <c r="I8356" s="17"/>
    </row>
    <row r="8357" ht="14.25">
      <c r="A8357" s="5"/>
      <c r="B8357" s="7"/>
      <c r="C8357" s="7"/>
      <c r="D8357" s="7"/>
      <c r="E8357" s="5"/>
      <c r="F8357" s="5"/>
      <c r="G8357" s="17"/>
      <c r="H8357" s="10"/>
      <c r="I8357" s="17"/>
    </row>
    <row r="8358" ht="14.25">
      <c r="A8358" s="5"/>
      <c r="B8358" s="7"/>
      <c r="C8358" s="7"/>
      <c r="D8358" s="7"/>
      <c r="E8358" s="5"/>
      <c r="F8358" s="5"/>
      <c r="G8358" s="17"/>
      <c r="H8358" s="10"/>
      <c r="I8358" s="17"/>
    </row>
    <row r="8359" ht="14.25">
      <c r="A8359" s="5"/>
      <c r="B8359" s="7"/>
      <c r="C8359" s="7"/>
      <c r="D8359" s="7"/>
      <c r="E8359" s="5"/>
      <c r="F8359" s="5"/>
      <c r="G8359" s="17"/>
      <c r="H8359" s="10"/>
      <c r="I8359" s="17"/>
    </row>
    <row r="8360" ht="14.25">
      <c r="A8360" s="5"/>
      <c r="B8360" s="7"/>
      <c r="C8360" s="7"/>
      <c r="D8360" s="7"/>
      <c r="E8360" s="5"/>
      <c r="F8360" s="5"/>
      <c r="G8360" s="17"/>
      <c r="H8360" s="10"/>
      <c r="I8360" s="17"/>
    </row>
    <row r="8361" ht="14.25">
      <c r="A8361" s="5"/>
      <c r="B8361" s="7"/>
      <c r="C8361" s="7"/>
      <c r="D8361" s="7"/>
      <c r="E8361" s="5"/>
      <c r="F8361" s="5"/>
      <c r="G8361" s="17"/>
      <c r="H8361" s="10"/>
      <c r="I8361" s="17"/>
    </row>
    <row r="8362" ht="14.25">
      <c r="A8362" s="5"/>
      <c r="B8362" s="7"/>
      <c r="C8362" s="7"/>
      <c r="D8362" s="7"/>
      <c r="E8362" s="5"/>
      <c r="F8362" s="5"/>
      <c r="G8362" s="17"/>
      <c r="H8362" s="10"/>
      <c r="I8362" s="17"/>
    </row>
    <row r="8363" ht="14.25">
      <c r="A8363" s="5"/>
      <c r="B8363" s="7"/>
      <c r="C8363" s="7"/>
      <c r="D8363" s="7"/>
      <c r="E8363" s="5"/>
      <c r="F8363" s="5"/>
      <c r="G8363" s="17"/>
      <c r="H8363" s="10"/>
      <c r="I8363" s="17"/>
    </row>
    <row r="8364" ht="14.25">
      <c r="A8364" s="5"/>
      <c r="B8364" s="7"/>
      <c r="C8364" s="7"/>
      <c r="D8364" s="7"/>
      <c r="E8364" s="5"/>
      <c r="F8364" s="5"/>
      <c r="G8364" s="17"/>
      <c r="H8364" s="10"/>
      <c r="I8364" s="17"/>
    </row>
    <row r="8365" ht="14.25">
      <c r="A8365" s="5"/>
      <c r="B8365" s="7"/>
      <c r="C8365" s="7"/>
      <c r="D8365" s="7"/>
      <c r="E8365" s="5"/>
      <c r="F8365" s="5"/>
      <c r="G8365" s="17"/>
      <c r="H8365" s="10"/>
      <c r="I8365" s="17"/>
    </row>
    <row r="8366" ht="14.25">
      <c r="A8366" s="5"/>
      <c r="B8366" s="7"/>
      <c r="C8366" s="7"/>
      <c r="D8366" s="7"/>
      <c r="E8366" s="5"/>
      <c r="F8366" s="5"/>
      <c r="G8366" s="17"/>
      <c r="H8366" s="10"/>
      <c r="I8366" s="17"/>
    </row>
    <row r="8367" ht="14.25">
      <c r="A8367" s="5"/>
      <c r="B8367" s="7"/>
      <c r="C8367" s="7"/>
      <c r="D8367" s="7"/>
      <c r="E8367" s="5"/>
      <c r="F8367" s="5"/>
      <c r="G8367" s="17"/>
      <c r="H8367" s="10"/>
      <c r="I8367" s="17"/>
    </row>
    <row r="8368" ht="14.25">
      <c r="A8368" s="5"/>
      <c r="B8368" s="7"/>
      <c r="C8368" s="7"/>
      <c r="D8368" s="7"/>
      <c r="E8368" s="5"/>
      <c r="F8368" s="5"/>
      <c r="G8368" s="17"/>
      <c r="H8368" s="10"/>
      <c r="I8368" s="17"/>
    </row>
    <row r="8369" ht="14.25">
      <c r="A8369" s="5"/>
      <c r="B8369" s="7"/>
      <c r="C8369" s="7"/>
      <c r="D8369" s="7"/>
      <c r="E8369" s="5"/>
      <c r="F8369" s="5"/>
      <c r="G8369" s="17"/>
      <c r="H8369" s="10"/>
      <c r="I8369" s="17"/>
    </row>
    <row r="8370" ht="14.25">
      <c r="A8370" s="5"/>
      <c r="B8370" s="7"/>
      <c r="C8370" s="7"/>
      <c r="D8370" s="7"/>
      <c r="E8370" s="5"/>
      <c r="F8370" s="5"/>
      <c r="G8370" s="17"/>
      <c r="H8370" s="10"/>
      <c r="I8370" s="17"/>
    </row>
    <row r="8371" ht="14.25">
      <c r="A8371" s="5"/>
      <c r="B8371" s="7"/>
      <c r="C8371" s="7"/>
      <c r="D8371" s="7"/>
      <c r="E8371" s="5"/>
      <c r="F8371" s="5"/>
      <c r="G8371" s="17"/>
      <c r="H8371" s="10"/>
      <c r="I8371" s="17"/>
    </row>
    <row r="8372" ht="14.25">
      <c r="A8372" s="5"/>
      <c r="B8372" s="7"/>
      <c r="C8372" s="7"/>
      <c r="D8372" s="7"/>
      <c r="E8372" s="5"/>
      <c r="F8372" s="5"/>
      <c r="G8372" s="17"/>
      <c r="H8372" s="10"/>
      <c r="I8372" s="17"/>
    </row>
    <row r="8373" ht="14.25">
      <c r="A8373" s="5"/>
      <c r="B8373" s="7"/>
      <c r="C8373" s="7"/>
      <c r="D8373" s="7"/>
      <c r="E8373" s="5"/>
      <c r="F8373" s="5"/>
      <c r="G8373" s="17"/>
      <c r="H8373" s="10"/>
      <c r="I8373" s="17"/>
    </row>
    <row r="8374" ht="14.25">
      <c r="A8374" s="5"/>
      <c r="B8374" s="7"/>
      <c r="C8374" s="7"/>
      <c r="D8374" s="7"/>
      <c r="E8374" s="5"/>
      <c r="F8374" s="5"/>
      <c r="G8374" s="17"/>
      <c r="H8374" s="10"/>
      <c r="I8374" s="17"/>
    </row>
    <row r="8375" ht="14.25">
      <c r="A8375" s="5"/>
      <c r="B8375" s="7"/>
      <c r="C8375" s="7"/>
      <c r="D8375" s="7"/>
      <c r="E8375" s="5"/>
      <c r="F8375" s="5"/>
      <c r="G8375" s="17"/>
      <c r="H8375" s="10"/>
      <c r="I8375" s="17"/>
    </row>
    <row r="8376" ht="14.25">
      <c r="A8376" s="5"/>
      <c r="B8376" s="7"/>
      <c r="C8376" s="7"/>
      <c r="D8376" s="7"/>
      <c r="E8376" s="5"/>
      <c r="F8376" s="5"/>
      <c r="G8376" s="17"/>
      <c r="H8376" s="10"/>
      <c r="I8376" s="17"/>
    </row>
    <row r="8377" ht="14.25">
      <c r="A8377" s="5"/>
      <c r="B8377" s="7"/>
      <c r="C8377" s="7"/>
      <c r="D8377" s="7"/>
      <c r="E8377" s="5"/>
      <c r="F8377" s="5"/>
      <c r="G8377" s="17"/>
      <c r="H8377" s="10"/>
      <c r="I8377" s="17"/>
    </row>
    <row r="8378" ht="14.25">
      <c r="A8378" s="5"/>
      <c r="B8378" s="7"/>
      <c r="C8378" s="7"/>
      <c r="D8378" s="7"/>
      <c r="E8378" s="5"/>
      <c r="F8378" s="5"/>
      <c r="G8378" s="17"/>
      <c r="H8378" s="10"/>
      <c r="I8378" s="17"/>
    </row>
    <row r="8379" ht="14.25">
      <c r="A8379" s="5"/>
      <c r="B8379" s="7"/>
      <c r="C8379" s="7"/>
      <c r="D8379" s="7"/>
      <c r="E8379" s="5"/>
      <c r="F8379" s="5"/>
      <c r="G8379" s="17"/>
      <c r="H8379" s="10"/>
      <c r="I8379" s="17"/>
    </row>
    <row r="8380" ht="14.25">
      <c r="A8380" s="5"/>
      <c r="B8380" s="7"/>
      <c r="C8380" s="7"/>
      <c r="D8380" s="7"/>
      <c r="E8380" s="5"/>
      <c r="F8380" s="5"/>
      <c r="G8380" s="17"/>
      <c r="H8380" s="10"/>
      <c r="I8380" s="17"/>
    </row>
    <row r="8381" ht="14.25">
      <c r="A8381" s="5"/>
      <c r="B8381" s="7"/>
      <c r="C8381" s="7"/>
      <c r="D8381" s="7"/>
      <c r="E8381" s="5"/>
      <c r="F8381" s="5"/>
      <c r="G8381" s="17"/>
      <c r="H8381" s="10"/>
      <c r="I8381" s="17"/>
    </row>
    <row r="8382" ht="14.25">
      <c r="A8382" s="5"/>
      <c r="B8382" s="7"/>
      <c r="C8382" s="7"/>
      <c r="D8382" s="7"/>
      <c r="E8382" s="5"/>
      <c r="F8382" s="5"/>
      <c r="G8382" s="17"/>
      <c r="H8382" s="10"/>
      <c r="I8382" s="17"/>
    </row>
    <row r="8383" ht="14.25">
      <c r="A8383" s="5"/>
      <c r="B8383" s="7"/>
      <c r="C8383" s="7"/>
      <c r="D8383" s="7"/>
      <c r="E8383" s="5"/>
      <c r="F8383" s="5"/>
      <c r="G8383" s="17"/>
      <c r="H8383" s="10"/>
      <c r="I8383" s="17"/>
    </row>
    <row r="8384" ht="14.25">
      <c r="A8384" s="5"/>
      <c r="B8384" s="7"/>
      <c r="C8384" s="7"/>
      <c r="D8384" s="7"/>
      <c r="E8384" s="5"/>
      <c r="F8384" s="5"/>
      <c r="G8384" s="17"/>
      <c r="H8384" s="10"/>
      <c r="I8384" s="17"/>
    </row>
    <row r="8385" ht="14.25">
      <c r="A8385" s="5"/>
      <c r="B8385" s="7"/>
      <c r="C8385" s="7"/>
      <c r="D8385" s="7"/>
      <c r="E8385" s="5"/>
      <c r="F8385" s="5"/>
      <c r="G8385" s="17"/>
      <c r="H8385" s="10"/>
      <c r="I8385" s="17"/>
    </row>
    <row r="8386" ht="14.25">
      <c r="A8386" s="5"/>
      <c r="B8386" s="7"/>
      <c r="C8386" s="7"/>
      <c r="D8386" s="7"/>
      <c r="E8386" s="5"/>
      <c r="F8386" s="5"/>
      <c r="G8386" s="17"/>
      <c r="H8386" s="10"/>
      <c r="I8386" s="17"/>
    </row>
    <row r="8387" ht="14.25">
      <c r="A8387" s="5"/>
      <c r="B8387" s="7"/>
      <c r="C8387" s="7"/>
      <c r="D8387" s="7"/>
      <c r="E8387" s="5"/>
      <c r="F8387" s="5"/>
      <c r="G8387" s="17"/>
      <c r="H8387" s="10"/>
      <c r="I8387" s="17"/>
    </row>
    <row r="8388" ht="14.25">
      <c r="A8388" s="5"/>
      <c r="B8388" s="7"/>
      <c r="C8388" s="7"/>
      <c r="D8388" s="7"/>
      <c r="E8388" s="5"/>
      <c r="F8388" s="5"/>
      <c r="G8388" s="17"/>
      <c r="H8388" s="10"/>
      <c r="I8388" s="17"/>
    </row>
    <row r="8389" ht="14.25">
      <c r="A8389" s="5"/>
      <c r="B8389" s="7"/>
      <c r="C8389" s="7"/>
      <c r="D8389" s="7"/>
      <c r="E8389" s="5"/>
      <c r="F8389" s="5"/>
      <c r="G8389" s="17"/>
      <c r="H8389" s="10"/>
      <c r="I8389" s="17"/>
    </row>
    <row r="8390" ht="14.25">
      <c r="A8390" s="5"/>
      <c r="B8390" s="7"/>
      <c r="C8390" s="7"/>
      <c r="D8390" s="7"/>
      <c r="E8390" s="5"/>
      <c r="F8390" s="5"/>
      <c r="G8390" s="17"/>
      <c r="H8390" s="10"/>
      <c r="I8390" s="17"/>
    </row>
    <row r="8391" ht="14.25">
      <c r="A8391" s="5"/>
      <c r="B8391" s="7"/>
      <c r="C8391" s="7"/>
      <c r="D8391" s="7"/>
      <c r="E8391" s="5"/>
      <c r="F8391" s="5"/>
      <c r="G8391" s="17"/>
      <c r="H8391" s="10"/>
      <c r="I8391" s="17"/>
    </row>
    <row r="8392" ht="14.25">
      <c r="A8392" s="5"/>
      <c r="B8392" s="7"/>
      <c r="C8392" s="7"/>
      <c r="D8392" s="7"/>
      <c r="E8392" s="5"/>
      <c r="F8392" s="5"/>
      <c r="G8392" s="17"/>
      <c r="H8392" s="10"/>
      <c r="I8392" s="17"/>
    </row>
    <row r="8393" ht="14.25">
      <c r="A8393" s="5"/>
      <c r="B8393" s="7"/>
      <c r="C8393" s="7"/>
      <c r="D8393" s="7"/>
      <c r="E8393" s="5"/>
      <c r="F8393" s="5"/>
      <c r="G8393" s="17"/>
      <c r="H8393" s="10"/>
      <c r="I8393" s="17"/>
    </row>
    <row r="8394" ht="14.25">
      <c r="A8394" s="5"/>
      <c r="B8394" s="7"/>
      <c r="C8394" s="7"/>
      <c r="D8394" s="7"/>
      <c r="E8394" s="5"/>
      <c r="F8394" s="5"/>
      <c r="G8394" s="17"/>
      <c r="H8394" s="10"/>
      <c r="I8394" s="17"/>
    </row>
    <row r="8395" ht="14.25">
      <c r="A8395" s="5"/>
      <c r="B8395" s="7"/>
      <c r="C8395" s="7"/>
      <c r="D8395" s="7"/>
      <c r="E8395" s="5"/>
      <c r="F8395" s="5"/>
      <c r="G8395" s="17"/>
      <c r="H8395" s="10"/>
      <c r="I8395" s="17"/>
    </row>
    <row r="8396" ht="14.25">
      <c r="A8396" s="5"/>
      <c r="B8396" s="7"/>
      <c r="C8396" s="7"/>
      <c r="D8396" s="7"/>
      <c r="E8396" s="5"/>
      <c r="F8396" s="5"/>
      <c r="G8396" s="17"/>
      <c r="H8396" s="10"/>
      <c r="I8396" s="17"/>
    </row>
    <row r="8397" ht="14.25">
      <c r="A8397" s="5"/>
      <c r="B8397" s="7"/>
      <c r="C8397" s="7"/>
      <c r="D8397" s="7"/>
      <c r="E8397" s="5"/>
      <c r="F8397" s="5"/>
      <c r="G8397" s="17"/>
      <c r="H8397" s="10"/>
      <c r="I8397" s="17"/>
    </row>
    <row r="8398" ht="14.25">
      <c r="A8398" s="5"/>
      <c r="B8398" s="7"/>
      <c r="C8398" s="7"/>
      <c r="D8398" s="7"/>
      <c r="E8398" s="5"/>
      <c r="F8398" s="5"/>
      <c r="G8398" s="17"/>
      <c r="H8398" s="10"/>
      <c r="I8398" s="17"/>
    </row>
    <row r="8399" ht="14.25">
      <c r="A8399" s="5"/>
      <c r="B8399" s="7"/>
      <c r="C8399" s="7"/>
      <c r="D8399" s="7"/>
      <c r="E8399" s="5"/>
      <c r="F8399" s="5"/>
      <c r="G8399" s="17"/>
      <c r="H8399" s="10"/>
      <c r="I8399" s="17"/>
    </row>
    <row r="8400" ht="14.25">
      <c r="A8400" s="5"/>
      <c r="B8400" s="7"/>
      <c r="C8400" s="7"/>
      <c r="D8400" s="7"/>
      <c r="E8400" s="5"/>
      <c r="F8400" s="5"/>
      <c r="G8400" s="17"/>
      <c r="H8400" s="10"/>
      <c r="I8400" s="17"/>
    </row>
    <row r="8401" ht="14.25">
      <c r="A8401" s="5"/>
      <c r="B8401" s="7"/>
      <c r="C8401" s="7"/>
      <c r="D8401" s="7"/>
      <c r="E8401" s="5"/>
      <c r="F8401" s="5"/>
      <c r="G8401" s="17"/>
      <c r="H8401" s="10"/>
      <c r="I8401" s="17"/>
    </row>
    <row r="8402" ht="14.25">
      <c r="A8402" s="5"/>
      <c r="B8402" s="7"/>
      <c r="C8402" s="7"/>
      <c r="D8402" s="7"/>
      <c r="E8402" s="5"/>
      <c r="F8402" s="5"/>
      <c r="G8402" s="17"/>
      <c r="H8402" s="10"/>
      <c r="I8402" s="17"/>
    </row>
    <row r="8403" ht="14.25">
      <c r="A8403" s="5"/>
      <c r="B8403" s="7"/>
      <c r="C8403" s="7"/>
      <c r="D8403" s="7"/>
      <c r="E8403" s="5"/>
      <c r="F8403" s="5"/>
      <c r="G8403" s="17"/>
      <c r="H8403" s="10"/>
      <c r="I8403" s="17"/>
    </row>
    <row r="8404" ht="14.25">
      <c r="A8404" s="5"/>
      <c r="B8404" s="7"/>
      <c r="C8404" s="7"/>
      <c r="D8404" s="7"/>
      <c r="E8404" s="5"/>
      <c r="F8404" s="5"/>
      <c r="G8404" s="17"/>
      <c r="H8404" s="10"/>
      <c r="I8404" s="17"/>
    </row>
    <row r="8405" ht="14.25">
      <c r="A8405" s="5"/>
      <c r="B8405" s="7"/>
      <c r="C8405" s="7"/>
      <c r="D8405" s="7"/>
      <c r="E8405" s="5"/>
      <c r="F8405" s="5"/>
      <c r="G8405" s="17"/>
      <c r="H8405" s="10"/>
      <c r="I8405" s="17"/>
    </row>
    <row r="8406" ht="14.25">
      <c r="A8406" s="5"/>
      <c r="B8406" s="7"/>
      <c r="C8406" s="7"/>
      <c r="D8406" s="7"/>
      <c r="E8406" s="5"/>
      <c r="F8406" s="5"/>
      <c r="G8406" s="17"/>
      <c r="H8406" s="10"/>
      <c r="I8406" s="17"/>
    </row>
    <row r="8407" ht="14.25">
      <c r="A8407" s="5"/>
      <c r="B8407" s="7"/>
      <c r="C8407" s="7"/>
      <c r="D8407" s="7"/>
      <c r="E8407" s="5"/>
      <c r="F8407" s="5"/>
      <c r="G8407" s="17"/>
      <c r="H8407" s="10"/>
      <c r="I8407" s="17"/>
    </row>
    <row r="8408" ht="14.25">
      <c r="A8408" s="5"/>
      <c r="B8408" s="7"/>
      <c r="C8408" s="7"/>
      <c r="D8408" s="7"/>
      <c r="E8408" s="5"/>
      <c r="F8408" s="5"/>
      <c r="G8408" s="17"/>
      <c r="H8408" s="10"/>
      <c r="I8408" s="17"/>
    </row>
    <row r="8409" ht="14.25">
      <c r="A8409" s="5"/>
      <c r="B8409" s="7"/>
      <c r="C8409" s="7"/>
      <c r="D8409" s="7"/>
      <c r="E8409" s="5"/>
      <c r="F8409" s="5"/>
      <c r="G8409" s="17"/>
      <c r="H8409" s="10"/>
      <c r="I8409" s="17"/>
    </row>
    <row r="8410" ht="14.25">
      <c r="A8410" s="5"/>
      <c r="B8410" s="7"/>
      <c r="C8410" s="7"/>
      <c r="D8410" s="7"/>
      <c r="E8410" s="5"/>
      <c r="F8410" s="5"/>
      <c r="G8410" s="17"/>
      <c r="H8410" s="10"/>
      <c r="I8410" s="17"/>
    </row>
    <row r="8411" ht="14.25">
      <c r="A8411" s="5"/>
      <c r="B8411" s="7"/>
      <c r="C8411" s="7"/>
      <c r="D8411" s="7"/>
      <c r="E8411" s="5"/>
      <c r="F8411" s="5"/>
      <c r="G8411" s="17"/>
      <c r="H8411" s="10"/>
      <c r="I8411" s="17"/>
    </row>
    <row r="8412" ht="14.25">
      <c r="A8412" s="5"/>
      <c r="B8412" s="7"/>
      <c r="C8412" s="7"/>
      <c r="D8412" s="7"/>
      <c r="E8412" s="5"/>
      <c r="F8412" s="5"/>
      <c r="G8412" s="17"/>
      <c r="H8412" s="10"/>
      <c r="I8412" s="17"/>
    </row>
    <row r="8413" ht="14.25">
      <c r="A8413" s="5"/>
      <c r="B8413" s="7"/>
      <c r="C8413" s="7"/>
      <c r="D8413" s="7"/>
      <c r="E8413" s="5"/>
      <c r="F8413" s="5"/>
      <c r="G8413" s="17"/>
      <c r="H8413" s="10"/>
      <c r="I8413" s="17"/>
    </row>
    <row r="8414" ht="14.25">
      <c r="A8414" s="5"/>
      <c r="B8414" s="7"/>
      <c r="C8414" s="7"/>
      <c r="D8414" s="7"/>
      <c r="E8414" s="5"/>
      <c r="F8414" s="5"/>
      <c r="G8414" s="17"/>
      <c r="H8414" s="10"/>
      <c r="I8414" s="17"/>
    </row>
    <row r="8415" ht="14.25">
      <c r="A8415" s="5"/>
      <c r="B8415" s="7"/>
      <c r="C8415" s="7"/>
      <c r="D8415" s="7"/>
      <c r="E8415" s="5"/>
      <c r="F8415" s="5"/>
      <c r="G8415" s="17"/>
      <c r="H8415" s="10"/>
      <c r="I8415" s="17"/>
    </row>
    <row r="8416" ht="14.25">
      <c r="A8416" s="5"/>
      <c r="B8416" s="7"/>
      <c r="C8416" s="7"/>
      <c r="D8416" s="7"/>
      <c r="E8416" s="5"/>
      <c r="F8416" s="5"/>
      <c r="G8416" s="17"/>
      <c r="H8416" s="10"/>
      <c r="I8416" s="17"/>
    </row>
    <row r="8417" ht="14.25">
      <c r="A8417" s="5"/>
      <c r="B8417" s="7"/>
      <c r="C8417" s="7"/>
      <c r="D8417" s="7"/>
      <c r="E8417" s="5"/>
      <c r="F8417" s="5"/>
      <c r="G8417" s="17"/>
      <c r="H8417" s="10"/>
      <c r="I8417" s="17"/>
    </row>
    <row r="8418" ht="14.25">
      <c r="A8418" s="5"/>
      <c r="B8418" s="7"/>
      <c r="C8418" s="7"/>
      <c r="D8418" s="7"/>
      <c r="E8418" s="5"/>
      <c r="F8418" s="5"/>
      <c r="G8418" s="17"/>
      <c r="H8418" s="10"/>
      <c r="I8418" s="17"/>
    </row>
    <row r="8419" ht="14.25">
      <c r="A8419" s="5"/>
      <c r="B8419" s="7"/>
      <c r="C8419" s="7"/>
      <c r="D8419" s="7"/>
      <c r="E8419" s="5"/>
      <c r="F8419" s="5"/>
      <c r="G8419" s="17"/>
      <c r="H8419" s="10"/>
      <c r="I8419" s="17"/>
    </row>
    <row r="8420" ht="14.25">
      <c r="A8420" s="5"/>
      <c r="B8420" s="7"/>
      <c r="C8420" s="7"/>
      <c r="D8420" s="7"/>
      <c r="E8420" s="5"/>
      <c r="F8420" s="5"/>
      <c r="G8420" s="17"/>
      <c r="H8420" s="10"/>
      <c r="I8420" s="17"/>
    </row>
    <row r="8421" ht="14.25">
      <c r="A8421" s="5"/>
      <c r="B8421" s="7"/>
      <c r="C8421" s="7"/>
      <c r="D8421" s="7"/>
      <c r="E8421" s="5"/>
      <c r="F8421" s="5"/>
      <c r="G8421" s="17"/>
      <c r="H8421" s="10"/>
      <c r="I8421" s="17"/>
    </row>
    <row r="8422" ht="14.25">
      <c r="A8422" s="5"/>
      <c r="B8422" s="7"/>
      <c r="C8422" s="7"/>
      <c r="D8422" s="7"/>
      <c r="E8422" s="5"/>
      <c r="F8422" s="5"/>
      <c r="G8422" s="17"/>
      <c r="H8422" s="10"/>
      <c r="I8422" s="17"/>
    </row>
    <row r="8423" ht="14.25">
      <c r="A8423" s="5"/>
      <c r="B8423" s="7"/>
      <c r="C8423" s="7"/>
      <c r="D8423" s="7"/>
      <c r="E8423" s="5"/>
      <c r="F8423" s="5"/>
      <c r="G8423" s="17"/>
      <c r="H8423" s="10"/>
      <c r="I8423" s="17"/>
    </row>
    <row r="8424" ht="14.25">
      <c r="A8424" s="5"/>
      <c r="B8424" s="7"/>
      <c r="C8424" s="7"/>
      <c r="D8424" s="7"/>
      <c r="E8424" s="5"/>
      <c r="F8424" s="5"/>
      <c r="G8424" s="17"/>
      <c r="H8424" s="10"/>
      <c r="I8424" s="17"/>
    </row>
    <row r="8425" ht="14.25">
      <c r="A8425" s="5"/>
      <c r="B8425" s="7"/>
      <c r="C8425" s="7"/>
      <c r="D8425" s="7"/>
      <c r="E8425" s="5"/>
      <c r="F8425" s="5"/>
      <c r="G8425" s="17"/>
      <c r="H8425" s="10"/>
      <c r="I8425" s="17"/>
    </row>
    <row r="8426" ht="14.25">
      <c r="A8426" s="5"/>
      <c r="B8426" s="7"/>
      <c r="C8426" s="7"/>
      <c r="D8426" s="7"/>
      <c r="E8426" s="5"/>
      <c r="F8426" s="5"/>
      <c r="G8426" s="17"/>
      <c r="H8426" s="10"/>
      <c r="I8426" s="17"/>
    </row>
    <row r="8427" ht="14.25">
      <c r="A8427" s="5"/>
      <c r="B8427" s="7"/>
      <c r="C8427" s="7"/>
      <c r="D8427" s="7"/>
      <c r="E8427" s="5"/>
      <c r="F8427" s="5"/>
      <c r="G8427" s="17"/>
      <c r="H8427" s="10"/>
      <c r="I8427" s="17"/>
    </row>
    <row r="8428" ht="14.25">
      <c r="A8428" s="5"/>
      <c r="B8428" s="7"/>
      <c r="C8428" s="7"/>
      <c r="D8428" s="7"/>
      <c r="E8428" s="5"/>
      <c r="F8428" s="5"/>
      <c r="G8428" s="17"/>
      <c r="H8428" s="10"/>
      <c r="I8428" s="17"/>
    </row>
    <row r="8429" ht="14.25">
      <c r="A8429" s="5"/>
      <c r="B8429" s="7"/>
      <c r="C8429" s="7"/>
      <c r="D8429" s="7"/>
      <c r="E8429" s="5"/>
      <c r="F8429" s="5"/>
      <c r="G8429" s="17"/>
      <c r="H8429" s="10"/>
      <c r="I8429" s="17"/>
    </row>
    <row r="8430" ht="14.25">
      <c r="A8430" s="5"/>
      <c r="B8430" s="7"/>
      <c r="C8430" s="7"/>
      <c r="D8430" s="7"/>
      <c r="E8430" s="5"/>
      <c r="F8430" s="5"/>
      <c r="G8430" s="17"/>
      <c r="H8430" s="10"/>
      <c r="I8430" s="17"/>
    </row>
    <row r="8431" ht="14.25">
      <c r="A8431" s="5"/>
      <c r="B8431" s="7"/>
      <c r="C8431" s="7"/>
      <c r="D8431" s="7"/>
      <c r="E8431" s="5"/>
      <c r="F8431" s="5"/>
      <c r="G8431" s="17"/>
      <c r="H8431" s="10"/>
      <c r="I8431" s="17"/>
    </row>
    <row r="8432" ht="14.25">
      <c r="A8432" s="5"/>
      <c r="B8432" s="7"/>
      <c r="C8432" s="7"/>
      <c r="D8432" s="7"/>
      <c r="E8432" s="5"/>
      <c r="F8432" s="5"/>
      <c r="G8432" s="17"/>
      <c r="H8432" s="10"/>
      <c r="I8432" s="17"/>
    </row>
    <row r="8433" ht="14.25">
      <c r="A8433" s="5"/>
      <c r="B8433" s="7"/>
      <c r="C8433" s="7"/>
      <c r="D8433" s="7"/>
      <c r="E8433" s="5"/>
      <c r="F8433" s="5"/>
      <c r="G8433" s="17"/>
      <c r="H8433" s="10"/>
      <c r="I8433" s="17"/>
    </row>
    <row r="8434" ht="14.25">
      <c r="A8434" s="5"/>
      <c r="B8434" s="7"/>
      <c r="C8434" s="7"/>
      <c r="D8434" s="7"/>
      <c r="E8434" s="5"/>
      <c r="F8434" s="5"/>
      <c r="G8434" s="17"/>
      <c r="H8434" s="10"/>
      <c r="I8434" s="17"/>
    </row>
    <row r="8435" ht="14.25">
      <c r="A8435" s="5"/>
      <c r="B8435" s="7"/>
      <c r="C8435" s="7"/>
      <c r="D8435" s="7"/>
      <c r="E8435" s="5"/>
      <c r="F8435" s="5"/>
      <c r="G8435" s="17"/>
      <c r="H8435" s="10"/>
      <c r="I8435" s="17"/>
    </row>
    <row r="8436" ht="14.25">
      <c r="A8436" s="5"/>
      <c r="B8436" s="7"/>
      <c r="C8436" s="7"/>
      <c r="D8436" s="7"/>
      <c r="E8436" s="5"/>
      <c r="F8436" s="5"/>
      <c r="G8436" s="17"/>
      <c r="H8436" s="10"/>
      <c r="I8436" s="17"/>
    </row>
    <row r="8437" ht="14.25">
      <c r="A8437" s="5"/>
      <c r="B8437" s="7"/>
      <c r="C8437" s="7"/>
      <c r="D8437" s="7"/>
      <c r="E8437" s="5"/>
      <c r="F8437" s="5"/>
      <c r="G8437" s="17"/>
      <c r="H8437" s="10"/>
      <c r="I8437" s="17"/>
    </row>
    <row r="8438" ht="14.25">
      <c r="A8438" s="5"/>
      <c r="B8438" s="7"/>
      <c r="C8438" s="7"/>
      <c r="D8438" s="7"/>
      <c r="E8438" s="5"/>
      <c r="F8438" s="5"/>
      <c r="G8438" s="17"/>
      <c r="H8438" s="10"/>
      <c r="I8438" s="17"/>
    </row>
    <row r="8439" ht="14.25">
      <c r="A8439" s="5"/>
      <c r="B8439" s="7"/>
      <c r="C8439" s="7"/>
      <c r="D8439" s="7"/>
      <c r="E8439" s="5"/>
      <c r="F8439" s="5"/>
      <c r="G8439" s="17"/>
      <c r="H8439" s="10"/>
      <c r="I8439" s="17"/>
    </row>
    <row r="8440" ht="14.25">
      <c r="A8440" s="5"/>
      <c r="B8440" s="7"/>
      <c r="C8440" s="7"/>
      <c r="D8440" s="7"/>
      <c r="E8440" s="5"/>
      <c r="F8440" s="5"/>
      <c r="G8440" s="17"/>
      <c r="H8440" s="10"/>
      <c r="I8440" s="17"/>
    </row>
    <row r="8441" ht="14.25">
      <c r="A8441" s="5"/>
      <c r="B8441" s="7"/>
      <c r="C8441" s="7"/>
      <c r="D8441" s="7"/>
      <c r="E8441" s="5"/>
      <c r="F8441" s="5"/>
      <c r="G8441" s="17"/>
      <c r="H8441" s="10"/>
      <c r="I8441" s="17"/>
    </row>
    <row r="8442" ht="14.25">
      <c r="A8442" s="5"/>
      <c r="B8442" s="7"/>
      <c r="C8442" s="7"/>
      <c r="D8442" s="7"/>
      <c r="E8442" s="5"/>
      <c r="F8442" s="5"/>
      <c r="G8442" s="17"/>
      <c r="H8442" s="10"/>
      <c r="I8442" s="17"/>
    </row>
    <row r="8443" ht="14.25">
      <c r="A8443" s="5"/>
      <c r="B8443" s="7"/>
      <c r="C8443" s="7"/>
      <c r="D8443" s="7"/>
      <c r="E8443" s="5"/>
      <c r="F8443" s="5"/>
      <c r="G8443" s="17"/>
      <c r="H8443" s="10"/>
      <c r="I8443" s="17"/>
    </row>
    <row r="8444" ht="14.25">
      <c r="A8444" s="5"/>
      <c r="B8444" s="7"/>
      <c r="C8444" s="7"/>
      <c r="D8444" s="7"/>
      <c r="E8444" s="5"/>
      <c r="F8444" s="5"/>
      <c r="G8444" s="17"/>
      <c r="H8444" s="10"/>
      <c r="I8444" s="17"/>
    </row>
    <row r="8445" ht="14.25">
      <c r="A8445" s="5"/>
      <c r="B8445" s="7"/>
      <c r="C8445" s="7"/>
      <c r="D8445" s="7"/>
      <c r="E8445" s="5"/>
      <c r="F8445" s="5"/>
      <c r="G8445" s="17"/>
      <c r="H8445" s="10"/>
      <c r="I8445" s="17"/>
    </row>
    <row r="8446" ht="14.25">
      <c r="A8446" s="5"/>
      <c r="B8446" s="7"/>
      <c r="C8446" s="7"/>
      <c r="D8446" s="7"/>
      <c r="E8446" s="5"/>
      <c r="F8446" s="5"/>
      <c r="G8446" s="17"/>
      <c r="H8446" s="10"/>
      <c r="I8446" s="17"/>
    </row>
    <row r="8447" ht="14.25">
      <c r="A8447" s="5"/>
      <c r="B8447" s="7"/>
      <c r="C8447" s="7"/>
      <c r="D8447" s="7"/>
      <c r="E8447" s="5"/>
      <c r="F8447" s="5"/>
      <c r="G8447" s="17"/>
      <c r="H8447" s="10"/>
      <c r="I8447" s="17"/>
    </row>
    <row r="8448" ht="14.25">
      <c r="A8448" s="5"/>
      <c r="B8448" s="7"/>
      <c r="C8448" s="7"/>
      <c r="D8448" s="7"/>
      <c r="E8448" s="5"/>
      <c r="F8448" s="5"/>
      <c r="G8448" s="17"/>
      <c r="H8448" s="10"/>
      <c r="I8448" s="17"/>
    </row>
    <row r="8449" ht="14.25">
      <c r="A8449" s="5"/>
      <c r="B8449" s="7"/>
      <c r="C8449" s="7"/>
      <c r="D8449" s="7"/>
      <c r="E8449" s="5"/>
      <c r="F8449" s="5"/>
      <c r="G8449" s="17"/>
      <c r="H8449" s="10"/>
      <c r="I8449" s="17"/>
    </row>
    <row r="8450" ht="14.25">
      <c r="A8450" s="5"/>
      <c r="B8450" s="7"/>
      <c r="C8450" s="7"/>
      <c r="D8450" s="7"/>
      <c r="E8450" s="5"/>
      <c r="F8450" s="5"/>
      <c r="G8450" s="17"/>
      <c r="H8450" s="10"/>
      <c r="I8450" s="17"/>
    </row>
    <row r="8451" ht="14.25">
      <c r="A8451" s="5"/>
      <c r="B8451" s="7"/>
      <c r="C8451" s="7"/>
      <c r="D8451" s="7"/>
      <c r="E8451" s="5"/>
      <c r="F8451" s="5"/>
      <c r="G8451" s="17"/>
      <c r="H8451" s="10"/>
      <c r="I8451" s="17"/>
    </row>
    <row r="8452" ht="14.25">
      <c r="A8452" s="5"/>
      <c r="B8452" s="7"/>
      <c r="C8452" s="7"/>
      <c r="D8452" s="7"/>
      <c r="E8452" s="5"/>
      <c r="F8452" s="5"/>
      <c r="G8452" s="17"/>
      <c r="H8452" s="10"/>
      <c r="I8452" s="17"/>
    </row>
    <row r="8453" ht="14.25">
      <c r="A8453" s="5"/>
      <c r="B8453" s="7"/>
      <c r="C8453" s="7"/>
      <c r="D8453" s="7"/>
      <c r="E8453" s="5"/>
      <c r="F8453" s="5"/>
      <c r="G8453" s="17"/>
      <c r="H8453" s="10"/>
      <c r="I8453" s="17"/>
    </row>
    <row r="8454" ht="14.25">
      <c r="A8454" s="5"/>
      <c r="B8454" s="7"/>
      <c r="C8454" s="7"/>
      <c r="D8454" s="7"/>
      <c r="E8454" s="5"/>
      <c r="F8454" s="5"/>
      <c r="G8454" s="17"/>
      <c r="H8454" s="10"/>
      <c r="I8454" s="17"/>
    </row>
    <row r="8455" ht="14.25">
      <c r="A8455" s="5"/>
      <c r="B8455" s="7"/>
      <c r="C8455" s="7"/>
      <c r="D8455" s="7"/>
      <c r="E8455" s="5"/>
      <c r="F8455" s="5"/>
      <c r="G8455" s="17"/>
      <c r="H8455" s="10"/>
      <c r="I8455" s="17"/>
    </row>
    <row r="8456" ht="14.25">
      <c r="A8456" s="5"/>
      <c r="B8456" s="7"/>
      <c r="C8456" s="7"/>
      <c r="D8456" s="7"/>
      <c r="E8456" s="5"/>
      <c r="F8456" s="5"/>
      <c r="G8456" s="17"/>
      <c r="H8456" s="10"/>
      <c r="I8456" s="17"/>
    </row>
    <row r="8457" ht="14.25">
      <c r="A8457" s="5"/>
      <c r="B8457" s="7"/>
      <c r="C8457" s="7"/>
      <c r="D8457" s="7"/>
      <c r="E8457" s="5"/>
      <c r="F8457" s="5"/>
      <c r="G8457" s="17"/>
      <c r="H8457" s="10"/>
      <c r="I8457" s="17"/>
    </row>
    <row r="8458" ht="14.25">
      <c r="A8458" s="5"/>
      <c r="B8458" s="7"/>
      <c r="C8458" s="7"/>
      <c r="D8458" s="7"/>
      <c r="E8458" s="5"/>
      <c r="F8458" s="5"/>
      <c r="G8458" s="17"/>
      <c r="H8458" s="10"/>
      <c r="I8458" s="17"/>
    </row>
    <row r="8459" ht="14.25">
      <c r="A8459" s="5"/>
      <c r="B8459" s="7"/>
      <c r="C8459" s="7"/>
      <c r="D8459" s="7"/>
      <c r="E8459" s="5"/>
      <c r="F8459" s="5"/>
      <c r="G8459" s="17"/>
      <c r="H8459" s="10"/>
      <c r="I8459" s="17"/>
    </row>
    <row r="8460" ht="14.25">
      <c r="A8460" s="5"/>
      <c r="B8460" s="7"/>
      <c r="C8460" s="7"/>
      <c r="D8460" s="7"/>
      <c r="E8460" s="5"/>
      <c r="F8460" s="5"/>
      <c r="G8460" s="17"/>
      <c r="H8460" s="10"/>
      <c r="I8460" s="17"/>
    </row>
    <row r="8461" ht="14.25">
      <c r="A8461" s="5"/>
      <c r="B8461" s="7"/>
      <c r="C8461" s="7"/>
      <c r="D8461" s="7"/>
      <c r="E8461" s="5"/>
      <c r="F8461" s="5"/>
      <c r="G8461" s="17"/>
      <c r="H8461" s="10"/>
      <c r="I8461" s="17"/>
    </row>
    <row r="8462" ht="14.25">
      <c r="A8462" s="5"/>
      <c r="B8462" s="7"/>
      <c r="C8462" s="7"/>
      <c r="D8462" s="7"/>
      <c r="E8462" s="5"/>
      <c r="F8462" s="5"/>
      <c r="G8462" s="17"/>
      <c r="H8462" s="10"/>
      <c r="I8462" s="17"/>
    </row>
    <row r="8463" ht="14.25">
      <c r="A8463" s="5"/>
      <c r="B8463" s="7"/>
      <c r="C8463" s="7"/>
      <c r="D8463" s="7"/>
      <c r="E8463" s="5"/>
      <c r="F8463" s="5"/>
      <c r="G8463" s="17"/>
      <c r="H8463" s="10"/>
      <c r="I8463" s="17"/>
    </row>
    <row r="8464" ht="14.25">
      <c r="A8464" s="5"/>
      <c r="B8464" s="7"/>
      <c r="C8464" s="7"/>
      <c r="D8464" s="7"/>
      <c r="E8464" s="5"/>
      <c r="F8464" s="5"/>
      <c r="G8464" s="17"/>
      <c r="H8464" s="10"/>
      <c r="I8464" s="17"/>
    </row>
    <row r="8465" ht="14.25">
      <c r="A8465" s="5"/>
      <c r="B8465" s="7"/>
      <c r="C8465" s="7"/>
      <c r="D8465" s="7"/>
      <c r="E8465" s="5"/>
      <c r="F8465" s="5"/>
      <c r="G8465" s="17"/>
      <c r="H8465" s="10"/>
      <c r="I8465" s="17"/>
    </row>
    <row r="8466" ht="14.25">
      <c r="A8466" s="5"/>
      <c r="B8466" s="7"/>
      <c r="C8466" s="7"/>
      <c r="D8466" s="7"/>
      <c r="E8466" s="5"/>
      <c r="F8466" s="5"/>
      <c r="G8466" s="17"/>
      <c r="H8466" s="10"/>
      <c r="I8466" s="17"/>
    </row>
    <row r="8467" ht="14.25">
      <c r="A8467" s="5"/>
      <c r="B8467" s="7"/>
      <c r="C8467" s="7"/>
      <c r="D8467" s="7"/>
      <c r="E8467" s="5"/>
      <c r="F8467" s="5"/>
      <c r="G8467" s="17"/>
      <c r="H8467" s="10"/>
      <c r="I8467" s="17"/>
    </row>
    <row r="8468" ht="14.25">
      <c r="A8468" s="5"/>
      <c r="B8468" s="7"/>
      <c r="C8468" s="7"/>
      <c r="D8468" s="7"/>
      <c r="E8468" s="5"/>
      <c r="F8468" s="5"/>
      <c r="G8468" s="17"/>
      <c r="H8468" s="10"/>
      <c r="I8468" s="17"/>
    </row>
    <row r="8469" ht="14.25">
      <c r="A8469" s="5"/>
      <c r="B8469" s="7"/>
      <c r="C8469" s="7"/>
      <c r="D8469" s="7"/>
      <c r="E8469" s="5"/>
      <c r="F8469" s="5"/>
      <c r="G8469" s="17"/>
      <c r="H8469" s="10"/>
      <c r="I8469" s="17"/>
    </row>
    <row r="8470" ht="14.25">
      <c r="A8470" s="5"/>
      <c r="B8470" s="7"/>
      <c r="C8470" s="7"/>
      <c r="D8470" s="7"/>
      <c r="E8470" s="5"/>
      <c r="F8470" s="5"/>
      <c r="G8470" s="17"/>
      <c r="H8470" s="10"/>
      <c r="I8470" s="17"/>
    </row>
    <row r="8471" ht="14.25">
      <c r="A8471" s="5"/>
      <c r="B8471" s="7"/>
      <c r="C8471" s="7"/>
      <c r="D8471" s="7"/>
      <c r="E8471" s="5"/>
      <c r="F8471" s="5"/>
      <c r="G8471" s="17"/>
      <c r="H8471" s="10"/>
      <c r="I8471" s="17"/>
    </row>
    <row r="8472" ht="14.25">
      <c r="A8472" s="5"/>
      <c r="B8472" s="7"/>
      <c r="C8472" s="7"/>
      <c r="D8472" s="7"/>
      <c r="E8472" s="5"/>
      <c r="F8472" s="5"/>
      <c r="G8472" s="17"/>
      <c r="H8472" s="10"/>
      <c r="I8472" s="17"/>
    </row>
    <row r="8473" ht="14.25">
      <c r="A8473" s="5"/>
      <c r="B8473" s="7"/>
      <c r="C8473" s="7"/>
      <c r="D8473" s="7"/>
      <c r="E8473" s="5"/>
      <c r="F8473" s="5"/>
      <c r="G8473" s="17"/>
      <c r="H8473" s="10"/>
      <c r="I8473" s="17"/>
    </row>
    <row r="8474" ht="14.25">
      <c r="A8474" s="5"/>
      <c r="B8474" s="7"/>
      <c r="C8474" s="7"/>
      <c r="D8474" s="7"/>
      <c r="E8474" s="5"/>
      <c r="F8474" s="5"/>
      <c r="G8474" s="17"/>
      <c r="H8474" s="10"/>
      <c r="I8474" s="17"/>
    </row>
    <row r="8475" ht="14.25">
      <c r="A8475" s="5"/>
      <c r="B8475" s="7"/>
      <c r="C8475" s="7"/>
      <c r="D8475" s="7"/>
      <c r="E8475" s="5"/>
      <c r="F8475" s="5"/>
      <c r="G8475" s="17"/>
      <c r="H8475" s="10"/>
      <c r="I8475" s="17"/>
    </row>
    <row r="8476" ht="14.25">
      <c r="A8476" s="5"/>
      <c r="B8476" s="7"/>
      <c r="C8476" s="7"/>
      <c r="D8476" s="7"/>
      <c r="E8476" s="5"/>
      <c r="F8476" s="5"/>
      <c r="G8476" s="17"/>
      <c r="H8476" s="10"/>
      <c r="I8476" s="17"/>
    </row>
    <row r="8477" ht="14.25">
      <c r="A8477" s="5"/>
      <c r="B8477" s="7"/>
      <c r="C8477" s="7"/>
      <c r="D8477" s="7"/>
      <c r="E8477" s="5"/>
      <c r="F8477" s="5"/>
      <c r="G8477" s="17"/>
      <c r="H8477" s="10"/>
      <c r="I8477" s="17"/>
    </row>
    <row r="8478" ht="14.25">
      <c r="A8478" s="5"/>
      <c r="B8478" s="7"/>
      <c r="C8478" s="7"/>
      <c r="D8478" s="7"/>
      <c r="E8478" s="5"/>
      <c r="F8478" s="5"/>
      <c r="G8478" s="17"/>
      <c r="H8478" s="10"/>
      <c r="I8478" s="17"/>
    </row>
    <row r="8479" ht="14.25">
      <c r="A8479" s="5"/>
      <c r="B8479" s="7"/>
      <c r="C8479" s="7"/>
      <c r="D8479" s="7"/>
      <c r="E8479" s="5"/>
      <c r="F8479" s="5"/>
      <c r="G8479" s="17"/>
      <c r="H8479" s="10"/>
      <c r="I8479" s="17"/>
    </row>
    <row r="8480" ht="14.25">
      <c r="A8480" s="5"/>
      <c r="B8480" s="7"/>
      <c r="C8480" s="7"/>
      <c r="D8480" s="7"/>
      <c r="E8480" s="5"/>
      <c r="F8480" s="5"/>
      <c r="G8480" s="17"/>
      <c r="H8480" s="10"/>
      <c r="I8480" s="17"/>
    </row>
    <row r="8481" ht="14.25">
      <c r="A8481" s="5"/>
      <c r="B8481" s="7"/>
      <c r="C8481" s="7"/>
      <c r="D8481" s="7"/>
      <c r="E8481" s="5"/>
      <c r="F8481" s="5"/>
      <c r="G8481" s="17"/>
      <c r="H8481" s="10"/>
      <c r="I8481" s="17"/>
    </row>
    <row r="8482" ht="14.25">
      <c r="A8482" s="5"/>
      <c r="B8482" s="7"/>
      <c r="C8482" s="7"/>
      <c r="D8482" s="7"/>
      <c r="E8482" s="5"/>
      <c r="F8482" s="5"/>
      <c r="G8482" s="17"/>
      <c r="H8482" s="10"/>
      <c r="I8482" s="17"/>
    </row>
    <row r="8483" ht="14.25">
      <c r="A8483" s="5"/>
      <c r="B8483" s="7"/>
      <c r="C8483" s="7"/>
      <c r="D8483" s="7"/>
      <c r="E8483" s="5"/>
      <c r="F8483" s="5"/>
      <c r="G8483" s="17"/>
      <c r="H8483" s="10"/>
      <c r="I8483" s="17"/>
    </row>
    <row r="8484" ht="14.25">
      <c r="A8484" s="5"/>
      <c r="B8484" s="7"/>
      <c r="C8484" s="7"/>
      <c r="D8484" s="7"/>
      <c r="E8484" s="5"/>
      <c r="F8484" s="5"/>
      <c r="G8484" s="17"/>
      <c r="H8484" s="10"/>
      <c r="I8484" s="17"/>
    </row>
    <row r="8485" ht="14.25">
      <c r="A8485" s="5"/>
      <c r="B8485" s="7"/>
      <c r="C8485" s="7"/>
      <c r="D8485" s="7"/>
      <c r="E8485" s="5"/>
      <c r="F8485" s="5"/>
      <c r="G8485" s="17"/>
      <c r="H8485" s="10"/>
      <c r="I8485" s="17"/>
    </row>
    <row r="8486" ht="14.25">
      <c r="A8486" s="5"/>
      <c r="B8486" s="7"/>
      <c r="C8486" s="7"/>
      <c r="D8486" s="7"/>
      <c r="E8486" s="5"/>
      <c r="F8486" s="5"/>
      <c r="G8486" s="17"/>
      <c r="H8486" s="10"/>
      <c r="I8486" s="17"/>
    </row>
    <row r="8487" ht="14.25">
      <c r="A8487" s="5"/>
      <c r="B8487" s="7"/>
      <c r="C8487" s="7"/>
      <c r="D8487" s="7"/>
      <c r="E8487" s="5"/>
      <c r="F8487" s="5"/>
      <c r="G8487" s="17"/>
      <c r="H8487" s="10"/>
      <c r="I8487" s="17"/>
    </row>
    <row r="8488" ht="14.25">
      <c r="A8488" s="5"/>
      <c r="B8488" s="7"/>
      <c r="C8488" s="7"/>
      <c r="D8488" s="7"/>
      <c r="E8488" s="5"/>
      <c r="F8488" s="5"/>
      <c r="G8488" s="17"/>
      <c r="H8488" s="10"/>
      <c r="I8488" s="17"/>
    </row>
    <row r="8489" ht="14.25">
      <c r="A8489" s="5"/>
      <c r="B8489" s="7"/>
      <c r="C8489" s="7"/>
      <c r="D8489" s="7"/>
      <c r="E8489" s="5"/>
      <c r="F8489" s="5"/>
      <c r="G8489" s="17"/>
      <c r="H8489" s="10"/>
      <c r="I8489" s="17"/>
    </row>
    <row r="8490" ht="14.25">
      <c r="A8490" s="5"/>
      <c r="B8490" s="7"/>
      <c r="C8490" s="7"/>
      <c r="D8490" s="7"/>
      <c r="E8490" s="5"/>
      <c r="F8490" s="5"/>
      <c r="G8490" s="17"/>
      <c r="H8490" s="10"/>
      <c r="I8490" s="17"/>
    </row>
    <row r="8491" ht="14.25">
      <c r="A8491" s="5"/>
      <c r="B8491" s="7"/>
      <c r="C8491" s="7"/>
      <c r="D8491" s="7"/>
      <c r="E8491" s="5"/>
      <c r="F8491" s="5"/>
      <c r="G8491" s="17"/>
      <c r="H8491" s="10"/>
      <c r="I8491" s="17"/>
    </row>
    <row r="8492" ht="14.25">
      <c r="A8492" s="5"/>
      <c r="B8492" s="7"/>
      <c r="C8492" s="7"/>
      <c r="D8492" s="7"/>
      <c r="E8492" s="5"/>
      <c r="F8492" s="5"/>
      <c r="G8492" s="17"/>
      <c r="H8492" s="10"/>
      <c r="I8492" s="17"/>
    </row>
    <row r="8493" ht="14.25">
      <c r="A8493" s="5"/>
      <c r="B8493" s="7"/>
      <c r="C8493" s="7"/>
      <c r="D8493" s="7"/>
      <c r="E8493" s="5"/>
      <c r="F8493" s="5"/>
      <c r="G8493" s="17"/>
      <c r="H8493" s="10"/>
      <c r="I8493" s="17"/>
    </row>
    <row r="8494" ht="14.25">
      <c r="A8494" s="5"/>
      <c r="B8494" s="7"/>
      <c r="C8494" s="7"/>
      <c r="D8494" s="7"/>
      <c r="E8494" s="5"/>
      <c r="F8494" s="5"/>
      <c r="G8494" s="17"/>
      <c r="H8494" s="10"/>
      <c r="I8494" s="17"/>
    </row>
    <row r="8495" ht="14.25">
      <c r="A8495" s="5"/>
      <c r="B8495" s="7"/>
      <c r="C8495" s="7"/>
      <c r="D8495" s="7"/>
      <c r="E8495" s="5"/>
      <c r="F8495" s="5"/>
      <c r="G8495" s="17"/>
      <c r="H8495" s="10"/>
      <c r="I8495" s="17"/>
    </row>
    <row r="8496" ht="14.25">
      <c r="A8496" s="5"/>
      <c r="B8496" s="7"/>
      <c r="C8496" s="7"/>
      <c r="D8496" s="7"/>
      <c r="E8496" s="5"/>
      <c r="F8496" s="5"/>
      <c r="G8496" s="17"/>
      <c r="H8496" s="10"/>
      <c r="I8496" s="17"/>
    </row>
    <row r="8497" ht="14.25">
      <c r="A8497" s="5"/>
      <c r="B8497" s="7"/>
      <c r="C8497" s="7"/>
      <c r="D8497" s="7"/>
      <c r="E8497" s="5"/>
      <c r="F8497" s="5"/>
      <c r="G8497" s="17"/>
      <c r="H8497" s="10"/>
      <c r="I8497" s="17"/>
    </row>
    <row r="8498" ht="14.25">
      <c r="A8498" s="5"/>
      <c r="B8498" s="7"/>
      <c r="C8498" s="7"/>
      <c r="D8498" s="7"/>
      <c r="E8498" s="5"/>
      <c r="F8498" s="5"/>
      <c r="G8498" s="17"/>
      <c r="H8498" s="10"/>
      <c r="I8498" s="17"/>
    </row>
    <row r="8499" ht="14.25">
      <c r="A8499" s="5"/>
      <c r="B8499" s="7"/>
      <c r="C8499" s="7"/>
      <c r="D8499" s="7"/>
      <c r="E8499" s="5"/>
      <c r="F8499" s="5"/>
      <c r="G8499" s="17"/>
      <c r="H8499" s="10"/>
      <c r="I8499" s="17"/>
    </row>
    <row r="8500" ht="14.25">
      <c r="A8500" s="5"/>
      <c r="B8500" s="7"/>
      <c r="C8500" s="7"/>
      <c r="D8500" s="7"/>
      <c r="E8500" s="5"/>
      <c r="F8500" s="5"/>
      <c r="G8500" s="17"/>
      <c r="H8500" s="10"/>
      <c r="I8500" s="17"/>
    </row>
    <row r="8501" ht="14.25">
      <c r="A8501" s="5"/>
      <c r="B8501" s="7"/>
      <c r="C8501" s="7"/>
      <c r="D8501" s="7"/>
      <c r="E8501" s="5"/>
      <c r="F8501" s="5"/>
      <c r="G8501" s="17"/>
      <c r="H8501" s="10"/>
      <c r="I8501" s="17"/>
    </row>
    <row r="8502" ht="14.25">
      <c r="A8502" s="5"/>
      <c r="B8502" s="7"/>
      <c r="C8502" s="7"/>
      <c r="D8502" s="7"/>
      <c r="E8502" s="5"/>
      <c r="F8502" s="5"/>
      <c r="G8502" s="17"/>
      <c r="H8502" s="10"/>
      <c r="I8502" s="17"/>
    </row>
    <row r="8503" ht="14.25">
      <c r="A8503" s="5"/>
      <c r="B8503" s="7"/>
      <c r="C8503" s="7"/>
      <c r="D8503" s="7"/>
      <c r="E8503" s="5"/>
      <c r="F8503" s="5"/>
      <c r="G8503" s="17"/>
      <c r="H8503" s="10"/>
      <c r="I8503" s="17"/>
    </row>
    <row r="8504" ht="14.25">
      <c r="A8504" s="5"/>
      <c r="B8504" s="7"/>
      <c r="C8504" s="7"/>
      <c r="D8504" s="7"/>
      <c r="E8504" s="5"/>
      <c r="F8504" s="5"/>
      <c r="G8504" s="17"/>
      <c r="H8504" s="10"/>
      <c r="I8504" s="17"/>
    </row>
    <row r="8505" ht="14.25">
      <c r="A8505" s="5"/>
      <c r="B8505" s="7"/>
      <c r="C8505" s="7"/>
      <c r="D8505" s="7"/>
      <c r="E8505" s="5"/>
      <c r="F8505" s="5"/>
      <c r="G8505" s="17"/>
      <c r="H8505" s="10"/>
      <c r="I8505" s="17"/>
    </row>
    <row r="8506" ht="14.25">
      <c r="A8506" s="5"/>
      <c r="B8506" s="7"/>
      <c r="C8506" s="7"/>
      <c r="D8506" s="7"/>
      <c r="E8506" s="5"/>
      <c r="F8506" s="5"/>
      <c r="G8506" s="17"/>
      <c r="H8506" s="10"/>
      <c r="I8506" s="17"/>
    </row>
    <row r="8507" ht="14.25">
      <c r="A8507" s="5"/>
      <c r="B8507" s="7"/>
      <c r="C8507" s="7"/>
      <c r="D8507" s="7"/>
      <c r="E8507" s="5"/>
      <c r="F8507" s="5"/>
      <c r="G8507" s="17"/>
      <c r="H8507" s="10"/>
      <c r="I8507" s="17"/>
    </row>
    <row r="8508" ht="14.25">
      <c r="A8508" s="5"/>
      <c r="B8508" s="7"/>
      <c r="C8508" s="7"/>
      <c r="D8508" s="7"/>
      <c r="E8508" s="5"/>
      <c r="F8508" s="5"/>
      <c r="G8508" s="17"/>
      <c r="H8508" s="10"/>
      <c r="I8508" s="17"/>
    </row>
    <row r="8509" ht="14.25">
      <c r="A8509" s="5"/>
      <c r="B8509" s="7"/>
      <c r="C8509" s="7"/>
      <c r="D8509" s="7"/>
      <c r="E8509" s="5"/>
      <c r="F8509" s="5"/>
      <c r="G8509" s="17"/>
      <c r="H8509" s="10"/>
      <c r="I8509" s="17"/>
    </row>
    <row r="8510" ht="14.25">
      <c r="A8510" s="5"/>
      <c r="B8510" s="7"/>
      <c r="C8510" s="7"/>
      <c r="D8510" s="7"/>
      <c r="E8510" s="5"/>
      <c r="F8510" s="5"/>
      <c r="G8510" s="17"/>
      <c r="H8510" s="10"/>
      <c r="I8510" s="17"/>
    </row>
    <row r="8511" ht="14.25">
      <c r="A8511" s="5"/>
      <c r="B8511" s="7"/>
      <c r="C8511" s="7"/>
      <c r="D8511" s="7"/>
      <c r="E8511" s="5"/>
      <c r="F8511" s="5"/>
      <c r="G8511" s="17"/>
      <c r="H8511" s="10"/>
      <c r="I8511" s="17"/>
    </row>
    <row r="8512" ht="14.25">
      <c r="A8512" s="5"/>
      <c r="B8512" s="7"/>
      <c r="C8512" s="7"/>
      <c r="D8512" s="7"/>
      <c r="E8512" s="5"/>
      <c r="F8512" s="5"/>
      <c r="G8512" s="17"/>
      <c r="H8512" s="10"/>
      <c r="I8512" s="17"/>
    </row>
    <row r="8513" ht="14.25">
      <c r="A8513" s="5"/>
      <c r="B8513" s="7"/>
      <c r="C8513" s="7"/>
      <c r="D8513" s="7"/>
      <c r="E8513" s="5"/>
      <c r="F8513" s="5"/>
      <c r="G8513" s="17"/>
      <c r="H8513" s="10"/>
      <c r="I8513" s="17"/>
    </row>
    <row r="8514" ht="14.25">
      <c r="A8514" s="5"/>
      <c r="B8514" s="7"/>
      <c r="C8514" s="7"/>
      <c r="D8514" s="7"/>
      <c r="E8514" s="5"/>
      <c r="F8514" s="5"/>
      <c r="G8514" s="17"/>
      <c r="H8514" s="10"/>
      <c r="I8514" s="17"/>
    </row>
    <row r="8515" ht="14.25">
      <c r="A8515" s="5"/>
      <c r="B8515" s="7"/>
      <c r="C8515" s="7"/>
      <c r="D8515" s="7"/>
      <c r="E8515" s="5"/>
      <c r="F8515" s="5"/>
      <c r="G8515" s="17"/>
      <c r="H8515" s="10"/>
      <c r="I8515" s="17"/>
    </row>
    <row r="8516" ht="14.25">
      <c r="A8516" s="5"/>
      <c r="B8516" s="7"/>
      <c r="C8516" s="7"/>
      <c r="D8516" s="7"/>
      <c r="E8516" s="5"/>
      <c r="F8516" s="5"/>
      <c r="G8516" s="17"/>
      <c r="H8516" s="10"/>
      <c r="I8516" s="17"/>
    </row>
    <row r="8517" ht="14.25">
      <c r="A8517" s="5"/>
      <c r="B8517" s="7"/>
      <c r="C8517" s="7"/>
      <c r="D8517" s="7"/>
      <c r="E8517" s="5"/>
      <c r="F8517" s="5"/>
      <c r="G8517" s="17"/>
      <c r="H8517" s="10"/>
      <c r="I8517" s="17"/>
    </row>
    <row r="8518" ht="14.25">
      <c r="A8518" s="5"/>
      <c r="B8518" s="7"/>
      <c r="C8518" s="7"/>
      <c r="D8518" s="7"/>
      <c r="E8518" s="5"/>
      <c r="F8518" s="5"/>
      <c r="G8518" s="17"/>
      <c r="H8518" s="10"/>
      <c r="I8518" s="17"/>
    </row>
    <row r="8519" ht="14.25">
      <c r="A8519" s="5"/>
      <c r="B8519" s="7"/>
      <c r="C8519" s="7"/>
      <c r="D8519" s="7"/>
      <c r="E8519" s="5"/>
      <c r="F8519" s="5"/>
      <c r="G8519" s="17"/>
      <c r="H8519" s="10"/>
      <c r="I8519" s="17"/>
    </row>
    <row r="8520" ht="14.25">
      <c r="A8520" s="5"/>
      <c r="B8520" s="7"/>
      <c r="C8520" s="7"/>
      <c r="D8520" s="7"/>
      <c r="E8520" s="5"/>
      <c r="F8520" s="5"/>
      <c r="G8520" s="17"/>
      <c r="H8520" s="10"/>
      <c r="I8520" s="17"/>
    </row>
    <row r="8521" ht="14.25">
      <c r="A8521" s="5"/>
      <c r="B8521" s="7"/>
      <c r="C8521" s="7"/>
      <c r="D8521" s="7"/>
      <c r="E8521" s="5"/>
      <c r="F8521" s="5"/>
      <c r="G8521" s="17"/>
      <c r="H8521" s="10"/>
      <c r="I8521" s="17"/>
    </row>
    <row r="8522" ht="14.25">
      <c r="A8522" s="5"/>
      <c r="B8522" s="7"/>
      <c r="C8522" s="7"/>
      <c r="D8522" s="7"/>
      <c r="E8522" s="5"/>
      <c r="F8522" s="5"/>
      <c r="G8522" s="17"/>
      <c r="H8522" s="10"/>
      <c r="I8522" s="17"/>
    </row>
    <row r="8523" ht="14.25">
      <c r="A8523" s="5"/>
      <c r="B8523" s="7"/>
      <c r="C8523" s="7"/>
      <c r="D8523" s="7"/>
      <c r="E8523" s="5"/>
      <c r="F8523" s="5"/>
      <c r="G8523" s="17"/>
      <c r="H8523" s="10"/>
      <c r="I8523" s="17"/>
    </row>
    <row r="8524" ht="14.25">
      <c r="A8524" s="5"/>
      <c r="B8524" s="7"/>
      <c r="C8524" s="7"/>
      <c r="D8524" s="7"/>
      <c r="E8524" s="5"/>
      <c r="F8524" s="5"/>
      <c r="G8524" s="17"/>
      <c r="H8524" s="10"/>
      <c r="I8524" s="17"/>
    </row>
    <row r="8525" ht="14.25">
      <c r="A8525" s="5"/>
      <c r="B8525" s="7"/>
      <c r="C8525" s="7"/>
      <c r="D8525" s="7"/>
      <c r="E8525" s="5"/>
      <c r="F8525" s="5"/>
      <c r="G8525" s="17"/>
      <c r="H8525" s="10"/>
      <c r="I8525" s="17"/>
    </row>
    <row r="8526" ht="14.25">
      <c r="A8526" s="5"/>
      <c r="B8526" s="7"/>
      <c r="C8526" s="7"/>
      <c r="D8526" s="7"/>
      <c r="E8526" s="5"/>
      <c r="F8526" s="5"/>
      <c r="G8526" s="17"/>
      <c r="H8526" s="10"/>
      <c r="I8526" s="17"/>
    </row>
    <row r="8527" ht="14.25">
      <c r="A8527" s="5"/>
      <c r="B8527" s="7"/>
      <c r="C8527" s="7"/>
      <c r="D8527" s="7"/>
      <c r="E8527" s="5"/>
      <c r="F8527" s="5"/>
      <c r="G8527" s="17"/>
      <c r="H8527" s="10"/>
      <c r="I8527" s="17"/>
    </row>
    <row r="8528" ht="14.25">
      <c r="A8528" s="5"/>
      <c r="B8528" s="7"/>
      <c r="C8528" s="7"/>
      <c r="D8528" s="7"/>
      <c r="E8528" s="5"/>
      <c r="F8528" s="5"/>
      <c r="G8528" s="17"/>
      <c r="H8528" s="10"/>
      <c r="I8528" s="17"/>
    </row>
    <row r="8529" ht="14.25">
      <c r="A8529" s="5"/>
      <c r="B8529" s="7"/>
      <c r="C8529" s="7"/>
      <c r="D8529" s="7"/>
      <c r="E8529" s="5"/>
      <c r="F8529" s="5"/>
      <c r="G8529" s="17"/>
      <c r="H8529" s="10"/>
      <c r="I8529" s="17"/>
    </row>
    <row r="8530" ht="14.25">
      <c r="A8530" s="5"/>
      <c r="B8530" s="7"/>
      <c r="C8530" s="7"/>
      <c r="D8530" s="7"/>
      <c r="E8530" s="5"/>
      <c r="F8530" s="5"/>
      <c r="G8530" s="17"/>
      <c r="H8530" s="10"/>
      <c r="I8530" s="17"/>
    </row>
    <row r="8531" ht="14.25">
      <c r="A8531" s="5"/>
      <c r="B8531" s="7"/>
      <c r="C8531" s="7"/>
      <c r="D8531" s="7"/>
      <c r="E8531" s="5"/>
      <c r="F8531" s="5"/>
      <c r="G8531" s="17"/>
      <c r="H8531" s="10"/>
      <c r="I8531" s="17"/>
    </row>
    <row r="8532" ht="14.25">
      <c r="A8532" s="5"/>
      <c r="B8532" s="7"/>
      <c r="C8532" s="7"/>
      <c r="D8532" s="7"/>
      <c r="E8532" s="5"/>
      <c r="F8532" s="5"/>
      <c r="G8532" s="17"/>
      <c r="H8532" s="10"/>
      <c r="I8532" s="17"/>
    </row>
    <row r="8533" ht="14.25">
      <c r="A8533" s="5"/>
      <c r="B8533" s="7"/>
      <c r="C8533" s="7"/>
      <c r="D8533" s="7"/>
      <c r="E8533" s="5"/>
      <c r="F8533" s="5"/>
      <c r="G8533" s="17"/>
      <c r="H8533" s="10"/>
      <c r="I8533" s="17"/>
    </row>
    <row r="8534" ht="14.25">
      <c r="A8534" s="5"/>
      <c r="B8534" s="7"/>
      <c r="C8534" s="7"/>
      <c r="D8534" s="7"/>
      <c r="E8534" s="5"/>
      <c r="F8534" s="5"/>
      <c r="G8534" s="17"/>
      <c r="H8534" s="10"/>
      <c r="I8534" s="17"/>
    </row>
    <row r="8535" ht="14.25">
      <c r="A8535" s="5"/>
      <c r="B8535" s="7"/>
      <c r="C8535" s="7"/>
      <c r="D8535" s="7"/>
      <c r="E8535" s="5"/>
      <c r="F8535" s="5"/>
      <c r="G8535" s="17"/>
      <c r="H8535" s="10"/>
      <c r="I8535" s="17"/>
    </row>
    <row r="8536" ht="14.25">
      <c r="A8536" s="5"/>
      <c r="B8536" s="7"/>
      <c r="C8536" s="7"/>
      <c r="D8536" s="7"/>
      <c r="E8536" s="5"/>
      <c r="F8536" s="5"/>
      <c r="G8536" s="17"/>
      <c r="H8536" s="10"/>
      <c r="I8536" s="17"/>
    </row>
    <row r="8537" ht="14.25">
      <c r="A8537" s="5"/>
      <c r="B8537" s="7"/>
      <c r="C8537" s="7"/>
      <c r="D8537" s="7"/>
      <c r="E8537" s="5"/>
      <c r="F8537" s="5"/>
      <c r="G8537" s="17"/>
      <c r="H8537" s="10"/>
      <c r="I8537" s="17"/>
    </row>
    <row r="8538" ht="14.25">
      <c r="A8538" s="5"/>
      <c r="B8538" s="7"/>
      <c r="C8538" s="7"/>
      <c r="D8538" s="7"/>
      <c r="E8538" s="5"/>
      <c r="F8538" s="5"/>
      <c r="G8538" s="17"/>
      <c r="H8538" s="10"/>
      <c r="I8538" s="17"/>
    </row>
    <row r="8539" ht="14.25">
      <c r="A8539" s="5"/>
      <c r="B8539" s="7"/>
      <c r="C8539" s="7"/>
      <c r="D8539" s="7"/>
      <c r="E8539" s="5"/>
      <c r="F8539" s="5"/>
      <c r="G8539" s="17"/>
      <c r="H8539" s="10"/>
      <c r="I8539" s="17"/>
    </row>
    <row r="8540" ht="14.25">
      <c r="A8540" s="5"/>
      <c r="B8540" s="7"/>
      <c r="C8540" s="7"/>
      <c r="D8540" s="7"/>
      <c r="E8540" s="5"/>
      <c r="F8540" s="5"/>
      <c r="G8540" s="17"/>
      <c r="H8540" s="10"/>
      <c r="I8540" s="17"/>
    </row>
    <row r="8541" ht="14.25">
      <c r="A8541" s="5"/>
      <c r="B8541" s="7"/>
      <c r="C8541" s="7"/>
      <c r="D8541" s="7"/>
      <c r="E8541" s="5"/>
      <c r="F8541" s="5"/>
      <c r="G8541" s="17"/>
      <c r="H8541" s="10"/>
      <c r="I8541" s="17"/>
    </row>
    <row r="8542" ht="14.25">
      <c r="A8542" s="5"/>
      <c r="B8542" s="7"/>
      <c r="C8542" s="7"/>
      <c r="D8542" s="7"/>
      <c r="E8542" s="5"/>
      <c r="F8542" s="5"/>
      <c r="G8542" s="17"/>
      <c r="H8542" s="10"/>
      <c r="I8542" s="17"/>
    </row>
    <row r="8543" ht="14.25">
      <c r="A8543" s="5"/>
      <c r="B8543" s="7"/>
      <c r="C8543" s="7"/>
      <c r="D8543" s="7"/>
      <c r="E8543" s="5"/>
      <c r="F8543" s="5"/>
      <c r="G8543" s="17"/>
      <c r="H8543" s="10"/>
      <c r="I8543" s="17"/>
    </row>
    <row r="8544" ht="14.25">
      <c r="A8544" s="5"/>
      <c r="B8544" s="7"/>
      <c r="C8544" s="7"/>
      <c r="D8544" s="7"/>
      <c r="E8544" s="5"/>
      <c r="F8544" s="5"/>
      <c r="G8544" s="17"/>
      <c r="H8544" s="10"/>
      <c r="I8544" s="17"/>
    </row>
    <row r="8545" ht="14.25">
      <c r="A8545" s="5"/>
      <c r="B8545" s="7"/>
      <c r="C8545" s="7"/>
      <c r="D8545" s="7"/>
      <c r="E8545" s="5"/>
      <c r="F8545" s="5"/>
      <c r="G8545" s="17"/>
      <c r="H8545" s="10"/>
      <c r="I8545" s="17"/>
    </row>
    <row r="8546" ht="14.25">
      <c r="A8546" s="5"/>
      <c r="B8546" s="7"/>
      <c r="C8546" s="7"/>
      <c r="D8546" s="7"/>
      <c r="E8546" s="5"/>
      <c r="F8546" s="5"/>
      <c r="G8546" s="17"/>
      <c r="H8546" s="10"/>
      <c r="I8546" s="17"/>
    </row>
    <row r="8547" ht="14.25">
      <c r="A8547" s="5"/>
      <c r="B8547" s="7"/>
      <c r="C8547" s="7"/>
      <c r="D8547" s="7"/>
      <c r="E8547" s="5"/>
      <c r="F8547" s="5"/>
      <c r="G8547" s="17"/>
      <c r="H8547" s="10"/>
      <c r="I8547" s="17"/>
    </row>
    <row r="8548" ht="14.25">
      <c r="A8548" s="5"/>
      <c r="B8548" s="7"/>
      <c r="C8548" s="7"/>
      <c r="D8548" s="7"/>
      <c r="E8548" s="5"/>
      <c r="F8548" s="5"/>
      <c r="G8548" s="17"/>
      <c r="H8548" s="10"/>
      <c r="I8548" s="17"/>
    </row>
    <row r="8549" ht="14.25">
      <c r="A8549" s="5"/>
      <c r="B8549" s="7"/>
      <c r="C8549" s="7"/>
      <c r="D8549" s="7"/>
      <c r="E8549" s="5"/>
      <c r="F8549" s="5"/>
      <c r="G8549" s="17"/>
      <c r="H8549" s="10"/>
      <c r="I8549" s="17"/>
    </row>
    <row r="8550" ht="14.25">
      <c r="A8550" s="5"/>
      <c r="B8550" s="7"/>
      <c r="C8550" s="7"/>
      <c r="D8550" s="7"/>
      <c r="E8550" s="5"/>
      <c r="F8550" s="5"/>
      <c r="G8550" s="17"/>
      <c r="H8550" s="10"/>
      <c r="I8550" s="17"/>
    </row>
    <row r="8551" ht="14.25">
      <c r="A8551" s="5"/>
      <c r="B8551" s="7"/>
      <c r="C8551" s="7"/>
      <c r="D8551" s="7"/>
      <c r="E8551" s="5"/>
      <c r="F8551" s="5"/>
      <c r="G8551" s="17"/>
      <c r="H8551" s="10"/>
      <c r="I8551" s="17"/>
    </row>
    <row r="8552" ht="14.25">
      <c r="A8552" s="5"/>
      <c r="B8552" s="7"/>
      <c r="C8552" s="7"/>
      <c r="D8552" s="7"/>
      <c r="E8552" s="5"/>
      <c r="F8552" s="5"/>
      <c r="G8552" s="17"/>
      <c r="H8552" s="10"/>
      <c r="I8552" s="17"/>
    </row>
    <row r="8553" ht="14.25">
      <c r="A8553" s="5"/>
      <c r="B8553" s="7"/>
      <c r="C8553" s="7"/>
      <c r="D8553" s="7"/>
      <c r="E8553" s="5"/>
      <c r="F8553" s="5"/>
      <c r="G8553" s="17"/>
      <c r="H8553" s="10"/>
      <c r="I8553" s="17"/>
    </row>
    <row r="8554" ht="14.25">
      <c r="A8554" s="5"/>
      <c r="B8554" s="7"/>
      <c r="C8554" s="7"/>
      <c r="D8554" s="7"/>
      <c r="E8554" s="5"/>
      <c r="F8554" s="5"/>
      <c r="G8554" s="17"/>
      <c r="H8554" s="10"/>
      <c r="I8554" s="17"/>
    </row>
    <row r="8555" ht="14.25">
      <c r="A8555" s="5"/>
      <c r="B8555" s="7"/>
      <c r="C8555" s="7"/>
      <c r="D8555" s="7"/>
      <c r="E8555" s="5"/>
      <c r="F8555" s="5"/>
      <c r="G8555" s="17"/>
      <c r="H8555" s="10"/>
      <c r="I8555" s="17"/>
    </row>
    <row r="8556" ht="14.25">
      <c r="A8556" s="5"/>
      <c r="B8556" s="7"/>
      <c r="C8556" s="7"/>
      <c r="D8556" s="7"/>
      <c r="E8556" s="5"/>
      <c r="F8556" s="5"/>
      <c r="G8556" s="17"/>
      <c r="H8556" s="10"/>
      <c r="I8556" s="17"/>
    </row>
    <row r="8557" ht="14.25">
      <c r="A8557" s="5"/>
      <c r="B8557" s="7"/>
      <c r="C8557" s="7"/>
      <c r="D8557" s="7"/>
      <c r="E8557" s="5"/>
      <c r="F8557" s="5"/>
      <c r="G8557" s="17"/>
      <c r="H8557" s="10"/>
      <c r="I8557" s="17"/>
    </row>
    <row r="8558" ht="14.25">
      <c r="A8558" s="5"/>
      <c r="B8558" s="7"/>
      <c r="C8558" s="7"/>
      <c r="D8558" s="7"/>
      <c r="E8558" s="5"/>
      <c r="F8558" s="5"/>
      <c r="G8558" s="17"/>
      <c r="H8558" s="10"/>
      <c r="I8558" s="17"/>
    </row>
    <row r="8559" ht="14.25">
      <c r="A8559" s="5"/>
      <c r="B8559" s="7"/>
      <c r="C8559" s="7"/>
      <c r="D8559" s="7"/>
      <c r="E8559" s="5"/>
      <c r="F8559" s="5"/>
      <c r="G8559" s="17"/>
      <c r="H8559" s="10"/>
      <c r="I8559" s="17"/>
    </row>
    <row r="8560" ht="14.25">
      <c r="A8560" s="5"/>
      <c r="B8560" s="7"/>
      <c r="C8560" s="7"/>
      <c r="D8560" s="7"/>
      <c r="E8560" s="5"/>
      <c r="F8560" s="5"/>
      <c r="G8560" s="17"/>
      <c r="H8560" s="10"/>
      <c r="I8560" s="17"/>
    </row>
    <row r="8561" ht="14.25">
      <c r="A8561" s="5"/>
      <c r="B8561" s="7"/>
      <c r="C8561" s="7"/>
      <c r="D8561" s="7"/>
      <c r="E8561" s="5"/>
      <c r="F8561" s="5"/>
      <c r="G8561" s="17"/>
      <c r="H8561" s="10"/>
      <c r="I8561" s="17"/>
    </row>
    <row r="8562" ht="14.25">
      <c r="A8562" s="5"/>
      <c r="B8562" s="7"/>
      <c r="C8562" s="7"/>
      <c r="D8562" s="7"/>
      <c r="E8562" s="5"/>
      <c r="F8562" s="5"/>
      <c r="G8562" s="17"/>
      <c r="H8562" s="10"/>
      <c r="I8562" s="17"/>
    </row>
    <row r="8563" ht="14.25">
      <c r="A8563" s="5"/>
      <c r="B8563" s="7"/>
      <c r="C8563" s="7"/>
      <c r="D8563" s="7"/>
      <c r="E8563" s="5"/>
      <c r="F8563" s="5"/>
      <c r="G8563" s="17"/>
      <c r="H8563" s="10"/>
      <c r="I8563" s="17"/>
    </row>
    <row r="8564" ht="14.25">
      <c r="A8564" s="5"/>
      <c r="B8564" s="7"/>
      <c r="C8564" s="7"/>
      <c r="D8564" s="7"/>
      <c r="E8564" s="5"/>
      <c r="F8564" s="5"/>
      <c r="G8564" s="17"/>
      <c r="H8564" s="10"/>
      <c r="I8564" s="17"/>
    </row>
    <row r="8565" ht="14.25">
      <c r="A8565" s="5"/>
      <c r="B8565" s="7"/>
      <c r="C8565" s="7"/>
      <c r="D8565" s="7"/>
      <c r="E8565" s="5"/>
      <c r="F8565" s="5"/>
      <c r="G8565" s="17"/>
      <c r="H8565" s="10"/>
      <c r="I8565" s="17"/>
    </row>
    <row r="8566" ht="14.25">
      <c r="A8566" s="5"/>
      <c r="B8566" s="7"/>
      <c r="C8566" s="7"/>
      <c r="D8566" s="7"/>
      <c r="E8566" s="5"/>
      <c r="F8566" s="5"/>
      <c r="G8566" s="17"/>
      <c r="H8566" s="10"/>
      <c r="I8566" s="17"/>
    </row>
    <row r="8567" ht="14.25">
      <c r="A8567" s="5"/>
      <c r="B8567" s="7"/>
      <c r="C8567" s="7"/>
      <c r="D8567" s="7"/>
      <c r="E8567" s="5"/>
      <c r="F8567" s="5"/>
      <c r="G8567" s="17"/>
      <c r="H8567" s="10"/>
      <c r="I8567" s="17"/>
    </row>
    <row r="8568" ht="14.25">
      <c r="A8568" s="5"/>
      <c r="B8568" s="7"/>
      <c r="C8568" s="7"/>
      <c r="D8568" s="7"/>
      <c r="E8568" s="5"/>
      <c r="F8568" s="5"/>
      <c r="G8568" s="17"/>
      <c r="H8568" s="10"/>
      <c r="I8568" s="17"/>
    </row>
    <row r="8569" ht="14.25">
      <c r="A8569" s="5"/>
      <c r="B8569" s="7"/>
      <c r="C8569" s="7"/>
      <c r="D8569" s="7"/>
      <c r="E8569" s="5"/>
      <c r="F8569" s="5"/>
      <c r="G8569" s="17"/>
      <c r="H8569" s="10"/>
      <c r="I8569" s="17"/>
    </row>
    <row r="8570" ht="14.25">
      <c r="A8570" s="5"/>
      <c r="B8570" s="7"/>
      <c r="C8570" s="7"/>
      <c r="D8570" s="7"/>
      <c r="E8570" s="5"/>
      <c r="F8570" s="5"/>
      <c r="G8570" s="17"/>
      <c r="H8570" s="10"/>
      <c r="I8570" s="17"/>
    </row>
    <row r="8571" ht="14.25">
      <c r="A8571" s="5"/>
      <c r="B8571" s="7"/>
      <c r="C8571" s="7"/>
      <c r="D8571" s="7"/>
      <c r="E8571" s="5"/>
      <c r="F8571" s="5"/>
      <c r="G8571" s="17"/>
      <c r="H8571" s="10"/>
      <c r="I8571" s="17"/>
    </row>
    <row r="8572" ht="14.25">
      <c r="A8572" s="5"/>
      <c r="B8572" s="7"/>
      <c r="C8572" s="7"/>
      <c r="D8572" s="7"/>
      <c r="E8572" s="5"/>
      <c r="F8572" s="5"/>
      <c r="G8572" s="17"/>
      <c r="H8572" s="10"/>
      <c r="I8572" s="17"/>
    </row>
    <row r="8573" ht="14.25">
      <c r="A8573" s="5"/>
      <c r="B8573" s="7"/>
      <c r="C8573" s="7"/>
      <c r="D8573" s="7"/>
      <c r="E8573" s="5"/>
      <c r="F8573" s="5"/>
      <c r="G8573" s="17"/>
      <c r="H8573" s="10"/>
      <c r="I8573" s="17"/>
    </row>
    <row r="8574" ht="14.25">
      <c r="A8574" s="5"/>
      <c r="B8574" s="7"/>
      <c r="C8574" s="7"/>
      <c r="D8574" s="7"/>
      <c r="E8574" s="5"/>
      <c r="F8574" s="5"/>
      <c r="G8574" s="17"/>
      <c r="H8574" s="10"/>
      <c r="I8574" s="17"/>
    </row>
    <row r="8575" ht="14.25">
      <c r="A8575" s="5"/>
      <c r="B8575" s="7"/>
      <c r="C8575" s="7"/>
      <c r="D8575" s="7"/>
      <c r="E8575" s="5"/>
      <c r="F8575" s="5"/>
      <c r="G8575" s="17"/>
      <c r="H8575" s="10"/>
      <c r="I8575" s="17"/>
    </row>
    <row r="8576" ht="14.25">
      <c r="A8576" s="5"/>
      <c r="B8576" s="7"/>
      <c r="C8576" s="7"/>
      <c r="D8576" s="7"/>
      <c r="E8576" s="5"/>
      <c r="F8576" s="5"/>
      <c r="G8576" s="17"/>
      <c r="H8576" s="10"/>
      <c r="I8576" s="17"/>
    </row>
    <row r="8577" ht="14.25">
      <c r="A8577" s="5"/>
      <c r="B8577" s="7"/>
      <c r="C8577" s="7"/>
      <c r="D8577" s="7"/>
      <c r="E8577" s="5"/>
      <c r="F8577" s="5"/>
      <c r="G8577" s="17"/>
      <c r="H8577" s="10"/>
      <c r="I8577" s="17"/>
    </row>
    <row r="8578" ht="14.25">
      <c r="A8578" s="5"/>
      <c r="B8578" s="7"/>
      <c r="C8578" s="7"/>
      <c r="D8578" s="7"/>
      <c r="E8578" s="5"/>
      <c r="F8578" s="5"/>
      <c r="G8578" s="17"/>
      <c r="H8578" s="10"/>
      <c r="I8578" s="17"/>
    </row>
    <row r="8579" ht="14.25">
      <c r="A8579" s="5"/>
      <c r="B8579" s="7"/>
      <c r="C8579" s="7"/>
      <c r="D8579" s="7"/>
      <c r="E8579" s="5"/>
      <c r="F8579" s="5"/>
      <c r="G8579" s="17"/>
      <c r="H8579" s="10"/>
      <c r="I8579" s="17"/>
    </row>
    <row r="8580" ht="14.25">
      <c r="A8580" s="5"/>
      <c r="B8580" s="7"/>
      <c r="C8580" s="7"/>
      <c r="D8580" s="7"/>
      <c r="E8580" s="5"/>
      <c r="F8580" s="5"/>
      <c r="G8580" s="17"/>
      <c r="H8580" s="10"/>
      <c r="I8580" s="17"/>
    </row>
    <row r="8581" ht="14.25">
      <c r="A8581" s="5"/>
      <c r="B8581" s="7"/>
      <c r="C8581" s="7"/>
      <c r="D8581" s="7"/>
      <c r="E8581" s="5"/>
      <c r="F8581" s="5"/>
      <c r="G8581" s="17"/>
      <c r="H8581" s="10"/>
      <c r="I8581" s="17"/>
    </row>
    <row r="8582" ht="14.25">
      <c r="A8582" s="5"/>
      <c r="B8582" s="7"/>
      <c r="C8582" s="7"/>
      <c r="D8582" s="7"/>
      <c r="E8582" s="5"/>
      <c r="F8582" s="5"/>
      <c r="G8582" s="17"/>
      <c r="H8582" s="10"/>
      <c r="I8582" s="17"/>
    </row>
    <row r="8583" ht="14.25">
      <c r="A8583" s="5"/>
      <c r="B8583" s="7"/>
      <c r="C8583" s="7"/>
      <c r="D8583" s="7"/>
      <c r="E8583" s="5"/>
      <c r="F8583" s="5"/>
      <c r="G8583" s="17"/>
      <c r="H8583" s="10"/>
      <c r="I8583" s="17"/>
    </row>
    <row r="8584" ht="14.25">
      <c r="A8584" s="5"/>
      <c r="B8584" s="7"/>
      <c r="C8584" s="7"/>
      <c r="D8584" s="7"/>
      <c r="E8584" s="5"/>
      <c r="F8584" s="5"/>
      <c r="G8584" s="17"/>
      <c r="H8584" s="10"/>
      <c r="I8584" s="17"/>
    </row>
    <row r="8585" ht="14.25">
      <c r="A8585" s="5"/>
      <c r="B8585" s="7"/>
      <c r="C8585" s="7"/>
      <c r="D8585" s="7"/>
      <c r="E8585" s="5"/>
      <c r="F8585" s="5"/>
      <c r="G8585" s="17"/>
      <c r="H8585" s="10"/>
      <c r="I8585" s="17"/>
    </row>
    <row r="8586" ht="14.25">
      <c r="A8586" s="5"/>
      <c r="B8586" s="7"/>
      <c r="C8586" s="7"/>
      <c r="D8586" s="7"/>
      <c r="E8586" s="5"/>
      <c r="F8586" s="5"/>
      <c r="G8586" s="17"/>
      <c r="H8586" s="10"/>
      <c r="I8586" s="17"/>
    </row>
    <row r="8587" ht="14.25">
      <c r="A8587" s="5"/>
      <c r="B8587" s="7"/>
      <c r="C8587" s="7"/>
      <c r="D8587" s="7"/>
      <c r="E8587" s="5"/>
      <c r="F8587" s="5"/>
      <c r="G8587" s="17"/>
      <c r="H8587" s="10"/>
      <c r="I8587" s="17"/>
    </row>
    <row r="8588" ht="14.25">
      <c r="A8588" s="5"/>
      <c r="B8588" s="7"/>
      <c r="C8588" s="7"/>
      <c r="D8588" s="7"/>
      <c r="E8588" s="5"/>
      <c r="F8588" s="5"/>
      <c r="G8588" s="17"/>
      <c r="H8588" s="10"/>
      <c r="I8588" s="17"/>
    </row>
    <row r="8589" ht="14.25">
      <c r="A8589" s="5"/>
      <c r="B8589" s="7"/>
      <c r="C8589" s="7"/>
      <c r="D8589" s="7"/>
      <c r="E8589" s="5"/>
      <c r="F8589" s="5"/>
      <c r="G8589" s="17"/>
      <c r="H8589" s="10"/>
      <c r="I8589" s="17"/>
    </row>
    <row r="8590" ht="14.25">
      <c r="A8590" s="5"/>
      <c r="B8590" s="7"/>
      <c r="C8590" s="7"/>
      <c r="D8590" s="7"/>
      <c r="E8590" s="5"/>
      <c r="F8590" s="5"/>
      <c r="G8590" s="17"/>
      <c r="H8590" s="10"/>
      <c r="I8590" s="17"/>
    </row>
    <row r="8591" ht="14.25">
      <c r="A8591" s="5"/>
      <c r="B8591" s="7"/>
      <c r="C8591" s="7"/>
      <c r="D8591" s="7"/>
      <c r="E8591" s="5"/>
      <c r="F8591" s="5"/>
      <c r="G8591" s="17"/>
      <c r="H8591" s="10"/>
      <c r="I8591" s="17"/>
    </row>
    <row r="8592" ht="14.25">
      <c r="A8592" s="5"/>
      <c r="B8592" s="7"/>
      <c r="C8592" s="7"/>
      <c r="D8592" s="7"/>
      <c r="E8592" s="5"/>
      <c r="F8592" s="5"/>
      <c r="G8592" s="17"/>
      <c r="H8592" s="10"/>
      <c r="I8592" s="17"/>
    </row>
    <row r="8593" ht="14.25">
      <c r="A8593" s="5"/>
      <c r="B8593" s="7"/>
      <c r="C8593" s="7"/>
      <c r="D8593" s="7"/>
      <c r="E8593" s="5"/>
      <c r="F8593" s="5"/>
      <c r="G8593" s="17"/>
      <c r="H8593" s="10"/>
      <c r="I8593" s="17"/>
    </row>
    <row r="8594" ht="14.25">
      <c r="A8594" s="5"/>
      <c r="B8594" s="7"/>
      <c r="C8594" s="7"/>
      <c r="D8594" s="7"/>
      <c r="E8594" s="5"/>
      <c r="F8594" s="5"/>
      <c r="G8594" s="17"/>
      <c r="H8594" s="10"/>
      <c r="I8594" s="17"/>
    </row>
    <row r="8595" ht="14.25">
      <c r="A8595" s="5"/>
      <c r="B8595" s="7"/>
      <c r="C8595" s="7"/>
      <c r="D8595" s="7"/>
      <c r="E8595" s="5"/>
      <c r="F8595" s="5"/>
      <c r="G8595" s="17"/>
      <c r="H8595" s="10"/>
      <c r="I8595" s="17"/>
    </row>
    <row r="8596" ht="14.25">
      <c r="A8596" s="5"/>
      <c r="B8596" s="7"/>
      <c r="C8596" s="7"/>
      <c r="D8596" s="7"/>
      <c r="E8596" s="5"/>
      <c r="F8596" s="5"/>
      <c r="G8596" s="17"/>
      <c r="H8596" s="10"/>
      <c r="I8596" s="17"/>
    </row>
    <row r="8597" ht="14.25">
      <c r="A8597" s="5"/>
      <c r="B8597" s="7"/>
      <c r="C8597" s="7"/>
      <c r="D8597" s="7"/>
      <c r="E8597" s="5"/>
      <c r="F8597" s="5"/>
      <c r="G8597" s="17"/>
      <c r="H8597" s="10"/>
      <c r="I8597" s="17"/>
    </row>
    <row r="8598" ht="14.25">
      <c r="A8598" s="5"/>
      <c r="B8598" s="7"/>
      <c r="C8598" s="7"/>
      <c r="D8598" s="7"/>
      <c r="E8598" s="5"/>
      <c r="F8598" s="5"/>
      <c r="G8598" s="17"/>
      <c r="H8598" s="10"/>
      <c r="I8598" s="17"/>
    </row>
    <row r="8599" ht="14.25">
      <c r="A8599" s="5"/>
      <c r="B8599" s="7"/>
      <c r="C8599" s="7"/>
      <c r="D8599" s="7"/>
      <c r="E8599" s="5"/>
      <c r="F8599" s="5"/>
      <c r="G8599" s="17"/>
      <c r="H8599" s="10"/>
      <c r="I8599" s="17"/>
    </row>
    <row r="8600" ht="14.25">
      <c r="A8600" s="5"/>
      <c r="B8600" s="7"/>
      <c r="C8600" s="7"/>
      <c r="D8600" s="7"/>
      <c r="E8600" s="5"/>
      <c r="F8600" s="5"/>
      <c r="G8600" s="17"/>
      <c r="H8600" s="10"/>
      <c r="I8600" s="17"/>
    </row>
    <row r="8601" ht="14.25">
      <c r="A8601" s="5"/>
      <c r="B8601" s="7"/>
      <c r="C8601" s="7"/>
      <c r="D8601" s="7"/>
      <c r="E8601" s="5"/>
      <c r="F8601" s="5"/>
      <c r="G8601" s="17"/>
      <c r="H8601" s="10"/>
      <c r="I8601" s="17"/>
    </row>
    <row r="8602" ht="14.25">
      <c r="A8602" s="5"/>
      <c r="B8602" s="7"/>
      <c r="C8602" s="7"/>
      <c r="D8602" s="7"/>
      <c r="E8602" s="5"/>
      <c r="F8602" s="5"/>
      <c r="G8602" s="17"/>
      <c r="H8602" s="10"/>
      <c r="I8602" s="17"/>
    </row>
    <row r="8603" ht="14.25">
      <c r="A8603" s="5"/>
      <c r="B8603" s="7"/>
      <c r="C8603" s="7"/>
      <c r="D8603" s="7"/>
      <c r="E8603" s="5"/>
      <c r="F8603" s="5"/>
      <c r="G8603" s="17"/>
      <c r="H8603" s="10"/>
      <c r="I8603" s="17"/>
    </row>
    <row r="8604" ht="14.25">
      <c r="A8604" s="5"/>
      <c r="B8604" s="7"/>
      <c r="C8604" s="7"/>
      <c r="D8604" s="7"/>
      <c r="E8604" s="5"/>
      <c r="F8604" s="5"/>
      <c r="G8604" s="17"/>
      <c r="H8604" s="10"/>
      <c r="I8604" s="17"/>
    </row>
    <row r="8605" ht="14.25">
      <c r="A8605" s="5"/>
      <c r="B8605" s="7"/>
      <c r="C8605" s="7"/>
      <c r="D8605" s="7"/>
      <c r="E8605" s="5"/>
      <c r="F8605" s="5"/>
      <c r="G8605" s="17"/>
      <c r="H8605" s="10"/>
      <c r="I8605" s="17"/>
    </row>
    <row r="8606" ht="14.25">
      <c r="A8606" s="5"/>
      <c r="B8606" s="7"/>
      <c r="C8606" s="7"/>
      <c r="D8606" s="7"/>
      <c r="E8606" s="5"/>
      <c r="F8606" s="5"/>
      <c r="G8606" s="17"/>
      <c r="H8606" s="10"/>
      <c r="I8606" s="17"/>
    </row>
    <row r="8607" ht="14.25">
      <c r="A8607" s="5"/>
      <c r="B8607" s="7"/>
      <c r="C8607" s="7"/>
      <c r="D8607" s="7"/>
      <c r="E8607" s="5"/>
      <c r="F8607" s="5"/>
      <c r="G8607" s="17"/>
      <c r="H8607" s="10"/>
      <c r="I8607" s="17"/>
    </row>
    <row r="8608" ht="14.25">
      <c r="A8608" s="5"/>
      <c r="B8608" s="7"/>
      <c r="C8608" s="7"/>
      <c r="D8608" s="7"/>
      <c r="E8608" s="5"/>
      <c r="F8608" s="5"/>
      <c r="G8608" s="17"/>
      <c r="H8608" s="10"/>
      <c r="I8608" s="17"/>
    </row>
    <row r="8609" ht="14.25">
      <c r="A8609" s="5"/>
      <c r="B8609" s="7"/>
      <c r="C8609" s="7"/>
      <c r="D8609" s="7"/>
      <c r="E8609" s="5"/>
      <c r="F8609" s="5"/>
      <c r="G8609" s="17"/>
      <c r="H8609" s="10"/>
      <c r="I8609" s="17"/>
    </row>
    <row r="8610" ht="14.25">
      <c r="A8610" s="5"/>
      <c r="B8610" s="7"/>
      <c r="C8610" s="7"/>
      <c r="D8610" s="7"/>
      <c r="E8610" s="5"/>
      <c r="F8610" s="5"/>
      <c r="G8610" s="17"/>
      <c r="H8610" s="10"/>
      <c r="I8610" s="17"/>
    </row>
    <row r="8611" ht="14.25">
      <c r="A8611" s="5"/>
      <c r="B8611" s="7"/>
      <c r="C8611" s="7"/>
      <c r="D8611" s="7"/>
      <c r="E8611" s="5"/>
      <c r="F8611" s="5"/>
      <c r="G8611" s="17"/>
      <c r="H8611" s="10"/>
      <c r="I8611" s="17"/>
    </row>
    <row r="8612" ht="14.25">
      <c r="A8612" s="5"/>
      <c r="B8612" s="7"/>
      <c r="C8612" s="7"/>
      <c r="D8612" s="7"/>
      <c r="E8612" s="5"/>
      <c r="F8612" s="5"/>
      <c r="G8612" s="17"/>
      <c r="H8612" s="10"/>
      <c r="I8612" s="17"/>
    </row>
    <row r="8613" ht="14.25">
      <c r="A8613" s="5"/>
      <c r="B8613" s="7"/>
      <c r="C8613" s="7"/>
      <c r="D8613" s="7"/>
      <c r="E8613" s="5"/>
      <c r="F8613" s="5"/>
      <c r="G8613" s="17"/>
      <c r="H8613" s="10"/>
      <c r="I8613" s="17"/>
    </row>
    <row r="8614" ht="14.25">
      <c r="A8614" s="5"/>
      <c r="B8614" s="7"/>
      <c r="C8614" s="7"/>
      <c r="D8614" s="7"/>
      <c r="E8614" s="5"/>
      <c r="F8614" s="5"/>
      <c r="G8614" s="17"/>
      <c r="H8614" s="10"/>
      <c r="I8614" s="17"/>
    </row>
    <row r="8615" ht="14.25">
      <c r="A8615" s="5"/>
      <c r="B8615" s="7"/>
      <c r="C8615" s="7"/>
      <c r="D8615" s="7"/>
      <c r="E8615" s="5"/>
      <c r="F8615" s="5"/>
      <c r="G8615" s="17"/>
      <c r="H8615" s="10"/>
      <c r="I8615" s="17"/>
    </row>
    <row r="8616" ht="14.25">
      <c r="A8616" s="5"/>
      <c r="B8616" s="7"/>
      <c r="C8616" s="7"/>
      <c r="D8616" s="7"/>
      <c r="E8616" s="5"/>
      <c r="F8616" s="5"/>
      <c r="G8616" s="17"/>
      <c r="H8616" s="10"/>
      <c r="I8616" s="17"/>
    </row>
    <row r="8617" ht="14.25">
      <c r="A8617" s="5"/>
      <c r="B8617" s="7"/>
      <c r="C8617" s="7"/>
      <c r="D8617" s="7"/>
      <c r="E8617" s="5"/>
      <c r="F8617" s="5"/>
      <c r="G8617" s="17"/>
      <c r="H8617" s="10"/>
      <c r="I8617" s="17"/>
    </row>
    <row r="8618" ht="14.25">
      <c r="A8618" s="5"/>
      <c r="B8618" s="7"/>
      <c r="C8618" s="7"/>
      <c r="D8618" s="7"/>
      <c r="E8618" s="5"/>
      <c r="F8618" s="5"/>
      <c r="G8618" s="17"/>
      <c r="H8618" s="10"/>
      <c r="I8618" s="17"/>
    </row>
    <row r="8619" ht="14.25">
      <c r="A8619" s="5"/>
      <c r="B8619" s="7"/>
      <c r="C8619" s="7"/>
      <c r="D8619" s="7"/>
      <c r="E8619" s="5"/>
      <c r="F8619" s="5"/>
      <c r="G8619" s="17"/>
      <c r="H8619" s="10"/>
      <c r="I8619" s="17"/>
    </row>
    <row r="8620" ht="14.25">
      <c r="A8620" s="5"/>
      <c r="B8620" s="7"/>
      <c r="C8620" s="7"/>
      <c r="D8620" s="7"/>
      <c r="E8620" s="5"/>
      <c r="F8620" s="5"/>
      <c r="G8620" s="17"/>
      <c r="H8620" s="10"/>
      <c r="I8620" s="17"/>
    </row>
    <row r="8621" ht="14.25">
      <c r="A8621" s="5"/>
      <c r="B8621" s="7"/>
      <c r="C8621" s="7"/>
      <c r="D8621" s="7"/>
      <c r="E8621" s="5"/>
      <c r="F8621" s="5"/>
      <c r="G8621" s="17"/>
      <c r="H8621" s="10"/>
      <c r="I8621" s="17"/>
    </row>
    <row r="8622" ht="14.25">
      <c r="A8622" s="5"/>
      <c r="B8622" s="7"/>
      <c r="C8622" s="7"/>
      <c r="D8622" s="7"/>
      <c r="E8622" s="5"/>
      <c r="F8622" s="5"/>
      <c r="G8622" s="17"/>
      <c r="H8622" s="10"/>
      <c r="I8622" s="17"/>
    </row>
    <row r="8623" ht="14.25">
      <c r="A8623" s="5"/>
      <c r="B8623" s="7"/>
      <c r="C8623" s="7"/>
      <c r="D8623" s="7"/>
      <c r="E8623" s="5"/>
      <c r="F8623" s="5"/>
      <c r="G8623" s="17"/>
      <c r="H8623" s="10"/>
      <c r="I8623" s="17"/>
    </row>
    <row r="8624" ht="14.25">
      <c r="A8624" s="5"/>
      <c r="B8624" s="7"/>
      <c r="C8624" s="7"/>
      <c r="D8624" s="7"/>
      <c r="E8624" s="5"/>
      <c r="F8624" s="5"/>
      <c r="G8624" s="17"/>
      <c r="H8624" s="10"/>
      <c r="I8624" s="17"/>
    </row>
    <row r="8625" ht="14.25">
      <c r="A8625" s="5"/>
      <c r="B8625" s="7"/>
      <c r="C8625" s="7"/>
      <c r="D8625" s="7"/>
      <c r="E8625" s="5"/>
      <c r="F8625" s="5"/>
      <c r="G8625" s="17"/>
      <c r="H8625" s="10"/>
      <c r="I8625" s="17"/>
    </row>
    <row r="8626" ht="14.25">
      <c r="A8626" s="5"/>
      <c r="B8626" s="7"/>
      <c r="C8626" s="7"/>
      <c r="D8626" s="7"/>
      <c r="E8626" s="5"/>
      <c r="F8626" s="5"/>
      <c r="G8626" s="17"/>
      <c r="H8626" s="10"/>
      <c r="I8626" s="17"/>
    </row>
    <row r="8627" ht="14.25">
      <c r="A8627" s="5"/>
      <c r="B8627" s="7"/>
      <c r="C8627" s="7"/>
      <c r="D8627" s="7"/>
      <c r="E8627" s="5"/>
      <c r="F8627" s="5"/>
      <c r="G8627" s="17"/>
      <c r="H8627" s="10"/>
      <c r="I8627" s="17"/>
    </row>
    <row r="8628" ht="14.25">
      <c r="A8628" s="5"/>
      <c r="B8628" s="7"/>
      <c r="C8628" s="7"/>
      <c r="D8628" s="7"/>
      <c r="E8628" s="5"/>
      <c r="F8628" s="5"/>
      <c r="G8628" s="17"/>
      <c r="H8628" s="10"/>
      <c r="I8628" s="17"/>
    </row>
    <row r="8629" ht="14.25">
      <c r="A8629" s="5"/>
      <c r="B8629" s="7"/>
      <c r="C8629" s="7"/>
      <c r="D8629" s="7"/>
      <c r="E8629" s="5"/>
      <c r="F8629" s="5"/>
      <c r="G8629" s="17"/>
      <c r="H8629" s="10"/>
      <c r="I8629" s="17"/>
    </row>
    <row r="8630" ht="14.25">
      <c r="A8630" s="5"/>
      <c r="B8630" s="7"/>
      <c r="C8630" s="7"/>
      <c r="D8630" s="7"/>
      <c r="E8630" s="5"/>
      <c r="F8630" s="5"/>
      <c r="G8630" s="17"/>
      <c r="H8630" s="10"/>
      <c r="I8630" s="17"/>
    </row>
    <row r="8631" ht="14.25">
      <c r="A8631" s="5"/>
      <c r="B8631" s="7"/>
      <c r="C8631" s="7"/>
      <c r="D8631" s="7"/>
      <c r="E8631" s="5"/>
      <c r="F8631" s="5"/>
      <c r="G8631" s="17"/>
      <c r="H8631" s="10"/>
      <c r="I8631" s="17"/>
    </row>
    <row r="8632" ht="14.25">
      <c r="A8632" s="5"/>
      <c r="B8632" s="7"/>
      <c r="C8632" s="7"/>
      <c r="D8632" s="7"/>
      <c r="E8632" s="5"/>
      <c r="F8632" s="5"/>
      <c r="G8632" s="17"/>
      <c r="H8632" s="10"/>
      <c r="I8632" s="17"/>
    </row>
    <row r="8633" ht="14.25">
      <c r="A8633" s="5"/>
      <c r="B8633" s="7"/>
      <c r="C8633" s="7"/>
      <c r="D8633" s="7"/>
      <c r="E8633" s="5"/>
      <c r="F8633" s="5"/>
      <c r="G8633" s="17"/>
      <c r="H8633" s="10"/>
      <c r="I8633" s="17"/>
    </row>
    <row r="8634" ht="14.25">
      <c r="A8634" s="5"/>
      <c r="B8634" s="7"/>
      <c r="C8634" s="7"/>
      <c r="D8634" s="7"/>
      <c r="E8634" s="5"/>
      <c r="F8634" s="5"/>
      <c r="G8634" s="17"/>
      <c r="H8634" s="10"/>
      <c r="I8634" s="17"/>
    </row>
    <row r="8635" ht="14.25">
      <c r="A8635" s="5"/>
      <c r="B8635" s="7"/>
      <c r="C8635" s="7"/>
      <c r="D8635" s="7"/>
      <c r="E8635" s="5"/>
      <c r="F8635" s="5"/>
      <c r="G8635" s="17"/>
      <c r="H8635" s="10"/>
      <c r="I8635" s="17"/>
    </row>
    <row r="8636" ht="14.25">
      <c r="A8636" s="5"/>
      <c r="B8636" s="7"/>
      <c r="C8636" s="7"/>
      <c r="D8636" s="7"/>
      <c r="E8636" s="5"/>
      <c r="F8636" s="5"/>
      <c r="G8636" s="17"/>
      <c r="H8636" s="10"/>
      <c r="I8636" s="17"/>
    </row>
    <row r="8637" ht="14.25">
      <c r="A8637" s="5"/>
      <c r="B8637" s="7"/>
      <c r="C8637" s="7"/>
      <c r="D8637" s="7"/>
      <c r="E8637" s="5"/>
      <c r="F8637" s="5"/>
      <c r="G8637" s="17"/>
      <c r="H8637" s="10"/>
      <c r="I8637" s="17"/>
    </row>
    <row r="8638" ht="14.25">
      <c r="A8638" s="5"/>
      <c r="B8638" s="7"/>
      <c r="C8638" s="7"/>
      <c r="D8638" s="7"/>
      <c r="E8638" s="5"/>
      <c r="F8638" s="5"/>
      <c r="G8638" s="17"/>
      <c r="H8638" s="10"/>
      <c r="I8638" s="17"/>
    </row>
    <row r="8639" ht="14.25">
      <c r="A8639" s="5"/>
      <c r="B8639" s="7"/>
      <c r="C8639" s="7"/>
      <c r="D8639" s="7"/>
      <c r="E8639" s="5"/>
      <c r="F8639" s="5"/>
      <c r="G8639" s="17"/>
      <c r="H8639" s="10"/>
      <c r="I8639" s="17"/>
    </row>
    <row r="8640" ht="14.25">
      <c r="A8640" s="5"/>
      <c r="B8640" s="7"/>
      <c r="C8640" s="7"/>
      <c r="D8640" s="7"/>
      <c r="E8640" s="5"/>
      <c r="F8640" s="5"/>
      <c r="G8640" s="17"/>
      <c r="H8640" s="10"/>
      <c r="I8640" s="17"/>
    </row>
    <row r="8641" ht="14.25">
      <c r="A8641" s="5"/>
      <c r="B8641" s="7"/>
      <c r="C8641" s="7"/>
      <c r="D8641" s="7"/>
      <c r="E8641" s="5"/>
      <c r="F8641" s="5"/>
      <c r="G8641" s="17"/>
      <c r="H8641" s="10"/>
      <c r="I8641" s="17"/>
    </row>
    <row r="8642" ht="14.25">
      <c r="A8642" s="5"/>
      <c r="B8642" s="7"/>
      <c r="C8642" s="7"/>
      <c r="D8642" s="7"/>
      <c r="E8642" s="5"/>
      <c r="F8642" s="5"/>
      <c r="G8642" s="17"/>
      <c r="H8642" s="10"/>
      <c r="I8642" s="17"/>
    </row>
    <row r="8643" ht="14.25">
      <c r="A8643" s="5"/>
      <c r="B8643" s="7"/>
      <c r="C8643" s="7"/>
      <c r="D8643" s="7"/>
      <c r="E8643" s="5"/>
      <c r="F8643" s="5"/>
      <c r="G8643" s="17"/>
      <c r="H8643" s="10"/>
      <c r="I8643" s="17"/>
    </row>
    <row r="8644" ht="14.25">
      <c r="A8644" s="5"/>
      <c r="B8644" s="7"/>
      <c r="C8644" s="7"/>
      <c r="D8644" s="7"/>
      <c r="E8644" s="5"/>
      <c r="F8644" s="5"/>
      <c r="G8644" s="17"/>
      <c r="H8644" s="10"/>
      <c r="I8644" s="17"/>
    </row>
    <row r="8645" ht="14.25">
      <c r="A8645" s="5"/>
      <c r="B8645" s="7"/>
      <c r="C8645" s="7"/>
      <c r="D8645" s="7"/>
      <c r="E8645" s="5"/>
      <c r="F8645" s="5"/>
      <c r="G8645" s="17"/>
      <c r="H8645" s="10"/>
      <c r="I8645" s="17"/>
    </row>
    <row r="8646" ht="14.25">
      <c r="A8646" s="5"/>
      <c r="B8646" s="7"/>
      <c r="C8646" s="7"/>
      <c r="D8646" s="7"/>
      <c r="E8646" s="5"/>
      <c r="F8646" s="5"/>
      <c r="G8646" s="17"/>
      <c r="H8646" s="10"/>
      <c r="I8646" s="17"/>
    </row>
    <row r="8647" ht="14.25">
      <c r="A8647" s="5"/>
      <c r="B8647" s="7"/>
      <c r="C8647" s="7"/>
      <c r="D8647" s="7"/>
      <c r="E8647" s="5"/>
      <c r="F8647" s="5"/>
      <c r="G8647" s="17"/>
      <c r="H8647" s="10"/>
      <c r="I8647" s="17"/>
    </row>
    <row r="8648" ht="14.25">
      <c r="A8648" s="5"/>
      <c r="B8648" s="7"/>
      <c r="C8648" s="7"/>
      <c r="D8648" s="7"/>
      <c r="E8648" s="5"/>
      <c r="F8648" s="5"/>
      <c r="G8648" s="17"/>
      <c r="H8648" s="10"/>
      <c r="I8648" s="17"/>
    </row>
    <row r="8649" ht="14.25">
      <c r="A8649" s="5"/>
      <c r="B8649" s="7"/>
      <c r="C8649" s="7"/>
      <c r="D8649" s="7"/>
      <c r="E8649" s="5"/>
      <c r="F8649" s="5"/>
      <c r="G8649" s="17"/>
      <c r="H8649" s="10"/>
      <c r="I8649" s="17"/>
    </row>
    <row r="8650" ht="14.25">
      <c r="A8650" s="5"/>
      <c r="B8650" s="7"/>
      <c r="C8650" s="7"/>
      <c r="D8650" s="7"/>
      <c r="E8650" s="5"/>
      <c r="F8650" s="5"/>
      <c r="G8650" s="17"/>
      <c r="H8650" s="10"/>
      <c r="I8650" s="17"/>
    </row>
    <row r="8651" ht="14.25">
      <c r="A8651" s="5"/>
      <c r="B8651" s="7"/>
      <c r="C8651" s="7"/>
      <c r="D8651" s="7"/>
      <c r="E8651" s="5"/>
      <c r="F8651" s="5"/>
      <c r="G8651" s="17"/>
      <c r="H8651" s="10"/>
      <c r="I8651" s="17"/>
    </row>
    <row r="8652" ht="14.25">
      <c r="A8652" s="5"/>
      <c r="B8652" s="7"/>
      <c r="C8652" s="7"/>
      <c r="D8652" s="7"/>
      <c r="E8652" s="5"/>
      <c r="F8652" s="5"/>
      <c r="G8652" s="17"/>
      <c r="H8652" s="10"/>
      <c r="I8652" s="17"/>
    </row>
    <row r="8653" ht="14.25">
      <c r="A8653" s="5"/>
      <c r="B8653" s="7"/>
      <c r="C8653" s="7"/>
      <c r="D8653" s="7"/>
      <c r="E8653" s="5"/>
      <c r="F8653" s="5"/>
      <c r="G8653" s="17"/>
      <c r="H8653" s="10"/>
      <c r="I8653" s="17"/>
    </row>
    <row r="8654" ht="14.25">
      <c r="A8654" s="5"/>
      <c r="B8654" s="7"/>
      <c r="C8654" s="7"/>
      <c r="D8654" s="7"/>
      <c r="E8654" s="5"/>
      <c r="F8654" s="5"/>
      <c r="G8654" s="17"/>
      <c r="H8654" s="10"/>
      <c r="I8654" s="17"/>
    </row>
    <row r="8655" ht="14.25">
      <c r="A8655" s="5"/>
      <c r="B8655" s="7"/>
      <c r="C8655" s="7"/>
      <c r="D8655" s="7"/>
      <c r="E8655" s="5"/>
      <c r="F8655" s="5"/>
      <c r="G8655" s="17"/>
      <c r="H8655" s="10"/>
      <c r="I8655" s="17"/>
    </row>
    <row r="8656" ht="14.25">
      <c r="A8656" s="5"/>
      <c r="B8656" s="7"/>
      <c r="C8656" s="7"/>
      <c r="D8656" s="7"/>
      <c r="E8656" s="5"/>
      <c r="F8656" s="5"/>
      <c r="G8656" s="17"/>
      <c r="H8656" s="10"/>
      <c r="I8656" s="17"/>
    </row>
    <row r="8657" ht="14.25">
      <c r="A8657" s="5"/>
      <c r="B8657" s="7"/>
      <c r="C8657" s="7"/>
      <c r="D8657" s="7"/>
      <c r="E8657" s="5"/>
      <c r="F8657" s="5"/>
      <c r="G8657" s="17"/>
      <c r="H8657" s="10"/>
      <c r="I8657" s="17"/>
    </row>
    <row r="8658" ht="14.25">
      <c r="A8658" s="5"/>
      <c r="B8658" s="7"/>
      <c r="C8658" s="7"/>
      <c r="D8658" s="7"/>
      <c r="E8658" s="5"/>
      <c r="F8658" s="5"/>
      <c r="G8658" s="17"/>
      <c r="H8658" s="10"/>
      <c r="I8658" s="17"/>
    </row>
    <row r="8659" ht="14.25">
      <c r="A8659" s="5"/>
      <c r="B8659" s="7"/>
      <c r="C8659" s="7"/>
      <c r="D8659" s="7"/>
      <c r="E8659" s="5"/>
      <c r="F8659" s="5"/>
      <c r="G8659" s="17"/>
      <c r="H8659" s="10"/>
      <c r="I8659" s="17"/>
    </row>
    <row r="8660" ht="14.25">
      <c r="A8660" s="5"/>
      <c r="B8660" s="7"/>
      <c r="C8660" s="7"/>
      <c r="D8660" s="7"/>
      <c r="E8660" s="5"/>
      <c r="F8660" s="5"/>
      <c r="G8660" s="17"/>
      <c r="H8660" s="10"/>
      <c r="I8660" s="17"/>
    </row>
    <row r="8661" ht="14.25">
      <c r="A8661" s="5"/>
      <c r="B8661" s="7"/>
      <c r="C8661" s="7"/>
      <c r="D8661" s="7"/>
      <c r="E8661" s="5"/>
      <c r="F8661" s="5"/>
      <c r="G8661" s="17"/>
      <c r="H8661" s="10"/>
      <c r="I8661" s="17"/>
    </row>
    <row r="8662" ht="14.25">
      <c r="A8662" s="5"/>
      <c r="B8662" s="7"/>
      <c r="C8662" s="7"/>
      <c r="D8662" s="7"/>
      <c r="E8662" s="5"/>
      <c r="F8662" s="5"/>
      <c r="G8662" s="17"/>
      <c r="H8662" s="10"/>
      <c r="I8662" s="17"/>
    </row>
    <row r="8663" ht="14.25">
      <c r="A8663" s="5"/>
      <c r="B8663" s="7"/>
      <c r="C8663" s="7"/>
      <c r="D8663" s="7"/>
      <c r="E8663" s="5"/>
      <c r="F8663" s="5"/>
      <c r="G8663" s="17"/>
      <c r="H8663" s="10"/>
      <c r="I8663" s="17"/>
    </row>
    <row r="8664" ht="14.25">
      <c r="A8664" s="5"/>
      <c r="B8664" s="7"/>
      <c r="C8664" s="7"/>
      <c r="D8664" s="7"/>
      <c r="E8664" s="5"/>
      <c r="F8664" s="5"/>
      <c r="G8664" s="17"/>
      <c r="H8664" s="10"/>
      <c r="I8664" s="17"/>
    </row>
    <row r="8665" ht="14.25">
      <c r="A8665" s="5"/>
      <c r="B8665" s="7"/>
      <c r="C8665" s="7"/>
      <c r="D8665" s="7"/>
      <c r="E8665" s="5"/>
      <c r="F8665" s="5"/>
      <c r="G8665" s="17"/>
      <c r="H8665" s="10"/>
      <c r="I8665" s="17"/>
    </row>
    <row r="8666" ht="14.25">
      <c r="A8666" s="5"/>
      <c r="B8666" s="7"/>
      <c r="C8666" s="7"/>
      <c r="D8666" s="7"/>
      <c r="E8666" s="5"/>
      <c r="F8666" s="5"/>
      <c r="G8666" s="17"/>
      <c r="H8666" s="10"/>
      <c r="I8666" s="17"/>
    </row>
    <row r="8667" ht="14.25">
      <c r="A8667" s="5"/>
      <c r="B8667" s="7"/>
      <c r="C8667" s="7"/>
      <c r="D8667" s="7"/>
      <c r="E8667" s="5"/>
      <c r="F8667" s="5"/>
      <c r="G8667" s="17"/>
      <c r="H8667" s="10"/>
      <c r="I8667" s="17"/>
    </row>
    <row r="8668" ht="14.25">
      <c r="A8668" s="5"/>
      <c r="B8668" s="7"/>
      <c r="C8668" s="7"/>
      <c r="D8668" s="7"/>
      <c r="E8668" s="5"/>
      <c r="F8668" s="5"/>
      <c r="G8668" s="17"/>
      <c r="H8668" s="10"/>
      <c r="I8668" s="17"/>
    </row>
    <row r="8669" ht="14.25">
      <c r="A8669" s="5"/>
      <c r="B8669" s="7"/>
      <c r="C8669" s="7"/>
      <c r="D8669" s="7"/>
      <c r="E8669" s="5"/>
      <c r="F8669" s="5"/>
      <c r="G8669" s="17"/>
      <c r="H8669" s="10"/>
      <c r="I8669" s="17"/>
    </row>
    <row r="8670" ht="14.25">
      <c r="A8670" s="5"/>
      <c r="B8670" s="7"/>
      <c r="C8670" s="7"/>
      <c r="D8670" s="7"/>
      <c r="E8670" s="5"/>
      <c r="F8670" s="5"/>
      <c r="G8670" s="17"/>
      <c r="H8670" s="10"/>
      <c r="I8670" s="17"/>
    </row>
    <row r="8671" ht="14.25">
      <c r="A8671" s="5"/>
      <c r="B8671" s="7"/>
      <c r="C8671" s="7"/>
      <c r="D8671" s="7"/>
      <c r="E8671" s="5"/>
      <c r="F8671" s="5"/>
      <c r="G8671" s="17"/>
      <c r="H8671" s="10"/>
      <c r="I8671" s="17"/>
    </row>
    <row r="8672" ht="14.25">
      <c r="A8672" s="5"/>
      <c r="B8672" s="7"/>
      <c r="C8672" s="7"/>
      <c r="D8672" s="7"/>
      <c r="E8672" s="5"/>
      <c r="F8672" s="5"/>
      <c r="G8672" s="17"/>
      <c r="H8672" s="10"/>
      <c r="I8672" s="17"/>
    </row>
    <row r="8673" ht="14.25">
      <c r="A8673" s="5"/>
      <c r="B8673" s="7"/>
      <c r="C8673" s="7"/>
      <c r="D8673" s="7"/>
      <c r="E8673" s="5"/>
      <c r="F8673" s="5"/>
      <c r="G8673" s="17"/>
      <c r="H8673" s="10"/>
      <c r="I8673" s="17"/>
    </row>
    <row r="8674" ht="14.25">
      <c r="A8674" s="5"/>
      <c r="B8674" s="7"/>
      <c r="C8674" s="7"/>
      <c r="D8674" s="7"/>
      <c r="E8674" s="5"/>
      <c r="F8674" s="5"/>
      <c r="G8674" s="17"/>
      <c r="H8674" s="10"/>
      <c r="I8674" s="17"/>
    </row>
    <row r="8675" ht="14.25">
      <c r="A8675" s="5"/>
      <c r="B8675" s="7"/>
      <c r="C8675" s="7"/>
      <c r="D8675" s="7"/>
      <c r="E8675" s="5"/>
      <c r="F8675" s="5"/>
      <c r="G8675" s="17"/>
      <c r="H8675" s="10"/>
      <c r="I8675" s="17"/>
    </row>
    <row r="8676" ht="14.25">
      <c r="A8676" s="5"/>
      <c r="B8676" s="7"/>
      <c r="C8676" s="7"/>
      <c r="D8676" s="7"/>
      <c r="E8676" s="5"/>
      <c r="F8676" s="5"/>
      <c r="G8676" s="17"/>
      <c r="H8676" s="10"/>
      <c r="I8676" s="17"/>
    </row>
    <row r="8677" ht="14.25">
      <c r="A8677" s="5"/>
      <c r="B8677" s="7"/>
      <c r="C8677" s="7"/>
      <c r="D8677" s="7"/>
      <c r="E8677" s="5"/>
      <c r="F8677" s="5"/>
      <c r="G8677" s="17"/>
      <c r="H8677" s="10"/>
      <c r="I8677" s="17"/>
    </row>
    <row r="8678" ht="14.25">
      <c r="A8678" s="5"/>
      <c r="B8678" s="7"/>
      <c r="C8678" s="7"/>
      <c r="D8678" s="7"/>
      <c r="E8678" s="5"/>
      <c r="F8678" s="5"/>
      <c r="G8678" s="17"/>
      <c r="H8678" s="10"/>
      <c r="I8678" s="17"/>
    </row>
    <row r="8679" ht="14.25">
      <c r="A8679" s="5"/>
      <c r="B8679" s="7"/>
      <c r="C8679" s="7"/>
      <c r="D8679" s="7"/>
      <c r="E8679" s="5"/>
      <c r="F8679" s="5"/>
      <c r="G8679" s="17"/>
      <c r="H8679" s="10"/>
      <c r="I8679" s="17"/>
    </row>
    <row r="8680" ht="14.25">
      <c r="A8680" s="5"/>
      <c r="B8680" s="7"/>
      <c r="C8680" s="7"/>
      <c r="D8680" s="7"/>
      <c r="E8680" s="5"/>
      <c r="F8680" s="5"/>
      <c r="G8680" s="17"/>
      <c r="H8680" s="10"/>
      <c r="I8680" s="17"/>
    </row>
    <row r="8681" ht="14.25">
      <c r="A8681" s="5"/>
      <c r="B8681" s="7"/>
      <c r="C8681" s="7"/>
      <c r="D8681" s="7"/>
      <c r="E8681" s="5"/>
      <c r="F8681" s="5"/>
      <c r="G8681" s="17"/>
      <c r="H8681" s="10"/>
      <c r="I8681" s="17"/>
    </row>
    <row r="8682" ht="14.25">
      <c r="A8682" s="5"/>
      <c r="B8682" s="7"/>
      <c r="C8682" s="7"/>
      <c r="D8682" s="7"/>
      <c r="E8682" s="5"/>
      <c r="F8682" s="5"/>
      <c r="G8682" s="17"/>
      <c r="H8682" s="10"/>
      <c r="I8682" s="17"/>
    </row>
    <row r="8683" ht="14.25">
      <c r="A8683" s="5"/>
      <c r="B8683" s="7"/>
      <c r="C8683" s="7"/>
      <c r="D8683" s="7"/>
      <c r="E8683" s="5"/>
      <c r="F8683" s="5"/>
      <c r="G8683" s="17"/>
      <c r="H8683" s="10"/>
      <c r="I8683" s="17"/>
    </row>
    <row r="8684" ht="14.25">
      <c r="A8684" s="5"/>
      <c r="B8684" s="7"/>
      <c r="C8684" s="7"/>
      <c r="D8684" s="7"/>
      <c r="E8684" s="5"/>
      <c r="F8684" s="5"/>
      <c r="G8684" s="17"/>
      <c r="H8684" s="10"/>
      <c r="I8684" s="17"/>
    </row>
    <row r="8685" ht="14.25">
      <c r="A8685" s="5"/>
      <c r="B8685" s="7"/>
      <c r="C8685" s="7"/>
      <c r="D8685" s="7"/>
      <c r="E8685" s="5"/>
      <c r="F8685" s="5"/>
      <c r="G8685" s="17"/>
      <c r="H8685" s="10"/>
      <c r="I8685" s="17"/>
    </row>
    <row r="8686" ht="14.25">
      <c r="A8686" s="5"/>
      <c r="B8686" s="7"/>
      <c r="C8686" s="7"/>
      <c r="D8686" s="7"/>
      <c r="E8686" s="5"/>
      <c r="F8686" s="5"/>
      <c r="G8686" s="17"/>
      <c r="H8686" s="10"/>
      <c r="I8686" s="17"/>
    </row>
    <row r="8687" ht="14.25">
      <c r="A8687" s="5"/>
      <c r="B8687" s="7"/>
      <c r="C8687" s="7"/>
      <c r="D8687" s="7"/>
      <c r="E8687" s="5"/>
      <c r="F8687" s="5"/>
      <c r="G8687" s="17"/>
      <c r="H8687" s="10"/>
      <c r="I8687" s="17"/>
    </row>
    <row r="8688" ht="14.25">
      <c r="A8688" s="5"/>
      <c r="B8688" s="7"/>
      <c r="C8688" s="7"/>
      <c r="D8688" s="7"/>
      <c r="E8688" s="5"/>
      <c r="F8688" s="5"/>
      <c r="G8688" s="17"/>
      <c r="H8688" s="10"/>
      <c r="I8688" s="17"/>
    </row>
    <row r="8689" ht="14.25">
      <c r="A8689" s="5"/>
      <c r="B8689" s="7"/>
      <c r="C8689" s="7"/>
      <c r="D8689" s="7"/>
      <c r="E8689" s="5"/>
      <c r="F8689" s="5"/>
      <c r="G8689" s="17"/>
      <c r="H8689" s="10"/>
      <c r="I8689" s="17"/>
    </row>
    <row r="8690" ht="14.25">
      <c r="A8690" s="5"/>
      <c r="B8690" s="7"/>
      <c r="C8690" s="7"/>
      <c r="D8690" s="7"/>
      <c r="E8690" s="5"/>
      <c r="F8690" s="5"/>
      <c r="G8690" s="17"/>
      <c r="H8690" s="10"/>
      <c r="I8690" s="17"/>
    </row>
    <row r="8691" ht="14.25">
      <c r="A8691" s="5"/>
      <c r="B8691" s="7"/>
      <c r="C8691" s="7"/>
      <c r="D8691" s="7"/>
      <c r="E8691" s="5"/>
      <c r="F8691" s="5"/>
      <c r="G8691" s="17"/>
      <c r="H8691" s="10"/>
      <c r="I8691" s="17"/>
    </row>
    <row r="8692" ht="14.25">
      <c r="A8692" s="5"/>
      <c r="B8692" s="7"/>
      <c r="C8692" s="7"/>
      <c r="D8692" s="7"/>
      <c r="E8692" s="5"/>
      <c r="F8692" s="5"/>
      <c r="G8692" s="17"/>
      <c r="H8692" s="10"/>
      <c r="I8692" s="17"/>
    </row>
    <row r="8693" ht="14.25">
      <c r="A8693" s="5"/>
      <c r="B8693" s="7"/>
      <c r="C8693" s="7"/>
      <c r="D8693" s="7"/>
      <c r="E8693" s="5"/>
      <c r="F8693" s="5"/>
      <c r="G8693" s="17"/>
      <c r="H8693" s="10"/>
      <c r="I8693" s="17"/>
    </row>
    <row r="8694" ht="14.25">
      <c r="A8694" s="5"/>
      <c r="B8694" s="7"/>
      <c r="C8694" s="7"/>
      <c r="D8694" s="7"/>
      <c r="E8694" s="5"/>
      <c r="F8694" s="5"/>
      <c r="G8694" s="17"/>
      <c r="H8694" s="10"/>
      <c r="I8694" s="17"/>
    </row>
    <row r="8695" ht="14.25">
      <c r="A8695" s="5"/>
      <c r="B8695" s="7"/>
      <c r="C8695" s="7"/>
      <c r="D8695" s="7"/>
      <c r="E8695" s="5"/>
      <c r="F8695" s="5"/>
      <c r="G8695" s="17"/>
      <c r="H8695" s="10"/>
      <c r="I8695" s="17"/>
    </row>
    <row r="8696" ht="14.25">
      <c r="A8696" s="5"/>
      <c r="B8696" s="7"/>
      <c r="C8696" s="7"/>
      <c r="D8696" s="7"/>
      <c r="E8696" s="5"/>
      <c r="F8696" s="5"/>
      <c r="G8696" s="17"/>
      <c r="H8696" s="10"/>
      <c r="I8696" s="17"/>
    </row>
    <row r="8697" ht="14.25">
      <c r="A8697" s="5"/>
      <c r="B8697" s="7"/>
      <c r="C8697" s="7"/>
      <c r="D8697" s="7"/>
      <c r="E8697" s="5"/>
      <c r="F8697" s="5"/>
      <c r="G8697" s="17"/>
      <c r="H8697" s="10"/>
      <c r="I8697" s="17"/>
    </row>
    <row r="8698" ht="14.25">
      <c r="A8698" s="5"/>
      <c r="B8698" s="7"/>
      <c r="C8698" s="7"/>
      <c r="D8698" s="7"/>
      <c r="E8698" s="5"/>
      <c r="F8698" s="5"/>
      <c r="G8698" s="17"/>
      <c r="H8698" s="10"/>
      <c r="I8698" s="17"/>
    </row>
    <row r="8699" ht="14.25">
      <c r="A8699" s="5"/>
      <c r="B8699" s="7"/>
      <c r="C8699" s="7"/>
      <c r="D8699" s="7"/>
      <c r="E8699" s="5"/>
      <c r="F8699" s="5"/>
      <c r="G8699" s="17"/>
      <c r="H8699" s="10"/>
      <c r="I8699" s="17"/>
    </row>
    <row r="8700" ht="14.25">
      <c r="A8700" s="5"/>
      <c r="B8700" s="7"/>
      <c r="C8700" s="7"/>
      <c r="D8700" s="7"/>
      <c r="E8700" s="5"/>
      <c r="F8700" s="5"/>
      <c r="G8700" s="17"/>
      <c r="H8700" s="10"/>
      <c r="I8700" s="17"/>
    </row>
    <row r="8701" ht="14.25">
      <c r="A8701" s="5"/>
      <c r="B8701" s="7"/>
      <c r="C8701" s="7"/>
      <c r="D8701" s="7"/>
      <c r="E8701" s="5"/>
      <c r="F8701" s="5"/>
      <c r="G8701" s="17"/>
      <c r="H8701" s="10"/>
      <c r="I8701" s="17"/>
    </row>
    <row r="8702" ht="14.25">
      <c r="A8702" s="5"/>
      <c r="B8702" s="7"/>
      <c r="C8702" s="7"/>
      <c r="D8702" s="7"/>
      <c r="E8702" s="5"/>
      <c r="F8702" s="5"/>
      <c r="G8702" s="17"/>
      <c r="H8702" s="10"/>
      <c r="I8702" s="17"/>
    </row>
    <row r="8703" ht="14.25">
      <c r="A8703" s="5"/>
      <c r="B8703" s="7"/>
      <c r="C8703" s="7"/>
      <c r="D8703" s="7"/>
      <c r="E8703" s="5"/>
      <c r="F8703" s="5"/>
      <c r="G8703" s="17"/>
      <c r="H8703" s="10"/>
      <c r="I8703" s="17"/>
    </row>
    <row r="8704" ht="14.25">
      <c r="A8704" s="5"/>
      <c r="B8704" s="7"/>
      <c r="C8704" s="7"/>
      <c r="D8704" s="7"/>
      <c r="E8704" s="5"/>
      <c r="F8704" s="5"/>
      <c r="G8704" s="17"/>
      <c r="H8704" s="10"/>
      <c r="I8704" s="17"/>
    </row>
    <row r="8705" ht="14.25">
      <c r="A8705" s="5"/>
      <c r="B8705" s="7"/>
      <c r="C8705" s="7"/>
      <c r="D8705" s="7"/>
      <c r="E8705" s="5"/>
      <c r="F8705" s="5"/>
      <c r="G8705" s="17"/>
      <c r="H8705" s="10"/>
      <c r="I8705" s="17"/>
    </row>
    <row r="8706" ht="14.25">
      <c r="A8706" s="5"/>
      <c r="B8706" s="7"/>
      <c r="C8706" s="7"/>
      <c r="D8706" s="7"/>
      <c r="E8706" s="5"/>
      <c r="F8706" s="5"/>
      <c r="G8706" s="17"/>
      <c r="H8706" s="10"/>
      <c r="I8706" s="17"/>
    </row>
    <row r="8707" ht="14.25">
      <c r="A8707" s="5"/>
      <c r="B8707" s="7"/>
      <c r="C8707" s="7"/>
      <c r="D8707" s="7"/>
      <c r="E8707" s="5"/>
      <c r="F8707" s="5"/>
      <c r="G8707" s="17"/>
      <c r="H8707" s="10"/>
      <c r="I8707" s="17"/>
    </row>
    <row r="8708" ht="14.25">
      <c r="A8708" s="5"/>
      <c r="B8708" s="7"/>
      <c r="C8708" s="7"/>
      <c r="D8708" s="7"/>
      <c r="E8708" s="5"/>
      <c r="F8708" s="5"/>
      <c r="G8708" s="17"/>
      <c r="H8708" s="10"/>
      <c r="I8708" s="17"/>
    </row>
    <row r="8709" ht="14.25">
      <c r="A8709" s="5"/>
      <c r="B8709" s="7"/>
      <c r="C8709" s="7"/>
      <c r="D8709" s="7"/>
      <c r="E8709" s="5"/>
      <c r="F8709" s="5"/>
      <c r="G8709" s="17"/>
      <c r="H8709" s="10"/>
      <c r="I8709" s="17"/>
    </row>
    <row r="8710" ht="14.25">
      <c r="A8710" s="5"/>
      <c r="B8710" s="7"/>
      <c r="C8710" s="7"/>
      <c r="D8710" s="7"/>
      <c r="E8710" s="5"/>
      <c r="F8710" s="5"/>
      <c r="G8710" s="17"/>
      <c r="H8710" s="10"/>
      <c r="I8710" s="17"/>
    </row>
    <row r="8711" ht="14.25">
      <c r="A8711" s="5"/>
      <c r="B8711" s="7"/>
      <c r="C8711" s="7"/>
      <c r="D8711" s="7"/>
      <c r="E8711" s="5"/>
      <c r="F8711" s="5"/>
      <c r="G8711" s="17"/>
      <c r="H8711" s="10"/>
      <c r="I8711" s="17"/>
    </row>
    <row r="8712" ht="14.25">
      <c r="A8712" s="5"/>
      <c r="B8712" s="7"/>
      <c r="C8712" s="7"/>
      <c r="D8712" s="7"/>
      <c r="E8712" s="5"/>
      <c r="F8712" s="5"/>
      <c r="G8712" s="17"/>
      <c r="H8712" s="10"/>
      <c r="I8712" s="17"/>
    </row>
    <row r="8713" ht="14.25">
      <c r="A8713" s="5"/>
      <c r="B8713" s="7"/>
      <c r="C8713" s="7"/>
      <c r="D8713" s="7"/>
      <c r="E8713" s="5"/>
      <c r="F8713" s="5"/>
      <c r="G8713" s="17"/>
      <c r="H8713" s="10"/>
      <c r="I8713" s="17"/>
    </row>
    <row r="8714" ht="14.25">
      <c r="A8714" s="5"/>
      <c r="B8714" s="7"/>
      <c r="C8714" s="7"/>
      <c r="D8714" s="7"/>
      <c r="E8714" s="5"/>
      <c r="F8714" s="5"/>
      <c r="G8714" s="17"/>
      <c r="H8714" s="10"/>
      <c r="I8714" s="17"/>
    </row>
    <row r="8715" ht="14.25">
      <c r="A8715" s="5"/>
      <c r="B8715" s="7"/>
      <c r="C8715" s="7"/>
      <c r="D8715" s="7"/>
      <c r="E8715" s="5"/>
      <c r="F8715" s="5"/>
      <c r="G8715" s="17"/>
      <c r="H8715" s="10"/>
      <c r="I8715" s="17"/>
    </row>
    <row r="8716" ht="14.25">
      <c r="A8716" s="5"/>
      <c r="B8716" s="7"/>
      <c r="C8716" s="7"/>
      <c r="D8716" s="7"/>
      <c r="E8716" s="5"/>
      <c r="F8716" s="5"/>
      <c r="G8716" s="17"/>
      <c r="H8716" s="10"/>
      <c r="I8716" s="17"/>
    </row>
    <row r="8717" ht="14.25">
      <c r="A8717" s="5"/>
      <c r="B8717" s="7"/>
      <c r="C8717" s="7"/>
      <c r="D8717" s="7"/>
      <c r="E8717" s="5"/>
      <c r="F8717" s="5"/>
      <c r="G8717" s="17"/>
      <c r="H8717" s="10"/>
      <c r="I8717" s="17"/>
    </row>
    <row r="8718" ht="14.25">
      <c r="A8718" s="5"/>
      <c r="B8718" s="7"/>
      <c r="C8718" s="7"/>
      <c r="D8718" s="7"/>
      <c r="E8718" s="5"/>
      <c r="F8718" s="5"/>
      <c r="G8718" s="17"/>
      <c r="H8718" s="10"/>
      <c r="I8718" s="17"/>
    </row>
    <row r="8719" ht="14.25">
      <c r="A8719" s="5"/>
      <c r="B8719" s="7"/>
      <c r="C8719" s="7"/>
      <c r="D8719" s="7"/>
      <c r="E8719" s="5"/>
      <c r="F8719" s="5"/>
      <c r="G8719" s="17"/>
      <c r="H8719" s="10"/>
      <c r="I8719" s="17"/>
    </row>
    <row r="8720" ht="14.25">
      <c r="A8720" s="5"/>
      <c r="B8720" s="7"/>
      <c r="C8720" s="7"/>
      <c r="D8720" s="7"/>
      <c r="E8720" s="5"/>
      <c r="F8720" s="5"/>
      <c r="G8720" s="17"/>
      <c r="H8720" s="10"/>
      <c r="I8720" s="17"/>
    </row>
    <row r="8721" ht="14.25">
      <c r="A8721" s="5"/>
      <c r="B8721" s="7"/>
      <c r="C8721" s="7"/>
      <c r="D8721" s="7"/>
      <c r="E8721" s="5"/>
      <c r="F8721" s="5"/>
      <c r="G8721" s="17"/>
      <c r="H8721" s="10"/>
      <c r="I8721" s="17"/>
    </row>
    <row r="8722" ht="14.25">
      <c r="A8722" s="5"/>
      <c r="B8722" s="7"/>
      <c r="C8722" s="7"/>
      <c r="D8722" s="7"/>
      <c r="E8722" s="5"/>
      <c r="F8722" s="5"/>
      <c r="G8722" s="17"/>
      <c r="H8722" s="10"/>
      <c r="I8722" s="17"/>
    </row>
    <row r="8723" ht="14.25">
      <c r="A8723" s="5"/>
      <c r="B8723" s="7"/>
      <c r="C8723" s="7"/>
      <c r="D8723" s="7"/>
      <c r="E8723" s="5"/>
      <c r="F8723" s="5"/>
      <c r="G8723" s="17"/>
      <c r="H8723" s="10"/>
      <c r="I8723" s="17"/>
    </row>
    <row r="8724" ht="14.25">
      <c r="A8724" s="5"/>
      <c r="B8724" s="7"/>
      <c r="C8724" s="7"/>
      <c r="D8724" s="7"/>
      <c r="E8724" s="5"/>
      <c r="F8724" s="5"/>
      <c r="G8724" s="17"/>
      <c r="H8724" s="10"/>
      <c r="I8724" s="17"/>
    </row>
    <row r="8725" ht="14.25">
      <c r="A8725" s="5"/>
      <c r="B8725" s="7"/>
      <c r="C8725" s="7"/>
      <c r="D8725" s="7"/>
      <c r="E8725" s="5"/>
      <c r="F8725" s="5"/>
      <c r="G8725" s="17"/>
      <c r="H8725" s="10"/>
      <c r="I8725" s="17"/>
    </row>
    <row r="8726" ht="14.25">
      <c r="A8726" s="5"/>
      <c r="B8726" s="7"/>
      <c r="C8726" s="7"/>
      <c r="D8726" s="7"/>
      <c r="E8726" s="5"/>
      <c r="F8726" s="5"/>
      <c r="G8726" s="17"/>
      <c r="H8726" s="10"/>
      <c r="I8726" s="17"/>
    </row>
    <row r="8727" ht="14.25">
      <c r="A8727" s="5"/>
      <c r="B8727" s="7"/>
      <c r="C8727" s="7"/>
      <c r="D8727" s="7"/>
      <c r="E8727" s="5"/>
      <c r="F8727" s="5"/>
      <c r="G8727" s="17"/>
      <c r="H8727" s="10"/>
      <c r="I8727" s="17"/>
    </row>
    <row r="8728" ht="14.25">
      <c r="A8728" s="5"/>
      <c r="B8728" s="7"/>
      <c r="C8728" s="7"/>
      <c r="D8728" s="7"/>
      <c r="E8728" s="5"/>
      <c r="F8728" s="5"/>
      <c r="G8728" s="17"/>
      <c r="H8728" s="10"/>
      <c r="I8728" s="17"/>
    </row>
    <row r="8729" ht="14.25">
      <c r="A8729" s="5"/>
      <c r="B8729" s="7"/>
      <c r="C8729" s="7"/>
      <c r="D8729" s="7"/>
      <c r="E8729" s="5"/>
      <c r="F8729" s="5"/>
      <c r="G8729" s="17"/>
      <c r="H8729" s="10"/>
      <c r="I8729" s="17"/>
    </row>
    <row r="8730" ht="14.25">
      <c r="A8730" s="5"/>
      <c r="B8730" s="7"/>
      <c r="C8730" s="7"/>
      <c r="D8730" s="7"/>
      <c r="E8730" s="5"/>
      <c r="F8730" s="5"/>
      <c r="G8730" s="17"/>
      <c r="H8730" s="10"/>
      <c r="I8730" s="17"/>
    </row>
    <row r="8731" ht="14.25">
      <c r="A8731" s="5"/>
      <c r="B8731" s="7"/>
      <c r="C8731" s="7"/>
      <c r="D8731" s="7"/>
      <c r="E8731" s="5"/>
      <c r="F8731" s="5"/>
      <c r="G8731" s="17"/>
      <c r="H8731" s="10"/>
      <c r="I8731" s="17"/>
    </row>
    <row r="8732" ht="14.25">
      <c r="A8732" s="5"/>
      <c r="B8732" s="7"/>
      <c r="C8732" s="7"/>
      <c r="D8732" s="7"/>
      <c r="E8732" s="5"/>
      <c r="F8732" s="5"/>
      <c r="G8732" s="17"/>
      <c r="H8732" s="10"/>
      <c r="I8732" s="17"/>
    </row>
    <row r="8733" ht="14.25">
      <c r="A8733" s="5"/>
      <c r="B8733" s="7"/>
      <c r="C8733" s="7"/>
      <c r="D8733" s="7"/>
      <c r="E8733" s="5"/>
      <c r="F8733" s="5"/>
      <c r="G8733" s="17"/>
      <c r="H8733" s="10"/>
      <c r="I8733" s="17"/>
    </row>
    <row r="8734" ht="14.25">
      <c r="A8734" s="5"/>
      <c r="B8734" s="7"/>
      <c r="C8734" s="7"/>
      <c r="D8734" s="7"/>
      <c r="E8734" s="5"/>
      <c r="F8734" s="5"/>
      <c r="G8734" s="17"/>
      <c r="H8734" s="10"/>
      <c r="I8734" s="17"/>
    </row>
    <row r="8735" ht="14.25">
      <c r="A8735" s="5"/>
      <c r="B8735" s="7"/>
      <c r="C8735" s="7"/>
      <c r="D8735" s="7"/>
      <c r="E8735" s="5"/>
      <c r="F8735" s="5"/>
      <c r="G8735" s="17"/>
      <c r="H8735" s="10"/>
      <c r="I8735" s="17"/>
    </row>
    <row r="8736" ht="14.25">
      <c r="A8736" s="5"/>
      <c r="B8736" s="7"/>
      <c r="C8736" s="7"/>
      <c r="D8736" s="7"/>
      <c r="E8736" s="5"/>
      <c r="F8736" s="5"/>
      <c r="G8736" s="17"/>
      <c r="H8736" s="10"/>
      <c r="I8736" s="17"/>
    </row>
    <row r="8737" ht="14.25">
      <c r="A8737" s="5"/>
      <c r="B8737" s="7"/>
      <c r="C8737" s="7"/>
      <c r="D8737" s="7"/>
      <c r="E8737" s="5"/>
      <c r="F8737" s="5"/>
      <c r="G8737" s="17"/>
      <c r="H8737" s="10"/>
      <c r="I8737" s="17"/>
    </row>
    <row r="8738" ht="14.25">
      <c r="A8738" s="5"/>
      <c r="B8738" s="7"/>
      <c r="C8738" s="7"/>
      <c r="D8738" s="7"/>
      <c r="E8738" s="5"/>
      <c r="F8738" s="5"/>
      <c r="G8738" s="17"/>
      <c r="H8738" s="10"/>
      <c r="I8738" s="17"/>
    </row>
    <row r="8739" ht="14.25">
      <c r="A8739" s="5"/>
      <c r="B8739" s="7"/>
      <c r="C8739" s="7"/>
      <c r="D8739" s="7"/>
      <c r="E8739" s="5"/>
      <c r="F8739" s="5"/>
      <c r="G8739" s="17"/>
      <c r="H8739" s="10"/>
      <c r="I8739" s="17"/>
    </row>
    <row r="8740" ht="14.25">
      <c r="A8740" s="5"/>
      <c r="B8740" s="7"/>
      <c r="C8740" s="7"/>
      <c r="D8740" s="7"/>
      <c r="E8740" s="5"/>
      <c r="F8740" s="5"/>
      <c r="G8740" s="17"/>
      <c r="H8740" s="10"/>
      <c r="I8740" s="17"/>
    </row>
    <row r="8741" ht="14.25">
      <c r="A8741" s="5"/>
      <c r="B8741" s="7"/>
      <c r="C8741" s="7"/>
      <c r="D8741" s="7"/>
      <c r="E8741" s="5"/>
      <c r="F8741" s="5"/>
      <c r="G8741" s="17"/>
      <c r="H8741" s="10"/>
      <c r="I8741" s="17"/>
    </row>
    <row r="8742" ht="14.25">
      <c r="A8742" s="5"/>
      <c r="B8742" s="7"/>
      <c r="C8742" s="7"/>
      <c r="D8742" s="7"/>
      <c r="E8742" s="5"/>
      <c r="F8742" s="5"/>
      <c r="G8742" s="17"/>
      <c r="H8742" s="10"/>
      <c r="I8742" s="17"/>
    </row>
    <row r="8743" ht="14.25">
      <c r="A8743" s="5"/>
      <c r="B8743" s="7"/>
      <c r="C8743" s="7"/>
      <c r="D8743" s="7"/>
      <c r="E8743" s="5"/>
      <c r="F8743" s="5"/>
      <c r="G8743" s="17"/>
      <c r="H8743" s="10"/>
      <c r="I8743" s="17"/>
    </row>
    <row r="8744" ht="14.25">
      <c r="A8744" s="5"/>
      <c r="B8744" s="7"/>
      <c r="C8744" s="7"/>
      <c r="D8744" s="7"/>
      <c r="E8744" s="5"/>
      <c r="F8744" s="5"/>
      <c r="G8744" s="17"/>
      <c r="H8744" s="10"/>
      <c r="I8744" s="17"/>
    </row>
    <row r="8745" ht="14.25">
      <c r="A8745" s="5"/>
      <c r="B8745" s="7"/>
      <c r="C8745" s="7"/>
      <c r="D8745" s="7"/>
      <c r="E8745" s="5"/>
      <c r="F8745" s="5"/>
      <c r="G8745" s="17"/>
      <c r="H8745" s="10"/>
      <c r="I8745" s="17"/>
    </row>
    <row r="8746" ht="14.25">
      <c r="A8746" s="5"/>
      <c r="B8746" s="7"/>
      <c r="C8746" s="7"/>
      <c r="D8746" s="7"/>
      <c r="E8746" s="5"/>
      <c r="F8746" s="5"/>
      <c r="G8746" s="17"/>
      <c r="H8746" s="10"/>
      <c r="I8746" s="17"/>
    </row>
    <row r="8747" ht="14.25">
      <c r="A8747" s="5"/>
      <c r="B8747" s="7"/>
      <c r="C8747" s="7"/>
      <c r="D8747" s="7"/>
      <c r="E8747" s="5"/>
      <c r="F8747" s="5"/>
      <c r="G8747" s="17"/>
      <c r="H8747" s="10"/>
      <c r="I8747" s="17"/>
    </row>
    <row r="8748" ht="14.25">
      <c r="A8748" s="5"/>
      <c r="B8748" s="7"/>
      <c r="C8748" s="7"/>
      <c r="D8748" s="7"/>
      <c r="E8748" s="5"/>
      <c r="F8748" s="5"/>
      <c r="G8748" s="17"/>
      <c r="H8748" s="10"/>
      <c r="I8748" s="17"/>
    </row>
    <row r="8749" ht="14.25">
      <c r="A8749" s="5"/>
      <c r="B8749" s="7"/>
      <c r="C8749" s="7"/>
      <c r="D8749" s="7"/>
      <c r="E8749" s="5"/>
      <c r="F8749" s="5"/>
      <c r="G8749" s="17"/>
      <c r="H8749" s="10"/>
      <c r="I8749" s="17"/>
    </row>
    <row r="8750" ht="14.25">
      <c r="A8750" s="5"/>
      <c r="B8750" s="7"/>
      <c r="C8750" s="7"/>
      <c r="D8750" s="7"/>
      <c r="E8750" s="5"/>
      <c r="F8750" s="5"/>
      <c r="G8750" s="17"/>
      <c r="H8750" s="10"/>
      <c r="I8750" s="17"/>
    </row>
    <row r="8751" ht="14.25">
      <c r="A8751" s="5"/>
      <c r="B8751" s="7"/>
      <c r="C8751" s="7"/>
      <c r="D8751" s="7"/>
      <c r="E8751" s="5"/>
      <c r="F8751" s="5"/>
      <c r="G8751" s="17"/>
      <c r="H8751" s="10"/>
      <c r="I8751" s="17"/>
    </row>
    <row r="8752" ht="14.25">
      <c r="A8752" s="5"/>
      <c r="B8752" s="7"/>
      <c r="C8752" s="7"/>
      <c r="D8752" s="7"/>
      <c r="E8752" s="5"/>
      <c r="F8752" s="5"/>
      <c r="G8752" s="17"/>
      <c r="H8752" s="10"/>
      <c r="I8752" s="17"/>
    </row>
    <row r="8753" ht="14.25">
      <c r="A8753" s="5"/>
      <c r="B8753" s="7"/>
      <c r="C8753" s="7"/>
      <c r="D8753" s="7"/>
      <c r="E8753" s="5"/>
      <c r="F8753" s="5"/>
      <c r="G8753" s="17"/>
      <c r="H8753" s="10"/>
      <c r="I8753" s="17"/>
    </row>
    <row r="8754" ht="14.25">
      <c r="A8754" s="5"/>
      <c r="B8754" s="7"/>
      <c r="C8754" s="7"/>
      <c r="D8754" s="7"/>
      <c r="E8754" s="5"/>
      <c r="F8754" s="5"/>
      <c r="G8754" s="17"/>
      <c r="H8754" s="10"/>
      <c r="I8754" s="17"/>
    </row>
    <row r="8755" ht="14.25">
      <c r="A8755" s="5"/>
      <c r="B8755" s="7"/>
      <c r="C8755" s="7"/>
      <c r="D8755" s="7"/>
      <c r="E8755" s="5"/>
      <c r="F8755" s="5"/>
      <c r="G8755" s="17"/>
      <c r="H8755" s="10"/>
      <c r="I8755" s="17"/>
    </row>
    <row r="8756" ht="14.25">
      <c r="A8756" s="5"/>
      <c r="B8756" s="7"/>
      <c r="C8756" s="7"/>
      <c r="D8756" s="7"/>
      <c r="E8756" s="5"/>
      <c r="F8756" s="5"/>
      <c r="G8756" s="17"/>
      <c r="H8756" s="10"/>
      <c r="I8756" s="17"/>
    </row>
    <row r="8757" ht="14.25">
      <c r="A8757" s="5"/>
      <c r="B8757" s="7"/>
      <c r="C8757" s="7"/>
      <c r="D8757" s="7"/>
      <c r="E8757" s="5"/>
      <c r="F8757" s="5"/>
      <c r="G8757" s="17"/>
      <c r="H8757" s="10"/>
      <c r="I8757" s="17"/>
    </row>
    <row r="8758" ht="14.25">
      <c r="A8758" s="5"/>
      <c r="B8758" s="7"/>
      <c r="C8758" s="7"/>
      <c r="D8758" s="7"/>
      <c r="E8758" s="5"/>
      <c r="F8758" s="5"/>
      <c r="G8758" s="17"/>
      <c r="H8758" s="10"/>
      <c r="I8758" s="17"/>
    </row>
    <row r="8759" ht="14.25">
      <c r="A8759" s="5"/>
      <c r="B8759" s="7"/>
      <c r="C8759" s="7"/>
      <c r="D8759" s="7"/>
      <c r="E8759" s="5"/>
      <c r="F8759" s="5"/>
      <c r="G8759" s="17"/>
      <c r="H8759" s="10"/>
      <c r="I8759" s="17"/>
    </row>
    <row r="8760" ht="14.25">
      <c r="A8760" s="5"/>
      <c r="B8760" s="7"/>
      <c r="C8760" s="7"/>
      <c r="D8760" s="7"/>
      <c r="E8760" s="5"/>
      <c r="F8760" s="5"/>
      <c r="G8760" s="17"/>
      <c r="H8760" s="10"/>
      <c r="I8760" s="17"/>
    </row>
    <row r="8761" ht="14.25">
      <c r="A8761" s="5"/>
      <c r="B8761" s="7"/>
      <c r="C8761" s="7"/>
      <c r="D8761" s="7"/>
      <c r="E8761" s="5"/>
      <c r="F8761" s="5"/>
      <c r="G8761" s="17"/>
      <c r="H8761" s="10"/>
      <c r="I8761" s="17"/>
    </row>
    <row r="8762" ht="14.25">
      <c r="A8762" s="5"/>
      <c r="B8762" s="7"/>
      <c r="C8762" s="7"/>
      <c r="D8762" s="7"/>
      <c r="E8762" s="5"/>
      <c r="F8762" s="5"/>
      <c r="G8762" s="17"/>
      <c r="H8762" s="10"/>
      <c r="I8762" s="17"/>
    </row>
    <row r="8763" ht="14.25">
      <c r="A8763" s="5"/>
      <c r="B8763" s="7"/>
      <c r="C8763" s="7"/>
      <c r="D8763" s="7"/>
      <c r="E8763" s="5"/>
      <c r="F8763" s="5"/>
      <c r="G8763" s="17"/>
      <c r="H8763" s="10"/>
      <c r="I8763" s="17"/>
    </row>
    <row r="8764" ht="14.25">
      <c r="A8764" s="5"/>
      <c r="B8764" s="7"/>
      <c r="C8764" s="7"/>
      <c r="D8764" s="7"/>
      <c r="E8764" s="5"/>
      <c r="F8764" s="5"/>
      <c r="G8764" s="17"/>
      <c r="H8764" s="10"/>
      <c r="I8764" s="17"/>
    </row>
    <row r="8765" ht="14.25">
      <c r="A8765" s="5"/>
      <c r="B8765" s="7"/>
      <c r="C8765" s="7"/>
      <c r="D8765" s="7"/>
      <c r="E8765" s="5"/>
      <c r="F8765" s="5"/>
      <c r="G8765" s="17"/>
      <c r="H8765" s="10"/>
      <c r="I8765" s="17"/>
    </row>
    <row r="8766" ht="14.25">
      <c r="A8766" s="5"/>
      <c r="B8766" s="7"/>
      <c r="C8766" s="7"/>
      <c r="D8766" s="7"/>
      <c r="E8766" s="5"/>
      <c r="F8766" s="5"/>
      <c r="G8766" s="17"/>
      <c r="H8766" s="10"/>
      <c r="I8766" s="17"/>
    </row>
    <row r="8767" ht="14.25">
      <c r="A8767" s="5"/>
      <c r="B8767" s="7"/>
      <c r="C8767" s="7"/>
      <c r="D8767" s="7"/>
      <c r="E8767" s="5"/>
      <c r="F8767" s="5"/>
      <c r="G8767" s="17"/>
      <c r="H8767" s="10"/>
      <c r="I8767" s="17"/>
    </row>
    <row r="8768" ht="14.25">
      <c r="A8768" s="5"/>
      <c r="B8768" s="7"/>
      <c r="C8768" s="7"/>
      <c r="D8768" s="7"/>
      <c r="E8768" s="5"/>
      <c r="F8768" s="5"/>
      <c r="G8768" s="17"/>
      <c r="H8768" s="10"/>
      <c r="I8768" s="17"/>
    </row>
    <row r="8769" ht="14.25">
      <c r="A8769" s="5"/>
      <c r="B8769" s="7"/>
      <c r="C8769" s="7"/>
      <c r="D8769" s="7"/>
      <c r="E8769" s="5"/>
      <c r="F8769" s="5"/>
      <c r="G8769" s="17"/>
      <c r="H8769" s="10"/>
      <c r="I8769" s="17"/>
    </row>
    <row r="8770" ht="14.25">
      <c r="A8770" s="5"/>
      <c r="B8770" s="7"/>
      <c r="C8770" s="7"/>
      <c r="D8770" s="7"/>
      <c r="E8770" s="5"/>
      <c r="F8770" s="5"/>
      <c r="G8770" s="17"/>
      <c r="H8770" s="10"/>
      <c r="I8770" s="17"/>
    </row>
    <row r="8771" ht="14.25">
      <c r="A8771" s="5"/>
      <c r="B8771" s="7"/>
      <c r="C8771" s="7"/>
      <c r="D8771" s="7"/>
      <c r="E8771" s="5"/>
      <c r="F8771" s="5"/>
      <c r="G8771" s="17"/>
      <c r="H8771" s="10"/>
      <c r="I8771" s="17"/>
    </row>
    <row r="8772" ht="14.25">
      <c r="A8772" s="5"/>
      <c r="B8772" s="7"/>
      <c r="C8772" s="7"/>
      <c r="D8772" s="7"/>
      <c r="E8772" s="5"/>
      <c r="F8772" s="5"/>
      <c r="G8772" s="17"/>
      <c r="H8772" s="10"/>
      <c r="I8772" s="17"/>
    </row>
    <row r="8773" ht="14.25">
      <c r="A8773" s="5"/>
      <c r="B8773" s="7"/>
      <c r="C8773" s="7"/>
      <c r="D8773" s="7"/>
      <c r="E8773" s="5"/>
      <c r="F8773" s="5"/>
      <c r="G8773" s="17"/>
      <c r="H8773" s="10"/>
      <c r="I8773" s="17"/>
    </row>
    <row r="8774" ht="14.25">
      <c r="A8774" s="5"/>
      <c r="B8774" s="7"/>
      <c r="C8774" s="7"/>
      <c r="D8774" s="7"/>
      <c r="E8774" s="5"/>
      <c r="F8774" s="5"/>
      <c r="G8774" s="17"/>
      <c r="H8774" s="10"/>
      <c r="I8774" s="17"/>
    </row>
    <row r="8775" ht="14.25">
      <c r="A8775" s="5"/>
      <c r="B8775" s="7"/>
      <c r="C8775" s="7"/>
      <c r="D8775" s="7"/>
      <c r="E8775" s="5"/>
      <c r="F8775" s="5"/>
      <c r="G8775" s="17"/>
      <c r="H8775" s="10"/>
      <c r="I8775" s="17"/>
    </row>
    <row r="8776" ht="14.25">
      <c r="A8776" s="5"/>
      <c r="B8776" s="7"/>
      <c r="C8776" s="7"/>
      <c r="D8776" s="7"/>
      <c r="E8776" s="5"/>
      <c r="F8776" s="5"/>
      <c r="G8776" s="17"/>
      <c r="H8776" s="10"/>
      <c r="I8776" s="17"/>
    </row>
    <row r="8777" ht="14.25">
      <c r="A8777" s="5"/>
      <c r="B8777" s="7"/>
      <c r="C8777" s="7"/>
      <c r="D8777" s="7"/>
      <c r="E8777" s="5"/>
      <c r="F8777" s="5"/>
      <c r="G8777" s="17"/>
      <c r="H8777" s="10"/>
      <c r="I8777" s="17"/>
    </row>
    <row r="8778" ht="14.25">
      <c r="A8778" s="5"/>
      <c r="B8778" s="7"/>
      <c r="C8778" s="7"/>
      <c r="D8778" s="7"/>
      <c r="E8778" s="5"/>
      <c r="F8778" s="5"/>
      <c r="G8778" s="17"/>
      <c r="H8778" s="10"/>
      <c r="I8778" s="17"/>
    </row>
    <row r="8779" ht="14.25">
      <c r="A8779" s="5"/>
      <c r="B8779" s="7"/>
      <c r="C8779" s="7"/>
      <c r="D8779" s="7"/>
      <c r="E8779" s="5"/>
      <c r="F8779" s="5"/>
      <c r="G8779" s="17"/>
      <c r="H8779" s="10"/>
      <c r="I8779" s="17"/>
    </row>
    <row r="8780" ht="14.25">
      <c r="A8780" s="5"/>
      <c r="B8780" s="7"/>
      <c r="C8780" s="7"/>
      <c r="D8780" s="7"/>
      <c r="E8780" s="5"/>
      <c r="F8780" s="5"/>
      <c r="G8780" s="17"/>
      <c r="H8780" s="10"/>
      <c r="I8780" s="17"/>
    </row>
    <row r="8781" ht="14.25">
      <c r="A8781" s="5"/>
      <c r="B8781" s="7"/>
      <c r="C8781" s="7"/>
      <c r="D8781" s="7"/>
      <c r="E8781" s="5"/>
      <c r="F8781" s="5"/>
      <c r="G8781" s="17"/>
      <c r="H8781" s="10"/>
      <c r="I8781" s="17"/>
    </row>
    <row r="8782" ht="14.25">
      <c r="A8782" s="5"/>
      <c r="B8782" s="7"/>
      <c r="C8782" s="7"/>
      <c r="D8782" s="7"/>
      <c r="E8782" s="5"/>
      <c r="F8782" s="5"/>
      <c r="G8782" s="17"/>
      <c r="H8782" s="10"/>
      <c r="I8782" s="17"/>
    </row>
    <row r="8783" ht="14.25">
      <c r="A8783" s="5"/>
      <c r="B8783" s="7"/>
      <c r="C8783" s="7"/>
      <c r="D8783" s="7"/>
      <c r="E8783" s="5"/>
      <c r="F8783" s="5"/>
      <c r="G8783" s="17"/>
      <c r="H8783" s="10"/>
      <c r="I8783" s="17"/>
    </row>
    <row r="8784" ht="14.25">
      <c r="A8784" s="5"/>
      <c r="B8784" s="7"/>
      <c r="C8784" s="7"/>
      <c r="D8784" s="7"/>
      <c r="E8784" s="5"/>
      <c r="F8784" s="5"/>
      <c r="G8784" s="17"/>
      <c r="H8784" s="10"/>
      <c r="I8784" s="17"/>
    </row>
    <row r="8785" ht="14.25">
      <c r="A8785" s="5"/>
      <c r="B8785" s="7"/>
      <c r="C8785" s="7"/>
      <c r="D8785" s="7"/>
      <c r="E8785" s="5"/>
      <c r="F8785" s="5"/>
      <c r="G8785" s="17"/>
      <c r="H8785" s="10"/>
      <c r="I8785" s="17"/>
    </row>
    <row r="8786" ht="14.25">
      <c r="A8786" s="5"/>
      <c r="B8786" s="7"/>
      <c r="C8786" s="7"/>
      <c r="D8786" s="7"/>
      <c r="E8786" s="5"/>
      <c r="F8786" s="5"/>
      <c r="G8786" s="17"/>
      <c r="H8786" s="10"/>
      <c r="I8786" s="17"/>
    </row>
    <row r="8787" ht="14.25">
      <c r="A8787" s="5"/>
      <c r="B8787" s="7"/>
      <c r="C8787" s="7"/>
      <c r="D8787" s="7"/>
      <c r="E8787" s="5"/>
      <c r="F8787" s="5"/>
      <c r="G8787" s="17"/>
      <c r="H8787" s="10"/>
      <c r="I8787" s="17"/>
    </row>
    <row r="8788" ht="14.25">
      <c r="A8788" s="5"/>
      <c r="B8788" s="7"/>
      <c r="C8788" s="7"/>
      <c r="D8788" s="7"/>
      <c r="E8788" s="5"/>
      <c r="F8788" s="5"/>
      <c r="G8788" s="17"/>
      <c r="H8788" s="10"/>
      <c r="I8788" s="17"/>
    </row>
    <row r="8789" ht="14.25">
      <c r="A8789" s="5"/>
      <c r="B8789" s="7"/>
      <c r="C8789" s="7"/>
      <c r="D8789" s="7"/>
      <c r="E8789" s="5"/>
      <c r="F8789" s="5"/>
      <c r="G8789" s="17"/>
      <c r="H8789" s="10"/>
      <c r="I8789" s="17"/>
    </row>
    <row r="8790" ht="14.25">
      <c r="A8790" s="5"/>
      <c r="B8790" s="7"/>
      <c r="C8790" s="7"/>
      <c r="D8790" s="7"/>
      <c r="E8790" s="5"/>
      <c r="F8790" s="5"/>
      <c r="G8790" s="17"/>
      <c r="H8790" s="10"/>
      <c r="I8790" s="17"/>
    </row>
    <row r="8791" ht="14.25">
      <c r="A8791" s="5"/>
      <c r="B8791" s="7"/>
      <c r="C8791" s="7"/>
      <c r="D8791" s="7"/>
      <c r="E8791" s="5"/>
      <c r="F8791" s="5"/>
      <c r="G8791" s="17"/>
      <c r="H8791" s="10"/>
      <c r="I8791" s="17"/>
    </row>
    <row r="8792" ht="14.25">
      <c r="A8792" s="5"/>
      <c r="B8792" s="7"/>
      <c r="C8792" s="7"/>
      <c r="D8792" s="7"/>
      <c r="E8792" s="5"/>
      <c r="F8792" s="5"/>
      <c r="G8792" s="17"/>
      <c r="H8792" s="10"/>
      <c r="I8792" s="17"/>
    </row>
    <row r="8793" ht="14.25">
      <c r="A8793" s="5"/>
      <c r="B8793" s="7"/>
      <c r="C8793" s="7"/>
      <c r="D8793" s="7"/>
      <c r="E8793" s="5"/>
      <c r="F8793" s="5"/>
      <c r="G8793" s="17"/>
      <c r="H8793" s="10"/>
      <c r="I8793" s="17"/>
    </row>
    <row r="8794" ht="14.25">
      <c r="A8794" s="5"/>
      <c r="B8794" s="7"/>
      <c r="C8794" s="7"/>
      <c r="D8794" s="7"/>
      <c r="E8794" s="5"/>
      <c r="F8794" s="5"/>
      <c r="G8794" s="17"/>
      <c r="H8794" s="10"/>
      <c r="I8794" s="17"/>
    </row>
    <row r="8795" ht="14.25">
      <c r="A8795" s="5"/>
      <c r="B8795" s="7"/>
      <c r="C8795" s="7"/>
      <c r="D8795" s="7"/>
      <c r="E8795" s="5"/>
      <c r="F8795" s="5"/>
      <c r="G8795" s="17"/>
      <c r="H8795" s="10"/>
      <c r="I8795" s="17"/>
    </row>
    <row r="8796" ht="14.25">
      <c r="A8796" s="5"/>
      <c r="B8796" s="7"/>
      <c r="C8796" s="7"/>
      <c r="D8796" s="7"/>
      <c r="E8796" s="5"/>
      <c r="F8796" s="5"/>
      <c r="G8796" s="17"/>
      <c r="H8796" s="10"/>
      <c r="I8796" s="17"/>
    </row>
    <row r="8797" ht="14.25">
      <c r="A8797" s="5"/>
      <c r="B8797" s="7"/>
      <c r="C8797" s="7"/>
      <c r="D8797" s="7"/>
      <c r="E8797" s="5"/>
      <c r="F8797" s="5"/>
      <c r="G8797" s="17"/>
      <c r="H8797" s="10"/>
      <c r="I8797" s="17"/>
    </row>
    <row r="8798" ht="14.25">
      <c r="A8798" s="5"/>
      <c r="B8798" s="7"/>
      <c r="C8798" s="7"/>
      <c r="D8798" s="7"/>
      <c r="E8798" s="5"/>
      <c r="F8798" s="5"/>
      <c r="G8798" s="17"/>
      <c r="H8798" s="10"/>
      <c r="I8798" s="17"/>
    </row>
    <row r="8799" ht="14.25">
      <c r="A8799" s="5"/>
      <c r="B8799" s="7"/>
      <c r="C8799" s="7"/>
      <c r="D8799" s="7"/>
      <c r="E8799" s="5"/>
      <c r="F8799" s="5"/>
      <c r="G8799" s="17"/>
      <c r="H8799" s="10"/>
      <c r="I8799" s="17"/>
    </row>
    <row r="8800" ht="14.25">
      <c r="A8800" s="5"/>
      <c r="B8800" s="7"/>
      <c r="C8800" s="7"/>
      <c r="D8800" s="7"/>
      <c r="E8800" s="5"/>
      <c r="F8800" s="5"/>
      <c r="G8800" s="17"/>
      <c r="H8800" s="10"/>
      <c r="I8800" s="17"/>
    </row>
    <row r="8801" ht="14.25">
      <c r="A8801" s="5"/>
      <c r="B8801" s="7"/>
      <c r="C8801" s="7"/>
      <c r="D8801" s="7"/>
      <c r="E8801" s="5"/>
      <c r="F8801" s="5"/>
      <c r="G8801" s="17"/>
      <c r="H8801" s="10"/>
      <c r="I8801" s="17"/>
    </row>
    <row r="8802" ht="14.25">
      <c r="A8802" s="5"/>
      <c r="B8802" s="7"/>
      <c r="C8802" s="7"/>
      <c r="D8802" s="7"/>
      <c r="E8802" s="5"/>
      <c r="F8802" s="5"/>
      <c r="G8802" s="17"/>
      <c r="H8802" s="10"/>
      <c r="I8802" s="17"/>
    </row>
    <row r="8803" ht="14.25">
      <c r="A8803" s="5"/>
      <c r="B8803" s="7"/>
      <c r="C8803" s="7"/>
      <c r="D8803" s="7"/>
      <c r="E8803" s="5"/>
      <c r="F8803" s="5"/>
      <c r="G8803" s="17"/>
      <c r="H8803" s="10"/>
      <c r="I8803" s="17"/>
    </row>
    <row r="8804" ht="14.25">
      <c r="A8804" s="5"/>
      <c r="B8804" s="7"/>
      <c r="C8804" s="7"/>
      <c r="D8804" s="7"/>
      <c r="E8804" s="5"/>
      <c r="F8804" s="5"/>
      <c r="G8804" s="17"/>
      <c r="H8804" s="10"/>
      <c r="I8804" s="17"/>
    </row>
    <row r="8805" ht="14.25">
      <c r="A8805" s="5"/>
      <c r="B8805" s="7"/>
      <c r="C8805" s="7"/>
      <c r="D8805" s="7"/>
      <c r="E8805" s="5"/>
      <c r="F8805" s="5"/>
      <c r="G8805" s="17"/>
      <c r="H8805" s="10"/>
      <c r="I8805" s="17"/>
    </row>
    <row r="8806" ht="14.25">
      <c r="A8806" s="5"/>
      <c r="B8806" s="7"/>
      <c r="C8806" s="7"/>
      <c r="D8806" s="7"/>
      <c r="E8806" s="5"/>
      <c r="F8806" s="5"/>
      <c r="G8806" s="17"/>
      <c r="H8806" s="10"/>
      <c r="I8806" s="17"/>
    </row>
    <row r="8807" ht="14.25">
      <c r="A8807" s="5"/>
      <c r="B8807" s="7"/>
      <c r="C8807" s="7"/>
      <c r="D8807" s="7"/>
      <c r="E8807" s="5"/>
      <c r="F8807" s="5"/>
      <c r="G8807" s="17"/>
      <c r="H8807" s="10"/>
      <c r="I8807" s="17"/>
    </row>
    <row r="8808" ht="14.25">
      <c r="A8808" s="5"/>
      <c r="B8808" s="7"/>
      <c r="C8808" s="7"/>
      <c r="D8808" s="7"/>
      <c r="E8808" s="5"/>
      <c r="F8808" s="5"/>
      <c r="G8808" s="17"/>
      <c r="H8808" s="10"/>
      <c r="I8808" s="17"/>
    </row>
    <row r="8809" ht="14.25">
      <c r="A8809" s="5"/>
      <c r="B8809" s="7"/>
      <c r="C8809" s="7"/>
      <c r="D8809" s="7"/>
      <c r="E8809" s="5"/>
      <c r="F8809" s="5"/>
      <c r="G8809" s="17"/>
      <c r="H8809" s="10"/>
      <c r="I8809" s="17"/>
    </row>
    <row r="8810" ht="14.25">
      <c r="A8810" s="5"/>
      <c r="B8810" s="7"/>
      <c r="C8810" s="7"/>
      <c r="D8810" s="7"/>
      <c r="E8810" s="5"/>
      <c r="F8810" s="5"/>
      <c r="G8810" s="17"/>
      <c r="H8810" s="10"/>
      <c r="I8810" s="17"/>
    </row>
    <row r="8811" ht="14.25">
      <c r="A8811" s="5"/>
      <c r="B8811" s="7"/>
      <c r="C8811" s="7"/>
      <c r="D8811" s="7"/>
      <c r="E8811" s="5"/>
      <c r="F8811" s="5"/>
      <c r="G8811" s="17"/>
      <c r="H8811" s="10"/>
      <c r="I8811" s="17"/>
    </row>
    <row r="8812" ht="14.25">
      <c r="A8812" s="5"/>
      <c r="B8812" s="7"/>
      <c r="C8812" s="7"/>
      <c r="D8812" s="7"/>
      <c r="E8812" s="5"/>
      <c r="F8812" s="5"/>
      <c r="G8812" s="17"/>
      <c r="H8812" s="10"/>
      <c r="I8812" s="17"/>
    </row>
    <row r="8813" ht="14.25">
      <c r="A8813" s="5"/>
      <c r="B8813" s="7"/>
      <c r="C8813" s="7"/>
      <c r="D8813" s="7"/>
      <c r="E8813" s="5"/>
      <c r="F8813" s="5"/>
      <c r="G8813" s="17"/>
      <c r="H8813" s="10"/>
      <c r="I8813" s="17"/>
    </row>
    <row r="8814" ht="14.25">
      <c r="A8814" s="5"/>
      <c r="B8814" s="7"/>
      <c r="C8814" s="7"/>
      <c r="D8814" s="7"/>
      <c r="E8814" s="5"/>
      <c r="F8814" s="5"/>
      <c r="G8814" s="17"/>
      <c r="H8814" s="10"/>
      <c r="I8814" s="17"/>
    </row>
    <row r="8815" ht="14.25">
      <c r="A8815" s="5"/>
      <c r="B8815" s="7"/>
      <c r="C8815" s="7"/>
      <c r="D8815" s="7"/>
      <c r="E8815" s="5"/>
      <c r="F8815" s="5"/>
      <c r="G8815" s="17"/>
      <c r="H8815" s="10"/>
      <c r="I8815" s="17"/>
    </row>
    <row r="8816" ht="14.25">
      <c r="A8816" s="5"/>
      <c r="B8816" s="7"/>
      <c r="C8816" s="7"/>
      <c r="D8816" s="7"/>
      <c r="E8816" s="5"/>
      <c r="F8816" s="5"/>
      <c r="G8816" s="17"/>
      <c r="H8816" s="10"/>
      <c r="I8816" s="17"/>
    </row>
    <row r="8817" ht="14.25">
      <c r="A8817" s="5"/>
      <c r="B8817" s="7"/>
      <c r="C8817" s="7"/>
      <c r="D8817" s="7"/>
      <c r="E8817" s="5"/>
      <c r="F8817" s="5"/>
      <c r="G8817" s="17"/>
      <c r="H8817" s="10"/>
      <c r="I8817" s="17"/>
    </row>
    <row r="8818" ht="14.25">
      <c r="A8818" s="5"/>
      <c r="B8818" s="7"/>
      <c r="C8818" s="7"/>
      <c r="D8818" s="7"/>
      <c r="E8818" s="5"/>
      <c r="F8818" s="5"/>
      <c r="G8818" s="17"/>
      <c r="H8818" s="10"/>
      <c r="I8818" s="17"/>
    </row>
    <row r="8819" ht="14.25">
      <c r="A8819" s="5"/>
      <c r="B8819" s="7"/>
      <c r="C8819" s="7"/>
      <c r="D8819" s="7"/>
      <c r="E8819" s="5"/>
      <c r="F8819" s="5"/>
      <c r="G8819" s="17"/>
      <c r="H8819" s="10"/>
      <c r="I8819" s="17"/>
    </row>
    <row r="8820" ht="14.25">
      <c r="A8820" s="5"/>
      <c r="B8820" s="7"/>
      <c r="C8820" s="7"/>
      <c r="D8820" s="7"/>
      <c r="E8820" s="5"/>
      <c r="F8820" s="5"/>
      <c r="G8820" s="17"/>
      <c r="H8820" s="10"/>
      <c r="I8820" s="17"/>
    </row>
    <row r="8821" ht="14.25">
      <c r="A8821" s="5"/>
      <c r="B8821" s="7"/>
      <c r="C8821" s="7"/>
      <c r="D8821" s="7"/>
      <c r="E8821" s="5"/>
      <c r="F8821" s="5"/>
      <c r="G8821" s="17"/>
      <c r="H8821" s="10"/>
      <c r="I8821" s="17"/>
    </row>
    <row r="8822" ht="14.25">
      <c r="A8822" s="5"/>
      <c r="B8822" s="7"/>
      <c r="C8822" s="7"/>
      <c r="D8822" s="7"/>
      <c r="E8822" s="5"/>
      <c r="F8822" s="5"/>
      <c r="G8822" s="17"/>
      <c r="H8822" s="10"/>
      <c r="I8822" s="17"/>
    </row>
    <row r="8823" ht="14.25">
      <c r="A8823" s="5"/>
      <c r="B8823" s="7"/>
      <c r="C8823" s="7"/>
      <c r="D8823" s="7"/>
      <c r="E8823" s="5"/>
      <c r="F8823" s="5"/>
      <c r="G8823" s="17"/>
      <c r="H8823" s="10"/>
      <c r="I8823" s="17"/>
    </row>
    <row r="8824" ht="14.25">
      <c r="A8824" s="5"/>
      <c r="B8824" s="7"/>
      <c r="C8824" s="7"/>
      <c r="D8824" s="7"/>
      <c r="E8824" s="5"/>
      <c r="F8824" s="5"/>
      <c r="G8824" s="17"/>
      <c r="H8824" s="10"/>
      <c r="I8824" s="17"/>
    </row>
    <row r="8825" ht="14.25">
      <c r="A8825" s="5"/>
      <c r="B8825" s="7"/>
      <c r="C8825" s="7"/>
      <c r="D8825" s="7"/>
      <c r="E8825" s="5"/>
      <c r="F8825" s="5"/>
      <c r="G8825" s="17"/>
      <c r="H8825" s="10"/>
      <c r="I8825" s="17"/>
    </row>
    <row r="8826" ht="14.25">
      <c r="A8826" s="5"/>
      <c r="B8826" s="7"/>
      <c r="C8826" s="7"/>
      <c r="D8826" s="7"/>
      <c r="E8826" s="5"/>
      <c r="F8826" s="5"/>
      <c r="G8826" s="17"/>
      <c r="H8826" s="10"/>
      <c r="I8826" s="17"/>
    </row>
    <row r="8827" ht="14.25">
      <c r="A8827" s="5"/>
      <c r="B8827" s="7"/>
      <c r="C8827" s="7"/>
      <c r="D8827" s="7"/>
      <c r="E8827" s="5"/>
      <c r="F8827" s="5"/>
      <c r="G8827" s="17"/>
      <c r="H8827" s="10"/>
      <c r="I8827" s="17"/>
    </row>
    <row r="8828" ht="14.25">
      <c r="A8828" s="5"/>
      <c r="B8828" s="7"/>
      <c r="C8828" s="7"/>
      <c r="D8828" s="7"/>
      <c r="E8828" s="5"/>
      <c r="F8828" s="5"/>
      <c r="G8828" s="17"/>
      <c r="H8828" s="10"/>
      <c r="I8828" s="17"/>
    </row>
    <row r="8829" ht="14.25">
      <c r="A8829" s="5"/>
      <c r="B8829" s="7"/>
      <c r="C8829" s="7"/>
      <c r="D8829" s="7"/>
      <c r="E8829" s="5"/>
      <c r="F8829" s="5"/>
      <c r="G8829" s="17"/>
      <c r="H8829" s="10"/>
      <c r="I8829" s="17"/>
    </row>
    <row r="8830" ht="14.25">
      <c r="A8830" s="5"/>
      <c r="B8830" s="7"/>
      <c r="C8830" s="7"/>
      <c r="D8830" s="7"/>
      <c r="E8830" s="5"/>
      <c r="F8830" s="5"/>
      <c r="G8830" s="17"/>
      <c r="H8830" s="10"/>
      <c r="I8830" s="17"/>
    </row>
    <row r="8831" ht="14.25">
      <c r="A8831" s="5"/>
      <c r="B8831" s="7"/>
      <c r="C8831" s="7"/>
      <c r="D8831" s="7"/>
      <c r="E8831" s="5"/>
      <c r="F8831" s="5"/>
      <c r="G8831" s="17"/>
      <c r="H8831" s="10"/>
      <c r="I8831" s="17"/>
    </row>
    <row r="8832" ht="14.25">
      <c r="A8832" s="5"/>
      <c r="B8832" s="7"/>
      <c r="C8832" s="7"/>
      <c r="D8832" s="7"/>
      <c r="E8832" s="5"/>
      <c r="F8832" s="5"/>
      <c r="G8832" s="17"/>
      <c r="H8832" s="10"/>
      <c r="I8832" s="17"/>
    </row>
    <row r="8833" ht="14.25">
      <c r="A8833" s="5"/>
      <c r="B8833" s="7"/>
      <c r="C8833" s="7"/>
      <c r="D8833" s="7"/>
      <c r="E8833" s="5"/>
      <c r="F8833" s="5"/>
      <c r="G8833" s="17"/>
      <c r="H8833" s="10"/>
      <c r="I8833" s="17"/>
    </row>
    <row r="8834" ht="14.25">
      <c r="A8834" s="5"/>
      <c r="B8834" s="7"/>
      <c r="C8834" s="7"/>
      <c r="D8834" s="7"/>
      <c r="E8834" s="5"/>
      <c r="F8834" s="5"/>
      <c r="G8834" s="17"/>
      <c r="H8834" s="10"/>
      <c r="I8834" s="17"/>
    </row>
    <row r="8835" ht="14.25">
      <c r="A8835" s="5"/>
      <c r="B8835" s="7"/>
      <c r="C8835" s="7"/>
      <c r="D8835" s="7"/>
      <c r="E8835" s="5"/>
      <c r="F8835" s="5"/>
      <c r="G8835" s="17"/>
      <c r="H8835" s="10"/>
      <c r="I8835" s="17"/>
    </row>
    <row r="8836" ht="14.25">
      <c r="A8836" s="5"/>
      <c r="B8836" s="7"/>
      <c r="C8836" s="7"/>
      <c r="D8836" s="7"/>
      <c r="E8836" s="5"/>
      <c r="F8836" s="5"/>
      <c r="G8836" s="17"/>
      <c r="H8836" s="10"/>
      <c r="I8836" s="17"/>
    </row>
    <row r="8837" ht="14.25">
      <c r="A8837" s="5"/>
      <c r="B8837" s="7"/>
      <c r="C8837" s="7"/>
      <c r="D8837" s="7"/>
      <c r="E8837" s="5"/>
      <c r="F8837" s="5"/>
      <c r="G8837" s="17"/>
      <c r="H8837" s="10"/>
      <c r="I8837" s="17"/>
    </row>
    <row r="8838" ht="14.25">
      <c r="A8838" s="5"/>
      <c r="B8838" s="7"/>
      <c r="C8838" s="7"/>
      <c r="D8838" s="7"/>
      <c r="E8838" s="5"/>
      <c r="F8838" s="5"/>
      <c r="G8838" s="17"/>
      <c r="H8838" s="10"/>
      <c r="I8838" s="17"/>
    </row>
    <row r="8839" ht="14.25">
      <c r="A8839" s="5"/>
      <c r="B8839" s="7"/>
      <c r="C8839" s="7"/>
      <c r="D8839" s="7"/>
      <c r="E8839" s="5"/>
      <c r="F8839" s="5"/>
      <c r="G8839" s="17"/>
      <c r="H8839" s="10"/>
      <c r="I8839" s="17"/>
    </row>
    <row r="8840" ht="14.25">
      <c r="A8840" s="5"/>
      <c r="B8840" s="7"/>
      <c r="C8840" s="7"/>
      <c r="D8840" s="7"/>
      <c r="E8840" s="5"/>
      <c r="F8840" s="5"/>
      <c r="G8840" s="17"/>
      <c r="H8840" s="10"/>
      <c r="I8840" s="17"/>
    </row>
    <row r="8841" ht="14.25">
      <c r="A8841" s="5"/>
      <c r="B8841" s="7"/>
      <c r="C8841" s="7"/>
      <c r="D8841" s="7"/>
      <c r="E8841" s="5"/>
      <c r="F8841" s="5"/>
      <c r="G8841" s="17"/>
      <c r="H8841" s="10"/>
      <c r="I8841" s="17"/>
    </row>
    <row r="8842" ht="14.25">
      <c r="A8842" s="5"/>
      <c r="B8842" s="7"/>
      <c r="C8842" s="7"/>
      <c r="D8842" s="7"/>
      <c r="E8842" s="5"/>
      <c r="F8842" s="5"/>
      <c r="G8842" s="17"/>
      <c r="H8842" s="10"/>
      <c r="I8842" s="17"/>
    </row>
    <row r="8843" ht="14.25">
      <c r="A8843" s="5"/>
      <c r="B8843" s="7"/>
      <c r="C8843" s="7"/>
      <c r="D8843" s="7"/>
      <c r="E8843" s="5"/>
      <c r="F8843" s="5"/>
      <c r="G8843" s="17"/>
      <c r="H8843" s="10"/>
      <c r="I8843" s="17"/>
    </row>
    <row r="8844" ht="14.25">
      <c r="A8844" s="5"/>
      <c r="B8844" s="7"/>
      <c r="C8844" s="7"/>
      <c r="D8844" s="7"/>
      <c r="E8844" s="5"/>
      <c r="F8844" s="5"/>
      <c r="G8844" s="17"/>
      <c r="H8844" s="10"/>
      <c r="I8844" s="17"/>
    </row>
    <row r="8845" ht="14.25">
      <c r="A8845" s="5"/>
      <c r="B8845" s="7"/>
      <c r="C8845" s="7"/>
      <c r="D8845" s="7"/>
      <c r="E8845" s="5"/>
      <c r="F8845" s="5"/>
      <c r="G8845" s="17"/>
      <c r="H8845" s="10"/>
      <c r="I8845" s="17"/>
    </row>
    <row r="8846" ht="14.25">
      <c r="A8846" s="5"/>
      <c r="B8846" s="7"/>
      <c r="C8846" s="7"/>
      <c r="D8846" s="7"/>
      <c r="E8846" s="5"/>
      <c r="F8846" s="5"/>
      <c r="G8846" s="17"/>
      <c r="H8846" s="10"/>
      <c r="I8846" s="17"/>
    </row>
    <row r="8847" ht="14.25">
      <c r="A8847" s="5"/>
      <c r="B8847" s="7"/>
      <c r="C8847" s="7"/>
      <c r="D8847" s="7"/>
      <c r="E8847" s="5"/>
      <c r="F8847" s="5"/>
      <c r="G8847" s="17"/>
      <c r="H8847" s="10"/>
      <c r="I8847" s="17"/>
    </row>
    <row r="8848" ht="14.25">
      <c r="A8848" s="5"/>
      <c r="B8848" s="7"/>
      <c r="C8848" s="7"/>
      <c r="D8848" s="7"/>
      <c r="E8848" s="5"/>
      <c r="F8848" s="5"/>
      <c r="G8848" s="17"/>
      <c r="H8848" s="10"/>
      <c r="I8848" s="17"/>
    </row>
    <row r="8849" ht="14.25">
      <c r="A8849" s="5"/>
      <c r="B8849" s="7"/>
      <c r="C8849" s="7"/>
      <c r="D8849" s="7"/>
      <c r="E8849" s="5"/>
      <c r="F8849" s="5"/>
      <c r="G8849" s="17"/>
      <c r="H8849" s="10"/>
      <c r="I8849" s="17"/>
    </row>
    <row r="8850" ht="14.25">
      <c r="A8850" s="5"/>
      <c r="B8850" s="7"/>
      <c r="C8850" s="7"/>
      <c r="D8850" s="7"/>
      <c r="E8850" s="5"/>
      <c r="F8850" s="5"/>
      <c r="G8850" s="17"/>
      <c r="H8850" s="10"/>
      <c r="I8850" s="17"/>
    </row>
    <row r="8851" ht="14.25">
      <c r="A8851" s="5"/>
      <c r="B8851" s="7"/>
      <c r="C8851" s="7"/>
      <c r="D8851" s="7"/>
      <c r="E8851" s="5"/>
      <c r="F8851" s="5"/>
      <c r="G8851" s="17"/>
      <c r="H8851" s="10"/>
      <c r="I8851" s="17"/>
    </row>
    <row r="8852" ht="14.25">
      <c r="A8852" s="5"/>
      <c r="B8852" s="7"/>
      <c r="C8852" s="7"/>
      <c r="D8852" s="7"/>
      <c r="E8852" s="5"/>
      <c r="F8852" s="5"/>
      <c r="G8852" s="17"/>
      <c r="H8852" s="10"/>
      <c r="I8852" s="17"/>
    </row>
    <row r="8853" ht="14.25">
      <c r="A8853" s="5"/>
      <c r="B8853" s="7"/>
      <c r="C8853" s="7"/>
      <c r="D8853" s="7"/>
      <c r="E8853" s="5"/>
      <c r="F8853" s="5"/>
      <c r="G8853" s="17"/>
      <c r="H8853" s="10"/>
      <c r="I8853" s="17"/>
    </row>
    <row r="8854" ht="14.25">
      <c r="A8854" s="5"/>
      <c r="B8854" s="7"/>
      <c r="C8854" s="7"/>
      <c r="D8854" s="7"/>
      <c r="E8854" s="5"/>
      <c r="F8854" s="5"/>
      <c r="G8854" s="17"/>
      <c r="H8854" s="10"/>
      <c r="I8854" s="17"/>
    </row>
    <row r="8855" ht="14.25">
      <c r="A8855" s="5"/>
      <c r="B8855" s="7"/>
      <c r="C8855" s="7"/>
      <c r="D8855" s="7"/>
      <c r="E8855" s="5"/>
      <c r="F8855" s="5"/>
      <c r="G8855" s="17"/>
      <c r="H8855" s="10"/>
      <c r="I8855" s="17"/>
    </row>
    <row r="8856" ht="14.25">
      <c r="A8856" s="5"/>
      <c r="B8856" s="7"/>
      <c r="C8856" s="7"/>
      <c r="D8856" s="7"/>
      <c r="E8856" s="5"/>
      <c r="F8856" s="5"/>
      <c r="G8856" s="17"/>
      <c r="H8856" s="10"/>
      <c r="I8856" s="17"/>
    </row>
    <row r="8857" ht="14.25">
      <c r="A8857" s="5"/>
      <c r="B8857" s="7"/>
      <c r="C8857" s="7"/>
      <c r="D8857" s="7"/>
      <c r="E8857" s="5"/>
      <c r="F8857" s="5"/>
      <c r="G8857" s="17"/>
      <c r="H8857" s="10"/>
      <c r="I8857" s="17"/>
    </row>
    <row r="8858" ht="14.25">
      <c r="A8858" s="5"/>
      <c r="B8858" s="7"/>
      <c r="C8858" s="7"/>
      <c r="D8858" s="7"/>
      <c r="E8858" s="5"/>
      <c r="F8858" s="5"/>
      <c r="G8858" s="17"/>
      <c r="H8858" s="10"/>
      <c r="I8858" s="17"/>
    </row>
    <row r="8859" ht="14.25">
      <c r="A8859" s="5"/>
      <c r="B8859" s="7"/>
      <c r="C8859" s="7"/>
      <c r="D8859" s="7"/>
      <c r="E8859" s="5"/>
      <c r="F8859" s="5"/>
      <c r="G8859" s="17"/>
      <c r="H8859" s="10"/>
      <c r="I8859" s="17"/>
    </row>
    <row r="8860" ht="14.25">
      <c r="A8860" s="5"/>
      <c r="B8860" s="7"/>
      <c r="C8860" s="7"/>
      <c r="D8860" s="7"/>
      <c r="E8860" s="5"/>
      <c r="F8860" s="5"/>
      <c r="G8860" s="17"/>
      <c r="H8860" s="10"/>
      <c r="I8860" s="17"/>
    </row>
    <row r="8861" ht="14.25">
      <c r="A8861" s="5"/>
      <c r="B8861" s="7"/>
      <c r="C8861" s="7"/>
      <c r="D8861" s="7"/>
      <c r="E8861" s="5"/>
      <c r="F8861" s="5"/>
      <c r="G8861" s="17"/>
      <c r="H8861" s="10"/>
      <c r="I8861" s="17"/>
    </row>
    <row r="8862" ht="14.25">
      <c r="A8862" s="5"/>
      <c r="B8862" s="7"/>
      <c r="C8862" s="7"/>
      <c r="D8862" s="7"/>
      <c r="E8862" s="5"/>
      <c r="F8862" s="5"/>
      <c r="G8862" s="17"/>
      <c r="H8862" s="10"/>
      <c r="I8862" s="17"/>
    </row>
    <row r="8863" ht="14.25">
      <c r="A8863" s="5"/>
      <c r="B8863" s="7"/>
      <c r="C8863" s="7"/>
      <c r="D8863" s="7"/>
      <c r="E8863" s="5"/>
      <c r="F8863" s="5"/>
      <c r="G8863" s="17"/>
      <c r="H8863" s="10"/>
      <c r="I8863" s="17"/>
    </row>
    <row r="8864" ht="14.25">
      <c r="A8864" s="5"/>
      <c r="B8864" s="7"/>
      <c r="C8864" s="7"/>
      <c r="D8864" s="7"/>
      <c r="E8864" s="5"/>
      <c r="F8864" s="5"/>
      <c r="G8864" s="17"/>
      <c r="H8864" s="10"/>
      <c r="I8864" s="17"/>
    </row>
    <row r="8865" ht="14.25">
      <c r="A8865" s="5"/>
      <c r="B8865" s="7"/>
      <c r="C8865" s="7"/>
      <c r="D8865" s="7"/>
      <c r="E8865" s="5"/>
      <c r="F8865" s="5"/>
      <c r="G8865" s="17"/>
      <c r="H8865" s="10"/>
      <c r="I8865" s="17"/>
    </row>
    <row r="8866" ht="14.25">
      <c r="A8866" s="5"/>
      <c r="B8866" s="7"/>
      <c r="C8866" s="7"/>
      <c r="D8866" s="7"/>
      <c r="E8866" s="5"/>
      <c r="F8866" s="5"/>
      <c r="G8866" s="17"/>
      <c r="H8866" s="10"/>
      <c r="I8866" s="17"/>
    </row>
    <row r="8867" ht="14.25">
      <c r="A8867" s="5"/>
      <c r="B8867" s="7"/>
      <c r="C8867" s="7"/>
      <c r="D8867" s="7"/>
      <c r="E8867" s="5"/>
      <c r="F8867" s="5"/>
      <c r="G8867" s="17"/>
      <c r="H8867" s="10"/>
      <c r="I8867" s="17"/>
    </row>
    <row r="8868" ht="14.25">
      <c r="A8868" s="5"/>
      <c r="B8868" s="7"/>
      <c r="C8868" s="7"/>
      <c r="D8868" s="7"/>
      <c r="E8868" s="5"/>
      <c r="F8868" s="5"/>
      <c r="G8868" s="17"/>
      <c r="H8868" s="10"/>
      <c r="I8868" s="17"/>
    </row>
    <row r="8869" ht="14.25">
      <c r="A8869" s="5"/>
      <c r="B8869" s="7"/>
      <c r="C8869" s="7"/>
      <c r="D8869" s="7"/>
      <c r="E8869" s="5"/>
      <c r="F8869" s="5"/>
      <c r="G8869" s="17"/>
      <c r="H8869" s="10"/>
      <c r="I8869" s="17"/>
    </row>
    <row r="8870" ht="14.25">
      <c r="A8870" s="5"/>
      <c r="B8870" s="7"/>
      <c r="C8870" s="7"/>
      <c r="D8870" s="7"/>
      <c r="E8870" s="5"/>
      <c r="F8870" s="5"/>
      <c r="G8870" s="17"/>
      <c r="H8870" s="10"/>
      <c r="I8870" s="17"/>
    </row>
    <row r="8871" ht="14.25">
      <c r="A8871" s="5"/>
      <c r="B8871" s="7"/>
      <c r="C8871" s="7"/>
      <c r="D8871" s="7"/>
      <c r="E8871" s="5"/>
      <c r="F8871" s="5"/>
      <c r="G8871" s="17"/>
      <c r="H8871" s="10"/>
      <c r="I8871" s="17"/>
    </row>
    <row r="8872" ht="14.25">
      <c r="A8872" s="5"/>
      <c r="B8872" s="7"/>
      <c r="C8872" s="7"/>
      <c r="D8872" s="7"/>
      <c r="E8872" s="5"/>
      <c r="F8872" s="5"/>
      <c r="G8872" s="17"/>
      <c r="H8872" s="10"/>
      <c r="I8872" s="17"/>
    </row>
    <row r="8873" ht="14.25">
      <c r="A8873" s="5"/>
      <c r="B8873" s="7"/>
      <c r="C8873" s="7"/>
      <c r="D8873" s="7"/>
      <c r="E8873" s="5"/>
      <c r="F8873" s="5"/>
      <c r="G8873" s="17"/>
      <c r="H8873" s="10"/>
      <c r="I8873" s="17"/>
    </row>
    <row r="8874" ht="14.25">
      <c r="A8874" s="5"/>
      <c r="B8874" s="7"/>
      <c r="C8874" s="7"/>
      <c r="D8874" s="7"/>
      <c r="E8874" s="5"/>
      <c r="F8874" s="5"/>
      <c r="G8874" s="17"/>
      <c r="H8874" s="10"/>
      <c r="I8874" s="17"/>
    </row>
    <row r="8875" ht="14.25">
      <c r="A8875" s="5"/>
      <c r="B8875" s="7"/>
      <c r="C8875" s="7"/>
      <c r="D8875" s="7"/>
      <c r="E8875" s="5"/>
      <c r="F8875" s="5"/>
      <c r="G8875" s="17"/>
      <c r="H8875" s="10"/>
      <c r="I8875" s="17"/>
    </row>
    <row r="8876" ht="14.25">
      <c r="A8876" s="5"/>
      <c r="B8876" s="7"/>
      <c r="C8876" s="7"/>
      <c r="D8876" s="7"/>
      <c r="E8876" s="5"/>
      <c r="F8876" s="5"/>
      <c r="G8876" s="17"/>
      <c r="H8876" s="10"/>
      <c r="I8876" s="17"/>
    </row>
    <row r="8877" ht="14.25">
      <c r="A8877" s="5"/>
      <c r="B8877" s="7"/>
      <c r="C8877" s="7"/>
      <c r="D8877" s="7"/>
      <c r="E8877" s="5"/>
      <c r="F8877" s="5"/>
      <c r="G8877" s="17"/>
      <c r="H8877" s="10"/>
      <c r="I8877" s="17"/>
    </row>
    <row r="8878" ht="14.25">
      <c r="A8878" s="5"/>
      <c r="B8878" s="7"/>
      <c r="C8878" s="7"/>
      <c r="D8878" s="7"/>
      <c r="E8878" s="5"/>
      <c r="F8878" s="5"/>
      <c r="G8878" s="17"/>
      <c r="H8878" s="10"/>
      <c r="I8878" s="17"/>
    </row>
    <row r="8879" ht="14.25">
      <c r="A8879" s="5"/>
      <c r="B8879" s="7"/>
      <c r="C8879" s="7"/>
      <c r="D8879" s="7"/>
      <c r="E8879" s="5"/>
      <c r="F8879" s="5"/>
      <c r="G8879" s="17"/>
      <c r="H8879" s="10"/>
      <c r="I8879" s="17"/>
    </row>
    <row r="8880" ht="14.25">
      <c r="A8880" s="5"/>
      <c r="B8880" s="7"/>
      <c r="C8880" s="7"/>
      <c r="D8880" s="7"/>
      <c r="E8880" s="5"/>
      <c r="F8880" s="5"/>
      <c r="G8880" s="17"/>
      <c r="H8880" s="10"/>
      <c r="I8880" s="17"/>
    </row>
    <row r="8881" ht="14.25">
      <c r="A8881" s="5"/>
      <c r="B8881" s="7"/>
      <c r="C8881" s="7"/>
      <c r="D8881" s="7"/>
      <c r="E8881" s="5"/>
      <c r="F8881" s="5"/>
      <c r="G8881" s="17"/>
      <c r="H8881" s="10"/>
      <c r="I8881" s="17"/>
    </row>
    <row r="8882" ht="14.25">
      <c r="A8882" s="5"/>
      <c r="B8882" s="7"/>
      <c r="C8882" s="7"/>
      <c r="D8882" s="7"/>
      <c r="E8882" s="5"/>
      <c r="F8882" s="5"/>
      <c r="G8882" s="17"/>
      <c r="H8882" s="10"/>
      <c r="I8882" s="17"/>
    </row>
    <row r="8883" ht="14.25">
      <c r="A8883" s="5"/>
      <c r="B8883" s="7"/>
      <c r="C8883" s="7"/>
      <c r="D8883" s="7"/>
      <c r="E8883" s="5"/>
      <c r="F8883" s="5"/>
      <c r="G8883" s="17"/>
      <c r="H8883" s="10"/>
      <c r="I8883" s="17"/>
    </row>
    <row r="8884" ht="14.25">
      <c r="A8884" s="5"/>
      <c r="B8884" s="7"/>
      <c r="C8884" s="7"/>
      <c r="D8884" s="7"/>
      <c r="E8884" s="5"/>
      <c r="F8884" s="5"/>
      <c r="G8884" s="17"/>
      <c r="H8884" s="10"/>
      <c r="I8884" s="17"/>
    </row>
    <row r="8885" ht="14.25">
      <c r="A8885" s="5"/>
      <c r="B8885" s="7"/>
      <c r="C8885" s="7"/>
      <c r="D8885" s="7"/>
      <c r="E8885" s="5"/>
      <c r="F8885" s="5"/>
      <c r="G8885" s="17"/>
      <c r="H8885" s="10"/>
      <c r="I8885" s="17"/>
    </row>
    <row r="8886" ht="14.25">
      <c r="A8886" s="5"/>
      <c r="B8886" s="7"/>
      <c r="C8886" s="7"/>
      <c r="D8886" s="7"/>
      <c r="E8886" s="5"/>
      <c r="F8886" s="5"/>
      <c r="G8886" s="17"/>
      <c r="H8886" s="10"/>
      <c r="I8886" s="17"/>
    </row>
    <row r="8887" ht="14.25">
      <c r="A8887" s="5"/>
      <c r="B8887" s="7"/>
      <c r="C8887" s="7"/>
      <c r="D8887" s="7"/>
      <c r="E8887" s="5"/>
      <c r="F8887" s="5"/>
      <c r="G8887" s="17"/>
      <c r="H8887" s="10"/>
      <c r="I8887" s="17"/>
    </row>
    <row r="8888" ht="14.25">
      <c r="A8888" s="5"/>
      <c r="B8888" s="7"/>
      <c r="C8888" s="7"/>
      <c r="D8888" s="7"/>
      <c r="E8888" s="5"/>
      <c r="F8888" s="5"/>
      <c r="G8888" s="17"/>
      <c r="H8888" s="10"/>
      <c r="I8888" s="17"/>
    </row>
    <row r="8889" ht="14.25">
      <c r="A8889" s="5"/>
      <c r="B8889" s="7"/>
      <c r="C8889" s="7"/>
      <c r="D8889" s="7"/>
      <c r="E8889" s="5"/>
      <c r="F8889" s="5"/>
      <c r="G8889" s="17"/>
      <c r="H8889" s="10"/>
      <c r="I8889" s="17"/>
    </row>
    <row r="8890" ht="14.25">
      <c r="A8890" s="5"/>
      <c r="B8890" s="7"/>
      <c r="C8890" s="7"/>
      <c r="D8890" s="7"/>
      <c r="E8890" s="5"/>
      <c r="F8890" s="5"/>
      <c r="G8890" s="17"/>
      <c r="H8890" s="10"/>
      <c r="I8890" s="17"/>
    </row>
    <row r="8891" ht="14.25">
      <c r="A8891" s="5"/>
      <c r="B8891" s="7"/>
      <c r="C8891" s="7"/>
      <c r="D8891" s="7"/>
      <c r="E8891" s="5"/>
      <c r="F8891" s="5"/>
      <c r="G8891" s="17"/>
      <c r="H8891" s="10"/>
      <c r="I8891" s="17"/>
    </row>
    <row r="8892" ht="14.25">
      <c r="A8892" s="5"/>
      <c r="B8892" s="7"/>
      <c r="C8892" s="7"/>
      <c r="D8892" s="7"/>
      <c r="E8892" s="5"/>
      <c r="F8892" s="5"/>
      <c r="G8892" s="17"/>
      <c r="H8892" s="10"/>
      <c r="I8892" s="17"/>
    </row>
    <row r="8893" ht="14.25">
      <c r="A8893" s="5"/>
      <c r="B8893" s="7"/>
      <c r="C8893" s="7"/>
      <c r="D8893" s="7"/>
      <c r="E8893" s="5"/>
      <c r="F8893" s="5"/>
      <c r="G8893" s="17"/>
      <c r="H8893" s="10"/>
      <c r="I8893" s="17"/>
    </row>
    <row r="8894" ht="14.25">
      <c r="A8894" s="5"/>
      <c r="B8894" s="7"/>
      <c r="C8894" s="7"/>
      <c r="D8894" s="7"/>
      <c r="E8894" s="5"/>
      <c r="F8894" s="5"/>
      <c r="G8894" s="17"/>
      <c r="H8894" s="10"/>
      <c r="I8894" s="17"/>
    </row>
    <row r="8895" ht="14.25">
      <c r="A8895" s="5"/>
      <c r="B8895" s="7"/>
      <c r="C8895" s="7"/>
      <c r="D8895" s="7"/>
      <c r="E8895" s="5"/>
      <c r="F8895" s="5"/>
      <c r="G8895" s="17"/>
      <c r="H8895" s="10"/>
      <c r="I8895" s="17"/>
    </row>
    <row r="8896" ht="14.25">
      <c r="A8896" s="5"/>
      <c r="B8896" s="7"/>
      <c r="C8896" s="7"/>
      <c r="D8896" s="7"/>
      <c r="E8896" s="5"/>
      <c r="F8896" s="5"/>
      <c r="G8896" s="17"/>
      <c r="H8896" s="10"/>
      <c r="I8896" s="17"/>
    </row>
    <row r="8897" ht="14.25">
      <c r="A8897" s="5"/>
      <c r="B8897" s="7"/>
      <c r="C8897" s="7"/>
      <c r="D8897" s="7"/>
      <c r="E8897" s="5"/>
      <c r="F8897" s="5"/>
      <c r="G8897" s="17"/>
      <c r="H8897" s="10"/>
      <c r="I8897" s="17"/>
    </row>
    <row r="8898" ht="14.25">
      <c r="A8898" s="5"/>
      <c r="B8898" s="7"/>
      <c r="C8898" s="7"/>
      <c r="D8898" s="7"/>
      <c r="E8898" s="5"/>
      <c r="F8898" s="5"/>
      <c r="G8898" s="17"/>
      <c r="H8898" s="10"/>
      <c r="I8898" s="17"/>
    </row>
    <row r="8899" ht="14.25">
      <c r="A8899" s="5"/>
      <c r="B8899" s="7"/>
      <c r="C8899" s="7"/>
      <c r="D8899" s="7"/>
      <c r="E8899" s="5"/>
      <c r="F8899" s="5"/>
      <c r="G8899" s="17"/>
      <c r="H8899" s="10"/>
      <c r="I8899" s="17"/>
    </row>
    <row r="8900" ht="14.25">
      <c r="A8900" s="5"/>
      <c r="B8900" s="7"/>
      <c r="C8900" s="7"/>
      <c r="D8900" s="7"/>
      <c r="E8900" s="5"/>
      <c r="F8900" s="5"/>
      <c r="G8900" s="17"/>
      <c r="H8900" s="10"/>
      <c r="I8900" s="17"/>
    </row>
    <row r="8901" ht="14.25">
      <c r="A8901" s="5"/>
      <c r="B8901" s="7"/>
      <c r="C8901" s="7"/>
      <c r="D8901" s="7"/>
      <c r="E8901" s="5"/>
      <c r="F8901" s="5"/>
      <c r="G8901" s="17"/>
      <c r="H8901" s="10"/>
      <c r="I8901" s="17"/>
    </row>
    <row r="8902" ht="14.25">
      <c r="A8902" s="5"/>
      <c r="B8902" s="7"/>
      <c r="C8902" s="7"/>
      <c r="D8902" s="7"/>
      <c r="E8902" s="5"/>
      <c r="F8902" s="5"/>
      <c r="G8902" s="17"/>
      <c r="H8902" s="10"/>
      <c r="I8902" s="17"/>
    </row>
    <row r="8903" ht="14.25">
      <c r="A8903" s="5"/>
      <c r="B8903" s="7"/>
      <c r="C8903" s="7"/>
      <c r="D8903" s="7"/>
      <c r="E8903" s="5"/>
      <c r="F8903" s="5"/>
      <c r="G8903" s="17"/>
      <c r="H8903" s="10"/>
      <c r="I8903" s="17"/>
    </row>
    <row r="8904" ht="14.25">
      <c r="A8904" s="5"/>
      <c r="B8904" s="7"/>
      <c r="C8904" s="7"/>
      <c r="D8904" s="7"/>
      <c r="E8904" s="5"/>
      <c r="F8904" s="5"/>
      <c r="G8904" s="17"/>
      <c r="H8904" s="10"/>
      <c r="I8904" s="17"/>
    </row>
    <row r="8905" ht="14.25">
      <c r="A8905" s="5"/>
      <c r="B8905" s="7"/>
      <c r="C8905" s="7"/>
      <c r="D8905" s="7"/>
      <c r="E8905" s="5"/>
      <c r="F8905" s="5"/>
      <c r="G8905" s="17"/>
      <c r="H8905" s="10"/>
      <c r="I8905" s="17"/>
    </row>
    <row r="8906" ht="14.25">
      <c r="A8906" s="5"/>
      <c r="B8906" s="7"/>
      <c r="C8906" s="7"/>
      <c r="D8906" s="7"/>
      <c r="E8906" s="5"/>
      <c r="F8906" s="5"/>
      <c r="G8906" s="17"/>
      <c r="H8906" s="10"/>
      <c r="I8906" s="17"/>
    </row>
    <row r="8907" ht="14.25">
      <c r="A8907" s="5"/>
      <c r="B8907" s="7"/>
      <c r="C8907" s="7"/>
      <c r="D8907" s="7"/>
      <c r="E8907" s="5"/>
      <c r="F8907" s="5"/>
      <c r="G8907" s="17"/>
      <c r="H8907" s="10"/>
      <c r="I8907" s="17"/>
    </row>
    <row r="8908" ht="14.25">
      <c r="A8908" s="5"/>
      <c r="B8908" s="7"/>
      <c r="C8908" s="7"/>
      <c r="D8908" s="7"/>
      <c r="E8908" s="5"/>
      <c r="F8908" s="5"/>
      <c r="G8908" s="17"/>
      <c r="H8908" s="10"/>
      <c r="I8908" s="17"/>
    </row>
    <row r="8909" ht="14.25">
      <c r="A8909" s="5"/>
      <c r="B8909" s="7"/>
      <c r="C8909" s="7"/>
      <c r="D8909" s="7"/>
      <c r="E8909" s="5"/>
      <c r="F8909" s="5"/>
      <c r="G8909" s="17"/>
      <c r="H8909" s="10"/>
      <c r="I8909" s="17"/>
    </row>
    <row r="8910" ht="14.25">
      <c r="A8910" s="5"/>
      <c r="B8910" s="7"/>
      <c r="C8910" s="7"/>
      <c r="D8910" s="7"/>
      <c r="E8910" s="5"/>
      <c r="F8910" s="5"/>
      <c r="G8910" s="17"/>
      <c r="H8910" s="10"/>
      <c r="I8910" s="17"/>
    </row>
    <row r="8911" ht="14.25">
      <c r="A8911" s="5"/>
      <c r="B8911" s="7"/>
      <c r="C8911" s="7"/>
      <c r="D8911" s="7"/>
      <c r="E8911" s="5"/>
      <c r="F8911" s="5"/>
      <c r="G8911" s="17"/>
      <c r="H8911" s="10"/>
      <c r="I8911" s="17"/>
    </row>
    <row r="8912" ht="14.25">
      <c r="A8912" s="5"/>
      <c r="B8912" s="7"/>
      <c r="C8912" s="7"/>
      <c r="D8912" s="7"/>
      <c r="E8912" s="5"/>
      <c r="F8912" s="5"/>
      <c r="G8912" s="17"/>
      <c r="H8912" s="10"/>
      <c r="I8912" s="17"/>
    </row>
    <row r="8913" ht="14.25">
      <c r="A8913" s="5"/>
      <c r="B8913" s="7"/>
      <c r="C8913" s="7"/>
      <c r="D8913" s="7"/>
      <c r="E8913" s="5"/>
      <c r="F8913" s="5"/>
      <c r="G8913" s="17"/>
      <c r="H8913" s="10"/>
      <c r="I8913" s="17"/>
    </row>
    <row r="8914" ht="14.25">
      <c r="A8914" s="5"/>
      <c r="B8914" s="7"/>
      <c r="C8914" s="7"/>
      <c r="D8914" s="7"/>
      <c r="E8914" s="5"/>
      <c r="F8914" s="5"/>
      <c r="G8914" s="17"/>
      <c r="H8914" s="10"/>
      <c r="I8914" s="17"/>
    </row>
    <row r="8915" ht="14.25">
      <c r="A8915" s="5"/>
      <c r="B8915" s="7"/>
      <c r="C8915" s="7"/>
      <c r="D8915" s="7"/>
      <c r="E8915" s="5"/>
      <c r="F8915" s="5"/>
      <c r="G8915" s="17"/>
      <c r="H8915" s="10"/>
      <c r="I8915" s="17"/>
    </row>
    <row r="8916" ht="14.25">
      <c r="A8916" s="5"/>
      <c r="B8916" s="7"/>
      <c r="C8916" s="7"/>
      <c r="D8916" s="7"/>
      <c r="E8916" s="5"/>
      <c r="F8916" s="5"/>
      <c r="G8916" s="17"/>
      <c r="H8916" s="10"/>
      <c r="I8916" s="17"/>
    </row>
    <row r="8917" ht="14.25">
      <c r="A8917" s="5"/>
      <c r="B8917" s="7"/>
      <c r="C8917" s="7"/>
      <c r="D8917" s="7"/>
      <c r="E8917" s="5"/>
      <c r="F8917" s="5"/>
      <c r="G8917" s="17"/>
      <c r="H8917" s="10"/>
      <c r="I8917" s="17"/>
    </row>
    <row r="8918" ht="14.25">
      <c r="A8918" s="5"/>
      <c r="B8918" s="7"/>
      <c r="C8918" s="7"/>
      <c r="D8918" s="7"/>
      <c r="E8918" s="5"/>
      <c r="F8918" s="5"/>
      <c r="G8918" s="17"/>
      <c r="H8918" s="10"/>
      <c r="I8918" s="17"/>
    </row>
    <row r="8919" ht="14.25">
      <c r="A8919" s="5"/>
      <c r="B8919" s="7"/>
      <c r="C8919" s="7"/>
      <c r="D8919" s="7"/>
      <c r="E8919" s="5"/>
      <c r="F8919" s="5"/>
      <c r="G8919" s="17"/>
      <c r="H8919" s="10"/>
      <c r="I8919" s="17"/>
    </row>
    <row r="8920" ht="14.25">
      <c r="A8920" s="5"/>
      <c r="B8920" s="7"/>
      <c r="C8920" s="7"/>
      <c r="D8920" s="7"/>
      <c r="E8920" s="5"/>
      <c r="F8920" s="5"/>
      <c r="G8920" s="17"/>
      <c r="H8920" s="10"/>
      <c r="I8920" s="17"/>
    </row>
    <row r="8921" ht="14.25">
      <c r="A8921" s="5"/>
      <c r="B8921" s="7"/>
      <c r="C8921" s="7"/>
      <c r="D8921" s="7"/>
      <c r="E8921" s="5"/>
      <c r="F8921" s="5"/>
      <c r="G8921" s="17"/>
      <c r="H8921" s="10"/>
      <c r="I8921" s="17"/>
    </row>
    <row r="8922" ht="14.25">
      <c r="A8922" s="5"/>
      <c r="B8922" s="7"/>
      <c r="C8922" s="7"/>
      <c r="D8922" s="7"/>
      <c r="E8922" s="5"/>
      <c r="F8922" s="5"/>
      <c r="G8922" s="17"/>
      <c r="H8922" s="10"/>
      <c r="I8922" s="17"/>
    </row>
    <row r="8923" ht="14.25">
      <c r="A8923" s="5"/>
      <c r="B8923" s="7"/>
      <c r="C8923" s="7"/>
      <c r="D8923" s="7"/>
      <c r="E8923" s="5"/>
      <c r="F8923" s="5"/>
      <c r="G8923" s="17"/>
      <c r="H8923" s="10"/>
      <c r="I8923" s="17"/>
    </row>
    <row r="8924" ht="14.25">
      <c r="A8924" s="5"/>
      <c r="B8924" s="7"/>
      <c r="C8924" s="7"/>
      <c r="D8924" s="7"/>
      <c r="E8924" s="5"/>
      <c r="F8924" s="5"/>
      <c r="G8924" s="17"/>
      <c r="H8924" s="10"/>
      <c r="I8924" s="17"/>
    </row>
    <row r="8925" ht="14.25">
      <c r="A8925" s="5"/>
      <c r="B8925" s="7"/>
      <c r="C8925" s="7"/>
      <c r="D8925" s="7"/>
      <c r="E8925" s="5"/>
      <c r="F8925" s="5"/>
      <c r="G8925" s="17"/>
      <c r="H8925" s="10"/>
      <c r="I8925" s="17"/>
    </row>
    <row r="8926" ht="14.25">
      <c r="A8926" s="5"/>
      <c r="B8926" s="7"/>
      <c r="C8926" s="7"/>
      <c r="D8926" s="7"/>
      <c r="E8926" s="5"/>
      <c r="F8926" s="5"/>
      <c r="G8926" s="17"/>
      <c r="H8926" s="10"/>
      <c r="I8926" s="17"/>
    </row>
    <row r="8927" ht="14.25">
      <c r="A8927" s="5"/>
      <c r="B8927" s="7"/>
      <c r="C8927" s="7"/>
      <c r="D8927" s="7"/>
      <c r="E8927" s="5"/>
      <c r="F8927" s="5"/>
      <c r="G8927" s="17"/>
      <c r="H8927" s="10"/>
      <c r="I8927" s="17"/>
    </row>
    <row r="8928" ht="14.25">
      <c r="A8928" s="5"/>
      <c r="B8928" s="7"/>
      <c r="C8928" s="7"/>
      <c r="D8928" s="7"/>
      <c r="E8928" s="5"/>
      <c r="F8928" s="5"/>
      <c r="G8928" s="17"/>
      <c r="H8928" s="10"/>
      <c r="I8928" s="17"/>
    </row>
    <row r="8929" ht="14.25">
      <c r="A8929" s="5"/>
      <c r="B8929" s="7"/>
      <c r="C8929" s="7"/>
      <c r="D8929" s="7"/>
      <c r="E8929" s="5"/>
      <c r="F8929" s="5"/>
      <c r="G8929" s="17"/>
      <c r="H8929" s="10"/>
      <c r="I8929" s="17"/>
    </row>
    <row r="8930" ht="14.25">
      <c r="A8930" s="5"/>
      <c r="B8930" s="7"/>
      <c r="C8930" s="7"/>
      <c r="D8930" s="7"/>
      <c r="E8930" s="5"/>
      <c r="F8930" s="5"/>
      <c r="G8930" s="17"/>
      <c r="H8930" s="10"/>
      <c r="I8930" s="17"/>
    </row>
    <row r="8931" ht="14.25">
      <c r="A8931" s="5"/>
      <c r="B8931" s="7"/>
      <c r="C8931" s="7"/>
      <c r="D8931" s="7"/>
      <c r="E8931" s="5"/>
      <c r="F8931" s="5"/>
      <c r="G8931" s="17"/>
      <c r="H8931" s="10"/>
      <c r="I8931" s="17"/>
    </row>
    <row r="8932" ht="14.25">
      <c r="A8932" s="5"/>
      <c r="B8932" s="7"/>
      <c r="C8932" s="7"/>
      <c r="D8932" s="7"/>
      <c r="E8932" s="5"/>
      <c r="F8932" s="5"/>
      <c r="G8932" s="17"/>
      <c r="H8932" s="10"/>
      <c r="I8932" s="17"/>
    </row>
    <row r="8933" ht="14.25">
      <c r="A8933" s="5"/>
      <c r="B8933" s="7"/>
      <c r="C8933" s="7"/>
      <c r="D8933" s="7"/>
      <c r="E8933" s="5"/>
      <c r="F8933" s="5"/>
      <c r="G8933" s="17"/>
      <c r="H8933" s="10"/>
      <c r="I8933" s="17"/>
    </row>
    <row r="8934" ht="14.25">
      <c r="A8934" s="5"/>
      <c r="B8934" s="7"/>
      <c r="C8934" s="7"/>
      <c r="D8934" s="7"/>
      <c r="E8934" s="5"/>
      <c r="F8934" s="5"/>
      <c r="G8934" s="17"/>
      <c r="H8934" s="10"/>
      <c r="I8934" s="17"/>
    </row>
    <row r="8935" ht="14.25">
      <c r="A8935" s="5"/>
      <c r="B8935" s="7"/>
      <c r="C8935" s="7"/>
      <c r="D8935" s="7"/>
      <c r="E8935" s="5"/>
      <c r="F8935" s="5"/>
      <c r="G8935" s="17"/>
      <c r="H8935" s="10"/>
      <c r="I8935" s="17"/>
    </row>
    <row r="8936" ht="14.25">
      <c r="A8936" s="5"/>
      <c r="B8936" s="7"/>
      <c r="C8936" s="7"/>
      <c r="D8936" s="7"/>
      <c r="E8936" s="5"/>
      <c r="F8936" s="5"/>
      <c r="G8936" s="17"/>
      <c r="H8936" s="10"/>
      <c r="I8936" s="17"/>
    </row>
    <row r="8937" ht="14.25">
      <c r="A8937" s="5"/>
      <c r="B8937" s="7"/>
      <c r="C8937" s="7"/>
      <c r="D8937" s="7"/>
      <c r="E8937" s="5"/>
      <c r="F8937" s="5"/>
      <c r="G8937" s="17"/>
      <c r="H8937" s="10"/>
      <c r="I8937" s="17"/>
    </row>
    <row r="8938" ht="14.25">
      <c r="A8938" s="5"/>
      <c r="B8938" s="7"/>
      <c r="C8938" s="7"/>
      <c r="D8938" s="7"/>
      <c r="E8938" s="5"/>
      <c r="F8938" s="5"/>
      <c r="G8938" s="17"/>
      <c r="H8938" s="10"/>
      <c r="I8938" s="17"/>
    </row>
    <row r="8939" ht="14.25">
      <c r="A8939" s="5"/>
      <c r="B8939" s="7"/>
      <c r="C8939" s="7"/>
      <c r="D8939" s="7"/>
      <c r="E8939" s="5"/>
      <c r="F8939" s="5"/>
      <c r="G8939" s="17"/>
      <c r="H8939" s="10"/>
      <c r="I8939" s="17"/>
    </row>
    <row r="8940" ht="14.25">
      <c r="A8940" s="5"/>
      <c r="B8940" s="7"/>
      <c r="C8940" s="7"/>
      <c r="D8940" s="7"/>
      <c r="E8940" s="5"/>
      <c r="F8940" s="5"/>
      <c r="G8940" s="17"/>
      <c r="H8940" s="10"/>
      <c r="I8940" s="17"/>
    </row>
    <row r="8941" ht="14.25">
      <c r="A8941" s="5"/>
      <c r="B8941" s="7"/>
      <c r="C8941" s="7"/>
      <c r="D8941" s="7"/>
      <c r="E8941" s="5"/>
      <c r="F8941" s="5"/>
      <c r="G8941" s="17"/>
      <c r="H8941" s="10"/>
      <c r="I8941" s="17"/>
    </row>
    <row r="8942" ht="14.25">
      <c r="A8942" s="5"/>
      <c r="B8942" s="7"/>
      <c r="C8942" s="7"/>
      <c r="D8942" s="7"/>
      <c r="E8942" s="5"/>
      <c r="F8942" s="5"/>
      <c r="G8942" s="17"/>
      <c r="H8942" s="10"/>
      <c r="I8942" s="17"/>
    </row>
    <row r="8943" ht="14.25">
      <c r="A8943" s="5"/>
      <c r="B8943" s="7"/>
      <c r="C8943" s="7"/>
      <c r="D8943" s="7"/>
      <c r="E8943" s="5"/>
      <c r="F8943" s="5"/>
      <c r="G8943" s="17"/>
      <c r="H8943" s="10"/>
      <c r="I8943" s="17"/>
    </row>
    <row r="8944" ht="14.25">
      <c r="A8944" s="5"/>
      <c r="B8944" s="7"/>
      <c r="C8944" s="7"/>
      <c r="D8944" s="7"/>
      <c r="E8944" s="5"/>
      <c r="F8944" s="5"/>
      <c r="G8944" s="17"/>
      <c r="H8944" s="10"/>
      <c r="I8944" s="17"/>
    </row>
    <row r="8945" ht="14.25">
      <c r="A8945" s="5"/>
      <c r="B8945" s="7"/>
      <c r="C8945" s="7"/>
      <c r="D8945" s="7"/>
      <c r="E8945" s="5"/>
      <c r="F8945" s="5"/>
      <c r="G8945" s="17"/>
      <c r="H8945" s="10"/>
      <c r="I8945" s="17"/>
    </row>
    <row r="8946" ht="14.25">
      <c r="A8946" s="5"/>
      <c r="B8946" s="7"/>
      <c r="C8946" s="7"/>
      <c r="D8946" s="7"/>
      <c r="E8946" s="5"/>
      <c r="F8946" s="5"/>
      <c r="G8946" s="17"/>
      <c r="H8946" s="10"/>
      <c r="I8946" s="17"/>
    </row>
    <row r="8947" ht="14.25">
      <c r="A8947" s="5"/>
      <c r="B8947" s="7"/>
      <c r="C8947" s="7"/>
      <c r="D8947" s="7"/>
      <c r="E8947" s="5"/>
      <c r="F8947" s="5"/>
      <c r="G8947" s="17"/>
      <c r="H8947" s="10"/>
      <c r="I8947" s="17"/>
    </row>
    <row r="8948" ht="14.25">
      <c r="A8948" s="5"/>
      <c r="B8948" s="7"/>
      <c r="C8948" s="7"/>
      <c r="D8948" s="7"/>
      <c r="E8948" s="5"/>
      <c r="F8948" s="5"/>
      <c r="G8948" s="17"/>
      <c r="H8948" s="10"/>
      <c r="I8948" s="17"/>
    </row>
    <row r="8949" ht="14.25">
      <c r="A8949" s="5"/>
      <c r="B8949" s="7"/>
      <c r="C8949" s="7"/>
      <c r="D8949" s="7"/>
      <c r="E8949" s="5"/>
      <c r="F8949" s="5"/>
      <c r="G8949" s="17"/>
      <c r="H8949" s="10"/>
      <c r="I8949" s="17"/>
    </row>
    <row r="8950" ht="14.25">
      <c r="A8950" s="5"/>
      <c r="B8950" s="7"/>
      <c r="C8950" s="7"/>
      <c r="D8950" s="7"/>
      <c r="E8950" s="5"/>
      <c r="F8950" s="5"/>
      <c r="G8950" s="17"/>
      <c r="H8950" s="10"/>
      <c r="I8950" s="17"/>
    </row>
    <row r="8951" ht="14.25">
      <c r="A8951" s="5"/>
      <c r="B8951" s="7"/>
      <c r="C8951" s="7"/>
      <c r="D8951" s="7"/>
      <c r="E8951" s="5"/>
      <c r="F8951" s="5"/>
      <c r="G8951" s="17"/>
      <c r="H8951" s="10"/>
      <c r="I8951" s="17"/>
    </row>
    <row r="8952" ht="14.25">
      <c r="A8952" s="5"/>
      <c r="B8952" s="7"/>
      <c r="C8952" s="7"/>
      <c r="D8952" s="7"/>
      <c r="E8952" s="5"/>
      <c r="F8952" s="5"/>
      <c r="G8952" s="17"/>
      <c r="H8952" s="10"/>
      <c r="I8952" s="17"/>
    </row>
    <row r="8953" ht="14.25">
      <c r="A8953" s="5"/>
      <c r="B8953" s="7"/>
      <c r="C8953" s="7"/>
      <c r="D8953" s="7"/>
      <c r="E8953" s="5"/>
      <c r="F8953" s="5"/>
      <c r="G8953" s="17"/>
      <c r="H8953" s="10"/>
      <c r="I8953" s="17"/>
    </row>
    <row r="8954" ht="14.25">
      <c r="A8954" s="5"/>
      <c r="B8954" s="7"/>
      <c r="C8954" s="7"/>
      <c r="D8954" s="7"/>
      <c r="E8954" s="5"/>
      <c r="F8954" s="5"/>
      <c r="G8954" s="17"/>
      <c r="H8954" s="10"/>
      <c r="I8954" s="17"/>
    </row>
    <row r="8955" ht="14.25">
      <c r="A8955" s="5"/>
      <c r="B8955" s="7"/>
      <c r="C8955" s="7"/>
      <c r="D8955" s="7"/>
      <c r="E8955" s="5"/>
      <c r="F8955" s="5"/>
      <c r="G8955" s="17"/>
      <c r="H8955" s="10"/>
      <c r="I8955" s="17"/>
    </row>
    <row r="8956" ht="14.25">
      <c r="A8956" s="5"/>
      <c r="B8956" s="7"/>
      <c r="C8956" s="7"/>
      <c r="D8956" s="7"/>
      <c r="E8956" s="5"/>
      <c r="F8956" s="5"/>
      <c r="G8956" s="17"/>
      <c r="H8956" s="10"/>
      <c r="I8956" s="17"/>
    </row>
    <row r="8957" ht="14.25">
      <c r="A8957" s="5"/>
      <c r="B8957" s="7"/>
      <c r="C8957" s="7"/>
      <c r="D8957" s="7"/>
      <c r="E8957" s="5"/>
      <c r="F8957" s="5"/>
      <c r="G8957" s="17"/>
      <c r="H8957" s="10"/>
      <c r="I8957" s="17"/>
    </row>
    <row r="8958" ht="14.25">
      <c r="A8958" s="5"/>
      <c r="B8958" s="7"/>
      <c r="C8958" s="7"/>
      <c r="D8958" s="7"/>
      <c r="E8958" s="5"/>
      <c r="F8958" s="5"/>
      <c r="G8958" s="17"/>
      <c r="H8958" s="10"/>
      <c r="I8958" s="17"/>
    </row>
    <row r="8959" ht="14.25">
      <c r="A8959" s="5"/>
      <c r="B8959" s="7"/>
      <c r="C8959" s="7"/>
      <c r="D8959" s="7"/>
      <c r="E8959" s="5"/>
      <c r="F8959" s="5"/>
      <c r="G8959" s="17"/>
      <c r="H8959" s="10"/>
      <c r="I8959" s="17"/>
    </row>
    <row r="8960" ht="14.25">
      <c r="A8960" s="5"/>
      <c r="B8960" s="7"/>
      <c r="C8960" s="7"/>
      <c r="D8960" s="7"/>
      <c r="E8960" s="5"/>
      <c r="F8960" s="5"/>
      <c r="G8960" s="17"/>
      <c r="H8960" s="10"/>
      <c r="I8960" s="17"/>
    </row>
    <row r="8961" ht="14.25">
      <c r="A8961" s="5"/>
      <c r="B8961" s="7"/>
      <c r="C8961" s="7"/>
      <c r="D8961" s="7"/>
      <c r="E8961" s="5"/>
      <c r="F8961" s="5"/>
      <c r="G8961" s="17"/>
      <c r="H8961" s="10"/>
      <c r="I8961" s="17"/>
    </row>
    <row r="8962" ht="14.25">
      <c r="A8962" s="5"/>
      <c r="B8962" s="7"/>
      <c r="C8962" s="7"/>
      <c r="D8962" s="7"/>
      <c r="E8962" s="5"/>
      <c r="F8962" s="5"/>
      <c r="G8962" s="17"/>
      <c r="H8962" s="10"/>
      <c r="I8962" s="17"/>
    </row>
    <row r="8963" ht="14.25">
      <c r="A8963" s="5"/>
      <c r="B8963" s="7"/>
      <c r="C8963" s="7"/>
      <c r="D8963" s="7"/>
      <c r="E8963" s="5"/>
      <c r="F8963" s="5"/>
      <c r="G8963" s="17"/>
      <c r="H8963" s="10"/>
      <c r="I8963" s="17"/>
    </row>
    <row r="8964" ht="14.25">
      <c r="A8964" s="5"/>
      <c r="B8964" s="7"/>
      <c r="C8964" s="7"/>
      <c r="D8964" s="7"/>
      <c r="E8964" s="5"/>
      <c r="F8964" s="5"/>
      <c r="G8964" s="17"/>
      <c r="H8964" s="10"/>
      <c r="I8964" s="17"/>
    </row>
    <row r="8965" ht="14.25">
      <c r="A8965" s="5"/>
      <c r="B8965" s="7"/>
      <c r="C8965" s="7"/>
      <c r="D8965" s="7"/>
      <c r="E8965" s="5"/>
      <c r="F8965" s="5"/>
      <c r="G8965" s="17"/>
      <c r="H8965" s="10"/>
      <c r="I8965" s="17"/>
    </row>
    <row r="8966" ht="14.25">
      <c r="A8966" s="5"/>
      <c r="B8966" s="7"/>
      <c r="C8966" s="7"/>
      <c r="D8966" s="7"/>
      <c r="E8966" s="5"/>
      <c r="F8966" s="5"/>
      <c r="G8966" s="17"/>
      <c r="H8966" s="10"/>
      <c r="I8966" s="17"/>
    </row>
    <row r="8967" ht="14.25">
      <c r="A8967" s="5"/>
      <c r="B8967" s="7"/>
      <c r="C8967" s="7"/>
      <c r="D8967" s="7"/>
      <c r="E8967" s="5"/>
      <c r="F8967" s="5"/>
      <c r="G8967" s="17"/>
      <c r="H8967" s="10"/>
      <c r="I8967" s="17"/>
    </row>
    <row r="8968" ht="14.25">
      <c r="A8968" s="5"/>
      <c r="B8968" s="7"/>
      <c r="C8968" s="7"/>
      <c r="D8968" s="7"/>
      <c r="E8968" s="5"/>
      <c r="F8968" s="5"/>
      <c r="G8968" s="17"/>
      <c r="H8968" s="10"/>
      <c r="I8968" s="17"/>
    </row>
    <row r="8969" ht="14.25">
      <c r="A8969" s="5"/>
      <c r="B8969" s="7"/>
      <c r="C8969" s="7"/>
      <c r="D8969" s="7"/>
      <c r="E8969" s="5"/>
      <c r="F8969" s="5"/>
      <c r="G8969" s="17"/>
      <c r="H8969" s="10"/>
      <c r="I8969" s="17"/>
    </row>
    <row r="8970" ht="14.25">
      <c r="A8970" s="5"/>
      <c r="B8970" s="7"/>
      <c r="C8970" s="7"/>
      <c r="D8970" s="7"/>
      <c r="E8970" s="5"/>
      <c r="F8970" s="5"/>
      <c r="G8970" s="17"/>
      <c r="H8970" s="10"/>
      <c r="I8970" s="17"/>
    </row>
    <row r="8971" ht="14.25">
      <c r="A8971" s="5"/>
      <c r="B8971" s="7"/>
      <c r="C8971" s="7"/>
      <c r="D8971" s="7"/>
      <c r="E8971" s="5"/>
      <c r="F8971" s="5"/>
      <c r="G8971" s="17"/>
      <c r="H8971" s="10"/>
      <c r="I8971" s="17"/>
    </row>
    <row r="8972" ht="14.25">
      <c r="A8972" s="5"/>
      <c r="B8972" s="7"/>
      <c r="C8972" s="7"/>
      <c r="D8972" s="7"/>
      <c r="E8972" s="5"/>
      <c r="F8972" s="5"/>
      <c r="G8972" s="17"/>
      <c r="H8972" s="10"/>
      <c r="I8972" s="17"/>
    </row>
    <row r="8973" ht="14.25">
      <c r="A8973" s="5"/>
      <c r="B8973" s="7"/>
      <c r="C8973" s="7"/>
      <c r="D8973" s="7"/>
      <c r="E8973" s="5"/>
      <c r="F8973" s="5"/>
      <c r="G8973" s="17"/>
      <c r="H8973" s="10"/>
      <c r="I8973" s="17"/>
    </row>
    <row r="8974" ht="14.25">
      <c r="A8974" s="5"/>
      <c r="B8974" s="7"/>
      <c r="C8974" s="7"/>
      <c r="D8974" s="7"/>
      <c r="E8974" s="5"/>
      <c r="F8974" s="5"/>
      <c r="G8974" s="17"/>
      <c r="H8974" s="10"/>
      <c r="I8974" s="17"/>
    </row>
    <row r="8975" ht="14.25">
      <c r="A8975" s="5"/>
      <c r="B8975" s="7"/>
      <c r="C8975" s="7"/>
      <c r="D8975" s="7"/>
      <c r="E8975" s="5"/>
      <c r="F8975" s="5"/>
      <c r="G8975" s="17"/>
      <c r="H8975" s="10"/>
      <c r="I8975" s="17"/>
    </row>
    <row r="8976" ht="14.25">
      <c r="A8976" s="5"/>
      <c r="B8976" s="7"/>
      <c r="C8976" s="7"/>
      <c r="D8976" s="7"/>
      <c r="E8976" s="5"/>
      <c r="F8976" s="5"/>
      <c r="G8976" s="17"/>
      <c r="H8976" s="10"/>
      <c r="I8976" s="17"/>
    </row>
    <row r="8977" ht="14.25">
      <c r="A8977" s="5"/>
      <c r="B8977" s="7"/>
      <c r="C8977" s="7"/>
      <c r="D8977" s="7"/>
      <c r="E8977" s="5"/>
      <c r="F8977" s="5"/>
      <c r="G8977" s="17"/>
      <c r="H8977" s="10"/>
      <c r="I8977" s="17"/>
    </row>
    <row r="8978" ht="14.25">
      <c r="A8978" s="5"/>
      <c r="B8978" s="7"/>
      <c r="C8978" s="7"/>
      <c r="D8978" s="7"/>
      <c r="E8978" s="5"/>
      <c r="F8978" s="5"/>
      <c r="G8978" s="17"/>
      <c r="H8978" s="10"/>
      <c r="I8978" s="17"/>
    </row>
    <row r="8979" ht="14.25">
      <c r="A8979" s="5"/>
      <c r="B8979" s="7"/>
      <c r="C8979" s="7"/>
      <c r="D8979" s="7"/>
      <c r="E8979" s="5"/>
      <c r="F8979" s="5"/>
      <c r="G8979" s="17"/>
      <c r="H8979" s="10"/>
      <c r="I8979" s="17"/>
    </row>
    <row r="8980" ht="14.25">
      <c r="A8980" s="5"/>
      <c r="B8980" s="7"/>
      <c r="C8980" s="7"/>
      <c r="D8980" s="7"/>
      <c r="E8980" s="5"/>
      <c r="F8980" s="5"/>
      <c r="G8980" s="17"/>
      <c r="H8980" s="10"/>
      <c r="I8980" s="17"/>
    </row>
    <row r="8981" ht="14.25">
      <c r="A8981" s="5"/>
      <c r="B8981" s="7"/>
      <c r="C8981" s="7"/>
      <c r="D8981" s="7"/>
      <c r="E8981" s="5"/>
      <c r="F8981" s="5"/>
      <c r="G8981" s="17"/>
      <c r="H8981" s="10"/>
      <c r="I8981" s="17"/>
    </row>
    <row r="8982" ht="14.25">
      <c r="A8982" s="5"/>
      <c r="B8982" s="7"/>
      <c r="C8982" s="7"/>
      <c r="D8982" s="7"/>
      <c r="E8982" s="5"/>
      <c r="F8982" s="5"/>
      <c r="G8982" s="17"/>
      <c r="H8982" s="10"/>
      <c r="I8982" s="17"/>
    </row>
    <row r="8983" ht="14.25">
      <c r="A8983" s="5"/>
      <c r="B8983" s="7"/>
      <c r="C8983" s="7"/>
      <c r="D8983" s="7"/>
      <c r="E8983" s="5"/>
      <c r="F8983" s="5"/>
      <c r="G8983" s="17"/>
      <c r="H8983" s="10"/>
      <c r="I8983" s="17"/>
    </row>
    <row r="8984" ht="14.25">
      <c r="A8984" s="5"/>
      <c r="B8984" s="7"/>
      <c r="C8984" s="7"/>
      <c r="D8984" s="7"/>
      <c r="E8984" s="5"/>
      <c r="F8984" s="5"/>
      <c r="G8984" s="17"/>
      <c r="H8984" s="10"/>
      <c r="I8984" s="17"/>
    </row>
    <row r="8985" ht="14.25">
      <c r="A8985" s="5"/>
      <c r="B8985" s="7"/>
      <c r="C8985" s="7"/>
      <c r="D8985" s="7"/>
      <c r="E8985" s="5"/>
      <c r="F8985" s="5"/>
      <c r="G8985" s="17"/>
      <c r="H8985" s="10"/>
      <c r="I8985" s="17"/>
    </row>
    <row r="8986" ht="14.25">
      <c r="A8986" s="5"/>
      <c r="B8986" s="7"/>
      <c r="C8986" s="7"/>
      <c r="D8986" s="7"/>
      <c r="E8986" s="5"/>
      <c r="F8986" s="5"/>
      <c r="G8986" s="17"/>
      <c r="H8986" s="10"/>
      <c r="I8986" s="17"/>
    </row>
    <row r="8987" ht="14.25">
      <c r="A8987" s="5"/>
      <c r="B8987" s="7"/>
      <c r="C8987" s="7"/>
      <c r="D8987" s="7"/>
      <c r="E8987" s="5"/>
      <c r="F8987" s="5"/>
      <c r="G8987" s="17"/>
      <c r="H8987" s="10"/>
      <c r="I8987" s="17"/>
    </row>
    <row r="8988" ht="14.25">
      <c r="A8988" s="5"/>
      <c r="B8988" s="7"/>
      <c r="C8988" s="7"/>
      <c r="D8988" s="7"/>
      <c r="E8988" s="5"/>
      <c r="F8988" s="5"/>
      <c r="G8988" s="17"/>
      <c r="H8988" s="10"/>
      <c r="I8988" s="17"/>
    </row>
    <row r="8989" ht="14.25">
      <c r="A8989" s="5"/>
      <c r="B8989" s="7"/>
      <c r="C8989" s="7"/>
      <c r="D8989" s="7"/>
      <c r="E8989" s="5"/>
      <c r="F8989" s="5"/>
      <c r="G8989" s="17"/>
      <c r="H8989" s="10"/>
      <c r="I8989" s="17"/>
    </row>
    <row r="8990" ht="14.25">
      <c r="A8990" s="5"/>
      <c r="B8990" s="7"/>
      <c r="C8990" s="7"/>
      <c r="D8990" s="7"/>
      <c r="E8990" s="5"/>
      <c r="F8990" s="5"/>
      <c r="G8990" s="17"/>
      <c r="H8990" s="10"/>
      <c r="I8990" s="17"/>
    </row>
    <row r="8991" ht="14.25">
      <c r="A8991" s="5"/>
      <c r="B8991" s="7"/>
      <c r="C8991" s="7"/>
      <c r="D8991" s="7"/>
      <c r="E8991" s="5"/>
      <c r="F8991" s="5"/>
      <c r="G8991" s="17"/>
      <c r="H8991" s="10"/>
      <c r="I8991" s="17"/>
    </row>
    <row r="8992" ht="14.25">
      <c r="A8992" s="5"/>
      <c r="B8992" s="7"/>
      <c r="C8992" s="7"/>
      <c r="D8992" s="7"/>
      <c r="E8992" s="5"/>
      <c r="F8992" s="5"/>
      <c r="G8992" s="17"/>
      <c r="H8992" s="10"/>
      <c r="I8992" s="17"/>
    </row>
    <row r="8993" ht="14.25">
      <c r="A8993" s="5"/>
      <c r="B8993" s="7"/>
      <c r="C8993" s="7"/>
      <c r="D8993" s="7"/>
      <c r="E8993" s="5"/>
      <c r="F8993" s="5"/>
      <c r="G8993" s="17"/>
      <c r="H8993" s="10"/>
      <c r="I8993" s="17"/>
    </row>
    <row r="8994" ht="14.25">
      <c r="A8994" s="5"/>
      <c r="B8994" s="7"/>
      <c r="C8994" s="7"/>
      <c r="D8994" s="7"/>
      <c r="E8994" s="5"/>
      <c r="F8994" s="5"/>
      <c r="G8994" s="17"/>
      <c r="H8994" s="10"/>
      <c r="I8994" s="17"/>
    </row>
    <row r="8995" ht="14.25">
      <c r="A8995" s="5"/>
      <c r="B8995" s="7"/>
      <c r="C8995" s="7"/>
      <c r="D8995" s="7"/>
      <c r="E8995" s="5"/>
      <c r="F8995" s="5"/>
      <c r="G8995" s="17"/>
      <c r="H8995" s="10"/>
      <c r="I8995" s="17"/>
    </row>
    <row r="8996" ht="14.25">
      <c r="A8996" s="5"/>
      <c r="B8996" s="7"/>
      <c r="C8996" s="7"/>
      <c r="D8996" s="7"/>
      <c r="E8996" s="5"/>
      <c r="F8996" s="5"/>
      <c r="G8996" s="17"/>
      <c r="H8996" s="10"/>
      <c r="I8996" s="17"/>
    </row>
    <row r="8997" ht="14.25">
      <c r="A8997" s="5"/>
      <c r="B8997" s="7"/>
      <c r="C8997" s="7"/>
      <c r="D8997" s="7"/>
      <c r="E8997" s="5"/>
      <c r="F8997" s="5"/>
      <c r="G8997" s="17"/>
      <c r="H8997" s="10"/>
      <c r="I8997" s="17"/>
    </row>
    <row r="8998" ht="14.25">
      <c r="A8998" s="5"/>
      <c r="B8998" s="7"/>
      <c r="C8998" s="7"/>
      <c r="D8998" s="7"/>
      <c r="E8998" s="5"/>
      <c r="F8998" s="5"/>
      <c r="G8998" s="17"/>
      <c r="H8998" s="10"/>
      <c r="I8998" s="17"/>
    </row>
    <row r="8999" ht="14.25">
      <c r="A8999" s="5"/>
      <c r="B8999" s="7"/>
      <c r="C8999" s="7"/>
      <c r="D8999" s="7"/>
      <c r="E8999" s="5"/>
      <c r="F8999" s="5"/>
      <c r="G8999" s="17"/>
      <c r="H8999" s="10"/>
      <c r="I8999" s="17"/>
    </row>
    <row r="9000" ht="14.25">
      <c r="A9000" s="5"/>
      <c r="B9000" s="7"/>
      <c r="C9000" s="7"/>
      <c r="D9000" s="7"/>
      <c r="E9000" s="5"/>
      <c r="F9000" s="5"/>
      <c r="G9000" s="17"/>
      <c r="H9000" s="10"/>
      <c r="I9000" s="17"/>
    </row>
    <row r="9001" ht="14.25">
      <c r="A9001" s="5"/>
      <c r="B9001" s="7"/>
      <c r="C9001" s="7"/>
      <c r="D9001" s="7"/>
      <c r="E9001" s="5"/>
      <c r="F9001" s="5"/>
      <c r="G9001" s="17"/>
      <c r="H9001" s="10"/>
      <c r="I9001" s="17"/>
    </row>
    <row r="9002" ht="14.25">
      <c r="A9002" s="5"/>
      <c r="B9002" s="7"/>
      <c r="C9002" s="7"/>
      <c r="D9002" s="7"/>
      <c r="E9002" s="5"/>
      <c r="F9002" s="5"/>
      <c r="G9002" s="17"/>
      <c r="H9002" s="10"/>
      <c r="I9002" s="17"/>
    </row>
    <row r="9003" ht="14.25">
      <c r="A9003" s="5"/>
      <c r="B9003" s="7"/>
      <c r="C9003" s="7"/>
      <c r="D9003" s="7"/>
      <c r="E9003" s="5"/>
      <c r="F9003" s="5"/>
      <c r="G9003" s="17"/>
      <c r="H9003" s="10"/>
      <c r="I9003" s="17"/>
    </row>
    <row r="9004" ht="14.25">
      <c r="A9004" s="5"/>
      <c r="B9004" s="7"/>
      <c r="C9004" s="7"/>
      <c r="D9004" s="7"/>
      <c r="E9004" s="5"/>
      <c r="F9004" s="5"/>
      <c r="G9004" s="17"/>
      <c r="H9004" s="10"/>
      <c r="I9004" s="17"/>
    </row>
    <row r="9005" ht="14.25">
      <c r="A9005" s="5"/>
      <c r="B9005" s="7"/>
      <c r="C9005" s="7"/>
      <c r="D9005" s="7"/>
      <c r="E9005" s="5"/>
      <c r="F9005" s="5"/>
      <c r="G9005" s="17"/>
      <c r="H9005" s="10"/>
      <c r="I9005" s="17"/>
    </row>
    <row r="9006" ht="14.25">
      <c r="A9006" s="5"/>
      <c r="B9006" s="7"/>
      <c r="C9006" s="7"/>
      <c r="D9006" s="7"/>
      <c r="E9006" s="5"/>
      <c r="F9006" s="5"/>
      <c r="G9006" s="17"/>
      <c r="H9006" s="10"/>
      <c r="I9006" s="17"/>
    </row>
    <row r="9007" ht="14.25">
      <c r="A9007" s="5"/>
      <c r="B9007" s="7"/>
      <c r="C9007" s="7"/>
      <c r="D9007" s="7"/>
      <c r="E9007" s="5"/>
      <c r="F9007" s="5"/>
      <c r="G9007" s="17"/>
      <c r="H9007" s="10"/>
      <c r="I9007" s="17"/>
    </row>
    <row r="9008" ht="14.25">
      <c r="A9008" s="5"/>
      <c r="B9008" s="7"/>
      <c r="C9008" s="7"/>
      <c r="D9008" s="7"/>
      <c r="E9008" s="5"/>
      <c r="F9008" s="5"/>
      <c r="G9008" s="17"/>
      <c r="H9008" s="10"/>
      <c r="I9008" s="17"/>
    </row>
    <row r="9009" ht="14.25">
      <c r="A9009" s="5"/>
      <c r="B9009" s="7"/>
      <c r="C9009" s="7"/>
      <c r="D9009" s="7"/>
      <c r="E9009" s="5"/>
      <c r="F9009" s="5"/>
      <c r="G9009" s="17"/>
      <c r="H9009" s="10"/>
      <c r="I9009" s="17"/>
    </row>
    <row r="9010" ht="14.25">
      <c r="A9010" s="5"/>
      <c r="B9010" s="7"/>
      <c r="C9010" s="7"/>
      <c r="D9010" s="7"/>
      <c r="E9010" s="5"/>
      <c r="F9010" s="5"/>
      <c r="G9010" s="17"/>
      <c r="H9010" s="10"/>
      <c r="I9010" s="17"/>
    </row>
    <row r="9011" ht="14.25">
      <c r="A9011" s="5"/>
      <c r="B9011" s="7"/>
      <c r="C9011" s="7"/>
      <c r="D9011" s="7"/>
      <c r="E9011" s="5"/>
      <c r="F9011" s="5"/>
      <c r="G9011" s="17"/>
      <c r="H9011" s="10"/>
      <c r="I9011" s="17"/>
    </row>
    <row r="9012" ht="14.25">
      <c r="A9012" s="5"/>
      <c r="B9012" s="7"/>
      <c r="C9012" s="7"/>
      <c r="D9012" s="7"/>
      <c r="E9012" s="5"/>
      <c r="F9012" s="5"/>
      <c r="G9012" s="17"/>
      <c r="H9012" s="10"/>
      <c r="I9012" s="17"/>
    </row>
    <row r="9013" ht="14.25">
      <c r="A9013" s="5"/>
      <c r="B9013" s="7"/>
      <c r="C9013" s="7"/>
      <c r="D9013" s="7"/>
      <c r="E9013" s="5"/>
      <c r="F9013" s="5"/>
      <c r="G9013" s="17"/>
      <c r="H9013" s="10"/>
      <c r="I9013" s="17"/>
    </row>
    <row r="9014" ht="14.25">
      <c r="A9014" s="5"/>
      <c r="B9014" s="7"/>
      <c r="C9014" s="7"/>
      <c r="D9014" s="7"/>
      <c r="E9014" s="5"/>
      <c r="F9014" s="5"/>
      <c r="G9014" s="17"/>
      <c r="H9014" s="10"/>
      <c r="I9014" s="17"/>
    </row>
    <row r="9015" ht="14.25">
      <c r="A9015" s="5"/>
      <c r="B9015" s="7"/>
      <c r="C9015" s="7"/>
      <c r="D9015" s="7"/>
      <c r="E9015" s="5"/>
      <c r="F9015" s="5"/>
      <c r="G9015" s="17"/>
      <c r="H9015" s="10"/>
      <c r="I9015" s="17"/>
    </row>
    <row r="9016" ht="14.25">
      <c r="A9016" s="5"/>
      <c r="B9016" s="7"/>
      <c r="C9016" s="7"/>
      <c r="D9016" s="7"/>
      <c r="E9016" s="5"/>
      <c r="F9016" s="5"/>
      <c r="G9016" s="17"/>
      <c r="H9016" s="10"/>
      <c r="I9016" s="17"/>
    </row>
    <row r="9017" ht="14.25">
      <c r="A9017" s="5"/>
      <c r="B9017" s="7"/>
      <c r="C9017" s="7"/>
      <c r="D9017" s="7"/>
      <c r="E9017" s="5"/>
      <c r="F9017" s="5"/>
      <c r="G9017" s="17"/>
      <c r="H9017" s="10"/>
      <c r="I9017" s="17"/>
    </row>
    <row r="9018" ht="14.25">
      <c r="A9018" s="5"/>
      <c r="B9018" s="7"/>
      <c r="C9018" s="7"/>
      <c r="D9018" s="7"/>
      <c r="E9018" s="5"/>
      <c r="F9018" s="5"/>
      <c r="G9018" s="17"/>
      <c r="H9018" s="10"/>
      <c r="I9018" s="17"/>
    </row>
    <row r="9019" ht="14.25">
      <c r="A9019" s="5"/>
      <c r="B9019" s="7"/>
      <c r="C9019" s="7"/>
      <c r="D9019" s="7"/>
      <c r="E9019" s="5"/>
      <c r="F9019" s="5"/>
      <c r="G9019" s="17"/>
      <c r="H9019" s="10"/>
      <c r="I9019" s="17"/>
    </row>
    <row r="9020" ht="14.25">
      <c r="A9020" s="5"/>
      <c r="B9020" s="7"/>
      <c r="C9020" s="7"/>
      <c r="D9020" s="7"/>
      <c r="E9020" s="5"/>
      <c r="F9020" s="5"/>
      <c r="G9020" s="17"/>
      <c r="H9020" s="10"/>
      <c r="I9020" s="17"/>
    </row>
    <row r="9021" ht="14.25">
      <c r="A9021" s="5"/>
      <c r="B9021" s="7"/>
      <c r="C9021" s="7"/>
      <c r="D9021" s="7"/>
      <c r="E9021" s="5"/>
      <c r="F9021" s="5"/>
      <c r="G9021" s="17"/>
      <c r="H9021" s="10"/>
      <c r="I9021" s="17"/>
    </row>
    <row r="9022" ht="14.25">
      <c r="A9022" s="5"/>
      <c r="B9022" s="7"/>
      <c r="C9022" s="7"/>
      <c r="D9022" s="7"/>
      <c r="E9022" s="5"/>
      <c r="F9022" s="5"/>
      <c r="G9022" s="17"/>
      <c r="H9022" s="10"/>
      <c r="I9022" s="17"/>
    </row>
    <row r="9023" ht="14.25">
      <c r="A9023" s="5"/>
      <c r="B9023" s="7"/>
      <c r="C9023" s="7"/>
      <c r="D9023" s="7"/>
      <c r="E9023" s="5"/>
      <c r="F9023" s="5"/>
      <c r="G9023" s="17"/>
      <c r="H9023" s="10"/>
      <c r="I9023" s="17"/>
    </row>
    <row r="9024" ht="14.25">
      <c r="A9024" s="5"/>
      <c r="B9024" s="7"/>
      <c r="C9024" s="7"/>
      <c r="D9024" s="7"/>
      <c r="E9024" s="5"/>
      <c r="F9024" s="5"/>
      <c r="G9024" s="17"/>
      <c r="H9024" s="10"/>
      <c r="I9024" s="17"/>
    </row>
    <row r="9025" ht="14.25">
      <c r="A9025" s="5"/>
      <c r="B9025" s="7"/>
      <c r="C9025" s="7"/>
      <c r="D9025" s="7"/>
      <c r="E9025" s="5"/>
      <c r="F9025" s="5"/>
      <c r="G9025" s="17"/>
      <c r="H9025" s="10"/>
      <c r="I9025" s="17"/>
    </row>
    <row r="9026" ht="14.25">
      <c r="A9026" s="5"/>
      <c r="B9026" s="7"/>
      <c r="C9026" s="7"/>
      <c r="D9026" s="7"/>
      <c r="E9026" s="5"/>
      <c r="F9026" s="5"/>
      <c r="G9026" s="17"/>
      <c r="H9026" s="10"/>
      <c r="I9026" s="17"/>
    </row>
    <row r="9027" ht="14.25">
      <c r="A9027" s="5"/>
      <c r="B9027" s="7"/>
      <c r="C9027" s="7"/>
      <c r="D9027" s="7"/>
      <c r="E9027" s="5"/>
      <c r="F9027" s="5"/>
      <c r="G9027" s="17"/>
      <c r="H9027" s="10"/>
      <c r="I9027" s="17"/>
    </row>
    <row r="9028" ht="14.25">
      <c r="A9028" s="5"/>
      <c r="B9028" s="7"/>
      <c r="C9028" s="7"/>
      <c r="D9028" s="7"/>
      <c r="E9028" s="5"/>
      <c r="F9028" s="5"/>
      <c r="G9028" s="17"/>
      <c r="H9028" s="10"/>
      <c r="I9028" s="17"/>
    </row>
    <row r="9029" ht="14.25">
      <c r="A9029" s="5"/>
      <c r="B9029" s="7"/>
      <c r="C9029" s="7"/>
      <c r="D9029" s="7"/>
      <c r="E9029" s="5"/>
      <c r="F9029" s="5"/>
      <c r="G9029" s="17"/>
      <c r="H9029" s="10"/>
      <c r="I9029" s="17"/>
    </row>
    <row r="9030" ht="14.25">
      <c r="A9030" s="5"/>
      <c r="B9030" s="7"/>
      <c r="C9030" s="7"/>
      <c r="D9030" s="7"/>
      <c r="E9030" s="5"/>
      <c r="F9030" s="5"/>
      <c r="G9030" s="17"/>
      <c r="H9030" s="10"/>
      <c r="I9030" s="17"/>
    </row>
    <row r="9031" ht="14.25">
      <c r="A9031" s="5"/>
      <c r="B9031" s="7"/>
      <c r="C9031" s="7"/>
      <c r="D9031" s="7"/>
      <c r="E9031" s="5"/>
      <c r="F9031" s="5"/>
      <c r="G9031" s="17"/>
      <c r="H9031" s="10"/>
      <c r="I9031" s="17"/>
    </row>
    <row r="9032" ht="14.25">
      <c r="A9032" s="5"/>
      <c r="B9032" s="7"/>
      <c r="C9032" s="7"/>
      <c r="D9032" s="7"/>
      <c r="E9032" s="5"/>
      <c r="F9032" s="5"/>
      <c r="G9032" s="17"/>
      <c r="H9032" s="10"/>
      <c r="I9032" s="17"/>
    </row>
    <row r="9033" ht="14.25">
      <c r="A9033" s="5"/>
      <c r="B9033" s="7"/>
      <c r="C9033" s="7"/>
      <c r="D9033" s="7"/>
      <c r="E9033" s="5"/>
      <c r="F9033" s="5"/>
      <c r="G9033" s="17"/>
      <c r="H9033" s="10"/>
      <c r="I9033" s="17"/>
    </row>
    <row r="9034" ht="14.25">
      <c r="A9034" s="5"/>
      <c r="B9034" s="7"/>
      <c r="C9034" s="7"/>
      <c r="D9034" s="7"/>
      <c r="E9034" s="5"/>
      <c r="F9034" s="5"/>
      <c r="G9034" s="17"/>
      <c r="H9034" s="10"/>
      <c r="I9034" s="17"/>
    </row>
    <row r="9035" ht="14.25">
      <c r="A9035" s="5"/>
      <c r="B9035" s="7"/>
      <c r="C9035" s="7"/>
      <c r="D9035" s="7"/>
      <c r="E9035" s="5"/>
      <c r="F9035" s="5"/>
      <c r="G9035" s="17"/>
      <c r="H9035" s="10"/>
      <c r="I9035" s="17"/>
    </row>
    <row r="9036" ht="14.25">
      <c r="A9036" s="5"/>
      <c r="B9036" s="7"/>
      <c r="C9036" s="7"/>
      <c r="D9036" s="7"/>
      <c r="E9036" s="5"/>
      <c r="F9036" s="5"/>
      <c r="G9036" s="17"/>
      <c r="H9036" s="10"/>
      <c r="I9036" s="17"/>
    </row>
    <row r="9037" ht="14.25">
      <c r="A9037" s="5"/>
      <c r="B9037" s="7"/>
      <c r="C9037" s="7"/>
      <c r="D9037" s="7"/>
      <c r="E9037" s="5"/>
      <c r="F9037" s="5"/>
      <c r="G9037" s="17"/>
      <c r="H9037" s="10"/>
      <c r="I9037" s="17"/>
    </row>
    <row r="9038" ht="14.25">
      <c r="A9038" s="5"/>
      <c r="B9038" s="7"/>
      <c r="C9038" s="7"/>
      <c r="D9038" s="7"/>
      <c r="E9038" s="5"/>
      <c r="F9038" s="5"/>
      <c r="G9038" s="17"/>
      <c r="H9038" s="10"/>
      <c r="I9038" s="17"/>
    </row>
    <row r="9039" ht="14.25">
      <c r="A9039" s="5"/>
      <c r="B9039" s="7"/>
      <c r="C9039" s="7"/>
      <c r="D9039" s="7"/>
      <c r="E9039" s="5"/>
      <c r="F9039" s="5"/>
      <c r="G9039" s="17"/>
      <c r="H9039" s="10"/>
      <c r="I9039" s="17"/>
    </row>
    <row r="9040" ht="14.25">
      <c r="A9040" s="5"/>
      <c r="B9040" s="7"/>
      <c r="C9040" s="7"/>
      <c r="D9040" s="7"/>
      <c r="E9040" s="5"/>
      <c r="F9040" s="5"/>
      <c r="G9040" s="17"/>
      <c r="H9040" s="10"/>
      <c r="I9040" s="17"/>
    </row>
    <row r="9041" ht="14.25">
      <c r="A9041" s="5"/>
      <c r="B9041" s="7"/>
      <c r="C9041" s="7"/>
      <c r="D9041" s="7"/>
      <c r="E9041" s="5"/>
      <c r="F9041" s="5"/>
      <c r="G9041" s="17"/>
      <c r="H9041" s="10"/>
      <c r="I9041" s="17"/>
    </row>
    <row r="9042" ht="14.25">
      <c r="A9042" s="5"/>
      <c r="B9042" s="7"/>
      <c r="C9042" s="7"/>
      <c r="D9042" s="7"/>
      <c r="E9042" s="5"/>
      <c r="F9042" s="5"/>
      <c r="G9042" s="17"/>
      <c r="H9042" s="10"/>
      <c r="I9042" s="17"/>
    </row>
    <row r="9043" ht="14.25">
      <c r="A9043" s="5"/>
      <c r="B9043" s="7"/>
      <c r="C9043" s="7"/>
      <c r="D9043" s="7"/>
      <c r="E9043" s="5"/>
      <c r="F9043" s="5"/>
      <c r="G9043" s="17"/>
      <c r="H9043" s="10"/>
      <c r="I9043" s="17"/>
    </row>
    <row r="9044" ht="14.25">
      <c r="A9044" s="5"/>
      <c r="B9044" s="7"/>
      <c r="C9044" s="7"/>
      <c r="D9044" s="7"/>
      <c r="E9044" s="5"/>
      <c r="F9044" s="5"/>
      <c r="G9044" s="17"/>
      <c r="H9044" s="10"/>
      <c r="I9044" s="17"/>
    </row>
    <row r="9045" ht="14.25">
      <c r="A9045" s="5"/>
      <c r="B9045" s="7"/>
      <c r="C9045" s="7"/>
      <c r="D9045" s="7"/>
      <c r="E9045" s="5"/>
      <c r="F9045" s="5"/>
      <c r="G9045" s="17"/>
      <c r="H9045" s="10"/>
      <c r="I9045" s="17"/>
    </row>
    <row r="9046" ht="14.25">
      <c r="A9046" s="5"/>
      <c r="B9046" s="7"/>
      <c r="C9046" s="7"/>
      <c r="D9046" s="7"/>
      <c r="E9046" s="5"/>
      <c r="F9046" s="5"/>
      <c r="G9046" s="17"/>
      <c r="H9046" s="10"/>
      <c r="I9046" s="17"/>
    </row>
    <row r="9047" ht="14.25">
      <c r="A9047" s="5"/>
      <c r="B9047" s="7"/>
      <c r="C9047" s="7"/>
      <c r="D9047" s="7"/>
      <c r="E9047" s="5"/>
      <c r="F9047" s="5"/>
      <c r="G9047" s="17"/>
      <c r="H9047" s="10"/>
      <c r="I9047" s="17"/>
    </row>
    <row r="9048" ht="14.25">
      <c r="A9048" s="5"/>
      <c r="B9048" s="7"/>
      <c r="C9048" s="7"/>
      <c r="D9048" s="7"/>
      <c r="E9048" s="5"/>
      <c r="F9048" s="5"/>
      <c r="G9048" s="17"/>
      <c r="H9048" s="10"/>
      <c r="I9048" s="17"/>
    </row>
    <row r="9049" ht="14.25">
      <c r="A9049" s="5"/>
      <c r="B9049" s="7"/>
      <c r="C9049" s="7"/>
      <c r="D9049" s="7"/>
      <c r="E9049" s="5"/>
      <c r="F9049" s="5"/>
      <c r="G9049" s="17"/>
      <c r="H9049" s="10"/>
      <c r="I9049" s="17"/>
    </row>
    <row r="9050" ht="14.25">
      <c r="A9050" s="5"/>
      <c r="B9050" s="7"/>
      <c r="C9050" s="7"/>
      <c r="D9050" s="7"/>
      <c r="E9050" s="5"/>
      <c r="F9050" s="5"/>
      <c r="G9050" s="17"/>
      <c r="H9050" s="10"/>
      <c r="I9050" s="17"/>
    </row>
    <row r="9051" ht="14.25">
      <c r="A9051" s="5"/>
      <c r="B9051" s="7"/>
      <c r="C9051" s="7"/>
      <c r="D9051" s="7"/>
      <c r="E9051" s="5"/>
      <c r="F9051" s="5"/>
      <c r="G9051" s="17"/>
      <c r="H9051" s="10"/>
      <c r="I9051" s="17"/>
    </row>
    <row r="9052" ht="14.25">
      <c r="A9052" s="5"/>
      <c r="B9052" s="7"/>
      <c r="C9052" s="7"/>
      <c r="D9052" s="7"/>
      <c r="E9052" s="5"/>
      <c r="F9052" s="5"/>
      <c r="G9052" s="17"/>
      <c r="H9052" s="10"/>
      <c r="I9052" s="17"/>
    </row>
    <row r="9053" ht="14.25">
      <c r="A9053" s="5"/>
      <c r="B9053" s="7"/>
      <c r="C9053" s="7"/>
      <c r="D9053" s="7"/>
      <c r="E9053" s="5"/>
      <c r="F9053" s="5"/>
      <c r="G9053" s="17"/>
      <c r="H9053" s="10"/>
      <c r="I9053" s="17"/>
    </row>
    <row r="9054" ht="14.25">
      <c r="A9054" s="5"/>
      <c r="B9054" s="7"/>
      <c r="C9054" s="7"/>
      <c r="D9054" s="7"/>
      <c r="E9054" s="5"/>
      <c r="F9054" s="5"/>
      <c r="G9054" s="17"/>
      <c r="H9054" s="10"/>
      <c r="I9054" s="17"/>
    </row>
    <row r="9055" ht="14.25">
      <c r="A9055" s="5"/>
      <c r="B9055" s="7"/>
      <c r="C9055" s="7"/>
      <c r="D9055" s="7"/>
      <c r="E9055" s="5"/>
      <c r="F9055" s="5"/>
      <c r="G9055" s="17"/>
      <c r="H9055" s="10"/>
      <c r="I9055" s="17"/>
    </row>
    <row r="9056" ht="14.25">
      <c r="A9056" s="5"/>
      <c r="B9056" s="7"/>
      <c r="C9056" s="7"/>
      <c r="D9056" s="7"/>
      <c r="E9056" s="5"/>
      <c r="F9056" s="5"/>
      <c r="G9056" s="17"/>
      <c r="H9056" s="10"/>
      <c r="I9056" s="17"/>
    </row>
    <row r="9057" ht="14.25">
      <c r="A9057" s="5"/>
      <c r="B9057" s="7"/>
      <c r="C9057" s="7"/>
      <c r="D9057" s="7"/>
      <c r="E9057" s="5"/>
      <c r="F9057" s="5"/>
      <c r="G9057" s="17"/>
      <c r="H9057" s="10"/>
      <c r="I9057" s="17"/>
    </row>
    <row r="9058" ht="14.25">
      <c r="A9058" s="5"/>
      <c r="B9058" s="7"/>
      <c r="C9058" s="7"/>
      <c r="D9058" s="7"/>
      <c r="E9058" s="5"/>
      <c r="F9058" s="5"/>
      <c r="G9058" s="17"/>
      <c r="H9058" s="10"/>
      <c r="I9058" s="17"/>
    </row>
    <row r="9059" ht="14.25">
      <c r="A9059" s="5"/>
      <c r="B9059" s="7"/>
      <c r="C9059" s="7"/>
      <c r="D9059" s="7"/>
      <c r="E9059" s="5"/>
      <c r="F9059" s="5"/>
      <c r="G9059" s="17"/>
      <c r="H9059" s="10"/>
      <c r="I9059" s="17"/>
    </row>
    <row r="9060" ht="14.25">
      <c r="A9060" s="5"/>
      <c r="B9060" s="7"/>
      <c r="C9060" s="7"/>
      <c r="D9060" s="7"/>
      <c r="E9060" s="5"/>
      <c r="F9060" s="5"/>
      <c r="G9060" s="17"/>
      <c r="H9060" s="10"/>
      <c r="I9060" s="17"/>
    </row>
    <row r="9061" ht="14.25">
      <c r="A9061" s="5"/>
      <c r="B9061" s="7"/>
      <c r="C9061" s="7"/>
      <c r="D9061" s="7"/>
      <c r="E9061" s="5"/>
      <c r="F9061" s="5"/>
      <c r="G9061" s="17"/>
      <c r="H9061" s="10"/>
      <c r="I9061" s="17"/>
    </row>
    <row r="9062" ht="14.25">
      <c r="A9062" s="5"/>
      <c r="B9062" s="7"/>
      <c r="C9062" s="7"/>
      <c r="D9062" s="7"/>
      <c r="E9062" s="5"/>
      <c r="F9062" s="5"/>
      <c r="G9062" s="17"/>
      <c r="H9062" s="10"/>
      <c r="I9062" s="17"/>
    </row>
    <row r="9063" ht="14.25">
      <c r="A9063" s="5"/>
      <c r="B9063" s="7"/>
      <c r="C9063" s="7"/>
      <c r="D9063" s="7"/>
      <c r="E9063" s="5"/>
      <c r="F9063" s="5"/>
      <c r="G9063" s="17"/>
      <c r="H9063" s="10"/>
      <c r="I9063" s="17"/>
    </row>
    <row r="9064" ht="14.25">
      <c r="A9064" s="5"/>
      <c r="B9064" s="7"/>
      <c r="C9064" s="7"/>
      <c r="D9064" s="7"/>
      <c r="E9064" s="5"/>
      <c r="F9064" s="5"/>
      <c r="G9064" s="17"/>
      <c r="H9064" s="10"/>
      <c r="I9064" s="17"/>
    </row>
    <row r="9065" ht="14.25">
      <c r="A9065" s="5"/>
      <c r="B9065" s="7"/>
      <c r="C9065" s="7"/>
      <c r="D9065" s="7"/>
      <c r="E9065" s="5"/>
      <c r="F9065" s="5"/>
      <c r="G9065" s="17"/>
      <c r="H9065" s="10"/>
      <c r="I9065" s="17"/>
    </row>
    <row r="9066" ht="14.25">
      <c r="A9066" s="5"/>
      <c r="B9066" s="7"/>
      <c r="C9066" s="7"/>
      <c r="D9066" s="7"/>
      <c r="E9066" s="5"/>
      <c r="F9066" s="5"/>
      <c r="G9066" s="17"/>
      <c r="H9066" s="10"/>
      <c r="I9066" s="17"/>
    </row>
    <row r="9067" ht="14.25">
      <c r="A9067" s="5"/>
      <c r="B9067" s="7"/>
      <c r="C9067" s="7"/>
      <c r="D9067" s="7"/>
      <c r="E9067" s="5"/>
      <c r="F9067" s="5"/>
      <c r="G9067" s="17"/>
      <c r="H9067" s="10"/>
      <c r="I9067" s="17"/>
    </row>
    <row r="9068" ht="14.25">
      <c r="A9068" s="5"/>
      <c r="B9068" s="7"/>
      <c r="C9068" s="7"/>
      <c r="D9068" s="7"/>
      <c r="E9068" s="5"/>
      <c r="F9068" s="5"/>
      <c r="G9068" s="17"/>
      <c r="H9068" s="10"/>
      <c r="I9068" s="17"/>
    </row>
    <row r="9069" ht="14.25">
      <c r="A9069" s="5"/>
      <c r="B9069" s="7"/>
      <c r="C9069" s="7"/>
      <c r="D9069" s="7"/>
      <c r="E9069" s="5"/>
      <c r="F9069" s="5"/>
      <c r="G9069" s="17"/>
      <c r="H9069" s="10"/>
      <c r="I9069" s="17"/>
    </row>
    <row r="9070" ht="14.25">
      <c r="A9070" s="5"/>
      <c r="B9070" s="7"/>
      <c r="C9070" s="7"/>
      <c r="D9070" s="7"/>
      <c r="E9070" s="5"/>
      <c r="F9070" s="5"/>
      <c r="G9070" s="17"/>
      <c r="H9070" s="10"/>
      <c r="I9070" s="17"/>
    </row>
    <row r="9071" ht="14.25">
      <c r="A9071" s="5"/>
      <c r="B9071" s="7"/>
      <c r="C9071" s="7"/>
      <c r="D9071" s="7"/>
      <c r="E9071" s="5"/>
      <c r="F9071" s="5"/>
      <c r="G9071" s="17"/>
      <c r="H9071" s="10"/>
      <c r="I9071" s="17"/>
    </row>
    <row r="9072" ht="14.25">
      <c r="A9072" s="5"/>
      <c r="B9072" s="7"/>
      <c r="C9072" s="7"/>
      <c r="D9072" s="7"/>
      <c r="E9072" s="5"/>
      <c r="F9072" s="5"/>
      <c r="G9072" s="17"/>
      <c r="H9072" s="10"/>
      <c r="I9072" s="17"/>
    </row>
    <row r="9073" ht="14.25">
      <c r="A9073" s="5"/>
      <c r="B9073" s="7"/>
      <c r="C9073" s="7"/>
      <c r="D9073" s="7"/>
      <c r="E9073" s="5"/>
      <c r="F9073" s="5"/>
      <c r="G9073" s="17"/>
      <c r="H9073" s="10"/>
      <c r="I9073" s="17"/>
    </row>
    <row r="9074" ht="14.25">
      <c r="A9074" s="5"/>
      <c r="B9074" s="7"/>
      <c r="C9074" s="7"/>
      <c r="D9074" s="7"/>
      <c r="E9074" s="5"/>
      <c r="F9074" s="5"/>
      <c r="G9074" s="17"/>
      <c r="H9074" s="10"/>
      <c r="I9074" s="17"/>
    </row>
    <row r="9075" ht="14.25">
      <c r="A9075" s="5"/>
      <c r="B9075" s="7"/>
      <c r="C9075" s="7"/>
      <c r="D9075" s="7"/>
      <c r="E9075" s="5"/>
      <c r="F9075" s="5"/>
      <c r="G9075" s="17"/>
      <c r="H9075" s="10"/>
      <c r="I9075" s="17"/>
    </row>
    <row r="9076" ht="14.25">
      <c r="A9076" s="5"/>
      <c r="B9076" s="7"/>
      <c r="C9076" s="7"/>
      <c r="D9076" s="7"/>
      <c r="E9076" s="5"/>
      <c r="F9076" s="5"/>
      <c r="G9076" s="17"/>
      <c r="H9076" s="10"/>
      <c r="I9076" s="17"/>
    </row>
    <row r="9077" ht="14.25">
      <c r="A9077" s="5"/>
      <c r="B9077" s="7"/>
      <c r="C9077" s="7"/>
      <c r="D9077" s="7"/>
      <c r="E9077" s="5"/>
      <c r="F9077" s="5"/>
      <c r="G9077" s="17"/>
      <c r="H9077" s="10"/>
      <c r="I9077" s="17"/>
    </row>
    <row r="9078" ht="14.25">
      <c r="A9078" s="5"/>
      <c r="B9078" s="7"/>
      <c r="C9078" s="7"/>
      <c r="D9078" s="7"/>
      <c r="E9078" s="5"/>
      <c r="F9078" s="5"/>
      <c r="G9078" s="17"/>
      <c r="H9078" s="10"/>
      <c r="I9078" s="17"/>
    </row>
    <row r="9079" ht="14.25">
      <c r="A9079" s="5"/>
      <c r="B9079" s="7"/>
      <c r="C9079" s="7"/>
      <c r="D9079" s="7"/>
      <c r="E9079" s="5"/>
      <c r="F9079" s="5"/>
      <c r="G9079" s="17"/>
      <c r="H9079" s="10"/>
      <c r="I9079" s="17"/>
    </row>
    <row r="9080" ht="14.25">
      <c r="A9080" s="5"/>
      <c r="B9080" s="7"/>
      <c r="C9080" s="7"/>
      <c r="D9080" s="7"/>
      <c r="E9080" s="5"/>
      <c r="F9080" s="5"/>
      <c r="G9080" s="17"/>
      <c r="H9080" s="10"/>
      <c r="I9080" s="17"/>
    </row>
    <row r="9081" ht="14.25">
      <c r="A9081" s="5"/>
      <c r="B9081" s="7"/>
      <c r="C9081" s="7"/>
      <c r="D9081" s="7"/>
      <c r="E9081" s="5"/>
      <c r="F9081" s="5"/>
      <c r="G9081" s="17"/>
      <c r="H9081" s="10"/>
      <c r="I9081" s="17"/>
    </row>
    <row r="9082" ht="14.25">
      <c r="A9082" s="5"/>
      <c r="B9082" s="7"/>
      <c r="C9082" s="7"/>
      <c r="D9082" s="7"/>
      <c r="E9082" s="5"/>
      <c r="F9082" s="5"/>
      <c r="G9082" s="17"/>
      <c r="H9082" s="10"/>
      <c r="I9082" s="17"/>
    </row>
    <row r="9083" ht="14.25">
      <c r="A9083" s="5"/>
      <c r="B9083" s="7"/>
      <c r="C9083" s="7"/>
      <c r="D9083" s="7"/>
      <c r="E9083" s="5"/>
      <c r="F9083" s="5"/>
      <c r="G9083" s="17"/>
      <c r="H9083" s="10"/>
      <c r="I9083" s="17"/>
    </row>
    <row r="9084" ht="14.25">
      <c r="A9084" s="5"/>
      <c r="B9084" s="7"/>
      <c r="C9084" s="7"/>
      <c r="D9084" s="7"/>
      <c r="E9084" s="5"/>
      <c r="F9084" s="5"/>
      <c r="G9084" s="17"/>
      <c r="H9084" s="10"/>
      <c r="I9084" s="17"/>
    </row>
    <row r="9085" ht="14.25">
      <c r="A9085" s="5"/>
      <c r="B9085" s="7"/>
      <c r="C9085" s="7"/>
      <c r="D9085" s="7"/>
      <c r="E9085" s="5"/>
      <c r="F9085" s="5"/>
      <c r="G9085" s="17"/>
      <c r="H9085" s="10"/>
      <c r="I9085" s="17"/>
    </row>
    <row r="9086" ht="14.25">
      <c r="A9086" s="5"/>
      <c r="B9086" s="7"/>
      <c r="C9086" s="7"/>
      <c r="D9086" s="7"/>
      <c r="E9086" s="5"/>
      <c r="F9086" s="5"/>
      <c r="G9086" s="17"/>
      <c r="H9086" s="10"/>
      <c r="I9086" s="17"/>
    </row>
    <row r="9087" ht="14.25">
      <c r="A9087" s="5"/>
      <c r="B9087" s="7"/>
      <c r="C9087" s="7"/>
      <c r="D9087" s="7"/>
      <c r="E9087" s="5"/>
      <c r="F9087" s="5"/>
      <c r="G9087" s="17"/>
      <c r="H9087" s="10"/>
      <c r="I9087" s="17"/>
    </row>
    <row r="9088" ht="14.25">
      <c r="A9088" s="5"/>
      <c r="B9088" s="7"/>
      <c r="C9088" s="7"/>
      <c r="D9088" s="7"/>
      <c r="E9088" s="5"/>
      <c r="F9088" s="5"/>
      <c r="G9088" s="17"/>
      <c r="H9088" s="10"/>
      <c r="I9088" s="17"/>
    </row>
    <row r="9089" ht="14.25">
      <c r="A9089" s="5"/>
      <c r="B9089" s="7"/>
      <c r="C9089" s="7"/>
      <c r="D9089" s="7"/>
      <c r="E9089" s="5"/>
      <c r="F9089" s="5"/>
      <c r="G9089" s="17"/>
      <c r="H9089" s="10"/>
      <c r="I9089" s="17"/>
    </row>
    <row r="9090" ht="14.25">
      <c r="A9090" s="5"/>
      <c r="B9090" s="7"/>
      <c r="C9090" s="7"/>
      <c r="D9090" s="7"/>
      <c r="E9090" s="5"/>
      <c r="F9090" s="5"/>
      <c r="G9090" s="17"/>
      <c r="H9090" s="10"/>
      <c r="I9090" s="17"/>
    </row>
    <row r="9091" ht="14.25">
      <c r="A9091" s="5"/>
      <c r="B9091" s="7"/>
      <c r="C9091" s="7"/>
      <c r="D9091" s="7"/>
      <c r="E9091" s="5"/>
      <c r="F9091" s="5"/>
      <c r="G9091" s="17"/>
      <c r="H9091" s="10"/>
      <c r="I9091" s="17"/>
    </row>
    <row r="9092" ht="14.25">
      <c r="A9092" s="5"/>
      <c r="B9092" s="7"/>
      <c r="C9092" s="7"/>
      <c r="D9092" s="7"/>
      <c r="E9092" s="5"/>
      <c r="F9092" s="5"/>
      <c r="G9092" s="17"/>
      <c r="H9092" s="10"/>
      <c r="I9092" s="17"/>
    </row>
    <row r="9093" ht="14.25">
      <c r="A9093" s="5"/>
      <c r="B9093" s="7"/>
      <c r="C9093" s="7"/>
      <c r="D9093" s="7"/>
      <c r="E9093" s="5"/>
      <c r="F9093" s="5"/>
      <c r="G9093" s="17"/>
      <c r="H9093" s="10"/>
      <c r="I9093" s="17"/>
    </row>
    <row r="9094" ht="14.25">
      <c r="A9094" s="5"/>
      <c r="B9094" s="7"/>
      <c r="C9094" s="7"/>
      <c r="D9094" s="7"/>
      <c r="E9094" s="5"/>
      <c r="F9094" s="5"/>
      <c r="G9094" s="17"/>
      <c r="H9094" s="10"/>
      <c r="I9094" s="17"/>
    </row>
    <row r="9095" ht="14.25">
      <c r="A9095" s="5"/>
      <c r="B9095" s="7"/>
      <c r="C9095" s="7"/>
      <c r="D9095" s="7"/>
      <c r="E9095" s="5"/>
      <c r="F9095" s="5"/>
      <c r="G9095" s="17"/>
      <c r="H9095" s="10"/>
      <c r="I9095" s="17"/>
    </row>
    <row r="9096" ht="14.25">
      <c r="A9096" s="5"/>
      <c r="B9096" s="7"/>
      <c r="C9096" s="7"/>
      <c r="D9096" s="7"/>
      <c r="E9096" s="5"/>
      <c r="F9096" s="5"/>
      <c r="G9096" s="17"/>
      <c r="H9096" s="10"/>
      <c r="I9096" s="17"/>
    </row>
    <row r="9097" ht="14.25">
      <c r="A9097" s="5"/>
      <c r="B9097" s="7"/>
      <c r="C9097" s="7"/>
      <c r="D9097" s="7"/>
      <c r="E9097" s="5"/>
      <c r="F9097" s="5"/>
      <c r="G9097" s="17"/>
      <c r="H9097" s="10"/>
      <c r="I9097" s="17"/>
    </row>
    <row r="9098" ht="14.25">
      <c r="A9098" s="5"/>
      <c r="B9098" s="7"/>
      <c r="C9098" s="7"/>
      <c r="D9098" s="7"/>
      <c r="E9098" s="5"/>
      <c r="F9098" s="5"/>
      <c r="G9098" s="17"/>
      <c r="H9098" s="10"/>
      <c r="I9098" s="17"/>
    </row>
    <row r="9099" ht="14.25">
      <c r="A9099" s="5"/>
      <c r="B9099" s="7"/>
      <c r="C9099" s="7"/>
      <c r="D9099" s="7"/>
      <c r="E9099" s="5"/>
      <c r="F9099" s="5"/>
      <c r="G9099" s="17"/>
      <c r="H9099" s="10"/>
      <c r="I9099" s="17"/>
    </row>
    <row r="9100" ht="14.25">
      <c r="A9100" s="5"/>
      <c r="B9100" s="7"/>
      <c r="C9100" s="7"/>
      <c r="D9100" s="7"/>
      <c r="E9100" s="5"/>
      <c r="F9100" s="5"/>
      <c r="G9100" s="17"/>
      <c r="H9100" s="10"/>
      <c r="I9100" s="17"/>
    </row>
    <row r="9101" ht="14.25">
      <c r="A9101" s="5"/>
      <c r="B9101" s="7"/>
      <c r="C9101" s="7"/>
      <c r="D9101" s="7"/>
      <c r="E9101" s="5"/>
      <c r="F9101" s="5"/>
      <c r="G9101" s="17"/>
      <c r="H9101" s="10"/>
      <c r="I9101" s="17"/>
    </row>
    <row r="9102" ht="14.25">
      <c r="A9102" s="5"/>
      <c r="B9102" s="7"/>
      <c r="C9102" s="7"/>
      <c r="D9102" s="7"/>
      <c r="E9102" s="5"/>
      <c r="F9102" s="5"/>
      <c r="G9102" s="17"/>
      <c r="H9102" s="10"/>
      <c r="I9102" s="17"/>
    </row>
    <row r="9103" ht="14.25">
      <c r="A9103" s="5"/>
      <c r="B9103" s="7"/>
      <c r="C9103" s="7"/>
      <c r="D9103" s="7"/>
      <c r="E9103" s="5"/>
      <c r="F9103" s="5"/>
      <c r="G9103" s="17"/>
      <c r="H9103" s="10"/>
      <c r="I9103" s="17"/>
    </row>
    <row r="9104" ht="14.25">
      <c r="A9104" s="5"/>
      <c r="B9104" s="7"/>
      <c r="C9104" s="7"/>
      <c r="D9104" s="7"/>
      <c r="E9104" s="5"/>
      <c r="F9104" s="5"/>
      <c r="G9104" s="17"/>
      <c r="H9104" s="10"/>
      <c r="I9104" s="17"/>
    </row>
    <row r="9105" ht="14.25">
      <c r="A9105" s="5"/>
      <c r="B9105" s="7"/>
      <c r="C9105" s="7"/>
      <c r="D9105" s="7"/>
      <c r="E9105" s="5"/>
      <c r="F9105" s="5"/>
      <c r="G9105" s="17"/>
      <c r="H9105" s="10"/>
      <c r="I9105" s="17"/>
    </row>
    <row r="9106" ht="14.25">
      <c r="A9106" s="5"/>
      <c r="B9106" s="7"/>
      <c r="C9106" s="7"/>
      <c r="D9106" s="7"/>
      <c r="E9106" s="5"/>
      <c r="F9106" s="5"/>
      <c r="G9106" s="17"/>
      <c r="H9106" s="10"/>
      <c r="I9106" s="17"/>
    </row>
    <row r="9107" ht="14.25">
      <c r="A9107" s="5"/>
      <c r="B9107" s="7"/>
      <c r="C9107" s="7"/>
      <c r="D9107" s="7"/>
      <c r="E9107" s="5"/>
      <c r="F9107" s="5"/>
      <c r="G9107" s="17"/>
      <c r="H9107" s="10"/>
      <c r="I9107" s="17"/>
    </row>
    <row r="9108" ht="14.25">
      <c r="A9108" s="5"/>
      <c r="B9108" s="7"/>
      <c r="C9108" s="7"/>
      <c r="D9108" s="7"/>
      <c r="E9108" s="5"/>
      <c r="F9108" s="5"/>
      <c r="G9108" s="17"/>
      <c r="H9108" s="10"/>
      <c r="I9108" s="17"/>
    </row>
    <row r="9109" ht="14.25">
      <c r="A9109" s="5"/>
      <c r="B9109" s="7"/>
      <c r="C9109" s="7"/>
      <c r="D9109" s="7"/>
      <c r="E9109" s="5"/>
      <c r="F9109" s="5"/>
      <c r="G9109" s="17"/>
      <c r="H9109" s="10"/>
      <c r="I9109" s="17"/>
    </row>
    <row r="9110" ht="14.25">
      <c r="A9110" s="5"/>
      <c r="B9110" s="7"/>
      <c r="C9110" s="7"/>
      <c r="D9110" s="7"/>
      <c r="E9110" s="5"/>
      <c r="F9110" s="5"/>
      <c r="G9110" s="17"/>
      <c r="H9110" s="10"/>
      <c r="I9110" s="17"/>
    </row>
    <row r="9111" ht="14.25">
      <c r="A9111" s="5"/>
      <c r="B9111" s="7"/>
      <c r="C9111" s="7"/>
      <c r="D9111" s="7"/>
      <c r="E9111" s="5"/>
      <c r="F9111" s="5"/>
      <c r="G9111" s="17"/>
      <c r="H9111" s="10"/>
      <c r="I9111" s="17"/>
    </row>
    <row r="9112" ht="14.25">
      <c r="A9112" s="5"/>
      <c r="B9112" s="7"/>
      <c r="C9112" s="7"/>
      <c r="D9112" s="7"/>
      <c r="E9112" s="5"/>
      <c r="F9112" s="5"/>
      <c r="G9112" s="17"/>
      <c r="H9112" s="10"/>
      <c r="I9112" s="17"/>
    </row>
    <row r="9113" ht="14.25">
      <c r="A9113" s="5"/>
      <c r="B9113" s="7"/>
      <c r="C9113" s="7"/>
      <c r="D9113" s="7"/>
      <c r="E9113" s="5"/>
      <c r="F9113" s="5"/>
      <c r="G9113" s="17"/>
      <c r="H9113" s="10"/>
      <c r="I9113" s="17"/>
    </row>
    <row r="9114" ht="14.25">
      <c r="A9114" s="5"/>
      <c r="B9114" s="7"/>
      <c r="C9114" s="7"/>
      <c r="D9114" s="7"/>
      <c r="E9114" s="5"/>
      <c r="F9114" s="5"/>
      <c r="G9114" s="17"/>
      <c r="H9114" s="10"/>
      <c r="I9114" s="17"/>
    </row>
    <row r="9115" ht="14.25">
      <c r="A9115" s="5"/>
      <c r="B9115" s="7"/>
      <c r="C9115" s="7"/>
      <c r="D9115" s="7"/>
      <c r="E9115" s="5"/>
      <c r="F9115" s="5"/>
      <c r="G9115" s="17"/>
      <c r="H9115" s="10"/>
      <c r="I9115" s="17"/>
    </row>
    <row r="9116" ht="14.25">
      <c r="A9116" s="5"/>
      <c r="B9116" s="7"/>
      <c r="C9116" s="7"/>
      <c r="D9116" s="7"/>
      <c r="E9116" s="5"/>
      <c r="F9116" s="5"/>
      <c r="G9116" s="17"/>
      <c r="H9116" s="10"/>
      <c r="I9116" s="17"/>
    </row>
    <row r="9117" ht="14.25">
      <c r="A9117" s="5"/>
      <c r="B9117" s="7"/>
      <c r="C9117" s="7"/>
      <c r="D9117" s="7"/>
      <c r="E9117" s="5"/>
      <c r="F9117" s="5"/>
      <c r="G9117" s="17"/>
      <c r="H9117" s="10"/>
      <c r="I9117" s="17"/>
    </row>
    <row r="9118" ht="14.25">
      <c r="A9118" s="5"/>
      <c r="B9118" s="7"/>
      <c r="C9118" s="7"/>
      <c r="D9118" s="7"/>
      <c r="E9118" s="5"/>
      <c r="F9118" s="5"/>
      <c r="G9118" s="17"/>
      <c r="H9118" s="10"/>
      <c r="I9118" s="17"/>
    </row>
    <row r="9119" ht="14.25">
      <c r="A9119" s="5"/>
      <c r="B9119" s="7"/>
      <c r="C9119" s="7"/>
      <c r="D9119" s="7"/>
      <c r="E9119" s="5"/>
      <c r="F9119" s="5"/>
      <c r="G9119" s="17"/>
      <c r="H9119" s="10"/>
      <c r="I9119" s="17"/>
    </row>
    <row r="9120" ht="14.25">
      <c r="A9120" s="5"/>
      <c r="B9120" s="7"/>
      <c r="C9120" s="7"/>
      <c r="D9120" s="7"/>
      <c r="E9120" s="5"/>
      <c r="F9120" s="5"/>
      <c r="G9120" s="17"/>
      <c r="H9120" s="10"/>
      <c r="I9120" s="17"/>
    </row>
    <row r="9121" ht="14.25">
      <c r="A9121" s="5"/>
      <c r="B9121" s="7"/>
      <c r="C9121" s="7"/>
      <c r="D9121" s="7"/>
      <c r="E9121" s="5"/>
      <c r="F9121" s="5"/>
      <c r="G9121" s="17"/>
      <c r="H9121" s="10"/>
      <c r="I9121" s="17"/>
    </row>
    <row r="9122" ht="14.25">
      <c r="A9122" s="5"/>
      <c r="B9122" s="7"/>
      <c r="C9122" s="7"/>
      <c r="D9122" s="7"/>
      <c r="E9122" s="5"/>
      <c r="F9122" s="5"/>
      <c r="G9122" s="17"/>
      <c r="H9122" s="10"/>
      <c r="I9122" s="17"/>
    </row>
    <row r="9123" ht="14.25">
      <c r="A9123" s="5"/>
      <c r="B9123" s="7"/>
      <c r="C9123" s="7"/>
      <c r="D9123" s="7"/>
      <c r="E9123" s="5"/>
      <c r="F9123" s="5"/>
      <c r="G9123" s="17"/>
      <c r="H9123" s="10"/>
      <c r="I9123" s="17"/>
    </row>
    <row r="9124" ht="14.25">
      <c r="A9124" s="5"/>
      <c r="B9124" s="7"/>
      <c r="C9124" s="7"/>
      <c r="D9124" s="7"/>
      <c r="E9124" s="5"/>
      <c r="F9124" s="5"/>
      <c r="G9124" s="17"/>
      <c r="H9124" s="10"/>
      <c r="I9124" s="17"/>
    </row>
    <row r="9125" ht="14.25">
      <c r="A9125" s="5"/>
      <c r="B9125" s="7"/>
      <c r="C9125" s="7"/>
      <c r="D9125" s="7"/>
      <c r="E9125" s="5"/>
      <c r="F9125" s="5"/>
      <c r="G9125" s="17"/>
      <c r="H9125" s="10"/>
      <c r="I9125" s="17"/>
    </row>
    <row r="9126" ht="14.25">
      <c r="A9126" s="5"/>
      <c r="B9126" s="7"/>
      <c r="C9126" s="7"/>
      <c r="D9126" s="7"/>
      <c r="E9126" s="5"/>
      <c r="F9126" s="5"/>
      <c r="G9126" s="17"/>
      <c r="H9126" s="10"/>
      <c r="I9126" s="17"/>
    </row>
    <row r="9127" ht="14.25">
      <c r="A9127" s="5"/>
      <c r="B9127" s="7"/>
      <c r="C9127" s="7"/>
      <c r="D9127" s="7"/>
      <c r="E9127" s="5"/>
      <c r="F9127" s="5"/>
      <c r="G9127" s="17"/>
      <c r="H9127" s="10"/>
      <c r="I9127" s="17"/>
    </row>
    <row r="9128" ht="14.25">
      <c r="A9128" s="5"/>
      <c r="B9128" s="7"/>
      <c r="C9128" s="7"/>
      <c r="D9128" s="7"/>
      <c r="E9128" s="5"/>
      <c r="F9128" s="5"/>
      <c r="G9128" s="17"/>
      <c r="H9128" s="10"/>
      <c r="I9128" s="17"/>
    </row>
    <row r="9129" ht="14.25">
      <c r="A9129" s="5"/>
      <c r="B9129" s="7"/>
      <c r="C9129" s="7"/>
      <c r="D9129" s="7"/>
      <c r="E9129" s="5"/>
      <c r="F9129" s="5"/>
      <c r="G9129" s="17"/>
      <c r="H9129" s="10"/>
      <c r="I9129" s="17"/>
    </row>
    <row r="9130" ht="14.25">
      <c r="A9130" s="5"/>
      <c r="B9130" s="7"/>
      <c r="C9130" s="7"/>
      <c r="D9130" s="7"/>
      <c r="E9130" s="5"/>
      <c r="F9130" s="5"/>
      <c r="G9130" s="17"/>
      <c r="H9130" s="10"/>
      <c r="I9130" s="17"/>
    </row>
    <row r="9131" ht="14.25">
      <c r="A9131" s="5"/>
      <c r="B9131" s="7"/>
      <c r="C9131" s="7"/>
      <c r="D9131" s="7"/>
      <c r="E9131" s="5"/>
      <c r="F9131" s="5"/>
      <c r="G9131" s="17"/>
      <c r="H9131" s="10"/>
      <c r="I9131" s="17"/>
    </row>
    <row r="9132" ht="14.25">
      <c r="A9132" s="5"/>
      <c r="B9132" s="7"/>
      <c r="C9132" s="7"/>
      <c r="D9132" s="7"/>
      <c r="E9132" s="5"/>
      <c r="F9132" s="5"/>
      <c r="G9132" s="17"/>
      <c r="H9132" s="10"/>
      <c r="I9132" s="17"/>
    </row>
    <row r="9133" ht="14.25">
      <c r="A9133" s="5"/>
      <c r="B9133" s="7"/>
      <c r="C9133" s="7"/>
      <c r="D9133" s="7"/>
      <c r="E9133" s="5"/>
      <c r="F9133" s="5"/>
      <c r="G9133" s="17"/>
      <c r="H9133" s="10"/>
      <c r="I9133" s="17"/>
    </row>
    <row r="9134" ht="14.25">
      <c r="A9134" s="5"/>
      <c r="B9134" s="7"/>
      <c r="C9134" s="7"/>
      <c r="D9134" s="7"/>
      <c r="E9134" s="5"/>
      <c r="F9134" s="5"/>
      <c r="G9134" s="17"/>
      <c r="H9134" s="10"/>
      <c r="I9134" s="17"/>
    </row>
    <row r="9135" ht="14.25">
      <c r="A9135" s="5"/>
      <c r="B9135" s="7"/>
      <c r="C9135" s="7"/>
      <c r="D9135" s="7"/>
      <c r="E9135" s="5"/>
      <c r="F9135" s="5"/>
      <c r="G9135" s="17"/>
      <c r="H9135" s="10"/>
      <c r="I9135" s="17"/>
    </row>
    <row r="9136" ht="14.25">
      <c r="A9136" s="5"/>
      <c r="B9136" s="7"/>
      <c r="C9136" s="7"/>
      <c r="D9136" s="7"/>
      <c r="E9136" s="5"/>
      <c r="F9136" s="5"/>
      <c r="G9136" s="17"/>
      <c r="H9136" s="10"/>
      <c r="I9136" s="17"/>
    </row>
    <row r="9137" ht="14.25">
      <c r="A9137" s="5"/>
      <c r="B9137" s="7"/>
      <c r="C9137" s="7"/>
      <c r="D9137" s="7"/>
      <c r="E9137" s="5"/>
      <c r="F9137" s="5"/>
      <c r="G9137" s="17"/>
      <c r="H9137" s="10"/>
      <c r="I9137" s="17"/>
    </row>
    <row r="9138" ht="14.25">
      <c r="A9138" s="5"/>
      <c r="B9138" s="7"/>
      <c r="C9138" s="7"/>
      <c r="D9138" s="7"/>
      <c r="E9138" s="5"/>
      <c r="F9138" s="5"/>
      <c r="G9138" s="17"/>
      <c r="H9138" s="10"/>
      <c r="I9138" s="17"/>
    </row>
    <row r="9139" ht="14.25">
      <c r="A9139" s="5"/>
      <c r="B9139" s="7"/>
      <c r="C9139" s="7"/>
      <c r="D9139" s="7"/>
      <c r="E9139" s="5"/>
      <c r="F9139" s="5"/>
      <c r="G9139" s="17"/>
      <c r="H9139" s="10"/>
      <c r="I9139" s="17"/>
    </row>
    <row r="9140" ht="14.25">
      <c r="A9140" s="5"/>
      <c r="B9140" s="7"/>
      <c r="C9140" s="7"/>
      <c r="D9140" s="7"/>
      <c r="E9140" s="5"/>
      <c r="F9140" s="5"/>
      <c r="G9140" s="17"/>
      <c r="H9140" s="10"/>
      <c r="I9140" s="17"/>
    </row>
    <row r="9141" ht="14.25">
      <c r="A9141" s="5"/>
      <c r="B9141" s="7"/>
      <c r="C9141" s="7"/>
      <c r="D9141" s="7"/>
      <c r="E9141" s="5"/>
      <c r="F9141" s="5"/>
      <c r="G9141" s="17"/>
      <c r="H9141" s="10"/>
      <c r="I9141" s="17"/>
    </row>
    <row r="9142" ht="14.25">
      <c r="A9142" s="5"/>
      <c r="B9142" s="7"/>
      <c r="C9142" s="7"/>
      <c r="D9142" s="7"/>
      <c r="E9142" s="5"/>
      <c r="F9142" s="5"/>
      <c r="G9142" s="17"/>
      <c r="H9142" s="10"/>
      <c r="I9142" s="17"/>
    </row>
    <row r="9143" ht="14.25">
      <c r="A9143" s="5"/>
      <c r="B9143" s="7"/>
      <c r="C9143" s="7"/>
      <c r="D9143" s="7"/>
      <c r="E9143" s="5"/>
      <c r="F9143" s="5"/>
      <c r="G9143" s="17"/>
      <c r="H9143" s="10"/>
      <c r="I9143" s="17"/>
    </row>
    <row r="9144" ht="14.25">
      <c r="A9144" s="5"/>
      <c r="B9144" s="7"/>
      <c r="C9144" s="7"/>
      <c r="D9144" s="7"/>
      <c r="E9144" s="5"/>
      <c r="F9144" s="5"/>
      <c r="G9144" s="17"/>
      <c r="H9144" s="10"/>
      <c r="I9144" s="17"/>
    </row>
    <row r="9145" ht="14.25">
      <c r="A9145" s="5"/>
      <c r="B9145" s="7"/>
      <c r="C9145" s="7"/>
      <c r="D9145" s="7"/>
      <c r="E9145" s="5"/>
      <c r="F9145" s="5"/>
      <c r="G9145" s="17"/>
      <c r="H9145" s="10"/>
      <c r="I9145" s="17"/>
    </row>
    <row r="9146" ht="14.25">
      <c r="A9146" s="5"/>
      <c r="B9146" s="7"/>
      <c r="C9146" s="7"/>
      <c r="D9146" s="7"/>
      <c r="E9146" s="5"/>
      <c r="F9146" s="5"/>
      <c r="G9146" s="17"/>
      <c r="H9146" s="10"/>
      <c r="I9146" s="17"/>
    </row>
    <row r="9147" ht="14.25">
      <c r="A9147" s="5"/>
      <c r="B9147" s="7"/>
      <c r="C9147" s="7"/>
      <c r="D9147" s="7"/>
      <c r="E9147" s="5"/>
      <c r="F9147" s="5"/>
      <c r="G9147" s="17"/>
      <c r="H9147" s="10"/>
      <c r="I9147" s="17"/>
    </row>
    <row r="9148" ht="14.25">
      <c r="A9148" s="5"/>
      <c r="B9148" s="7"/>
      <c r="C9148" s="7"/>
      <c r="D9148" s="7"/>
      <c r="E9148" s="5"/>
      <c r="F9148" s="5"/>
      <c r="G9148" s="17"/>
      <c r="H9148" s="10"/>
      <c r="I9148" s="17"/>
    </row>
    <row r="9149" ht="14.25">
      <c r="A9149" s="5"/>
      <c r="B9149" s="7"/>
      <c r="C9149" s="7"/>
      <c r="D9149" s="7"/>
      <c r="E9149" s="5"/>
      <c r="F9149" s="5"/>
      <c r="G9149" s="17"/>
      <c r="H9149" s="10"/>
      <c r="I9149" s="17"/>
    </row>
    <row r="9150" ht="14.25">
      <c r="A9150" s="5"/>
      <c r="B9150" s="7"/>
      <c r="C9150" s="7"/>
      <c r="D9150" s="7"/>
      <c r="E9150" s="5"/>
      <c r="F9150" s="5"/>
      <c r="G9150" s="17"/>
      <c r="H9150" s="10"/>
      <c r="I9150" s="17"/>
    </row>
    <row r="9151" ht="14.25">
      <c r="A9151" s="5"/>
      <c r="B9151" s="7"/>
      <c r="C9151" s="7"/>
      <c r="D9151" s="7"/>
      <c r="E9151" s="5"/>
      <c r="F9151" s="5"/>
      <c r="G9151" s="17"/>
      <c r="H9151" s="10"/>
      <c r="I9151" s="17"/>
    </row>
    <row r="9152" ht="14.25">
      <c r="A9152" s="5"/>
      <c r="B9152" s="7"/>
      <c r="C9152" s="7"/>
      <c r="D9152" s="7"/>
      <c r="E9152" s="5"/>
      <c r="F9152" s="5"/>
      <c r="G9152" s="17"/>
      <c r="H9152" s="10"/>
      <c r="I9152" s="17"/>
    </row>
    <row r="9153" ht="14.25">
      <c r="A9153" s="5"/>
      <c r="B9153" s="7"/>
      <c r="C9153" s="7"/>
      <c r="D9153" s="7"/>
      <c r="E9153" s="5"/>
      <c r="F9153" s="5"/>
      <c r="G9153" s="17"/>
      <c r="H9153" s="10"/>
      <c r="I9153" s="17"/>
    </row>
    <row r="9154" ht="14.25">
      <c r="A9154" s="5"/>
      <c r="B9154" s="7"/>
      <c r="C9154" s="7"/>
      <c r="D9154" s="7"/>
      <c r="E9154" s="5"/>
      <c r="F9154" s="5"/>
      <c r="G9154" s="17"/>
      <c r="H9154" s="10"/>
      <c r="I9154" s="17"/>
    </row>
    <row r="9155" ht="14.25">
      <c r="A9155" s="5"/>
      <c r="B9155" s="7"/>
      <c r="C9155" s="7"/>
      <c r="D9155" s="7"/>
      <c r="E9155" s="5"/>
      <c r="F9155" s="5"/>
      <c r="G9155" s="17"/>
      <c r="H9155" s="10"/>
      <c r="I9155" s="17"/>
    </row>
    <row r="9156" ht="14.25">
      <c r="A9156" s="5"/>
      <c r="B9156" s="7"/>
      <c r="C9156" s="7"/>
      <c r="D9156" s="7"/>
      <c r="E9156" s="5"/>
      <c r="F9156" s="5"/>
      <c r="G9156" s="17"/>
      <c r="H9156" s="10"/>
      <c r="I9156" s="17"/>
    </row>
    <row r="9157" ht="14.25">
      <c r="A9157" s="5"/>
      <c r="B9157" s="7"/>
      <c r="C9157" s="7"/>
      <c r="D9157" s="7"/>
      <c r="E9157" s="5"/>
      <c r="F9157" s="5"/>
      <c r="G9157" s="17"/>
      <c r="H9157" s="10"/>
      <c r="I9157" s="17"/>
    </row>
    <row r="9158" ht="14.25">
      <c r="A9158" s="5"/>
      <c r="B9158" s="7"/>
      <c r="C9158" s="7"/>
      <c r="D9158" s="7"/>
      <c r="E9158" s="5"/>
      <c r="F9158" s="5"/>
      <c r="G9158" s="17"/>
      <c r="H9158" s="10"/>
      <c r="I9158" s="17"/>
    </row>
    <row r="9159" ht="14.25">
      <c r="A9159" s="5"/>
      <c r="B9159" s="7"/>
      <c r="C9159" s="7"/>
      <c r="D9159" s="7"/>
      <c r="E9159" s="5"/>
      <c r="F9159" s="5"/>
      <c r="G9159" s="17"/>
      <c r="H9159" s="10"/>
      <c r="I9159" s="17"/>
    </row>
    <row r="9160" ht="14.25">
      <c r="A9160" s="5"/>
      <c r="B9160" s="7"/>
      <c r="C9160" s="7"/>
      <c r="D9160" s="7"/>
      <c r="E9160" s="5"/>
      <c r="F9160" s="5"/>
      <c r="G9160" s="17"/>
      <c r="H9160" s="10"/>
      <c r="I9160" s="17"/>
    </row>
    <row r="9161" ht="14.25">
      <c r="A9161" s="5"/>
      <c r="B9161" s="7"/>
      <c r="C9161" s="7"/>
      <c r="D9161" s="7"/>
      <c r="E9161" s="5"/>
      <c r="F9161" s="5"/>
      <c r="G9161" s="17"/>
      <c r="H9161" s="10"/>
      <c r="I9161" s="17"/>
    </row>
    <row r="9162" ht="14.25">
      <c r="A9162" s="5"/>
      <c r="B9162" s="7"/>
      <c r="C9162" s="7"/>
      <c r="D9162" s="7"/>
      <c r="E9162" s="5"/>
      <c r="F9162" s="5"/>
      <c r="G9162" s="17"/>
      <c r="H9162" s="10"/>
      <c r="I9162" s="17"/>
    </row>
    <row r="9163" ht="14.25">
      <c r="A9163" s="5"/>
      <c r="B9163" s="7"/>
      <c r="C9163" s="7"/>
      <c r="D9163" s="7"/>
      <c r="E9163" s="5"/>
      <c r="F9163" s="5"/>
      <c r="G9163" s="17"/>
      <c r="H9163" s="10"/>
      <c r="I9163" s="17"/>
    </row>
    <row r="9164" ht="14.25">
      <c r="A9164" s="5"/>
      <c r="B9164" s="7"/>
      <c r="C9164" s="7"/>
      <c r="D9164" s="7"/>
      <c r="E9164" s="5"/>
      <c r="F9164" s="5"/>
      <c r="G9164" s="17"/>
      <c r="H9164" s="10"/>
      <c r="I9164" s="17"/>
    </row>
    <row r="9165" ht="14.25">
      <c r="A9165" s="5"/>
      <c r="B9165" s="7"/>
      <c r="C9165" s="7"/>
      <c r="D9165" s="7"/>
      <c r="E9165" s="5"/>
      <c r="F9165" s="5"/>
      <c r="G9165" s="17"/>
      <c r="H9165" s="10"/>
      <c r="I9165" s="17"/>
    </row>
    <row r="9166" ht="14.25">
      <c r="A9166" s="5"/>
      <c r="B9166" s="7"/>
      <c r="C9166" s="7"/>
      <c r="D9166" s="7"/>
      <c r="E9166" s="5"/>
      <c r="F9166" s="5"/>
      <c r="G9166" s="17"/>
      <c r="H9166" s="10"/>
      <c r="I9166" s="17"/>
    </row>
    <row r="9167" ht="14.25">
      <c r="A9167" s="5"/>
      <c r="B9167" s="7"/>
      <c r="C9167" s="7"/>
      <c r="D9167" s="7"/>
      <c r="E9167" s="5"/>
      <c r="F9167" s="5"/>
      <c r="G9167" s="17"/>
      <c r="H9167" s="10"/>
      <c r="I9167" s="17"/>
    </row>
    <row r="9168" ht="14.25">
      <c r="A9168" s="5"/>
      <c r="B9168" s="7"/>
      <c r="C9168" s="7"/>
      <c r="D9168" s="7"/>
      <c r="E9168" s="5"/>
      <c r="F9168" s="5"/>
      <c r="G9168" s="17"/>
      <c r="H9168" s="10"/>
      <c r="I9168" s="17"/>
    </row>
    <row r="9169" ht="14.25">
      <c r="A9169" s="5"/>
      <c r="B9169" s="7"/>
      <c r="C9169" s="7"/>
      <c r="D9169" s="7"/>
      <c r="E9169" s="5"/>
      <c r="F9169" s="5"/>
      <c r="G9169" s="17"/>
      <c r="H9169" s="10"/>
      <c r="I9169" s="17"/>
    </row>
    <row r="9170" ht="14.25">
      <c r="A9170" s="5"/>
      <c r="B9170" s="7"/>
      <c r="C9170" s="7"/>
      <c r="D9170" s="7"/>
      <c r="E9170" s="5"/>
      <c r="F9170" s="5"/>
      <c r="G9170" s="17"/>
      <c r="H9170" s="10"/>
      <c r="I9170" s="17"/>
    </row>
    <row r="9171" ht="14.25">
      <c r="A9171" s="5"/>
      <c r="B9171" s="7"/>
      <c r="C9171" s="7"/>
      <c r="D9171" s="7"/>
      <c r="E9171" s="5"/>
      <c r="F9171" s="5"/>
      <c r="G9171" s="17"/>
      <c r="H9171" s="10"/>
      <c r="I9171" s="17"/>
    </row>
    <row r="9172" ht="14.25">
      <c r="A9172" s="5"/>
      <c r="B9172" s="7"/>
      <c r="C9172" s="7"/>
      <c r="D9172" s="7"/>
      <c r="E9172" s="5"/>
      <c r="F9172" s="5"/>
      <c r="G9172" s="17"/>
      <c r="H9172" s="10"/>
      <c r="I9172" s="17"/>
    </row>
    <row r="9173" ht="14.25">
      <c r="A9173" s="5"/>
      <c r="B9173" s="7"/>
      <c r="C9173" s="7"/>
      <c r="D9173" s="7"/>
      <c r="E9173" s="5"/>
      <c r="F9173" s="5"/>
      <c r="G9173" s="17"/>
      <c r="H9173" s="10"/>
      <c r="I9173" s="17"/>
    </row>
    <row r="9174" ht="14.25">
      <c r="A9174" s="5"/>
      <c r="B9174" s="7"/>
      <c r="C9174" s="7"/>
      <c r="D9174" s="7"/>
      <c r="E9174" s="5"/>
      <c r="F9174" s="5"/>
      <c r="G9174" s="17"/>
      <c r="H9174" s="10"/>
      <c r="I9174" s="17"/>
    </row>
    <row r="9175" ht="14.25">
      <c r="A9175" s="5"/>
      <c r="B9175" s="7"/>
      <c r="C9175" s="7"/>
      <c r="D9175" s="7"/>
      <c r="E9175" s="5"/>
      <c r="F9175" s="5"/>
      <c r="G9175" s="17"/>
      <c r="H9175" s="10"/>
      <c r="I9175" s="17"/>
    </row>
    <row r="9176" ht="14.25">
      <c r="A9176" s="5"/>
      <c r="B9176" s="7"/>
      <c r="C9176" s="7"/>
      <c r="D9176" s="7"/>
      <c r="E9176" s="5"/>
      <c r="F9176" s="5"/>
      <c r="G9176" s="17"/>
      <c r="H9176" s="10"/>
      <c r="I9176" s="17"/>
    </row>
    <row r="9177" ht="14.25">
      <c r="A9177" s="5"/>
      <c r="B9177" s="7"/>
      <c r="C9177" s="7"/>
      <c r="D9177" s="7"/>
      <c r="E9177" s="5"/>
      <c r="F9177" s="5"/>
      <c r="G9177" s="17"/>
      <c r="H9177" s="10"/>
      <c r="I9177" s="17"/>
    </row>
    <row r="9178" ht="14.25">
      <c r="A9178" s="5"/>
      <c r="B9178" s="7"/>
      <c r="C9178" s="7"/>
      <c r="D9178" s="7"/>
      <c r="E9178" s="5"/>
      <c r="F9178" s="5"/>
      <c r="G9178" s="17"/>
      <c r="H9178" s="10"/>
      <c r="I9178" s="17"/>
    </row>
    <row r="9179" ht="14.25">
      <c r="A9179" s="5"/>
      <c r="B9179" s="7"/>
      <c r="C9179" s="7"/>
      <c r="D9179" s="7"/>
      <c r="E9179" s="5"/>
      <c r="F9179" s="5"/>
      <c r="G9179" s="17"/>
      <c r="H9179" s="10"/>
      <c r="I9179" s="17"/>
    </row>
    <row r="9180" ht="14.25">
      <c r="A9180" s="5"/>
      <c r="B9180" s="7"/>
      <c r="C9180" s="7"/>
      <c r="D9180" s="7"/>
      <c r="E9180" s="5"/>
      <c r="F9180" s="5"/>
      <c r="G9180" s="17"/>
      <c r="H9180" s="10"/>
      <c r="I9180" s="17"/>
    </row>
    <row r="9181" ht="14.25">
      <c r="A9181" s="5"/>
      <c r="B9181" s="7"/>
      <c r="C9181" s="7"/>
      <c r="D9181" s="7"/>
      <c r="E9181" s="5"/>
      <c r="F9181" s="5"/>
      <c r="G9181" s="17"/>
      <c r="H9181" s="10"/>
      <c r="I9181" s="17"/>
    </row>
    <row r="9182" ht="14.25">
      <c r="A9182" s="5"/>
      <c r="B9182" s="7"/>
      <c r="C9182" s="7"/>
      <c r="D9182" s="7"/>
      <c r="E9182" s="5"/>
      <c r="F9182" s="5"/>
      <c r="G9182" s="17"/>
      <c r="H9182" s="10"/>
      <c r="I9182" s="17"/>
    </row>
    <row r="9183" ht="14.25">
      <c r="A9183" s="5"/>
      <c r="B9183" s="7"/>
      <c r="C9183" s="7"/>
      <c r="D9183" s="7"/>
      <c r="E9183" s="5"/>
      <c r="F9183" s="5"/>
      <c r="G9183" s="17"/>
      <c r="H9183" s="10"/>
      <c r="I9183" s="17"/>
    </row>
    <row r="9184" ht="14.25">
      <c r="A9184" s="5"/>
      <c r="B9184" s="7"/>
      <c r="C9184" s="7"/>
      <c r="D9184" s="7"/>
      <c r="E9184" s="5"/>
      <c r="F9184" s="5"/>
      <c r="G9184" s="17"/>
      <c r="H9184" s="10"/>
      <c r="I9184" s="17"/>
    </row>
    <row r="9185" ht="14.25">
      <c r="A9185" s="5"/>
      <c r="B9185" s="7"/>
      <c r="C9185" s="7"/>
      <c r="D9185" s="7"/>
      <c r="E9185" s="5"/>
      <c r="F9185" s="5"/>
      <c r="G9185" s="17"/>
      <c r="H9185" s="10"/>
      <c r="I9185" s="17"/>
    </row>
    <row r="9186" ht="14.25">
      <c r="A9186" s="5"/>
      <c r="B9186" s="7"/>
      <c r="C9186" s="7"/>
      <c r="D9186" s="7"/>
      <c r="E9186" s="5"/>
      <c r="F9186" s="5"/>
      <c r="G9186" s="17"/>
      <c r="H9186" s="10"/>
      <c r="I9186" s="17"/>
    </row>
    <row r="9187" ht="14.25">
      <c r="A9187" s="5"/>
      <c r="B9187" s="7"/>
      <c r="C9187" s="7"/>
      <c r="D9187" s="7"/>
      <c r="E9187" s="5"/>
      <c r="F9187" s="5"/>
      <c r="G9187" s="17"/>
      <c r="H9187" s="10"/>
      <c r="I9187" s="17"/>
    </row>
    <row r="9188" ht="14.25">
      <c r="A9188" s="5"/>
      <c r="B9188" s="7"/>
      <c r="C9188" s="7"/>
      <c r="D9188" s="7"/>
      <c r="E9188" s="5"/>
      <c r="F9188" s="5"/>
      <c r="G9188" s="17"/>
      <c r="H9188" s="10"/>
      <c r="I9188" s="17"/>
    </row>
    <row r="9189" ht="14.25">
      <c r="A9189" s="5"/>
      <c r="B9189" s="7"/>
      <c r="C9189" s="7"/>
      <c r="D9189" s="7"/>
      <c r="E9189" s="5"/>
      <c r="F9189" s="5"/>
      <c r="G9189" s="17"/>
      <c r="H9189" s="10"/>
      <c r="I9189" s="17"/>
    </row>
    <row r="9190" ht="14.25">
      <c r="A9190" s="5"/>
      <c r="B9190" s="7"/>
      <c r="C9190" s="7"/>
      <c r="D9190" s="7"/>
      <c r="E9190" s="5"/>
      <c r="F9190" s="5"/>
      <c r="G9190" s="17"/>
      <c r="H9190" s="10"/>
      <c r="I9190" s="17"/>
    </row>
    <row r="9191" ht="14.25">
      <c r="A9191" s="5"/>
      <c r="B9191" s="7"/>
      <c r="C9191" s="7"/>
      <c r="D9191" s="7"/>
      <c r="E9191" s="5"/>
      <c r="F9191" s="5"/>
      <c r="G9191" s="17"/>
      <c r="H9191" s="10"/>
      <c r="I9191" s="17"/>
    </row>
    <row r="9192" ht="14.25">
      <c r="A9192" s="5"/>
      <c r="B9192" s="7"/>
      <c r="C9192" s="7"/>
      <c r="D9192" s="7"/>
      <c r="E9192" s="5"/>
      <c r="F9192" s="5"/>
      <c r="G9192" s="17"/>
      <c r="H9192" s="10"/>
      <c r="I9192" s="17"/>
    </row>
    <row r="9193" ht="14.25">
      <c r="A9193" s="5"/>
      <c r="B9193" s="7"/>
      <c r="C9193" s="7"/>
      <c r="D9193" s="7"/>
      <c r="E9193" s="5"/>
      <c r="F9193" s="5"/>
      <c r="G9193" s="17"/>
      <c r="H9193" s="10"/>
      <c r="I9193" s="17"/>
    </row>
    <row r="9194" ht="14.25">
      <c r="A9194" s="5"/>
      <c r="B9194" s="7"/>
      <c r="C9194" s="7"/>
      <c r="D9194" s="7"/>
      <c r="E9194" s="5"/>
      <c r="F9194" s="5"/>
      <c r="G9194" s="17"/>
      <c r="H9194" s="10"/>
      <c r="I9194" s="17"/>
    </row>
    <row r="9195" ht="14.25">
      <c r="A9195" s="5"/>
      <c r="B9195" s="7"/>
      <c r="C9195" s="7"/>
      <c r="D9195" s="7"/>
      <c r="E9195" s="5"/>
      <c r="F9195" s="5"/>
      <c r="G9195" s="17"/>
      <c r="H9195" s="10"/>
      <c r="I9195" s="17"/>
    </row>
    <row r="9196" ht="14.25">
      <c r="A9196" s="5"/>
      <c r="B9196" s="7"/>
      <c r="C9196" s="7"/>
      <c r="D9196" s="7"/>
      <c r="E9196" s="5"/>
      <c r="F9196" s="5"/>
      <c r="G9196" s="17"/>
      <c r="H9196" s="10"/>
      <c r="I9196" s="17"/>
    </row>
    <row r="9197" ht="14.25">
      <c r="A9197" s="5"/>
      <c r="B9197" s="7"/>
      <c r="C9197" s="7"/>
      <c r="D9197" s="7"/>
      <c r="E9197" s="5"/>
      <c r="F9197" s="5"/>
      <c r="G9197" s="17"/>
      <c r="H9197" s="10"/>
      <c r="I9197" s="17"/>
    </row>
    <row r="9198" ht="14.25">
      <c r="A9198" s="5"/>
      <c r="B9198" s="7"/>
      <c r="C9198" s="7"/>
      <c r="D9198" s="7"/>
      <c r="E9198" s="5"/>
      <c r="F9198" s="5"/>
      <c r="G9198" s="17"/>
      <c r="H9198" s="10"/>
      <c r="I9198" s="17"/>
    </row>
    <row r="9199" ht="14.25">
      <c r="A9199" s="5"/>
      <c r="B9199" s="7"/>
      <c r="C9199" s="7"/>
      <c r="D9199" s="7"/>
      <c r="E9199" s="5"/>
      <c r="F9199" s="5"/>
      <c r="G9199" s="17"/>
      <c r="H9199" s="10"/>
      <c r="I9199" s="17"/>
    </row>
    <row r="9200" ht="14.25">
      <c r="A9200" s="5"/>
      <c r="B9200" s="7"/>
      <c r="C9200" s="7"/>
      <c r="D9200" s="7"/>
      <c r="E9200" s="5"/>
      <c r="F9200" s="5"/>
      <c r="G9200" s="17"/>
      <c r="H9200" s="10"/>
      <c r="I9200" s="17"/>
    </row>
    <row r="9201" ht="14.25">
      <c r="A9201" s="5"/>
      <c r="B9201" s="7"/>
      <c r="C9201" s="7"/>
      <c r="D9201" s="7"/>
      <c r="E9201" s="5"/>
      <c r="F9201" s="5"/>
      <c r="G9201" s="17"/>
      <c r="H9201" s="10"/>
      <c r="I9201" s="17"/>
    </row>
    <row r="9202" ht="14.25">
      <c r="A9202" s="5"/>
      <c r="B9202" s="7"/>
      <c r="C9202" s="7"/>
      <c r="D9202" s="7"/>
      <c r="E9202" s="5"/>
      <c r="F9202" s="5"/>
      <c r="G9202" s="17"/>
      <c r="H9202" s="10"/>
      <c r="I9202" s="17"/>
    </row>
    <row r="9203" ht="14.25">
      <c r="A9203" s="5"/>
      <c r="B9203" s="7"/>
      <c r="C9203" s="7"/>
      <c r="D9203" s="7"/>
      <c r="E9203" s="5"/>
      <c r="F9203" s="5"/>
      <c r="G9203" s="17"/>
      <c r="H9203" s="10"/>
      <c r="I9203" s="17"/>
    </row>
    <row r="9204" ht="14.25">
      <c r="A9204" s="5"/>
      <c r="B9204" s="7"/>
      <c r="C9204" s="7"/>
      <c r="D9204" s="7"/>
      <c r="E9204" s="5"/>
      <c r="F9204" s="5"/>
      <c r="G9204" s="17"/>
      <c r="H9204" s="10"/>
      <c r="I9204" s="17"/>
    </row>
    <row r="9205" ht="14.25">
      <c r="A9205" s="5"/>
      <c r="B9205" s="7"/>
      <c r="C9205" s="7"/>
      <c r="D9205" s="7"/>
      <c r="E9205" s="5"/>
      <c r="F9205" s="5"/>
      <c r="G9205" s="17"/>
      <c r="H9205" s="10"/>
      <c r="I9205" s="17"/>
    </row>
    <row r="9206" ht="14.25">
      <c r="A9206" s="5"/>
      <c r="B9206" s="7"/>
      <c r="C9206" s="7"/>
      <c r="D9206" s="7"/>
      <c r="E9206" s="5"/>
      <c r="F9206" s="5"/>
      <c r="G9206" s="17"/>
      <c r="H9206" s="10"/>
      <c r="I9206" s="17"/>
    </row>
    <row r="9207" ht="14.25">
      <c r="A9207" s="5"/>
      <c r="B9207" s="7"/>
      <c r="C9207" s="7"/>
      <c r="D9207" s="7"/>
      <c r="E9207" s="5"/>
      <c r="F9207" s="5"/>
      <c r="G9207" s="17"/>
      <c r="H9207" s="10"/>
      <c r="I9207" s="17"/>
    </row>
    <row r="9208" ht="14.25">
      <c r="A9208" s="5"/>
      <c r="B9208" s="7"/>
      <c r="C9208" s="7"/>
      <c r="D9208" s="7"/>
      <c r="E9208" s="5"/>
      <c r="F9208" s="5"/>
      <c r="G9208" s="17"/>
      <c r="H9208" s="10"/>
      <c r="I9208" s="17"/>
    </row>
    <row r="9209" ht="14.25">
      <c r="A9209" s="5"/>
      <c r="B9209" s="7"/>
      <c r="C9209" s="7"/>
      <c r="D9209" s="7"/>
      <c r="E9209" s="5"/>
      <c r="F9209" s="5"/>
      <c r="G9209" s="17"/>
      <c r="H9209" s="10"/>
      <c r="I9209" s="17"/>
    </row>
    <row r="9210" ht="14.25">
      <c r="A9210" s="5"/>
      <c r="B9210" s="7"/>
      <c r="C9210" s="7"/>
      <c r="D9210" s="7"/>
      <c r="E9210" s="5"/>
      <c r="F9210" s="5"/>
      <c r="G9210" s="17"/>
      <c r="H9210" s="10"/>
      <c r="I9210" s="17"/>
    </row>
    <row r="9211" ht="14.25">
      <c r="A9211" s="5"/>
      <c r="B9211" s="7"/>
      <c r="C9211" s="7"/>
      <c r="D9211" s="7"/>
      <c r="E9211" s="5"/>
      <c r="F9211" s="5"/>
      <c r="G9211" s="17"/>
      <c r="H9211" s="10"/>
      <c r="I9211" s="17"/>
    </row>
    <row r="9212" ht="14.25">
      <c r="A9212" s="5"/>
      <c r="B9212" s="7"/>
      <c r="C9212" s="7"/>
      <c r="D9212" s="7"/>
      <c r="E9212" s="5"/>
      <c r="F9212" s="5"/>
      <c r="G9212" s="17"/>
      <c r="H9212" s="10"/>
      <c r="I9212" s="17"/>
    </row>
    <row r="9213" ht="14.25">
      <c r="A9213" s="5"/>
      <c r="B9213" s="7"/>
      <c r="C9213" s="7"/>
      <c r="D9213" s="7"/>
      <c r="E9213" s="5"/>
      <c r="F9213" s="5"/>
      <c r="G9213" s="17"/>
      <c r="H9213" s="10"/>
      <c r="I9213" s="17"/>
    </row>
    <row r="9214" ht="14.25">
      <c r="A9214" s="5"/>
      <c r="B9214" s="7"/>
      <c r="C9214" s="7"/>
      <c r="D9214" s="7"/>
      <c r="E9214" s="5"/>
      <c r="F9214" s="5"/>
      <c r="G9214" s="17"/>
      <c r="H9214" s="10"/>
      <c r="I9214" s="17"/>
    </row>
    <row r="9215" ht="14.25">
      <c r="A9215" s="5"/>
      <c r="B9215" s="7"/>
      <c r="C9215" s="7"/>
      <c r="D9215" s="7"/>
      <c r="E9215" s="5"/>
      <c r="F9215" s="5"/>
      <c r="G9215" s="17"/>
      <c r="H9215" s="10"/>
      <c r="I9215" s="17"/>
    </row>
    <row r="9216" ht="14.25">
      <c r="A9216" s="5"/>
      <c r="B9216" s="7"/>
      <c r="C9216" s="7"/>
      <c r="D9216" s="7"/>
      <c r="E9216" s="5"/>
      <c r="F9216" s="5"/>
      <c r="G9216" s="17"/>
      <c r="H9216" s="10"/>
      <c r="I9216" s="17"/>
    </row>
    <row r="9217" ht="14.25">
      <c r="A9217" s="5"/>
      <c r="B9217" s="7"/>
      <c r="C9217" s="7"/>
      <c r="D9217" s="7"/>
      <c r="E9217" s="5"/>
      <c r="F9217" s="5"/>
      <c r="G9217" s="17"/>
      <c r="H9217" s="10"/>
      <c r="I9217" s="17"/>
    </row>
    <row r="9218" ht="14.25">
      <c r="A9218" s="5"/>
      <c r="B9218" s="7"/>
      <c r="C9218" s="7"/>
      <c r="D9218" s="7"/>
      <c r="E9218" s="5"/>
      <c r="F9218" s="5"/>
      <c r="G9218" s="17"/>
      <c r="H9218" s="10"/>
      <c r="I9218" s="17"/>
    </row>
    <row r="9219" ht="14.25">
      <c r="A9219" s="5"/>
      <c r="B9219" s="7"/>
      <c r="C9219" s="7"/>
      <c r="D9219" s="7"/>
      <c r="E9219" s="5"/>
      <c r="F9219" s="5"/>
      <c r="G9219" s="17"/>
      <c r="H9219" s="10"/>
      <c r="I9219" s="17"/>
    </row>
    <row r="9220" ht="14.25">
      <c r="A9220" s="5"/>
      <c r="B9220" s="7"/>
      <c r="C9220" s="7"/>
      <c r="D9220" s="7"/>
      <c r="E9220" s="5"/>
      <c r="F9220" s="5"/>
      <c r="G9220" s="17"/>
      <c r="H9220" s="10"/>
      <c r="I9220" s="17"/>
    </row>
    <row r="9221" ht="14.25">
      <c r="A9221" s="5"/>
      <c r="B9221" s="7"/>
      <c r="C9221" s="7"/>
      <c r="D9221" s="7"/>
      <c r="E9221" s="5"/>
      <c r="F9221" s="5"/>
      <c r="G9221" s="17"/>
      <c r="H9221" s="10"/>
      <c r="I9221" s="17"/>
    </row>
    <row r="9222" ht="14.25">
      <c r="A9222" s="5"/>
      <c r="B9222" s="7"/>
      <c r="C9222" s="7"/>
      <c r="D9222" s="7"/>
      <c r="E9222" s="5"/>
      <c r="F9222" s="5"/>
      <c r="G9222" s="17"/>
      <c r="H9222" s="10"/>
      <c r="I9222" s="17"/>
    </row>
    <row r="9223" ht="14.25">
      <c r="A9223" s="5"/>
      <c r="B9223" s="7"/>
      <c r="C9223" s="7"/>
      <c r="D9223" s="7"/>
      <c r="E9223" s="5"/>
      <c r="F9223" s="5"/>
      <c r="G9223" s="17"/>
      <c r="H9223" s="10"/>
      <c r="I9223" s="17"/>
    </row>
    <row r="9224" ht="14.25">
      <c r="A9224" s="5"/>
      <c r="B9224" s="7"/>
      <c r="C9224" s="7"/>
      <c r="D9224" s="7"/>
      <c r="E9224" s="5"/>
      <c r="F9224" s="5"/>
      <c r="G9224" s="17"/>
      <c r="H9224" s="10"/>
      <c r="I9224" s="17"/>
    </row>
    <row r="9225" ht="14.25">
      <c r="A9225" s="5"/>
      <c r="B9225" s="7"/>
      <c r="C9225" s="7"/>
      <c r="D9225" s="7"/>
      <c r="E9225" s="5"/>
      <c r="F9225" s="5"/>
      <c r="G9225" s="17"/>
      <c r="H9225" s="10"/>
      <c r="I9225" s="17"/>
    </row>
    <row r="9226" ht="14.25">
      <c r="A9226" s="5"/>
      <c r="B9226" s="7"/>
      <c r="C9226" s="7"/>
      <c r="D9226" s="7"/>
      <c r="E9226" s="5"/>
      <c r="F9226" s="5"/>
      <c r="G9226" s="17"/>
      <c r="H9226" s="10"/>
      <c r="I9226" s="17"/>
    </row>
    <row r="9227" ht="14.25">
      <c r="A9227" s="5"/>
      <c r="B9227" s="7"/>
      <c r="C9227" s="7"/>
      <c r="D9227" s="7"/>
      <c r="E9227" s="5"/>
      <c r="F9227" s="5"/>
      <c r="G9227" s="17"/>
      <c r="H9227" s="10"/>
      <c r="I9227" s="17"/>
    </row>
    <row r="9228" ht="14.25">
      <c r="A9228" s="5"/>
      <c r="B9228" s="7"/>
      <c r="C9228" s="7"/>
      <c r="D9228" s="7"/>
      <c r="E9228" s="5"/>
      <c r="F9228" s="5"/>
      <c r="G9228" s="17"/>
      <c r="H9228" s="10"/>
      <c r="I9228" s="17"/>
    </row>
    <row r="9229" ht="14.25">
      <c r="A9229" s="5"/>
      <c r="B9229" s="7"/>
      <c r="C9229" s="7"/>
      <c r="D9229" s="7"/>
      <c r="E9229" s="5"/>
      <c r="F9229" s="5"/>
      <c r="G9229" s="17"/>
      <c r="H9229" s="10"/>
      <c r="I9229" s="17"/>
    </row>
    <row r="9230" ht="14.25">
      <c r="A9230" s="5"/>
      <c r="B9230" s="7"/>
      <c r="C9230" s="7"/>
      <c r="D9230" s="7"/>
      <c r="E9230" s="5"/>
      <c r="F9230" s="5"/>
      <c r="G9230" s="17"/>
      <c r="H9230" s="10"/>
      <c r="I9230" s="17"/>
    </row>
    <row r="9231" ht="14.25">
      <c r="A9231" s="5"/>
      <c r="B9231" s="7"/>
      <c r="C9231" s="7"/>
      <c r="D9231" s="7"/>
      <c r="E9231" s="5"/>
      <c r="F9231" s="5"/>
      <c r="G9231" s="17"/>
      <c r="H9231" s="10"/>
      <c r="I9231" s="17"/>
    </row>
    <row r="9232" ht="14.25">
      <c r="A9232" s="5"/>
      <c r="B9232" s="7"/>
      <c r="C9232" s="7"/>
      <c r="D9232" s="7"/>
      <c r="E9232" s="5"/>
      <c r="F9232" s="5"/>
      <c r="G9232" s="17"/>
      <c r="H9232" s="10"/>
      <c r="I9232" s="17"/>
    </row>
    <row r="9233" ht="14.25">
      <c r="A9233" s="5"/>
      <c r="B9233" s="7"/>
      <c r="C9233" s="7"/>
      <c r="D9233" s="7"/>
      <c r="E9233" s="5"/>
      <c r="F9233" s="5"/>
      <c r="G9233" s="17"/>
      <c r="H9233" s="10"/>
      <c r="I9233" s="17"/>
    </row>
    <row r="9234" ht="14.25">
      <c r="A9234" s="5"/>
      <c r="B9234" s="7"/>
      <c r="C9234" s="7"/>
      <c r="D9234" s="7"/>
      <c r="E9234" s="5"/>
      <c r="F9234" s="5"/>
      <c r="G9234" s="17"/>
      <c r="H9234" s="10"/>
      <c r="I9234" s="17"/>
    </row>
    <row r="9235" ht="14.25">
      <c r="A9235" s="5"/>
      <c r="B9235" s="7"/>
      <c r="C9235" s="7"/>
      <c r="D9235" s="7"/>
      <c r="E9235" s="5"/>
      <c r="F9235" s="5"/>
      <c r="G9235" s="17"/>
      <c r="H9235" s="10"/>
      <c r="I9235" s="17"/>
    </row>
    <row r="9236" ht="14.25">
      <c r="A9236" s="5"/>
      <c r="B9236" s="7"/>
      <c r="C9236" s="7"/>
      <c r="D9236" s="7"/>
      <c r="E9236" s="5"/>
      <c r="F9236" s="5"/>
      <c r="G9236" s="17"/>
      <c r="H9236" s="10"/>
      <c r="I9236" s="17"/>
    </row>
    <row r="9237" ht="14.25">
      <c r="A9237" s="5"/>
      <c r="B9237" s="7"/>
      <c r="C9237" s="7"/>
      <c r="D9237" s="7"/>
      <c r="E9237" s="5"/>
      <c r="F9237" s="5"/>
      <c r="G9237" s="17"/>
      <c r="H9237" s="10"/>
      <c r="I9237" s="17"/>
    </row>
    <row r="9238" ht="14.25">
      <c r="A9238" s="5"/>
      <c r="B9238" s="7"/>
      <c r="C9238" s="7"/>
      <c r="D9238" s="7"/>
      <c r="E9238" s="5"/>
      <c r="F9238" s="5"/>
      <c r="G9238" s="17"/>
      <c r="H9238" s="10"/>
      <c r="I9238" s="17"/>
    </row>
    <row r="9239" ht="14.25">
      <c r="A9239" s="5"/>
      <c r="B9239" s="7"/>
      <c r="C9239" s="7"/>
      <c r="D9239" s="7"/>
      <c r="E9239" s="5"/>
      <c r="F9239" s="5"/>
      <c r="G9239" s="17"/>
      <c r="H9239" s="10"/>
      <c r="I9239" s="17"/>
    </row>
    <row r="9240" ht="14.25">
      <c r="A9240" s="5"/>
      <c r="B9240" s="7"/>
      <c r="C9240" s="7"/>
      <c r="D9240" s="7"/>
      <c r="E9240" s="5"/>
      <c r="F9240" s="5"/>
      <c r="G9240" s="17"/>
      <c r="H9240" s="10"/>
      <c r="I9240" s="17"/>
    </row>
    <row r="9241" ht="14.25">
      <c r="A9241" s="5"/>
      <c r="B9241" s="7"/>
      <c r="C9241" s="7"/>
      <c r="D9241" s="7"/>
      <c r="E9241" s="5"/>
      <c r="F9241" s="5"/>
      <c r="G9241" s="17"/>
      <c r="H9241" s="10"/>
      <c r="I9241" s="17"/>
    </row>
    <row r="9242" ht="14.25">
      <c r="A9242" s="5"/>
      <c r="B9242" s="7"/>
      <c r="C9242" s="7"/>
      <c r="D9242" s="7"/>
      <c r="E9242" s="5"/>
      <c r="F9242" s="5"/>
      <c r="G9242" s="17"/>
      <c r="H9242" s="10"/>
      <c r="I9242" s="17"/>
    </row>
    <row r="9243" ht="14.25">
      <c r="A9243" s="5"/>
      <c r="B9243" s="7"/>
      <c r="C9243" s="7"/>
      <c r="D9243" s="7"/>
      <c r="E9243" s="5"/>
      <c r="F9243" s="5"/>
      <c r="G9243" s="17"/>
      <c r="H9243" s="10"/>
      <c r="I9243" s="17"/>
    </row>
    <row r="9244" ht="14.25">
      <c r="A9244" s="5"/>
      <c r="B9244" s="7"/>
      <c r="C9244" s="7"/>
      <c r="D9244" s="7"/>
      <c r="E9244" s="5"/>
      <c r="F9244" s="5"/>
      <c r="G9244" s="17"/>
      <c r="H9244" s="10"/>
      <c r="I9244" s="17"/>
    </row>
    <row r="9245" ht="14.25">
      <c r="A9245" s="5"/>
      <c r="B9245" s="7"/>
      <c r="C9245" s="7"/>
      <c r="D9245" s="7"/>
      <c r="E9245" s="5"/>
      <c r="F9245" s="5"/>
      <c r="G9245" s="17"/>
      <c r="H9245" s="10"/>
      <c r="I9245" s="17"/>
    </row>
    <row r="9246" ht="14.25">
      <c r="A9246" s="5"/>
      <c r="B9246" s="7"/>
      <c r="C9246" s="7"/>
      <c r="D9246" s="7"/>
      <c r="E9246" s="5"/>
      <c r="F9246" s="5"/>
      <c r="G9246" s="17"/>
      <c r="H9246" s="10"/>
      <c r="I9246" s="17"/>
    </row>
    <row r="9247" ht="14.25">
      <c r="A9247" s="5"/>
      <c r="B9247" s="7"/>
      <c r="C9247" s="7"/>
      <c r="D9247" s="7"/>
      <c r="E9247" s="5"/>
      <c r="F9247" s="5"/>
      <c r="G9247" s="17"/>
      <c r="H9247" s="10"/>
      <c r="I9247" s="17"/>
    </row>
    <row r="9248" ht="14.25">
      <c r="A9248" s="5"/>
      <c r="B9248" s="7"/>
      <c r="C9248" s="7"/>
      <c r="D9248" s="7"/>
      <c r="E9248" s="5"/>
      <c r="F9248" s="5"/>
      <c r="G9248" s="17"/>
      <c r="H9248" s="10"/>
      <c r="I9248" s="17"/>
    </row>
    <row r="9249" ht="14.25">
      <c r="A9249" s="5"/>
      <c r="B9249" s="7"/>
      <c r="C9249" s="7"/>
      <c r="D9249" s="7"/>
      <c r="E9249" s="5"/>
      <c r="F9249" s="5"/>
      <c r="G9249" s="17"/>
      <c r="H9249" s="10"/>
      <c r="I9249" s="17"/>
    </row>
    <row r="9250" ht="14.25">
      <c r="A9250" s="5"/>
      <c r="B9250" s="7"/>
      <c r="C9250" s="7"/>
      <c r="D9250" s="7"/>
      <c r="E9250" s="5"/>
      <c r="F9250" s="5"/>
      <c r="G9250" s="17"/>
      <c r="H9250" s="10"/>
      <c r="I9250" s="17"/>
    </row>
    <row r="9251" ht="14.25">
      <c r="A9251" s="5"/>
      <c r="B9251" s="7"/>
      <c r="C9251" s="7"/>
      <c r="D9251" s="7"/>
      <c r="E9251" s="5"/>
      <c r="F9251" s="5"/>
      <c r="G9251" s="17"/>
      <c r="H9251" s="10"/>
      <c r="I9251" s="17"/>
    </row>
    <row r="9252" ht="14.25">
      <c r="A9252" s="5"/>
      <c r="B9252" s="7"/>
      <c r="C9252" s="7"/>
      <c r="D9252" s="7"/>
      <c r="E9252" s="5"/>
      <c r="F9252" s="5"/>
      <c r="G9252" s="17"/>
      <c r="H9252" s="10"/>
      <c r="I9252" s="17"/>
    </row>
    <row r="9253" ht="14.25">
      <c r="A9253" s="5"/>
      <c r="B9253" s="7"/>
      <c r="C9253" s="7"/>
      <c r="D9253" s="7"/>
      <c r="E9253" s="5"/>
      <c r="F9253" s="5"/>
      <c r="G9253" s="17"/>
      <c r="H9253" s="10"/>
      <c r="I9253" s="17"/>
    </row>
    <row r="9254" ht="14.25">
      <c r="A9254" s="5"/>
      <c r="B9254" s="7"/>
      <c r="C9254" s="7"/>
      <c r="D9254" s="7"/>
      <c r="E9254" s="5"/>
      <c r="F9254" s="5"/>
      <c r="G9254" s="17"/>
      <c r="H9254" s="10"/>
      <c r="I9254" s="17"/>
    </row>
    <row r="9255" ht="14.25">
      <c r="A9255" s="5"/>
      <c r="B9255" s="7"/>
      <c r="C9255" s="7"/>
      <c r="D9255" s="7"/>
      <c r="E9255" s="5"/>
      <c r="F9255" s="5"/>
      <c r="G9255" s="17"/>
      <c r="H9255" s="10"/>
      <c r="I9255" s="17"/>
    </row>
    <row r="9256" ht="14.25">
      <c r="A9256" s="5"/>
      <c r="B9256" s="7"/>
      <c r="C9256" s="7"/>
      <c r="D9256" s="7"/>
      <c r="E9256" s="5"/>
      <c r="F9256" s="5"/>
      <c r="G9256" s="17"/>
      <c r="H9256" s="10"/>
      <c r="I9256" s="17"/>
    </row>
    <row r="9257" ht="14.25">
      <c r="A9257" s="5"/>
      <c r="B9257" s="7"/>
      <c r="C9257" s="7"/>
      <c r="D9257" s="7"/>
      <c r="E9257" s="5"/>
      <c r="F9257" s="5"/>
      <c r="G9257" s="17"/>
      <c r="H9257" s="10"/>
      <c r="I9257" s="17"/>
    </row>
    <row r="9258" ht="14.25">
      <c r="A9258" s="5"/>
      <c r="B9258" s="7"/>
      <c r="C9258" s="7"/>
      <c r="D9258" s="7"/>
      <c r="E9258" s="5"/>
      <c r="F9258" s="5"/>
      <c r="G9258" s="17"/>
      <c r="H9258" s="10"/>
      <c r="I9258" s="17"/>
    </row>
    <row r="9259" ht="14.25">
      <c r="A9259" s="5"/>
      <c r="B9259" s="7"/>
      <c r="C9259" s="7"/>
      <c r="D9259" s="7"/>
      <c r="E9259" s="5"/>
      <c r="F9259" s="5"/>
      <c r="G9259" s="17"/>
      <c r="H9259" s="10"/>
      <c r="I9259" s="17"/>
    </row>
    <row r="9260" ht="14.25">
      <c r="A9260" s="5"/>
      <c r="B9260" s="7"/>
      <c r="C9260" s="7"/>
      <c r="D9260" s="7"/>
      <c r="E9260" s="5"/>
      <c r="F9260" s="5"/>
      <c r="G9260" s="17"/>
      <c r="H9260" s="10"/>
      <c r="I9260" s="17"/>
    </row>
    <row r="9261" ht="14.25">
      <c r="A9261" s="5"/>
      <c r="B9261" s="7"/>
      <c r="C9261" s="7"/>
      <c r="D9261" s="7"/>
      <c r="E9261" s="5"/>
      <c r="F9261" s="5"/>
      <c r="G9261" s="17"/>
      <c r="H9261" s="10"/>
      <c r="I9261" s="17"/>
    </row>
    <row r="9262" ht="14.25">
      <c r="A9262" s="5"/>
      <c r="B9262" s="7"/>
      <c r="C9262" s="7"/>
      <c r="D9262" s="7"/>
      <c r="E9262" s="5"/>
      <c r="F9262" s="5"/>
      <c r="G9262" s="17"/>
      <c r="H9262" s="10"/>
      <c r="I9262" s="17"/>
    </row>
    <row r="9263" ht="14.25">
      <c r="A9263" s="5"/>
      <c r="B9263" s="7"/>
      <c r="C9263" s="7"/>
      <c r="D9263" s="7"/>
      <c r="E9263" s="5"/>
      <c r="F9263" s="5"/>
      <c r="G9263" s="17"/>
      <c r="H9263" s="10"/>
      <c r="I9263" s="17"/>
    </row>
    <row r="9264" ht="14.25">
      <c r="A9264" s="5"/>
      <c r="B9264" s="7"/>
      <c r="C9264" s="7"/>
      <c r="D9264" s="7"/>
      <c r="E9264" s="5"/>
      <c r="F9264" s="5"/>
      <c r="G9264" s="17"/>
      <c r="H9264" s="10"/>
      <c r="I9264" s="17"/>
    </row>
    <row r="9265" ht="14.25">
      <c r="A9265" s="5"/>
      <c r="B9265" s="7"/>
      <c r="C9265" s="7"/>
      <c r="D9265" s="7"/>
      <c r="E9265" s="5"/>
      <c r="F9265" s="5"/>
      <c r="G9265" s="17"/>
      <c r="H9265" s="10"/>
      <c r="I9265" s="17"/>
    </row>
    <row r="9266" ht="14.25">
      <c r="A9266" s="5"/>
      <c r="B9266" s="7"/>
      <c r="C9266" s="7"/>
      <c r="D9266" s="7"/>
      <c r="E9266" s="5"/>
      <c r="F9266" s="5"/>
      <c r="G9266" s="17"/>
      <c r="H9266" s="10"/>
      <c r="I9266" s="17"/>
    </row>
    <row r="9267" ht="14.25">
      <c r="A9267" s="5"/>
      <c r="B9267" s="7"/>
      <c r="C9267" s="7"/>
      <c r="D9267" s="7"/>
      <c r="E9267" s="5"/>
      <c r="F9267" s="5"/>
      <c r="G9267" s="17"/>
      <c r="H9267" s="10"/>
      <c r="I9267" s="17"/>
    </row>
    <row r="9268" ht="14.25">
      <c r="A9268" s="5"/>
      <c r="B9268" s="7"/>
      <c r="C9268" s="7"/>
      <c r="D9268" s="7"/>
      <c r="E9268" s="5"/>
      <c r="F9268" s="5"/>
      <c r="G9268" s="17"/>
      <c r="H9268" s="10"/>
      <c r="I9268" s="17"/>
    </row>
    <row r="9269" ht="14.25">
      <c r="A9269" s="5"/>
      <c r="B9269" s="7"/>
      <c r="C9269" s="7"/>
      <c r="D9269" s="7"/>
      <c r="E9269" s="5"/>
      <c r="F9269" s="5"/>
      <c r="G9269" s="17"/>
      <c r="H9269" s="10"/>
      <c r="I9269" s="17"/>
    </row>
    <row r="9270" ht="14.25">
      <c r="A9270" s="5"/>
      <c r="B9270" s="7"/>
      <c r="C9270" s="7"/>
      <c r="D9270" s="7"/>
      <c r="E9270" s="5"/>
      <c r="F9270" s="5"/>
      <c r="G9270" s="17"/>
      <c r="H9270" s="10"/>
      <c r="I9270" s="17"/>
    </row>
    <row r="9271" ht="14.25">
      <c r="A9271" s="5"/>
      <c r="B9271" s="7"/>
      <c r="C9271" s="7"/>
      <c r="D9271" s="7"/>
      <c r="E9271" s="5"/>
      <c r="F9271" s="5"/>
      <c r="G9271" s="17"/>
      <c r="H9271" s="10"/>
      <c r="I9271" s="17"/>
    </row>
    <row r="9272" ht="14.25">
      <c r="A9272" s="5"/>
      <c r="B9272" s="7"/>
      <c r="C9272" s="7"/>
      <c r="D9272" s="7"/>
      <c r="E9272" s="5"/>
      <c r="F9272" s="5"/>
      <c r="G9272" s="17"/>
      <c r="H9272" s="10"/>
      <c r="I9272" s="17"/>
    </row>
    <row r="9273" ht="14.25">
      <c r="A9273" s="5"/>
      <c r="B9273" s="7"/>
      <c r="C9273" s="7"/>
      <c r="D9273" s="7"/>
      <c r="E9273" s="5"/>
      <c r="F9273" s="5"/>
      <c r="G9273" s="17"/>
      <c r="H9273" s="10"/>
      <c r="I9273" s="17"/>
    </row>
    <row r="9274" ht="14.25">
      <c r="A9274" s="5"/>
      <c r="B9274" s="7"/>
      <c r="C9274" s="7"/>
      <c r="D9274" s="7"/>
      <c r="E9274" s="5"/>
      <c r="F9274" s="5"/>
      <c r="G9274" s="17"/>
      <c r="H9274" s="10"/>
      <c r="I9274" s="17"/>
    </row>
    <row r="9275" ht="14.25">
      <c r="A9275" s="5"/>
      <c r="B9275" s="7"/>
      <c r="C9275" s="7"/>
      <c r="D9275" s="7"/>
      <c r="E9275" s="5"/>
      <c r="F9275" s="5"/>
      <c r="G9275" s="17"/>
      <c r="H9275" s="10"/>
      <c r="I9275" s="17"/>
    </row>
    <row r="9276" ht="14.25">
      <c r="A9276" s="5"/>
      <c r="B9276" s="7"/>
      <c r="C9276" s="7"/>
      <c r="D9276" s="7"/>
      <c r="E9276" s="5"/>
      <c r="F9276" s="5"/>
      <c r="G9276" s="17"/>
      <c r="H9276" s="10"/>
      <c r="I9276" s="17"/>
    </row>
    <row r="9277" ht="14.25">
      <c r="A9277" s="5"/>
      <c r="B9277" s="7"/>
      <c r="C9277" s="7"/>
      <c r="D9277" s="7"/>
      <c r="E9277" s="5"/>
      <c r="F9277" s="5"/>
      <c r="G9277" s="17"/>
      <c r="H9277" s="10"/>
      <c r="I9277" s="17"/>
    </row>
    <row r="9278" ht="14.25">
      <c r="A9278" s="5"/>
      <c r="B9278" s="7"/>
      <c r="C9278" s="7"/>
      <c r="D9278" s="7"/>
      <c r="E9278" s="5"/>
      <c r="F9278" s="5"/>
      <c r="G9278" s="17"/>
      <c r="H9278" s="10"/>
      <c r="I9278" s="17"/>
    </row>
    <row r="9279" ht="14.25">
      <c r="A9279" s="5"/>
      <c r="B9279" s="7"/>
      <c r="C9279" s="7"/>
      <c r="D9279" s="7"/>
      <c r="E9279" s="5"/>
      <c r="F9279" s="5"/>
      <c r="G9279" s="17"/>
      <c r="H9279" s="10"/>
      <c r="I9279" s="17"/>
    </row>
    <row r="9280" ht="14.25">
      <c r="A9280" s="5"/>
      <c r="B9280" s="7"/>
      <c r="C9280" s="7"/>
      <c r="D9280" s="7"/>
      <c r="E9280" s="5"/>
      <c r="F9280" s="5"/>
      <c r="G9280" s="17"/>
      <c r="H9280" s="10"/>
      <c r="I9280" s="17"/>
    </row>
    <row r="9281" ht="14.25">
      <c r="A9281" s="5"/>
      <c r="B9281" s="7"/>
      <c r="C9281" s="7"/>
      <c r="D9281" s="7"/>
      <c r="E9281" s="5"/>
      <c r="F9281" s="5"/>
      <c r="G9281" s="17"/>
      <c r="H9281" s="10"/>
      <c r="I9281" s="17"/>
    </row>
    <row r="9282" ht="14.25">
      <c r="A9282" s="5"/>
      <c r="B9282" s="7"/>
      <c r="C9282" s="7"/>
      <c r="D9282" s="7"/>
      <c r="E9282" s="5"/>
      <c r="F9282" s="5"/>
      <c r="G9282" s="17"/>
      <c r="H9282" s="10"/>
      <c r="I9282" s="17"/>
    </row>
    <row r="9283" ht="14.25">
      <c r="A9283" s="5"/>
      <c r="B9283" s="7"/>
      <c r="C9283" s="7"/>
      <c r="D9283" s="7"/>
      <c r="E9283" s="5"/>
      <c r="F9283" s="5"/>
      <c r="G9283" s="17"/>
      <c r="H9283" s="10"/>
      <c r="I9283" s="17"/>
    </row>
    <row r="9284" ht="14.25">
      <c r="A9284" s="5"/>
      <c r="B9284" s="7"/>
      <c r="C9284" s="7"/>
      <c r="D9284" s="7"/>
      <c r="E9284" s="5"/>
      <c r="F9284" s="5"/>
      <c r="G9284" s="17"/>
      <c r="H9284" s="10"/>
      <c r="I9284" s="17"/>
    </row>
    <row r="9285" ht="14.25">
      <c r="A9285" s="5"/>
      <c r="B9285" s="7"/>
      <c r="C9285" s="7"/>
      <c r="D9285" s="7"/>
      <c r="E9285" s="5"/>
      <c r="F9285" s="5"/>
      <c r="G9285" s="17"/>
      <c r="H9285" s="10"/>
      <c r="I9285" s="17"/>
    </row>
    <row r="9286" ht="14.25">
      <c r="A9286" s="5"/>
      <c r="B9286" s="7"/>
      <c r="C9286" s="7"/>
      <c r="D9286" s="7"/>
      <c r="E9286" s="5"/>
      <c r="F9286" s="5"/>
      <c r="G9286" s="17"/>
      <c r="H9286" s="10"/>
      <c r="I9286" s="17"/>
    </row>
    <row r="9287" ht="14.25">
      <c r="A9287" s="5"/>
      <c r="B9287" s="7"/>
      <c r="C9287" s="7"/>
      <c r="D9287" s="7"/>
      <c r="E9287" s="5"/>
      <c r="F9287" s="5"/>
      <c r="G9287" s="17"/>
      <c r="H9287" s="10"/>
      <c r="I9287" s="17"/>
    </row>
    <row r="9288" ht="14.25">
      <c r="A9288" s="5"/>
      <c r="B9288" s="7"/>
      <c r="C9288" s="7"/>
      <c r="D9288" s="7"/>
      <c r="E9288" s="5"/>
      <c r="F9288" s="5"/>
      <c r="G9288" s="17"/>
      <c r="H9288" s="10"/>
      <c r="I9288" s="17"/>
    </row>
    <row r="9289" ht="14.25">
      <c r="A9289" s="5"/>
      <c r="B9289" s="7"/>
      <c r="C9289" s="7"/>
      <c r="D9289" s="7"/>
      <c r="E9289" s="5"/>
      <c r="F9289" s="5"/>
      <c r="G9289" s="17"/>
      <c r="H9289" s="10"/>
      <c r="I9289" s="17"/>
    </row>
    <row r="9290" ht="14.25">
      <c r="A9290" s="5"/>
      <c r="B9290" s="7"/>
      <c r="C9290" s="7"/>
      <c r="D9290" s="7"/>
      <c r="E9290" s="5"/>
      <c r="F9290" s="5"/>
      <c r="G9290" s="17"/>
      <c r="H9290" s="10"/>
      <c r="I9290" s="17"/>
    </row>
    <row r="9291" ht="14.25">
      <c r="A9291" s="5"/>
      <c r="B9291" s="7"/>
      <c r="C9291" s="7"/>
      <c r="D9291" s="7"/>
      <c r="E9291" s="5"/>
      <c r="F9291" s="5"/>
      <c r="G9291" s="17"/>
      <c r="H9291" s="10"/>
      <c r="I9291" s="17"/>
    </row>
    <row r="9292" ht="14.25">
      <c r="A9292" s="5"/>
      <c r="B9292" s="7"/>
      <c r="C9292" s="7"/>
      <c r="D9292" s="7"/>
      <c r="E9292" s="5"/>
      <c r="F9292" s="5"/>
      <c r="G9292" s="17"/>
      <c r="H9292" s="10"/>
      <c r="I9292" s="17"/>
    </row>
    <row r="9293" ht="14.25">
      <c r="A9293" s="5"/>
      <c r="B9293" s="7"/>
      <c r="C9293" s="7"/>
      <c r="D9293" s="7"/>
      <c r="E9293" s="5"/>
      <c r="F9293" s="5"/>
      <c r="G9293" s="17"/>
      <c r="H9293" s="10"/>
      <c r="I9293" s="17"/>
    </row>
    <row r="9294" ht="14.25">
      <c r="A9294" s="5"/>
      <c r="B9294" s="7"/>
      <c r="C9294" s="7"/>
      <c r="D9294" s="7"/>
      <c r="E9294" s="5"/>
      <c r="F9294" s="5"/>
      <c r="G9294" s="17"/>
      <c r="H9294" s="10"/>
      <c r="I9294" s="17"/>
    </row>
    <row r="9295" ht="14.25">
      <c r="A9295" s="5"/>
      <c r="B9295" s="7"/>
      <c r="C9295" s="7"/>
      <c r="D9295" s="7"/>
      <c r="E9295" s="5"/>
      <c r="F9295" s="5"/>
      <c r="G9295" s="17"/>
      <c r="H9295" s="10"/>
      <c r="I9295" s="17"/>
    </row>
    <row r="9296" ht="14.25">
      <c r="A9296" s="5"/>
      <c r="B9296" s="7"/>
      <c r="C9296" s="7"/>
      <c r="D9296" s="7"/>
      <c r="E9296" s="5"/>
      <c r="F9296" s="5"/>
      <c r="G9296" s="17"/>
      <c r="H9296" s="10"/>
      <c r="I9296" s="17"/>
    </row>
    <row r="9297" ht="14.25">
      <c r="A9297" s="5"/>
      <c r="B9297" s="7"/>
      <c r="C9297" s="7"/>
      <c r="D9297" s="7"/>
      <c r="E9297" s="5"/>
      <c r="F9297" s="5"/>
      <c r="G9297" s="17"/>
      <c r="H9297" s="10"/>
      <c r="I9297" s="17"/>
    </row>
    <row r="9298" ht="14.25">
      <c r="A9298" s="5"/>
      <c r="B9298" s="7"/>
      <c r="C9298" s="7"/>
      <c r="D9298" s="7"/>
      <c r="E9298" s="5"/>
      <c r="F9298" s="5"/>
      <c r="G9298" s="17"/>
      <c r="H9298" s="10"/>
      <c r="I9298" s="17"/>
    </row>
    <row r="9299" ht="14.25">
      <c r="A9299" s="5"/>
      <c r="B9299" s="7"/>
      <c r="C9299" s="7"/>
      <c r="D9299" s="7"/>
      <c r="E9299" s="5"/>
      <c r="F9299" s="5"/>
      <c r="G9299" s="17"/>
      <c r="H9299" s="10"/>
      <c r="I9299" s="17"/>
    </row>
    <row r="9300" ht="14.25">
      <c r="A9300" s="5"/>
      <c r="B9300" s="7"/>
      <c r="C9300" s="7"/>
      <c r="D9300" s="7"/>
      <c r="E9300" s="5"/>
      <c r="F9300" s="5"/>
      <c r="G9300" s="17"/>
      <c r="H9300" s="10"/>
      <c r="I9300" s="17"/>
    </row>
    <row r="9301" ht="14.25">
      <c r="A9301" s="5"/>
      <c r="B9301" s="7"/>
      <c r="C9301" s="7"/>
      <c r="D9301" s="7"/>
      <c r="E9301" s="5"/>
      <c r="F9301" s="5"/>
      <c r="G9301" s="17"/>
      <c r="H9301" s="10"/>
      <c r="I9301" s="17"/>
    </row>
    <row r="9302" ht="14.25">
      <c r="A9302" s="5"/>
      <c r="B9302" s="7"/>
      <c r="C9302" s="7"/>
      <c r="D9302" s="7"/>
      <c r="E9302" s="5"/>
      <c r="F9302" s="5"/>
      <c r="G9302" s="17"/>
      <c r="H9302" s="10"/>
      <c r="I9302" s="17"/>
    </row>
    <row r="9303" ht="14.25">
      <c r="A9303" s="5"/>
      <c r="B9303" s="7"/>
      <c r="C9303" s="7"/>
      <c r="D9303" s="7"/>
      <c r="E9303" s="5"/>
      <c r="F9303" s="5"/>
      <c r="G9303" s="17"/>
      <c r="H9303" s="10"/>
      <c r="I9303" s="17"/>
    </row>
    <row r="9304" ht="14.25">
      <c r="A9304" s="5"/>
      <c r="B9304" s="7"/>
      <c r="C9304" s="7"/>
      <c r="D9304" s="7"/>
      <c r="E9304" s="5"/>
      <c r="F9304" s="5"/>
      <c r="G9304" s="17"/>
      <c r="H9304" s="10"/>
      <c r="I9304" s="17"/>
    </row>
    <row r="9305" ht="14.25">
      <c r="A9305" s="5"/>
      <c r="B9305" s="7"/>
      <c r="C9305" s="7"/>
      <c r="D9305" s="7"/>
      <c r="E9305" s="5"/>
      <c r="F9305" s="5"/>
      <c r="G9305" s="17"/>
      <c r="H9305" s="10"/>
      <c r="I9305" s="17"/>
    </row>
    <row r="9306" ht="14.25">
      <c r="A9306" s="5"/>
      <c r="B9306" s="7"/>
      <c r="C9306" s="7"/>
      <c r="D9306" s="7"/>
      <c r="E9306" s="5"/>
      <c r="F9306" s="5"/>
      <c r="G9306" s="17"/>
      <c r="H9306" s="10"/>
      <c r="I9306" s="17"/>
    </row>
    <row r="9307" ht="14.25">
      <c r="A9307" s="5"/>
      <c r="B9307" s="7"/>
      <c r="C9307" s="7"/>
      <c r="D9307" s="7"/>
      <c r="E9307" s="5"/>
      <c r="F9307" s="5"/>
      <c r="G9307" s="17"/>
      <c r="H9307" s="10"/>
      <c r="I9307" s="17"/>
    </row>
    <row r="9308" ht="14.25">
      <c r="A9308" s="5"/>
      <c r="B9308" s="7"/>
      <c r="C9308" s="7"/>
      <c r="D9308" s="7"/>
      <c r="E9308" s="5"/>
      <c r="F9308" s="5"/>
      <c r="G9308" s="17"/>
      <c r="H9308" s="10"/>
      <c r="I9308" s="17"/>
    </row>
    <row r="9309" ht="14.25">
      <c r="A9309" s="5"/>
      <c r="B9309" s="7"/>
      <c r="C9309" s="7"/>
      <c r="D9309" s="7"/>
      <c r="E9309" s="5"/>
      <c r="F9309" s="5"/>
      <c r="G9309" s="17"/>
      <c r="H9309" s="10"/>
      <c r="I9309" s="17"/>
    </row>
    <row r="9310" ht="14.25">
      <c r="A9310" s="5"/>
      <c r="B9310" s="7"/>
      <c r="C9310" s="7"/>
      <c r="D9310" s="7"/>
      <c r="E9310" s="5"/>
      <c r="F9310" s="5"/>
      <c r="G9310" s="17"/>
      <c r="H9310" s="10"/>
      <c r="I9310" s="17"/>
    </row>
    <row r="9311" ht="14.25">
      <c r="A9311" s="5"/>
      <c r="B9311" s="7"/>
      <c r="C9311" s="7"/>
      <c r="D9311" s="7"/>
      <c r="E9311" s="5"/>
      <c r="F9311" s="5"/>
      <c r="G9311" s="17"/>
      <c r="H9311" s="10"/>
      <c r="I9311" s="17"/>
    </row>
    <row r="9312" ht="14.25">
      <c r="A9312" s="5"/>
      <c r="B9312" s="7"/>
      <c r="C9312" s="7"/>
      <c r="D9312" s="7"/>
      <c r="E9312" s="5"/>
      <c r="F9312" s="5"/>
      <c r="G9312" s="17"/>
      <c r="H9312" s="10"/>
      <c r="I9312" s="17"/>
    </row>
    <row r="9313" ht="14.25">
      <c r="A9313" s="5"/>
      <c r="B9313" s="7"/>
      <c r="C9313" s="7"/>
      <c r="D9313" s="7"/>
      <c r="E9313" s="5"/>
      <c r="F9313" s="5"/>
      <c r="G9313" s="17"/>
      <c r="H9313" s="10"/>
      <c r="I9313" s="17"/>
    </row>
    <row r="9314" ht="14.25">
      <c r="A9314" s="5"/>
      <c r="B9314" s="7"/>
      <c r="C9314" s="7"/>
      <c r="D9314" s="7"/>
      <c r="E9314" s="5"/>
      <c r="F9314" s="5"/>
      <c r="G9314" s="17"/>
      <c r="H9314" s="10"/>
      <c r="I9314" s="17"/>
    </row>
    <row r="9315" ht="14.25">
      <c r="A9315" s="5"/>
      <c r="B9315" s="7"/>
      <c r="C9315" s="7"/>
      <c r="D9315" s="7"/>
      <c r="E9315" s="5"/>
      <c r="F9315" s="5"/>
      <c r="G9315" s="17"/>
      <c r="H9315" s="10"/>
      <c r="I9315" s="17"/>
    </row>
    <row r="9316" ht="14.25">
      <c r="A9316" s="5"/>
      <c r="B9316" s="13"/>
      <c r="C9316" s="7"/>
      <c r="D9316" s="7"/>
      <c r="E9316" s="5"/>
      <c r="F9316" s="5"/>
      <c r="G9316" s="17"/>
      <c r="H9316" s="10"/>
      <c r="I9316" s="17"/>
    </row>
    <row r="9317" ht="14.25">
      <c r="A9317" s="5"/>
      <c r="B9317" s="13"/>
      <c r="C9317" s="7"/>
      <c r="D9317" s="7"/>
      <c r="E9317" s="5"/>
      <c r="F9317" s="5"/>
      <c r="G9317" s="17"/>
      <c r="H9317" s="10"/>
      <c r="I9317" s="17"/>
    </row>
    <row r="9318" ht="14.25">
      <c r="A9318" s="5"/>
      <c r="B9318" s="13"/>
      <c r="C9318" s="7"/>
      <c r="D9318" s="7"/>
      <c r="E9318" s="5"/>
      <c r="F9318" s="5"/>
      <c r="G9318" s="17"/>
      <c r="H9318" s="10"/>
      <c r="I9318" s="17"/>
    </row>
    <row r="9319" ht="14.25">
      <c r="A9319" s="5"/>
      <c r="B9319" s="13"/>
      <c r="C9319" s="7"/>
      <c r="D9319" s="7"/>
      <c r="E9319" s="5"/>
      <c r="F9319" s="5"/>
      <c r="G9319" s="17"/>
      <c r="H9319" s="10"/>
      <c r="I9319" s="17"/>
    </row>
    <row r="9320" ht="14.25">
      <c r="A9320" s="5"/>
      <c r="B9320" s="13"/>
      <c r="C9320" s="7"/>
      <c r="D9320" s="7"/>
      <c r="E9320" s="5"/>
      <c r="F9320" s="5"/>
      <c r="G9320" s="17"/>
      <c r="H9320" s="10"/>
      <c r="I9320" s="17"/>
    </row>
    <row r="9321" ht="14.25">
      <c r="A9321" s="5"/>
      <c r="B9321" s="13"/>
      <c r="C9321" s="7"/>
      <c r="D9321" s="7"/>
      <c r="E9321" s="5"/>
      <c r="F9321" s="5"/>
      <c r="G9321" s="17"/>
      <c r="H9321" s="10"/>
      <c r="I9321" s="17"/>
    </row>
    <row r="9322" ht="14.25">
      <c r="A9322" s="5"/>
      <c r="B9322" s="13"/>
      <c r="C9322" s="7"/>
      <c r="D9322" s="7"/>
      <c r="E9322" s="5"/>
      <c r="F9322" s="5"/>
      <c r="G9322" s="17"/>
      <c r="H9322" s="10"/>
      <c r="I9322" s="17"/>
    </row>
    <row r="9323" ht="14.25">
      <c r="A9323" s="5"/>
      <c r="B9323" s="13"/>
      <c r="C9323" s="7"/>
      <c r="D9323" s="7"/>
      <c r="E9323" s="5"/>
      <c r="F9323" s="5"/>
      <c r="G9323" s="17"/>
      <c r="H9323" s="10"/>
      <c r="I9323" s="17"/>
    </row>
    <row r="9324" ht="14.25">
      <c r="A9324" s="5"/>
      <c r="B9324" s="13"/>
      <c r="C9324" s="7"/>
      <c r="D9324" s="7"/>
      <c r="E9324" s="5"/>
      <c r="F9324" s="5"/>
      <c r="G9324" s="17"/>
      <c r="H9324" s="10"/>
      <c r="I9324" s="17"/>
    </row>
    <row r="9325" ht="14.25">
      <c r="A9325" s="5"/>
      <c r="B9325" s="13"/>
      <c r="C9325" s="7"/>
      <c r="D9325" s="7"/>
      <c r="E9325" s="5"/>
      <c r="F9325" s="5"/>
      <c r="G9325" s="17"/>
      <c r="H9325" s="10"/>
      <c r="I9325" s="17"/>
    </row>
    <row r="9326" ht="14.25">
      <c r="A9326" s="5"/>
      <c r="B9326" s="13"/>
      <c r="C9326" s="7"/>
      <c r="D9326" s="7"/>
      <c r="E9326" s="5"/>
      <c r="F9326" s="5"/>
      <c r="G9326" s="17"/>
      <c r="H9326" s="10"/>
      <c r="I9326" s="17"/>
    </row>
    <row r="9327" ht="14.25">
      <c r="A9327" s="5"/>
      <c r="B9327" s="13"/>
      <c r="C9327" s="7"/>
      <c r="D9327" s="7"/>
      <c r="E9327" s="5"/>
      <c r="F9327" s="5"/>
      <c r="G9327" s="17"/>
      <c r="H9327" s="10"/>
      <c r="I9327" s="17"/>
    </row>
    <row r="9328" ht="14.25">
      <c r="A9328" s="5"/>
      <c r="B9328" s="13"/>
      <c r="C9328" s="7"/>
      <c r="D9328" s="7"/>
      <c r="E9328" s="5"/>
      <c r="F9328" s="5"/>
      <c r="G9328" s="17"/>
      <c r="H9328" s="10"/>
      <c r="I9328" s="17"/>
    </row>
    <row r="9329" ht="14.25">
      <c r="A9329" s="5"/>
      <c r="B9329" s="13"/>
      <c r="C9329" s="7"/>
      <c r="D9329" s="7"/>
      <c r="E9329" s="5"/>
      <c r="F9329" s="5"/>
      <c r="G9329" s="17"/>
      <c r="H9329" s="10"/>
      <c r="I9329" s="17"/>
    </row>
    <row r="9330" ht="14.25">
      <c r="A9330" s="5"/>
      <c r="B9330" s="13"/>
      <c r="C9330" s="7"/>
      <c r="D9330" s="7"/>
      <c r="E9330" s="5"/>
      <c r="F9330" s="5"/>
      <c r="G9330" s="17"/>
      <c r="H9330" s="10"/>
      <c r="I9330" s="17"/>
    </row>
    <row r="9331" ht="14.25">
      <c r="A9331" s="5"/>
      <c r="B9331" s="13"/>
      <c r="C9331" s="7"/>
      <c r="D9331" s="7"/>
      <c r="E9331" s="5"/>
      <c r="F9331" s="5"/>
      <c r="G9331" s="17"/>
      <c r="H9331" s="10"/>
      <c r="I9331" s="17"/>
    </row>
    <row r="9332" ht="14.25">
      <c r="A9332" s="5"/>
      <c r="B9332" s="13"/>
      <c r="C9332" s="7"/>
      <c r="D9332" s="7"/>
      <c r="E9332" s="5"/>
      <c r="F9332" s="5"/>
      <c r="G9332" s="17"/>
      <c r="H9332" s="10"/>
      <c r="I9332" s="17"/>
    </row>
    <row r="9333" ht="14.25">
      <c r="A9333" s="5"/>
      <c r="B9333" s="13"/>
      <c r="C9333" s="7"/>
      <c r="D9333" s="7"/>
      <c r="E9333" s="5"/>
      <c r="F9333" s="5"/>
      <c r="G9333" s="17"/>
      <c r="H9333" s="10"/>
      <c r="I9333" s="17"/>
    </row>
    <row r="9334" ht="14.25">
      <c r="A9334" s="5"/>
      <c r="B9334" s="13"/>
      <c r="C9334" s="7"/>
      <c r="D9334" s="7"/>
      <c r="E9334" s="5"/>
      <c r="F9334" s="5"/>
      <c r="G9334" s="17"/>
      <c r="H9334" s="10"/>
      <c r="I9334" s="17"/>
    </row>
    <row r="9335" ht="14.25">
      <c r="A9335" s="5"/>
      <c r="B9335" s="13"/>
      <c r="C9335" s="7"/>
      <c r="D9335" s="7"/>
      <c r="E9335" s="5"/>
      <c r="F9335" s="5"/>
      <c r="G9335" s="17"/>
      <c r="H9335" s="10"/>
      <c r="I9335" s="17"/>
    </row>
    <row r="9336" ht="14.25">
      <c r="A9336" s="5"/>
      <c r="B9336" s="13"/>
      <c r="C9336" s="7"/>
      <c r="D9336" s="7"/>
      <c r="E9336" s="5"/>
      <c r="F9336" s="5"/>
      <c r="G9336" s="17"/>
      <c r="H9336" s="10"/>
      <c r="I9336" s="17"/>
    </row>
    <row r="9337" ht="14.25">
      <c r="A9337" s="5"/>
      <c r="B9337" s="13"/>
      <c r="C9337" s="7"/>
      <c r="D9337" s="7"/>
      <c r="E9337" s="5"/>
      <c r="F9337" s="5"/>
      <c r="G9337" s="17"/>
      <c r="H9337" s="10"/>
      <c r="I9337" s="17"/>
    </row>
    <row r="9338" ht="14.25">
      <c r="A9338" s="5"/>
      <c r="B9338" s="13"/>
      <c r="C9338" s="7"/>
      <c r="D9338" s="7"/>
      <c r="E9338" s="5"/>
      <c r="F9338" s="5"/>
      <c r="G9338" s="17"/>
      <c r="H9338" s="10"/>
      <c r="I9338" s="17"/>
    </row>
    <row r="9339" ht="14.25">
      <c r="A9339" s="5"/>
      <c r="B9339" s="13"/>
      <c r="C9339" s="7"/>
      <c r="D9339" s="7"/>
      <c r="E9339" s="5"/>
      <c r="F9339" s="5"/>
      <c r="G9339" s="17"/>
      <c r="H9339" s="10"/>
      <c r="I9339" s="17"/>
    </row>
    <row r="9340" ht="14.25">
      <c r="A9340" s="5"/>
      <c r="B9340" s="13"/>
      <c r="C9340" s="7"/>
      <c r="D9340" s="7"/>
      <c r="E9340" s="5"/>
      <c r="F9340" s="5"/>
      <c r="G9340" s="17"/>
      <c r="H9340" s="10"/>
      <c r="I9340" s="17"/>
    </row>
    <row r="9341" ht="14.25">
      <c r="A9341" s="5"/>
      <c r="B9341" s="13"/>
      <c r="C9341" s="7"/>
      <c r="D9341" s="7"/>
      <c r="E9341" s="5"/>
      <c r="F9341" s="5"/>
      <c r="G9341" s="17"/>
      <c r="H9341" s="10"/>
      <c r="I9341" s="17"/>
    </row>
    <row r="9342" ht="14.25">
      <c r="A9342" s="5"/>
      <c r="B9342" s="13"/>
      <c r="C9342" s="7"/>
      <c r="D9342" s="7"/>
      <c r="E9342" s="5"/>
      <c r="F9342" s="5"/>
      <c r="G9342" s="17"/>
      <c r="H9342" s="10"/>
      <c r="I9342" s="17"/>
    </row>
    <row r="9343" ht="14.25">
      <c r="A9343" s="5"/>
      <c r="B9343" s="13"/>
      <c r="C9343" s="7"/>
      <c r="D9343" s="7"/>
      <c r="E9343" s="5"/>
      <c r="F9343" s="5"/>
      <c r="G9343" s="17"/>
      <c r="H9343" s="10"/>
      <c r="I9343" s="17"/>
    </row>
    <row r="9344" ht="14.25">
      <c r="A9344" s="5"/>
      <c r="B9344" s="13"/>
      <c r="C9344" s="7"/>
      <c r="D9344" s="7"/>
      <c r="E9344" s="5"/>
      <c r="F9344" s="5"/>
      <c r="G9344" s="17"/>
      <c r="H9344" s="10"/>
      <c r="I9344" s="17"/>
    </row>
    <row r="9345" ht="14.25">
      <c r="A9345" s="5"/>
      <c r="B9345" s="13"/>
      <c r="C9345" s="7"/>
      <c r="D9345" s="7"/>
      <c r="E9345" s="5"/>
      <c r="F9345" s="5"/>
      <c r="G9345" s="17"/>
      <c r="H9345" s="10"/>
      <c r="I9345" s="17"/>
    </row>
    <row r="9346" ht="14.25">
      <c r="A9346" s="5"/>
      <c r="B9346" s="13"/>
      <c r="C9346" s="7"/>
      <c r="D9346" s="7"/>
      <c r="E9346" s="5"/>
      <c r="F9346" s="5"/>
      <c r="G9346" s="17"/>
      <c r="H9346" s="10"/>
      <c r="I9346" s="17"/>
    </row>
    <row r="9347" ht="14.25">
      <c r="A9347" s="5"/>
      <c r="B9347" s="13"/>
      <c r="C9347" s="7"/>
      <c r="D9347" s="7"/>
      <c r="E9347" s="5"/>
      <c r="F9347" s="5"/>
      <c r="G9347" s="17"/>
      <c r="H9347" s="10"/>
      <c r="I9347" s="17"/>
    </row>
    <row r="9348" ht="14.25">
      <c r="A9348" s="5"/>
      <c r="B9348" s="13"/>
      <c r="C9348" s="7"/>
      <c r="D9348" s="7"/>
      <c r="E9348" s="5"/>
      <c r="F9348" s="5"/>
      <c r="G9348" s="17"/>
      <c r="H9348" s="10"/>
      <c r="I9348" s="17"/>
    </row>
    <row r="9349" ht="14.25">
      <c r="A9349" s="5"/>
      <c r="B9349" s="13"/>
      <c r="C9349" s="7"/>
      <c r="D9349" s="7"/>
      <c r="E9349" s="5"/>
      <c r="F9349" s="5"/>
      <c r="G9349" s="17"/>
      <c r="H9349" s="10"/>
      <c r="I9349" s="17"/>
    </row>
    <row r="9350" ht="14.25">
      <c r="A9350" s="5"/>
      <c r="B9350" s="13"/>
      <c r="C9350" s="7"/>
      <c r="D9350" s="7"/>
      <c r="E9350" s="5"/>
      <c r="F9350" s="5"/>
      <c r="G9350" s="17"/>
      <c r="H9350" s="10"/>
      <c r="I9350" s="17"/>
    </row>
    <row r="9351" ht="14.25">
      <c r="A9351" s="5"/>
      <c r="B9351" s="13"/>
      <c r="C9351" s="7"/>
      <c r="D9351" s="7"/>
      <c r="E9351" s="5"/>
      <c r="F9351" s="5"/>
      <c r="G9351" s="17"/>
      <c r="H9351" s="10"/>
      <c r="I9351" s="17"/>
    </row>
    <row r="9352" ht="14.25">
      <c r="A9352" s="5"/>
      <c r="B9352" s="13"/>
      <c r="C9352" s="7"/>
      <c r="D9352" s="7"/>
      <c r="E9352" s="5"/>
      <c r="F9352" s="5"/>
      <c r="G9352" s="17"/>
      <c r="H9352" s="10"/>
      <c r="I9352" s="17"/>
    </row>
    <row r="9353" ht="14.25">
      <c r="A9353" s="5"/>
      <c r="B9353" s="13"/>
      <c r="C9353" s="7"/>
      <c r="D9353" s="7"/>
      <c r="E9353" s="5"/>
      <c r="F9353" s="5"/>
      <c r="G9353" s="17"/>
      <c r="H9353" s="10"/>
      <c r="I9353" s="17"/>
    </row>
    <row r="9354" ht="14.25">
      <c r="A9354" s="5"/>
      <c r="B9354" s="13"/>
      <c r="C9354" s="7"/>
      <c r="D9354" s="7"/>
      <c r="E9354" s="5"/>
      <c r="F9354" s="5"/>
      <c r="G9354" s="17"/>
      <c r="H9354" s="10"/>
      <c r="I9354" s="17"/>
    </row>
    <row r="9355" ht="14.25">
      <c r="A9355" s="5"/>
      <c r="B9355" s="13"/>
      <c r="C9355" s="7"/>
      <c r="D9355" s="7"/>
      <c r="E9355" s="5"/>
      <c r="F9355" s="5"/>
      <c r="G9355" s="17"/>
      <c r="H9355" s="10"/>
      <c r="I9355" s="17"/>
    </row>
    <row r="9356" ht="14.25">
      <c r="A9356" s="5"/>
      <c r="B9356" s="13"/>
      <c r="C9356" s="7"/>
      <c r="D9356" s="7"/>
      <c r="E9356" s="5"/>
      <c r="F9356" s="5"/>
      <c r="G9356" s="17"/>
      <c r="H9356" s="10"/>
      <c r="I9356" s="17"/>
    </row>
    <row r="9357" ht="14.25">
      <c r="A9357" s="5"/>
      <c r="B9357" s="13"/>
      <c r="C9357" s="7"/>
      <c r="D9357" s="7"/>
      <c r="E9357" s="5"/>
      <c r="F9357" s="5"/>
      <c r="G9357" s="17"/>
      <c r="H9357" s="10"/>
      <c r="I9357" s="17"/>
    </row>
    <row r="9358" ht="14.25">
      <c r="A9358" s="5"/>
      <c r="B9358" s="13"/>
      <c r="C9358" s="7"/>
      <c r="D9358" s="7"/>
      <c r="E9358" s="5"/>
      <c r="F9358" s="5"/>
      <c r="G9358" s="17"/>
      <c r="H9358" s="10"/>
      <c r="I9358" s="17"/>
    </row>
    <row r="9359" ht="14.25">
      <c r="A9359" s="5"/>
      <c r="B9359" s="13"/>
      <c r="C9359" s="7"/>
      <c r="D9359" s="7"/>
      <c r="E9359" s="5"/>
      <c r="F9359" s="5"/>
      <c r="G9359" s="17"/>
      <c r="H9359" s="10"/>
      <c r="I9359" s="17"/>
    </row>
    <row r="9360" ht="14.25">
      <c r="A9360" s="5"/>
      <c r="B9360" s="13"/>
      <c r="C9360" s="7"/>
      <c r="D9360" s="7"/>
      <c r="E9360" s="5"/>
      <c r="F9360" s="5"/>
      <c r="G9360" s="17"/>
      <c r="H9360" s="10"/>
      <c r="I9360" s="17"/>
    </row>
    <row r="9361" ht="14.25">
      <c r="A9361" s="5"/>
      <c r="B9361" s="13"/>
      <c r="C9361" s="7"/>
      <c r="D9361" s="7"/>
      <c r="E9361" s="5"/>
      <c r="F9361" s="5"/>
      <c r="G9361" s="17"/>
      <c r="H9361" s="10"/>
      <c r="I9361" s="17"/>
    </row>
    <row r="9362" ht="14.25">
      <c r="A9362" s="5"/>
      <c r="B9362" s="13"/>
      <c r="C9362" s="7"/>
      <c r="D9362" s="7"/>
      <c r="E9362" s="5"/>
      <c r="F9362" s="5"/>
      <c r="G9362" s="17"/>
      <c r="H9362" s="10"/>
      <c r="I9362" s="17"/>
    </row>
    <row r="9363" ht="14.25">
      <c r="A9363" s="5"/>
      <c r="B9363" s="13"/>
      <c r="C9363" s="7"/>
      <c r="D9363" s="7"/>
      <c r="E9363" s="5"/>
      <c r="F9363" s="5"/>
      <c r="G9363" s="17"/>
      <c r="H9363" s="10"/>
      <c r="I9363" s="17"/>
    </row>
    <row r="9364" ht="14.25">
      <c r="A9364" s="5"/>
      <c r="B9364" s="13"/>
      <c r="C9364" s="7"/>
      <c r="D9364" s="7"/>
      <c r="E9364" s="5"/>
      <c r="F9364" s="5"/>
      <c r="G9364" s="17"/>
      <c r="H9364" s="10"/>
      <c r="I9364" s="17"/>
    </row>
    <row r="9365" ht="14.25">
      <c r="A9365" s="5"/>
      <c r="B9365" s="13"/>
      <c r="C9365" s="7"/>
      <c r="D9365" s="7"/>
      <c r="E9365" s="5"/>
      <c r="F9365" s="5"/>
      <c r="G9365" s="17"/>
      <c r="H9365" s="10"/>
      <c r="I9365" s="17"/>
    </row>
    <row r="9366" ht="14.25">
      <c r="A9366" s="5"/>
      <c r="B9366" s="13"/>
      <c r="C9366" s="7"/>
      <c r="D9366" s="7"/>
      <c r="E9366" s="5"/>
      <c r="F9366" s="5"/>
      <c r="G9366" s="17"/>
      <c r="H9366" s="10"/>
      <c r="I9366" s="17"/>
    </row>
    <row r="9367" ht="14.25">
      <c r="A9367" s="5"/>
      <c r="B9367" s="13"/>
      <c r="C9367" s="7"/>
      <c r="D9367" s="7"/>
      <c r="E9367" s="5"/>
      <c r="F9367" s="5"/>
      <c r="G9367" s="17"/>
      <c r="H9367" s="10"/>
      <c r="I9367" s="17"/>
    </row>
    <row r="9368" ht="14.25">
      <c r="A9368" s="5"/>
      <c r="B9368" s="13"/>
      <c r="C9368" s="7"/>
      <c r="D9368" s="7"/>
      <c r="E9368" s="5"/>
      <c r="F9368" s="5"/>
      <c r="G9368" s="17"/>
      <c r="H9368" s="10"/>
      <c r="I9368" s="17"/>
    </row>
    <row r="9369" ht="14.25">
      <c r="A9369" s="5"/>
      <c r="B9369" s="13"/>
      <c r="C9369" s="7"/>
      <c r="D9369" s="7"/>
      <c r="E9369" s="5"/>
      <c r="F9369" s="5"/>
      <c r="G9369" s="17"/>
      <c r="H9369" s="10"/>
      <c r="I9369" s="17"/>
    </row>
    <row r="9370" ht="14.25">
      <c r="A9370" s="5"/>
      <c r="B9370" s="13"/>
      <c r="C9370" s="7"/>
      <c r="D9370" s="7"/>
      <c r="E9370" s="5"/>
      <c r="F9370" s="5"/>
      <c r="G9370" s="17"/>
      <c r="H9370" s="10"/>
      <c r="I9370" s="17"/>
    </row>
    <row r="9371" ht="14.25">
      <c r="A9371" s="5"/>
      <c r="B9371" s="13"/>
      <c r="C9371" s="7"/>
      <c r="D9371" s="7"/>
      <c r="E9371" s="5"/>
      <c r="F9371" s="5"/>
      <c r="G9371" s="17"/>
      <c r="H9371" s="10"/>
      <c r="I9371" s="17"/>
    </row>
    <row r="9372" ht="14.25">
      <c r="A9372" s="5"/>
      <c r="B9372" s="13"/>
      <c r="C9372" s="7"/>
      <c r="D9372" s="7"/>
      <c r="E9372" s="5"/>
      <c r="F9372" s="5"/>
      <c r="G9372" s="17"/>
      <c r="H9372" s="10"/>
      <c r="I9372" s="17"/>
    </row>
    <row r="9373" ht="14.25">
      <c r="A9373" s="5"/>
      <c r="B9373" s="13"/>
      <c r="C9373" s="7"/>
      <c r="D9373" s="7"/>
      <c r="E9373" s="5"/>
      <c r="F9373" s="5"/>
      <c r="G9373" s="17"/>
      <c r="H9373" s="10"/>
      <c r="I9373" s="17"/>
    </row>
    <row r="9374" ht="14.25">
      <c r="A9374" s="5"/>
      <c r="B9374" s="13"/>
      <c r="C9374" s="7"/>
      <c r="D9374" s="7"/>
      <c r="E9374" s="5"/>
      <c r="F9374" s="5"/>
      <c r="G9374" s="17"/>
      <c r="H9374" s="10"/>
      <c r="I9374" s="17"/>
    </row>
    <row r="9375" ht="14.25">
      <c r="A9375" s="5"/>
      <c r="B9375" s="13"/>
      <c r="C9375" s="7"/>
      <c r="D9375" s="7"/>
      <c r="E9375" s="5"/>
      <c r="F9375" s="5"/>
      <c r="G9375" s="17"/>
      <c r="H9375" s="10"/>
      <c r="I9375" s="17"/>
    </row>
    <row r="9376" ht="14.25">
      <c r="A9376" s="5"/>
      <c r="B9376" s="13"/>
      <c r="C9376" s="7"/>
      <c r="D9376" s="7"/>
      <c r="E9376" s="5"/>
      <c r="F9376" s="5"/>
      <c r="G9376" s="17"/>
      <c r="H9376" s="10"/>
      <c r="I9376" s="17"/>
    </row>
    <row r="9377" ht="14.25">
      <c r="A9377" s="5"/>
      <c r="B9377" s="13"/>
      <c r="C9377" s="7"/>
      <c r="D9377" s="7"/>
      <c r="E9377" s="5"/>
      <c r="F9377" s="5"/>
      <c r="G9377" s="17"/>
      <c r="H9377" s="10"/>
      <c r="I9377" s="17"/>
    </row>
    <row r="9378" ht="14.25">
      <c r="A9378" s="5"/>
      <c r="B9378" s="13"/>
      <c r="C9378" s="7"/>
      <c r="D9378" s="7"/>
      <c r="E9378" s="5"/>
      <c r="F9378" s="5"/>
      <c r="G9378" s="17"/>
      <c r="H9378" s="10"/>
      <c r="I9378" s="17"/>
    </row>
    <row r="9379" ht="14.25">
      <c r="A9379" s="5"/>
      <c r="B9379" s="13"/>
      <c r="C9379" s="7"/>
      <c r="D9379" s="7"/>
      <c r="E9379" s="5"/>
      <c r="F9379" s="5"/>
      <c r="G9379" s="17"/>
      <c r="H9379" s="10"/>
      <c r="I9379" s="17"/>
    </row>
    <row r="9380" ht="14.25">
      <c r="A9380" s="5"/>
      <c r="B9380" s="13"/>
      <c r="C9380" s="7"/>
      <c r="D9380" s="7"/>
      <c r="E9380" s="5"/>
      <c r="F9380" s="5"/>
      <c r="G9380" s="17"/>
      <c r="H9380" s="10"/>
      <c r="I9380" s="17"/>
    </row>
    <row r="9381" ht="14.25">
      <c r="A9381" s="5"/>
      <c r="B9381" s="13"/>
      <c r="C9381" s="7"/>
      <c r="D9381" s="7"/>
      <c r="E9381" s="5"/>
      <c r="F9381" s="5"/>
      <c r="G9381" s="17"/>
      <c r="H9381" s="10"/>
      <c r="I9381" s="17"/>
    </row>
    <row r="9382" ht="14.25">
      <c r="A9382" s="5"/>
      <c r="B9382" s="13"/>
      <c r="C9382" s="7"/>
      <c r="D9382" s="7"/>
      <c r="E9382" s="5"/>
      <c r="F9382" s="5"/>
      <c r="G9382" s="17"/>
      <c r="H9382" s="10"/>
      <c r="I9382" s="17"/>
    </row>
    <row r="9383" ht="14.25">
      <c r="A9383" s="5"/>
      <c r="B9383" s="13"/>
      <c r="C9383" s="7"/>
      <c r="D9383" s="7"/>
      <c r="E9383" s="5"/>
      <c r="F9383" s="5"/>
      <c r="G9383" s="17"/>
      <c r="H9383" s="10"/>
      <c r="I9383" s="17"/>
    </row>
    <row r="9384" ht="14.25">
      <c r="A9384" s="5"/>
      <c r="B9384" s="13"/>
      <c r="C9384" s="7"/>
      <c r="D9384" s="7"/>
      <c r="E9384" s="5"/>
      <c r="F9384" s="5"/>
      <c r="G9384" s="17"/>
      <c r="H9384" s="10"/>
      <c r="I9384" s="17"/>
    </row>
    <row r="9385" ht="14.25">
      <c r="A9385" s="5"/>
      <c r="B9385" s="13"/>
      <c r="C9385" s="7"/>
      <c r="D9385" s="7"/>
      <c r="E9385" s="5"/>
      <c r="F9385" s="5"/>
      <c r="G9385" s="17"/>
      <c r="H9385" s="10"/>
      <c r="I9385" s="17"/>
    </row>
    <row r="9386" ht="14.25">
      <c r="A9386" s="5"/>
      <c r="B9386" s="13"/>
      <c r="C9386" s="7"/>
      <c r="D9386" s="7"/>
      <c r="E9386" s="5"/>
      <c r="F9386" s="5"/>
      <c r="G9386" s="17"/>
      <c r="H9386" s="10"/>
      <c r="I9386" s="17"/>
    </row>
    <row r="9387" ht="14.25">
      <c r="A9387" s="5"/>
      <c r="B9387" s="13"/>
      <c r="C9387" s="7"/>
      <c r="D9387" s="7"/>
      <c r="E9387" s="5"/>
      <c r="F9387" s="5"/>
      <c r="G9387" s="17"/>
      <c r="H9387" s="10"/>
      <c r="I9387" s="17"/>
    </row>
    <row r="9388" ht="14.25">
      <c r="A9388" s="5"/>
      <c r="B9388" s="13"/>
      <c r="C9388" s="7"/>
      <c r="D9388" s="7"/>
      <c r="E9388" s="5"/>
      <c r="F9388" s="5"/>
      <c r="G9388" s="17"/>
      <c r="H9388" s="10"/>
      <c r="I9388" s="17"/>
    </row>
    <row r="9389" ht="14.25">
      <c r="A9389" s="5"/>
      <c r="B9389" s="13"/>
      <c r="C9389" s="7"/>
      <c r="D9389" s="7"/>
      <c r="E9389" s="5"/>
      <c r="F9389" s="5"/>
      <c r="G9389" s="17"/>
      <c r="H9389" s="10"/>
      <c r="I9389" s="17"/>
    </row>
    <row r="9390" ht="14.25">
      <c r="A9390" s="5"/>
      <c r="B9390" s="13"/>
      <c r="C9390" s="7"/>
      <c r="D9390" s="7"/>
      <c r="E9390" s="5"/>
      <c r="F9390" s="5"/>
      <c r="G9390" s="17"/>
      <c r="H9390" s="10"/>
      <c r="I9390" s="17"/>
    </row>
    <row r="9391" ht="14.25">
      <c r="A9391" s="5"/>
      <c r="B9391" s="13"/>
      <c r="C9391" s="7"/>
      <c r="D9391" s="7"/>
      <c r="E9391" s="5"/>
      <c r="F9391" s="5"/>
      <c r="G9391" s="17"/>
      <c r="H9391" s="10"/>
      <c r="I9391" s="17"/>
    </row>
    <row r="9392" ht="14.25">
      <c r="A9392" s="5"/>
      <c r="B9392" s="13"/>
      <c r="C9392" s="7"/>
      <c r="D9392" s="7"/>
      <c r="E9392" s="5"/>
      <c r="F9392" s="5"/>
      <c r="G9392" s="17"/>
      <c r="H9392" s="10"/>
      <c r="I9392" s="17"/>
    </row>
    <row r="9393" ht="14.25">
      <c r="A9393" s="5"/>
      <c r="B9393" s="13"/>
      <c r="C9393" s="7"/>
      <c r="D9393" s="7"/>
      <c r="E9393" s="5"/>
      <c r="F9393" s="5"/>
      <c r="G9393" s="17"/>
      <c r="H9393" s="10"/>
      <c r="I9393" s="17"/>
    </row>
    <row r="9394" ht="14.25">
      <c r="A9394" s="5"/>
      <c r="B9394" s="13"/>
      <c r="C9394" s="7"/>
      <c r="D9394" s="7"/>
      <c r="E9394" s="5"/>
      <c r="F9394" s="5"/>
      <c r="G9394" s="17"/>
      <c r="H9394" s="10"/>
      <c r="I9394" s="17"/>
    </row>
    <row r="9395" ht="14.25">
      <c r="A9395" s="5"/>
      <c r="B9395" s="13"/>
      <c r="C9395" s="7"/>
      <c r="D9395" s="7"/>
      <c r="E9395" s="5"/>
      <c r="F9395" s="5"/>
      <c r="G9395" s="17"/>
      <c r="H9395" s="10"/>
      <c r="I9395" s="17"/>
    </row>
    <row r="9396" ht="14.25">
      <c r="A9396" s="5"/>
      <c r="B9396" s="13"/>
      <c r="C9396" s="7"/>
      <c r="D9396" s="7"/>
      <c r="E9396" s="5"/>
      <c r="F9396" s="5"/>
      <c r="G9396" s="17"/>
      <c r="H9396" s="10"/>
      <c r="I9396" s="17"/>
    </row>
    <row r="9397" ht="14.25">
      <c r="A9397" s="5"/>
      <c r="B9397" s="13"/>
      <c r="C9397" s="7"/>
      <c r="D9397" s="7"/>
      <c r="E9397" s="5"/>
      <c r="F9397" s="5"/>
      <c r="G9397" s="17"/>
      <c r="H9397" s="10"/>
      <c r="I9397" s="17"/>
    </row>
    <row r="9398" ht="14.25">
      <c r="A9398" s="5"/>
      <c r="B9398" s="13"/>
      <c r="C9398" s="7"/>
      <c r="D9398" s="7"/>
      <c r="E9398" s="5"/>
      <c r="F9398" s="5"/>
      <c r="G9398" s="17"/>
      <c r="H9398" s="10"/>
      <c r="I9398" s="17"/>
    </row>
    <row r="9399" ht="14.25">
      <c r="A9399" s="5"/>
      <c r="B9399" s="13"/>
      <c r="C9399" s="7"/>
      <c r="D9399" s="7"/>
      <c r="E9399" s="5"/>
      <c r="F9399" s="5"/>
      <c r="G9399" s="17"/>
      <c r="H9399" s="10"/>
      <c r="I9399" s="17"/>
    </row>
    <row r="9400" ht="14.25">
      <c r="A9400" s="5"/>
      <c r="B9400" s="13"/>
      <c r="C9400" s="7"/>
      <c r="D9400" s="7"/>
      <c r="E9400" s="5"/>
      <c r="F9400" s="5"/>
      <c r="G9400" s="17"/>
      <c r="H9400" s="10"/>
      <c r="I9400" s="17"/>
    </row>
    <row r="9401" ht="14.25">
      <c r="A9401" s="5"/>
      <c r="B9401" s="13"/>
      <c r="C9401" s="7"/>
      <c r="D9401" s="7"/>
      <c r="E9401" s="5"/>
      <c r="F9401" s="5"/>
      <c r="G9401" s="17"/>
      <c r="H9401" s="10"/>
      <c r="I9401" s="17"/>
    </row>
    <row r="9402" ht="14.25">
      <c r="A9402" s="5"/>
      <c r="B9402" s="13"/>
      <c r="C9402" s="7"/>
      <c r="D9402" s="7"/>
      <c r="E9402" s="5"/>
      <c r="F9402" s="5"/>
      <c r="G9402" s="17"/>
      <c r="H9402" s="10"/>
      <c r="I9402" s="17"/>
    </row>
    <row r="9403" ht="14.25">
      <c r="A9403" s="5"/>
      <c r="B9403" s="13"/>
      <c r="C9403" s="7"/>
      <c r="D9403" s="7"/>
      <c r="E9403" s="5"/>
      <c r="F9403" s="5"/>
      <c r="G9403" s="17"/>
      <c r="H9403" s="10"/>
      <c r="I9403" s="17"/>
    </row>
    <row r="9404" ht="14.25">
      <c r="A9404" s="5"/>
      <c r="B9404" s="13"/>
      <c r="C9404" s="7"/>
      <c r="D9404" s="7"/>
      <c r="E9404" s="5"/>
      <c r="F9404" s="5"/>
      <c r="G9404" s="17"/>
      <c r="H9404" s="10"/>
      <c r="I9404" s="17"/>
    </row>
    <row r="9405" ht="14.25">
      <c r="A9405" s="5"/>
      <c r="B9405" s="13"/>
      <c r="C9405" s="7"/>
      <c r="D9405" s="7"/>
      <c r="E9405" s="5"/>
      <c r="F9405" s="5"/>
      <c r="G9405" s="17"/>
      <c r="H9405" s="10"/>
      <c r="I9405" s="17"/>
    </row>
    <row r="9406" ht="14.25">
      <c r="A9406" s="5"/>
      <c r="B9406" s="13"/>
      <c r="C9406" s="7"/>
      <c r="D9406" s="7"/>
      <c r="E9406" s="5"/>
      <c r="F9406" s="5"/>
      <c r="G9406" s="17"/>
      <c r="H9406" s="10"/>
      <c r="I9406" s="17"/>
    </row>
    <row r="9407" ht="14.25">
      <c r="A9407" s="5"/>
      <c r="B9407" s="13"/>
      <c r="C9407" s="7"/>
      <c r="D9407" s="7"/>
      <c r="E9407" s="5"/>
      <c r="F9407" s="5"/>
      <c r="G9407" s="17"/>
      <c r="H9407" s="10"/>
      <c r="I9407" s="17"/>
    </row>
    <row r="9408" ht="14.25">
      <c r="A9408" s="5"/>
      <c r="B9408" s="13"/>
      <c r="C9408" s="7"/>
      <c r="D9408" s="7"/>
      <c r="E9408" s="5"/>
      <c r="F9408" s="5"/>
      <c r="G9408" s="17"/>
      <c r="H9408" s="10"/>
      <c r="I9408" s="17"/>
    </row>
    <row r="9409" ht="14.25">
      <c r="A9409" s="5"/>
      <c r="B9409" s="13"/>
      <c r="C9409" s="7"/>
      <c r="D9409" s="7"/>
      <c r="E9409" s="5"/>
      <c r="F9409" s="5"/>
      <c r="G9409" s="17"/>
      <c r="H9409" s="10"/>
      <c r="I9409" s="17"/>
    </row>
    <row r="9410" ht="14.25">
      <c r="A9410" s="5"/>
      <c r="B9410" s="13"/>
      <c r="C9410" s="7"/>
      <c r="D9410" s="7"/>
      <c r="E9410" s="5"/>
      <c r="F9410" s="5"/>
      <c r="G9410" s="17"/>
      <c r="H9410" s="10"/>
      <c r="I9410" s="17"/>
    </row>
    <row r="9411" ht="14.25">
      <c r="A9411" s="5"/>
      <c r="B9411" s="13"/>
      <c r="C9411" s="7"/>
      <c r="D9411" s="7"/>
      <c r="E9411" s="5"/>
      <c r="F9411" s="5"/>
      <c r="G9411" s="17"/>
      <c r="H9411" s="10"/>
      <c r="I9411" s="17"/>
    </row>
    <row r="9412" ht="14.25">
      <c r="A9412" s="5"/>
      <c r="B9412" s="13"/>
      <c r="C9412" s="7"/>
      <c r="D9412" s="7"/>
      <c r="E9412" s="5"/>
      <c r="F9412" s="5"/>
      <c r="G9412" s="17"/>
      <c r="H9412" s="10"/>
      <c r="I9412" s="17"/>
    </row>
    <row r="9413" ht="14.25">
      <c r="A9413" s="5"/>
      <c r="B9413" s="13"/>
      <c r="C9413" s="7"/>
      <c r="D9413" s="7"/>
      <c r="E9413" s="5"/>
      <c r="F9413" s="5"/>
      <c r="G9413" s="17"/>
      <c r="H9413" s="10"/>
      <c r="I9413" s="17"/>
    </row>
    <row r="9414" ht="14.25">
      <c r="A9414" s="5"/>
      <c r="B9414" s="13"/>
      <c r="C9414" s="7"/>
      <c r="D9414" s="7"/>
      <c r="E9414" s="5"/>
      <c r="F9414" s="5"/>
      <c r="G9414" s="17"/>
      <c r="H9414" s="10"/>
      <c r="I9414" s="17"/>
    </row>
    <row r="9415" ht="14.25">
      <c r="A9415" s="5"/>
      <c r="B9415" s="13"/>
      <c r="C9415" s="7"/>
      <c r="D9415" s="7"/>
      <c r="E9415" s="5"/>
      <c r="F9415" s="5"/>
      <c r="G9415" s="17"/>
      <c r="H9415" s="10"/>
      <c r="I9415" s="17"/>
    </row>
    <row r="9416" ht="14.25">
      <c r="A9416" s="5"/>
      <c r="B9416" s="13"/>
      <c r="C9416" s="7"/>
      <c r="D9416" s="7"/>
      <c r="E9416" s="5"/>
      <c r="F9416" s="5"/>
      <c r="G9416" s="17"/>
      <c r="H9416" s="10"/>
      <c r="I9416" s="17"/>
    </row>
    <row r="9417" ht="14.25">
      <c r="A9417" s="5"/>
      <c r="B9417" s="13"/>
      <c r="C9417" s="7"/>
      <c r="D9417" s="7"/>
      <c r="E9417" s="5"/>
      <c r="F9417" s="5"/>
      <c r="G9417" s="17"/>
      <c r="H9417" s="10"/>
      <c r="I9417" s="17"/>
    </row>
    <row r="9418" ht="14.25">
      <c r="A9418" s="5"/>
      <c r="B9418" s="13"/>
      <c r="C9418" s="7"/>
      <c r="D9418" s="7"/>
      <c r="E9418" s="5"/>
      <c r="F9418" s="5"/>
      <c r="G9418" s="17"/>
      <c r="H9418" s="10"/>
      <c r="I9418" s="17"/>
    </row>
    <row r="9419" ht="14.25">
      <c r="A9419" s="5"/>
      <c r="B9419" s="13"/>
      <c r="C9419" s="7"/>
      <c r="D9419" s="7"/>
      <c r="E9419" s="5"/>
      <c r="F9419" s="5"/>
      <c r="G9419" s="17"/>
      <c r="H9419" s="10"/>
      <c r="I9419" s="17"/>
    </row>
    <row r="9420" ht="14.25">
      <c r="A9420" s="5"/>
      <c r="B9420" s="13"/>
      <c r="C9420" s="7"/>
      <c r="D9420" s="7"/>
      <c r="E9420" s="5"/>
      <c r="F9420" s="5"/>
      <c r="G9420" s="17"/>
      <c r="H9420" s="10"/>
      <c r="I9420" s="17"/>
    </row>
    <row r="9421" ht="14.25">
      <c r="A9421" s="5"/>
      <c r="B9421" s="13"/>
      <c r="C9421" s="7"/>
      <c r="D9421" s="7"/>
      <c r="E9421" s="5"/>
      <c r="F9421" s="5"/>
      <c r="G9421" s="17"/>
      <c r="H9421" s="10"/>
      <c r="I9421" s="17"/>
    </row>
    <row r="9422" ht="14.25">
      <c r="A9422" s="5"/>
      <c r="B9422" s="13"/>
      <c r="C9422" s="7"/>
      <c r="D9422" s="7"/>
      <c r="E9422" s="5"/>
      <c r="F9422" s="5"/>
      <c r="G9422" s="17"/>
      <c r="H9422" s="10"/>
      <c r="I9422" s="17"/>
    </row>
    <row r="9423" ht="14.25">
      <c r="A9423" s="5"/>
      <c r="B9423" s="13"/>
      <c r="C9423" s="7"/>
      <c r="D9423" s="7"/>
      <c r="E9423" s="5"/>
      <c r="F9423" s="5"/>
      <c r="G9423" s="17"/>
      <c r="H9423" s="10"/>
      <c r="I9423" s="17"/>
    </row>
    <row r="9424" ht="14.25">
      <c r="A9424" s="5"/>
      <c r="B9424" s="13"/>
      <c r="C9424" s="7"/>
      <c r="D9424" s="7"/>
      <c r="E9424" s="5"/>
      <c r="F9424" s="5"/>
      <c r="G9424" s="17"/>
      <c r="H9424" s="10"/>
      <c r="I9424" s="17"/>
    </row>
    <row r="9425" ht="14.25">
      <c r="A9425" s="5"/>
      <c r="B9425" s="13"/>
      <c r="C9425" s="7"/>
      <c r="D9425" s="7"/>
      <c r="E9425" s="5"/>
      <c r="F9425" s="5"/>
      <c r="G9425" s="17"/>
      <c r="H9425" s="10"/>
      <c r="I9425" s="17"/>
    </row>
    <row r="9426" ht="14.25">
      <c r="A9426" s="5"/>
      <c r="B9426" s="13"/>
      <c r="C9426" s="7"/>
      <c r="D9426" s="7"/>
      <c r="E9426" s="5"/>
      <c r="F9426" s="5"/>
      <c r="G9426" s="17"/>
      <c r="H9426" s="10"/>
      <c r="I9426" s="17"/>
    </row>
    <row r="9427" ht="14.25">
      <c r="A9427" s="5"/>
      <c r="B9427" s="13"/>
      <c r="C9427" s="7"/>
      <c r="D9427" s="7"/>
      <c r="E9427" s="5"/>
      <c r="F9427" s="5"/>
      <c r="G9427" s="17"/>
      <c r="H9427" s="10"/>
      <c r="I9427" s="17"/>
    </row>
    <row r="9428" ht="14.25">
      <c r="A9428" s="5"/>
      <c r="B9428" s="13"/>
      <c r="C9428" s="7"/>
      <c r="D9428" s="7"/>
      <c r="E9428" s="5"/>
      <c r="F9428" s="5"/>
      <c r="G9428" s="17"/>
      <c r="H9428" s="10"/>
      <c r="I9428" s="17"/>
    </row>
    <row r="9429" ht="14.25">
      <c r="A9429" s="5"/>
      <c r="B9429" s="13"/>
      <c r="C9429" s="7"/>
      <c r="D9429" s="7"/>
      <c r="E9429" s="5"/>
      <c r="F9429" s="5"/>
      <c r="G9429" s="17"/>
      <c r="H9429" s="10"/>
      <c r="I9429" s="17"/>
    </row>
    <row r="9430" ht="14.25">
      <c r="A9430" s="5"/>
      <c r="B9430" s="13"/>
      <c r="C9430" s="7"/>
      <c r="D9430" s="7"/>
      <c r="E9430" s="5"/>
      <c r="F9430" s="5"/>
      <c r="G9430" s="17"/>
      <c r="H9430" s="10"/>
      <c r="I9430" s="17"/>
    </row>
    <row r="9431" ht="14.25">
      <c r="A9431" s="5"/>
      <c r="B9431" s="13"/>
      <c r="C9431" s="7"/>
      <c r="D9431" s="7"/>
      <c r="E9431" s="5"/>
      <c r="F9431" s="5"/>
      <c r="G9431" s="17"/>
      <c r="H9431" s="10"/>
      <c r="I9431" s="17"/>
    </row>
    <row r="9432" ht="14.25">
      <c r="A9432" s="5"/>
      <c r="B9432" s="13"/>
      <c r="C9432" s="7"/>
      <c r="D9432" s="7"/>
      <c r="E9432" s="5"/>
      <c r="F9432" s="5"/>
      <c r="G9432" s="17"/>
      <c r="H9432" s="10"/>
      <c r="I9432" s="17"/>
    </row>
    <row r="9433" ht="14.25">
      <c r="A9433" s="5"/>
      <c r="B9433" s="13"/>
      <c r="C9433" s="7"/>
      <c r="D9433" s="7"/>
      <c r="E9433" s="5"/>
      <c r="F9433" s="5"/>
      <c r="G9433" s="17"/>
      <c r="H9433" s="10"/>
      <c r="I9433" s="17"/>
    </row>
    <row r="9434" ht="14.25">
      <c r="A9434" s="5"/>
      <c r="B9434" s="13"/>
      <c r="C9434" s="7"/>
      <c r="D9434" s="7"/>
      <c r="E9434" s="5"/>
      <c r="F9434" s="5"/>
      <c r="G9434" s="17"/>
      <c r="H9434" s="10"/>
      <c r="I9434" s="17"/>
    </row>
    <row r="9435" ht="14.25">
      <c r="A9435" s="5"/>
      <c r="B9435" s="13"/>
      <c r="C9435" s="7"/>
      <c r="D9435" s="7"/>
      <c r="E9435" s="5"/>
      <c r="F9435" s="5"/>
      <c r="G9435" s="17"/>
      <c r="H9435" s="10"/>
      <c r="I9435" s="17"/>
    </row>
    <row r="9436" ht="14.25">
      <c r="A9436" s="5"/>
      <c r="B9436" s="13"/>
      <c r="C9436" s="7"/>
      <c r="D9436" s="7"/>
      <c r="E9436" s="5"/>
      <c r="F9436" s="5"/>
      <c r="G9436" s="17"/>
      <c r="H9436" s="10"/>
      <c r="I9436" s="17"/>
    </row>
    <row r="9437" ht="14.25">
      <c r="A9437" s="5"/>
      <c r="B9437" s="13"/>
      <c r="C9437" s="7"/>
      <c r="D9437" s="7"/>
      <c r="E9437" s="5"/>
      <c r="F9437" s="5"/>
      <c r="G9437" s="17"/>
      <c r="H9437" s="10"/>
      <c r="I9437" s="17"/>
    </row>
    <row r="9438" ht="14.25">
      <c r="A9438" s="5"/>
      <c r="B9438" s="13"/>
      <c r="C9438" s="7"/>
      <c r="D9438" s="7"/>
      <c r="E9438" s="5"/>
      <c r="F9438" s="5"/>
      <c r="G9438" s="17"/>
      <c r="H9438" s="10"/>
      <c r="I9438" s="17"/>
    </row>
    <row r="9439" ht="14.25">
      <c r="A9439" s="5"/>
      <c r="B9439" s="13"/>
      <c r="C9439" s="7"/>
      <c r="D9439" s="7"/>
      <c r="E9439" s="5"/>
      <c r="F9439" s="5"/>
      <c r="G9439" s="17"/>
      <c r="H9439" s="10"/>
      <c r="I9439" s="17"/>
    </row>
    <row r="9440" ht="14.25">
      <c r="A9440" s="5"/>
      <c r="B9440" s="13"/>
      <c r="C9440" s="7"/>
      <c r="D9440" s="7"/>
      <c r="E9440" s="5"/>
      <c r="F9440" s="5"/>
      <c r="G9440" s="17"/>
      <c r="H9440" s="10"/>
      <c r="I9440" s="17"/>
    </row>
    <row r="9441" ht="14.25">
      <c r="A9441" s="5"/>
      <c r="B9441" s="13"/>
      <c r="C9441" s="7"/>
      <c r="D9441" s="7"/>
      <c r="E9441" s="5"/>
      <c r="F9441" s="5"/>
      <c r="G9441" s="17"/>
      <c r="H9441" s="10"/>
      <c r="I9441" s="17"/>
    </row>
    <row r="9442" ht="14.25">
      <c r="A9442" s="5"/>
      <c r="B9442" s="13"/>
      <c r="C9442" s="7"/>
      <c r="D9442" s="7"/>
      <c r="E9442" s="5"/>
      <c r="F9442" s="5"/>
      <c r="G9442" s="17"/>
      <c r="H9442" s="10"/>
      <c r="I9442" s="17"/>
    </row>
    <row r="9443" ht="14.25">
      <c r="A9443" s="5"/>
      <c r="B9443" s="13"/>
      <c r="C9443" s="7"/>
      <c r="D9443" s="7"/>
      <c r="E9443" s="5"/>
      <c r="F9443" s="5"/>
      <c r="G9443" s="17"/>
      <c r="H9443" s="10"/>
      <c r="I9443" s="17"/>
    </row>
    <row r="9444" ht="14.25">
      <c r="A9444" s="5"/>
      <c r="B9444" s="13"/>
      <c r="C9444" s="7"/>
      <c r="D9444" s="7"/>
      <c r="E9444" s="5"/>
      <c r="F9444" s="5"/>
      <c r="G9444" s="17"/>
      <c r="H9444" s="10"/>
      <c r="I9444" s="17"/>
    </row>
    <row r="9445" ht="14.25">
      <c r="A9445" s="5"/>
      <c r="B9445" s="13"/>
      <c r="C9445" s="7"/>
      <c r="D9445" s="7"/>
      <c r="E9445" s="5"/>
      <c r="F9445" s="5"/>
      <c r="G9445" s="17"/>
      <c r="H9445" s="10"/>
      <c r="I9445" s="17"/>
    </row>
    <row r="9446" ht="14.25">
      <c r="A9446" s="5"/>
      <c r="B9446" s="13"/>
      <c r="C9446" s="7"/>
      <c r="D9446" s="7"/>
      <c r="E9446" s="5"/>
      <c r="F9446" s="5"/>
      <c r="G9446" s="17"/>
      <c r="H9446" s="10"/>
      <c r="I9446" s="17"/>
    </row>
    <row r="9447" ht="14.25">
      <c r="A9447" s="5"/>
      <c r="B9447" s="13"/>
      <c r="C9447" s="7"/>
      <c r="D9447" s="7"/>
      <c r="E9447" s="5"/>
      <c r="F9447" s="5"/>
      <c r="G9447" s="17"/>
      <c r="H9447" s="10"/>
      <c r="I9447" s="17"/>
    </row>
    <row r="9448" ht="14.25">
      <c r="A9448" s="5"/>
      <c r="B9448" s="13"/>
      <c r="C9448" s="7"/>
      <c r="D9448" s="7"/>
      <c r="E9448" s="5"/>
      <c r="F9448" s="5"/>
      <c r="G9448" s="17"/>
      <c r="H9448" s="10"/>
      <c r="I9448" s="17"/>
    </row>
    <row r="9449" ht="14.25">
      <c r="A9449" s="5"/>
      <c r="B9449" s="13"/>
      <c r="C9449" s="7"/>
      <c r="D9449" s="7"/>
      <c r="E9449" s="5"/>
      <c r="F9449" s="5"/>
      <c r="G9449" s="17"/>
      <c r="H9449" s="10"/>
      <c r="I9449" s="17"/>
    </row>
    <row r="9450" ht="14.25">
      <c r="A9450" s="5"/>
      <c r="B9450" s="13"/>
      <c r="C9450" s="7"/>
      <c r="D9450" s="7"/>
      <c r="E9450" s="5"/>
      <c r="F9450" s="5"/>
      <c r="G9450" s="17"/>
      <c r="H9450" s="10"/>
      <c r="I9450" s="17"/>
    </row>
    <row r="9451" ht="14.25">
      <c r="A9451" s="5"/>
      <c r="B9451" s="13"/>
      <c r="C9451" s="7"/>
      <c r="D9451" s="7"/>
      <c r="E9451" s="5"/>
      <c r="F9451" s="5"/>
      <c r="G9451" s="17"/>
      <c r="H9451" s="10"/>
      <c r="I9451" s="17"/>
    </row>
    <row r="9452" ht="14.25">
      <c r="A9452" s="5"/>
      <c r="B9452" s="13"/>
      <c r="C9452" s="7"/>
      <c r="D9452" s="7"/>
      <c r="E9452" s="5"/>
      <c r="F9452" s="5"/>
      <c r="G9452" s="17"/>
      <c r="H9452" s="10"/>
      <c r="I9452" s="17"/>
    </row>
    <row r="9453" ht="14.25">
      <c r="A9453" s="5"/>
      <c r="B9453" s="13"/>
      <c r="C9453" s="7"/>
      <c r="D9453" s="7"/>
      <c r="E9453" s="5"/>
      <c r="F9453" s="5"/>
      <c r="G9453" s="17"/>
      <c r="H9453" s="10"/>
      <c r="I9453" s="17"/>
    </row>
    <row r="9454" ht="14.25">
      <c r="A9454" s="5"/>
      <c r="B9454" s="13"/>
      <c r="C9454" s="7"/>
      <c r="D9454" s="7"/>
      <c r="E9454" s="5"/>
      <c r="F9454" s="5"/>
      <c r="G9454" s="17"/>
      <c r="H9454" s="10"/>
      <c r="I9454" s="17"/>
    </row>
    <row r="9455" ht="14.25">
      <c r="A9455" s="5"/>
      <c r="B9455" s="13"/>
      <c r="C9455" s="7"/>
      <c r="D9455" s="7"/>
      <c r="E9455" s="5"/>
      <c r="F9455" s="5"/>
      <c r="G9455" s="17"/>
      <c r="H9455" s="10"/>
      <c r="I9455" s="17"/>
    </row>
    <row r="9456" ht="14.25">
      <c r="A9456" s="5"/>
      <c r="B9456" s="13"/>
      <c r="C9456" s="7"/>
      <c r="D9456" s="7"/>
      <c r="E9456" s="5"/>
      <c r="F9456" s="5"/>
      <c r="G9456" s="17"/>
      <c r="H9456" s="10"/>
      <c r="I9456" s="17"/>
    </row>
    <row r="9457" ht="14.25">
      <c r="A9457" s="5"/>
      <c r="B9457" s="13"/>
      <c r="C9457" s="7"/>
      <c r="D9457" s="7"/>
      <c r="E9457" s="5"/>
      <c r="F9457" s="5"/>
      <c r="G9457" s="17"/>
      <c r="H9457" s="10"/>
      <c r="I9457" s="17"/>
    </row>
    <row r="9458" ht="14.25">
      <c r="A9458" s="5"/>
      <c r="B9458" s="13"/>
      <c r="C9458" s="7"/>
      <c r="D9458" s="7"/>
      <c r="E9458" s="5"/>
      <c r="F9458" s="5"/>
      <c r="G9458" s="17"/>
      <c r="H9458" s="10"/>
      <c r="I9458" s="17"/>
    </row>
    <row r="9459" ht="14.25">
      <c r="A9459" s="5"/>
      <c r="B9459" s="13"/>
      <c r="C9459" s="7"/>
      <c r="D9459" s="7"/>
      <c r="E9459" s="5"/>
      <c r="F9459" s="5"/>
      <c r="G9459" s="17"/>
      <c r="H9459" s="10"/>
      <c r="I9459" s="17"/>
    </row>
    <row r="9460" ht="14.25">
      <c r="A9460" s="5"/>
      <c r="B9460" s="13"/>
      <c r="C9460" s="7"/>
      <c r="D9460" s="7"/>
      <c r="E9460" s="5"/>
      <c r="F9460" s="5"/>
      <c r="G9460" s="17"/>
      <c r="H9460" s="10"/>
      <c r="I9460" s="17"/>
    </row>
    <row r="9461" ht="14.25">
      <c r="A9461" s="5"/>
      <c r="B9461" s="13"/>
      <c r="C9461" s="7"/>
      <c r="D9461" s="7"/>
      <c r="E9461" s="5"/>
      <c r="F9461" s="5"/>
      <c r="G9461" s="17"/>
      <c r="H9461" s="10"/>
      <c r="I9461" s="17"/>
    </row>
    <row r="9462" ht="14.25">
      <c r="A9462" s="5"/>
      <c r="B9462" s="13"/>
      <c r="C9462" s="7"/>
      <c r="D9462" s="7"/>
      <c r="E9462" s="5"/>
      <c r="F9462" s="5"/>
      <c r="G9462" s="17"/>
      <c r="H9462" s="10"/>
      <c r="I9462" s="17"/>
    </row>
    <row r="9463" ht="14.25">
      <c r="A9463" s="5"/>
      <c r="B9463" s="13"/>
      <c r="C9463" s="7"/>
      <c r="D9463" s="7"/>
      <c r="E9463" s="5"/>
      <c r="F9463" s="5"/>
      <c r="G9463" s="17"/>
      <c r="H9463" s="10"/>
      <c r="I9463" s="17"/>
    </row>
    <row r="9464" ht="14.25">
      <c r="A9464" s="5"/>
      <c r="B9464" s="13"/>
      <c r="C9464" s="7"/>
      <c r="D9464" s="7"/>
      <c r="E9464" s="5"/>
      <c r="F9464" s="5"/>
      <c r="G9464" s="17"/>
      <c r="H9464" s="10"/>
      <c r="I9464" s="17"/>
    </row>
    <row r="9465" ht="14.25">
      <c r="A9465" s="5"/>
      <c r="B9465" s="13"/>
      <c r="C9465" s="7"/>
      <c r="D9465" s="7"/>
      <c r="E9465" s="5"/>
      <c r="F9465" s="5"/>
      <c r="G9465" s="17"/>
      <c r="H9465" s="10"/>
      <c r="I9465" s="17"/>
    </row>
    <row r="9466" ht="14.25">
      <c r="A9466" s="5"/>
      <c r="B9466" s="13"/>
      <c r="C9466" s="7"/>
      <c r="D9466" s="7"/>
      <c r="E9466" s="5"/>
      <c r="F9466" s="5"/>
      <c r="G9466" s="17"/>
      <c r="H9466" s="10"/>
      <c r="I9466" s="17"/>
    </row>
    <row r="9467" ht="14.25">
      <c r="A9467" s="5"/>
      <c r="B9467" s="13"/>
      <c r="C9467" s="7"/>
      <c r="D9467" s="7"/>
      <c r="E9467" s="5"/>
      <c r="F9467" s="5"/>
      <c r="G9467" s="17"/>
      <c r="H9467" s="10"/>
      <c r="I9467" s="17"/>
    </row>
    <row r="9468" ht="14.25">
      <c r="A9468" s="5"/>
      <c r="B9468" s="13"/>
      <c r="C9468" s="7"/>
      <c r="D9468" s="7"/>
      <c r="E9468" s="5"/>
      <c r="F9468" s="5"/>
      <c r="G9468" s="17"/>
      <c r="H9468" s="10"/>
      <c r="I9468" s="17"/>
    </row>
    <row r="9469" ht="14.25">
      <c r="A9469" s="5"/>
      <c r="B9469" s="13"/>
      <c r="C9469" s="7"/>
      <c r="D9469" s="7"/>
      <c r="E9469" s="5"/>
      <c r="F9469" s="5"/>
      <c r="G9469" s="17"/>
      <c r="H9469" s="10"/>
      <c r="I9469" s="17"/>
    </row>
    <row r="9470" ht="14.25">
      <c r="A9470" s="5"/>
      <c r="B9470" s="13"/>
      <c r="C9470" s="7"/>
      <c r="D9470" s="7"/>
      <c r="E9470" s="5"/>
      <c r="F9470" s="5"/>
      <c r="G9470" s="17"/>
      <c r="H9470" s="10"/>
      <c r="I9470" s="17"/>
    </row>
    <row r="9471" ht="14.25">
      <c r="A9471" s="5"/>
      <c r="B9471" s="13"/>
      <c r="C9471" s="7"/>
      <c r="D9471" s="7"/>
      <c r="E9471" s="5"/>
      <c r="F9471" s="5"/>
      <c r="G9471" s="17"/>
      <c r="H9471" s="10"/>
      <c r="I9471" s="17"/>
    </row>
    <row r="9472" ht="14.25">
      <c r="A9472" s="5"/>
      <c r="B9472" s="13"/>
      <c r="C9472" s="7"/>
      <c r="D9472" s="7"/>
      <c r="E9472" s="5"/>
      <c r="F9472" s="5"/>
      <c r="G9472" s="17"/>
      <c r="H9472" s="10"/>
      <c r="I9472" s="17"/>
    </row>
    <row r="9473" ht="14.25">
      <c r="A9473" s="5"/>
      <c r="B9473" s="13"/>
      <c r="C9473" s="7"/>
      <c r="D9473" s="7"/>
      <c r="E9473" s="5"/>
      <c r="F9473" s="5"/>
      <c r="G9473" s="17"/>
      <c r="H9473" s="10"/>
      <c r="I9473" s="17"/>
    </row>
    <row r="9474" ht="14.25">
      <c r="A9474" s="5"/>
      <c r="B9474" s="13"/>
      <c r="C9474" s="7"/>
      <c r="D9474" s="7"/>
      <c r="E9474" s="5"/>
      <c r="F9474" s="5"/>
      <c r="G9474" s="17"/>
      <c r="H9474" s="10"/>
      <c r="I9474" s="17"/>
    </row>
    <row r="9475" ht="14.25">
      <c r="A9475" s="5"/>
      <c r="B9475" s="13"/>
      <c r="C9475" s="7"/>
      <c r="D9475" s="7"/>
      <c r="E9475" s="5"/>
      <c r="F9475" s="5"/>
      <c r="G9475" s="17"/>
      <c r="H9475" s="10"/>
      <c r="I9475" s="17"/>
    </row>
    <row r="9476" ht="14.25">
      <c r="A9476" s="5"/>
      <c r="B9476" s="13"/>
      <c r="C9476" s="7"/>
      <c r="D9476" s="7"/>
      <c r="E9476" s="5"/>
      <c r="F9476" s="5"/>
      <c r="G9476" s="17"/>
      <c r="H9476" s="10"/>
      <c r="I9476" s="17"/>
    </row>
    <row r="9477" ht="14.25">
      <c r="A9477" s="5"/>
      <c r="B9477" s="13"/>
      <c r="C9477" s="7"/>
      <c r="D9477" s="7"/>
      <c r="E9477" s="5"/>
      <c r="F9477" s="5"/>
      <c r="G9477" s="17"/>
      <c r="H9477" s="10"/>
      <c r="I9477" s="17"/>
    </row>
    <row r="9478" ht="14.25">
      <c r="A9478" s="5"/>
      <c r="B9478" s="13"/>
      <c r="C9478" s="7"/>
      <c r="D9478" s="7"/>
      <c r="E9478" s="5"/>
      <c r="F9478" s="5"/>
      <c r="G9478" s="17"/>
      <c r="H9478" s="10"/>
      <c r="I9478" s="17"/>
    </row>
    <row r="9479" ht="14.25">
      <c r="A9479" s="5"/>
      <c r="B9479" s="13"/>
      <c r="C9479" s="7"/>
      <c r="D9479" s="7"/>
      <c r="E9479" s="5"/>
      <c r="F9479" s="5"/>
      <c r="G9479" s="17"/>
      <c r="H9479" s="10"/>
      <c r="I9479" s="17"/>
    </row>
    <row r="9480" ht="14.25">
      <c r="A9480" s="5"/>
      <c r="B9480" s="13"/>
      <c r="C9480" s="7"/>
      <c r="D9480" s="7"/>
      <c r="E9480" s="5"/>
      <c r="F9480" s="5"/>
      <c r="G9480" s="17"/>
      <c r="H9480" s="10"/>
      <c r="I9480" s="17"/>
    </row>
    <row r="9481" ht="14.25">
      <c r="A9481" s="5"/>
      <c r="B9481" s="13"/>
      <c r="C9481" s="7"/>
      <c r="D9481" s="7"/>
      <c r="E9481" s="5"/>
      <c r="F9481" s="5"/>
      <c r="G9481" s="17"/>
      <c r="H9481" s="10"/>
      <c r="I9481" s="17"/>
    </row>
    <row r="9482" ht="14.25">
      <c r="A9482" s="5"/>
      <c r="B9482" s="13"/>
      <c r="C9482" s="7"/>
      <c r="D9482" s="7"/>
      <c r="E9482" s="5"/>
      <c r="F9482" s="5"/>
      <c r="G9482" s="17"/>
      <c r="H9482" s="10"/>
      <c r="I9482" s="17"/>
    </row>
    <row r="9483" ht="14.25">
      <c r="A9483" s="5"/>
      <c r="B9483" s="13"/>
      <c r="C9483" s="7"/>
      <c r="D9483" s="7"/>
      <c r="E9483" s="5"/>
      <c r="F9483" s="5"/>
      <c r="G9483" s="17"/>
      <c r="H9483" s="10"/>
      <c r="I9483" s="17"/>
    </row>
    <row r="9484" ht="14.25">
      <c r="A9484" s="5"/>
      <c r="B9484" s="13"/>
      <c r="C9484" s="7"/>
      <c r="D9484" s="7"/>
      <c r="E9484" s="5"/>
      <c r="F9484" s="5"/>
      <c r="G9484" s="17"/>
      <c r="H9484" s="10"/>
      <c r="I9484" s="17"/>
    </row>
    <row r="9485" ht="14.25">
      <c r="A9485" s="5"/>
      <c r="B9485" s="13"/>
      <c r="C9485" s="7"/>
      <c r="D9485" s="7"/>
      <c r="E9485" s="5"/>
      <c r="F9485" s="5"/>
      <c r="G9485" s="17"/>
      <c r="H9485" s="10"/>
      <c r="I9485" s="17"/>
    </row>
    <row r="9486" ht="14.25">
      <c r="A9486" s="5"/>
      <c r="B9486" s="13"/>
      <c r="C9486" s="7"/>
      <c r="D9486" s="7"/>
      <c r="E9486" s="5"/>
      <c r="F9486" s="5"/>
      <c r="G9486" s="17"/>
      <c r="H9486" s="10"/>
      <c r="I9486" s="17"/>
    </row>
    <row r="9487" ht="14.25">
      <c r="A9487" s="5"/>
      <c r="B9487" s="13"/>
      <c r="C9487" s="7"/>
      <c r="D9487" s="7"/>
      <c r="E9487" s="5"/>
      <c r="F9487" s="5"/>
      <c r="G9487" s="17"/>
      <c r="H9487" s="10"/>
      <c r="I9487" s="17"/>
    </row>
    <row r="9488" ht="14.25">
      <c r="A9488" s="5"/>
      <c r="B9488" s="13"/>
      <c r="C9488" s="7"/>
      <c r="D9488" s="7"/>
      <c r="E9488" s="5"/>
      <c r="F9488" s="5"/>
      <c r="G9488" s="17"/>
      <c r="H9488" s="10"/>
      <c r="I9488" s="17"/>
    </row>
    <row r="9489" ht="14.25">
      <c r="A9489" s="5"/>
      <c r="B9489" s="13"/>
      <c r="C9489" s="7"/>
      <c r="D9489" s="7"/>
      <c r="E9489" s="5"/>
      <c r="F9489" s="5"/>
      <c r="G9489" s="17"/>
      <c r="H9489" s="10"/>
      <c r="I9489" s="17"/>
    </row>
    <row r="9490" ht="14.25">
      <c r="A9490" s="5"/>
      <c r="B9490" s="13"/>
      <c r="C9490" s="7"/>
      <c r="D9490" s="7"/>
      <c r="E9490" s="5"/>
      <c r="F9490" s="5"/>
      <c r="G9490" s="17"/>
      <c r="H9490" s="10"/>
      <c r="I9490" s="17"/>
    </row>
    <row r="9491" ht="14.25">
      <c r="A9491" s="5"/>
      <c r="B9491" s="13"/>
      <c r="C9491" s="7"/>
      <c r="D9491" s="7"/>
      <c r="E9491" s="5"/>
      <c r="F9491" s="5"/>
      <c r="G9491" s="17"/>
      <c r="H9491" s="10"/>
      <c r="I9491" s="17"/>
    </row>
    <row r="9492" ht="14.25">
      <c r="A9492" s="5"/>
      <c r="B9492" s="13"/>
      <c r="C9492" s="7"/>
      <c r="D9492" s="7"/>
      <c r="E9492" s="5"/>
      <c r="F9492" s="5"/>
      <c r="G9492" s="17"/>
      <c r="H9492" s="10"/>
      <c r="I9492" s="17"/>
    </row>
    <row r="9493" ht="14.25">
      <c r="A9493" s="5"/>
      <c r="B9493" s="13"/>
      <c r="C9493" s="7"/>
      <c r="D9493" s="7"/>
      <c r="E9493" s="5"/>
      <c r="F9493" s="5"/>
      <c r="G9493" s="17"/>
      <c r="H9493" s="10"/>
      <c r="I9493" s="17"/>
    </row>
    <row r="9494" ht="14.25">
      <c r="A9494" s="5"/>
      <c r="B9494" s="13"/>
      <c r="C9494" s="7"/>
      <c r="D9494" s="7"/>
      <c r="E9494" s="5"/>
      <c r="F9494" s="5"/>
      <c r="G9494" s="17"/>
      <c r="H9494" s="10"/>
      <c r="I9494" s="17"/>
    </row>
    <row r="9495" ht="14.25">
      <c r="A9495" s="5"/>
      <c r="B9495" s="13"/>
      <c r="C9495" s="7"/>
      <c r="D9495" s="7"/>
      <c r="E9495" s="5"/>
      <c r="F9495" s="5"/>
      <c r="G9495" s="17"/>
      <c r="H9495" s="10"/>
      <c r="I9495" s="17"/>
    </row>
    <row r="9496" ht="14.25">
      <c r="A9496" s="5"/>
      <c r="B9496" s="13"/>
      <c r="C9496" s="7"/>
      <c r="D9496" s="7"/>
      <c r="E9496" s="5"/>
      <c r="F9496" s="5"/>
      <c r="G9496" s="17"/>
      <c r="H9496" s="10"/>
      <c r="I9496" s="17"/>
    </row>
    <row r="9497" ht="14.25">
      <c r="A9497" s="5"/>
      <c r="B9497" s="13"/>
      <c r="C9497" s="7"/>
      <c r="D9497" s="7"/>
      <c r="E9497" s="5"/>
      <c r="F9497" s="5"/>
      <c r="G9497" s="17"/>
      <c r="H9497" s="10"/>
      <c r="I9497" s="17"/>
    </row>
    <row r="9498" ht="14.25">
      <c r="A9498" s="5"/>
      <c r="B9498" s="13"/>
      <c r="C9498" s="7"/>
      <c r="D9498" s="7"/>
      <c r="E9498" s="5"/>
      <c r="F9498" s="5"/>
      <c r="G9498" s="17"/>
      <c r="H9498" s="10"/>
      <c r="I9498" s="17"/>
    </row>
    <row r="9499" ht="14.25">
      <c r="A9499" s="5"/>
      <c r="B9499" s="13"/>
      <c r="C9499" s="7"/>
      <c r="D9499" s="7"/>
      <c r="E9499" s="5"/>
      <c r="F9499" s="5"/>
      <c r="G9499" s="17"/>
      <c r="H9499" s="10"/>
      <c r="I9499" s="17"/>
    </row>
    <row r="9500" ht="14.25">
      <c r="A9500" s="5"/>
      <c r="B9500" s="13"/>
      <c r="C9500" s="7"/>
      <c r="D9500" s="7"/>
      <c r="E9500" s="5"/>
      <c r="F9500" s="5"/>
      <c r="G9500" s="17"/>
      <c r="H9500" s="10"/>
      <c r="I9500" s="17"/>
    </row>
    <row r="9501" ht="14.25">
      <c r="A9501" s="5"/>
      <c r="B9501" s="13"/>
      <c r="C9501" s="7"/>
      <c r="D9501" s="7"/>
      <c r="E9501" s="5"/>
      <c r="F9501" s="5"/>
      <c r="G9501" s="17"/>
      <c r="H9501" s="10"/>
      <c r="I9501" s="17"/>
    </row>
    <row r="9502" ht="14.25">
      <c r="A9502" s="5"/>
      <c r="B9502" s="13"/>
      <c r="C9502" s="7"/>
      <c r="D9502" s="7"/>
      <c r="E9502" s="5"/>
      <c r="F9502" s="5"/>
      <c r="G9502" s="17"/>
      <c r="H9502" s="10"/>
      <c r="I9502" s="17"/>
    </row>
    <row r="9503" ht="14.25">
      <c r="A9503" s="5"/>
      <c r="B9503" s="13"/>
      <c r="C9503" s="7"/>
      <c r="D9503" s="7"/>
      <c r="E9503" s="5"/>
      <c r="F9503" s="5"/>
      <c r="G9503" s="17"/>
      <c r="H9503" s="10"/>
      <c r="I9503" s="17"/>
    </row>
    <row r="9504" ht="14.25">
      <c r="A9504" s="5"/>
      <c r="B9504" s="13"/>
      <c r="C9504" s="7"/>
      <c r="D9504" s="7"/>
      <c r="E9504" s="5"/>
      <c r="F9504" s="5"/>
      <c r="G9504" s="17"/>
      <c r="H9504" s="10"/>
      <c r="I9504" s="17"/>
    </row>
    <row r="9505" ht="14.25">
      <c r="A9505" s="5"/>
      <c r="B9505" s="13"/>
      <c r="C9505" s="7"/>
      <c r="D9505" s="7"/>
      <c r="E9505" s="5"/>
      <c r="F9505" s="5"/>
      <c r="G9505" s="17"/>
      <c r="H9505" s="10"/>
      <c r="I9505" s="17"/>
    </row>
    <row r="9506" ht="14.25">
      <c r="A9506" s="5"/>
      <c r="B9506" s="13"/>
      <c r="C9506" s="7"/>
      <c r="D9506" s="7"/>
      <c r="E9506" s="5"/>
      <c r="F9506" s="5"/>
      <c r="G9506" s="17"/>
      <c r="H9506" s="10"/>
      <c r="I9506" s="17"/>
    </row>
    <row r="9507" ht="14.25">
      <c r="A9507" s="5"/>
      <c r="B9507" s="13"/>
      <c r="C9507" s="7"/>
      <c r="D9507" s="7"/>
      <c r="E9507" s="5"/>
      <c r="F9507" s="5"/>
      <c r="G9507" s="17"/>
      <c r="H9507" s="10"/>
      <c r="I9507" s="17"/>
    </row>
    <row r="9508" ht="14.25">
      <c r="A9508" s="5"/>
      <c r="B9508" s="13"/>
      <c r="C9508" s="7"/>
      <c r="D9508" s="7"/>
      <c r="E9508" s="5"/>
      <c r="F9508" s="5"/>
      <c r="G9508" s="17"/>
      <c r="H9508" s="10"/>
      <c r="I9508" s="17"/>
    </row>
    <row r="9509" ht="14.25">
      <c r="A9509" s="5"/>
      <c r="B9509" s="13"/>
      <c r="C9509" s="7"/>
      <c r="D9509" s="7"/>
      <c r="E9509" s="5"/>
      <c r="F9509" s="5"/>
      <c r="G9509" s="17"/>
      <c r="H9509" s="10"/>
      <c r="I9509" s="17"/>
    </row>
    <row r="9510" ht="14.25">
      <c r="A9510" s="5"/>
      <c r="B9510" s="13"/>
      <c r="C9510" s="7"/>
      <c r="D9510" s="7"/>
      <c r="E9510" s="5"/>
      <c r="F9510" s="5"/>
      <c r="G9510" s="17"/>
      <c r="H9510" s="10"/>
      <c r="I9510" s="17"/>
    </row>
    <row r="9511" ht="14.25">
      <c r="A9511" s="5"/>
      <c r="B9511" s="13"/>
      <c r="C9511" s="7"/>
      <c r="D9511" s="7"/>
      <c r="E9511" s="5"/>
      <c r="F9511" s="5"/>
      <c r="G9511" s="17"/>
      <c r="H9511" s="10"/>
      <c r="I9511" s="17"/>
    </row>
    <row r="9512" ht="14.25">
      <c r="A9512" s="5"/>
      <c r="B9512" s="13"/>
      <c r="C9512" s="7"/>
      <c r="D9512" s="7"/>
      <c r="E9512" s="5"/>
      <c r="F9512" s="5"/>
      <c r="G9512" s="17"/>
      <c r="H9512" s="10"/>
      <c r="I9512" s="17"/>
    </row>
    <row r="9513" ht="14.25">
      <c r="A9513" s="5"/>
      <c r="B9513" s="13"/>
      <c r="C9513" s="7"/>
      <c r="D9513" s="7"/>
      <c r="E9513" s="5"/>
      <c r="F9513" s="5"/>
      <c r="G9513" s="17"/>
      <c r="H9513" s="10"/>
      <c r="I9513" s="17"/>
    </row>
    <row r="9514" ht="14.25">
      <c r="A9514" s="5"/>
      <c r="B9514" s="13"/>
      <c r="C9514" s="7"/>
      <c r="D9514" s="7"/>
      <c r="E9514" s="5"/>
      <c r="F9514" s="5"/>
      <c r="G9514" s="17"/>
      <c r="H9514" s="10"/>
      <c r="I9514" s="17"/>
    </row>
    <row r="9515" ht="14.25">
      <c r="A9515" s="5"/>
      <c r="B9515" s="13"/>
      <c r="C9515" s="7"/>
      <c r="D9515" s="7"/>
      <c r="E9515" s="5"/>
      <c r="F9515" s="5"/>
      <c r="G9515" s="17"/>
      <c r="H9515" s="10"/>
      <c r="I9515" s="17"/>
    </row>
    <row r="9516" ht="14.25">
      <c r="A9516" s="5"/>
      <c r="B9516" s="13"/>
      <c r="C9516" s="7"/>
      <c r="D9516" s="7"/>
      <c r="E9516" s="5"/>
      <c r="F9516" s="5"/>
      <c r="G9516" s="17"/>
      <c r="H9516" s="10"/>
      <c r="I9516" s="17"/>
    </row>
    <row r="9517" ht="14.25">
      <c r="A9517" s="5"/>
      <c r="B9517" s="13"/>
      <c r="C9517" s="7"/>
      <c r="D9517" s="7"/>
      <c r="E9517" s="5"/>
      <c r="F9517" s="5"/>
      <c r="G9517" s="17"/>
      <c r="H9517" s="10"/>
      <c r="I9517" s="17"/>
    </row>
    <row r="9518" ht="14.25">
      <c r="A9518" s="5"/>
      <c r="B9518" s="13"/>
      <c r="C9518" s="7"/>
      <c r="D9518" s="7"/>
      <c r="E9518" s="5"/>
      <c r="F9518" s="5"/>
      <c r="G9518" s="17"/>
      <c r="H9518" s="10"/>
      <c r="I9518" s="17"/>
    </row>
    <row r="9519" ht="14.25">
      <c r="A9519" s="5"/>
      <c r="B9519" s="13"/>
      <c r="C9519" s="7"/>
      <c r="D9519" s="7"/>
      <c r="E9519" s="5"/>
      <c r="F9519" s="5"/>
      <c r="G9519" s="17"/>
      <c r="H9519" s="10"/>
      <c r="I9519" s="17"/>
    </row>
    <row r="9520" ht="14.25">
      <c r="A9520" s="5"/>
      <c r="B9520" s="13"/>
      <c r="C9520" s="7"/>
      <c r="D9520" s="7"/>
      <c r="E9520" s="5"/>
      <c r="F9520" s="5"/>
      <c r="G9520" s="17"/>
      <c r="H9520" s="10"/>
      <c r="I9520" s="17"/>
    </row>
    <row r="9521" ht="14.25">
      <c r="A9521" s="5"/>
      <c r="B9521" s="13"/>
      <c r="C9521" s="7"/>
      <c r="D9521" s="7"/>
      <c r="E9521" s="5"/>
      <c r="F9521" s="5"/>
      <c r="G9521" s="17"/>
      <c r="H9521" s="10"/>
      <c r="I9521" s="17"/>
    </row>
    <row r="9522" ht="14.25">
      <c r="A9522" s="5"/>
      <c r="B9522" s="13"/>
      <c r="C9522" s="7"/>
      <c r="D9522" s="7"/>
      <c r="E9522" s="5"/>
      <c r="F9522" s="5"/>
      <c r="G9522" s="17"/>
      <c r="H9522" s="10"/>
      <c r="I9522" s="17"/>
    </row>
    <row r="9523" ht="14.25">
      <c r="A9523" s="5"/>
      <c r="B9523" s="13"/>
      <c r="C9523" s="7"/>
      <c r="D9523" s="7"/>
      <c r="E9523" s="5"/>
      <c r="F9523" s="5"/>
      <c r="G9523" s="17"/>
      <c r="H9523" s="10"/>
      <c r="I9523" s="17"/>
    </row>
    <row r="9524" ht="14.25">
      <c r="A9524" s="5"/>
      <c r="B9524" s="13"/>
      <c r="C9524" s="7"/>
      <c r="D9524" s="7"/>
      <c r="E9524" s="5"/>
      <c r="F9524" s="5"/>
      <c r="G9524" s="17"/>
      <c r="H9524" s="10"/>
      <c r="I9524" s="17"/>
    </row>
    <row r="9525" ht="14.25">
      <c r="A9525" s="5"/>
      <c r="B9525" s="13"/>
      <c r="C9525" s="7"/>
      <c r="D9525" s="7"/>
      <c r="E9525" s="5"/>
      <c r="F9525" s="5"/>
      <c r="G9525" s="17"/>
      <c r="H9525" s="10"/>
      <c r="I9525" s="17"/>
    </row>
    <row r="9526" ht="14.25">
      <c r="A9526" s="5"/>
      <c r="B9526" s="13"/>
      <c r="C9526" s="7"/>
      <c r="D9526" s="7"/>
      <c r="E9526" s="5"/>
      <c r="F9526" s="5"/>
      <c r="G9526" s="17"/>
      <c r="H9526" s="10"/>
      <c r="I9526" s="17"/>
    </row>
    <row r="9527" ht="14.25">
      <c r="A9527" s="5"/>
      <c r="B9527" s="13"/>
      <c r="C9527" s="7"/>
      <c r="D9527" s="7"/>
      <c r="E9527" s="5"/>
      <c r="F9527" s="5"/>
      <c r="G9527" s="17"/>
      <c r="H9527" s="10"/>
      <c r="I9527" s="17"/>
    </row>
    <row r="9528" ht="14.25">
      <c r="A9528" s="5"/>
      <c r="B9528" s="13"/>
      <c r="C9528" s="7"/>
      <c r="D9528" s="7"/>
      <c r="E9528" s="5"/>
      <c r="F9528" s="5"/>
      <c r="G9528" s="17"/>
      <c r="H9528" s="10"/>
      <c r="I9528" s="17"/>
    </row>
    <row r="9529" ht="14.25">
      <c r="A9529" s="5"/>
      <c r="B9529" s="13"/>
      <c r="C9529" s="7"/>
      <c r="D9529" s="7"/>
      <c r="E9529" s="5"/>
      <c r="F9529" s="5"/>
      <c r="G9529" s="17"/>
      <c r="H9529" s="10"/>
      <c r="I9529" s="17"/>
    </row>
    <row r="9530" ht="14.25">
      <c r="A9530" s="5"/>
      <c r="B9530" s="13"/>
      <c r="C9530" s="7"/>
      <c r="D9530" s="7"/>
      <c r="E9530" s="5"/>
      <c r="F9530" s="5"/>
      <c r="G9530" s="17"/>
      <c r="H9530" s="10"/>
      <c r="I9530" s="17"/>
    </row>
    <row r="9531" ht="14.25">
      <c r="A9531" s="5"/>
      <c r="B9531" s="13"/>
      <c r="C9531" s="7"/>
      <c r="D9531" s="7"/>
      <c r="E9531" s="5"/>
      <c r="F9531" s="5"/>
      <c r="G9531" s="17"/>
      <c r="H9531" s="10"/>
      <c r="I9531" s="17"/>
    </row>
    <row r="9532" ht="14.25">
      <c r="A9532" s="5"/>
      <c r="B9532" s="13"/>
      <c r="C9532" s="7"/>
      <c r="D9532" s="7"/>
      <c r="E9532" s="5"/>
      <c r="F9532" s="5"/>
      <c r="G9532" s="17"/>
      <c r="H9532" s="10"/>
      <c r="I9532" s="17"/>
    </row>
    <row r="9533" ht="14.25">
      <c r="A9533" s="5"/>
      <c r="B9533" s="13"/>
      <c r="C9533" s="7"/>
      <c r="D9533" s="7"/>
      <c r="E9533" s="5"/>
      <c r="F9533" s="5"/>
      <c r="G9533" s="17"/>
      <c r="H9533" s="10"/>
      <c r="I9533" s="17"/>
    </row>
    <row r="9534" ht="14.25">
      <c r="A9534" s="5"/>
      <c r="B9534" s="13"/>
      <c r="C9534" s="7"/>
      <c r="D9534" s="7"/>
      <c r="E9534" s="5"/>
      <c r="F9534" s="5"/>
      <c r="G9534" s="17"/>
      <c r="H9534" s="10"/>
      <c r="I9534" s="17"/>
    </row>
    <row r="9535" ht="14.25">
      <c r="A9535" s="5"/>
      <c r="B9535" s="13"/>
      <c r="C9535" s="7"/>
      <c r="D9535" s="7"/>
      <c r="E9535" s="5"/>
      <c r="F9535" s="5"/>
      <c r="G9535" s="17"/>
      <c r="H9535" s="10"/>
      <c r="I9535" s="17"/>
    </row>
    <row r="9536" ht="14.25">
      <c r="A9536" s="5"/>
      <c r="B9536" s="13"/>
      <c r="C9536" s="7"/>
      <c r="D9536" s="7"/>
      <c r="E9536" s="5"/>
      <c r="F9536" s="5"/>
      <c r="G9536" s="17"/>
      <c r="H9536" s="10"/>
      <c r="I9536" s="17"/>
    </row>
    <row r="9537" ht="14.25">
      <c r="A9537" s="5"/>
      <c r="B9537" s="13"/>
      <c r="C9537" s="7"/>
      <c r="D9537" s="7"/>
      <c r="E9537" s="5"/>
      <c r="F9537" s="5"/>
      <c r="G9537" s="17"/>
      <c r="H9537" s="10"/>
      <c r="I9537" s="17"/>
    </row>
    <row r="9538" ht="14.25">
      <c r="A9538" s="5"/>
      <c r="B9538" s="13"/>
      <c r="C9538" s="7"/>
      <c r="D9538" s="7"/>
      <c r="E9538" s="5"/>
      <c r="F9538" s="5"/>
      <c r="G9538" s="17"/>
      <c r="H9538" s="10"/>
      <c r="I9538" s="17"/>
    </row>
    <row r="9539" ht="14.25">
      <c r="A9539" s="5"/>
      <c r="B9539" s="13"/>
      <c r="C9539" s="7"/>
      <c r="D9539" s="7"/>
      <c r="E9539" s="5"/>
      <c r="F9539" s="5"/>
      <c r="G9539" s="17"/>
      <c r="H9539" s="10"/>
      <c r="I9539" s="17"/>
    </row>
    <row r="9540" ht="14.25">
      <c r="A9540" s="5"/>
      <c r="B9540" s="13"/>
      <c r="C9540" s="7"/>
      <c r="D9540" s="7"/>
      <c r="E9540" s="5"/>
      <c r="F9540" s="5"/>
      <c r="G9540" s="17"/>
      <c r="H9540" s="10"/>
      <c r="I9540" s="17"/>
    </row>
    <row r="9541" ht="14.25">
      <c r="A9541" s="5"/>
      <c r="B9541" s="13"/>
      <c r="C9541" s="7"/>
      <c r="D9541" s="7"/>
      <c r="E9541" s="5"/>
      <c r="F9541" s="5"/>
      <c r="G9541" s="17"/>
      <c r="H9541" s="10"/>
      <c r="I9541" s="17"/>
    </row>
    <row r="9542" ht="14.25">
      <c r="A9542" s="5"/>
      <c r="B9542" s="13"/>
      <c r="C9542" s="7"/>
      <c r="D9542" s="7"/>
      <c r="E9542" s="5"/>
      <c r="F9542" s="5"/>
      <c r="G9542" s="17"/>
      <c r="H9542" s="10"/>
      <c r="I9542" s="17"/>
    </row>
    <row r="9543" ht="14.25">
      <c r="A9543" s="5"/>
      <c r="B9543" s="13"/>
      <c r="C9543" s="7"/>
      <c r="D9543" s="7"/>
      <c r="E9543" s="5"/>
      <c r="F9543" s="5"/>
      <c r="G9543" s="17"/>
      <c r="H9543" s="10"/>
      <c r="I9543" s="17"/>
    </row>
    <row r="9544" ht="14.25">
      <c r="A9544" s="5"/>
      <c r="B9544" s="13"/>
      <c r="C9544" s="7"/>
      <c r="D9544" s="7"/>
      <c r="E9544" s="5"/>
      <c r="F9544" s="5"/>
      <c r="G9544" s="17"/>
      <c r="H9544" s="10"/>
      <c r="I9544" s="17"/>
    </row>
    <row r="9545" ht="14.25">
      <c r="A9545" s="5"/>
      <c r="B9545" s="13"/>
      <c r="C9545" s="7"/>
      <c r="D9545" s="7"/>
      <c r="E9545" s="5"/>
      <c r="F9545" s="5"/>
      <c r="G9545" s="17"/>
      <c r="H9545" s="10"/>
      <c r="I9545" s="17"/>
    </row>
    <row r="9546" ht="14.25">
      <c r="A9546" s="5"/>
      <c r="B9546" s="13"/>
      <c r="C9546" s="7"/>
      <c r="D9546" s="7"/>
      <c r="E9546" s="5"/>
      <c r="F9546" s="5"/>
      <c r="G9546" s="17"/>
      <c r="H9546" s="10"/>
      <c r="I9546" s="17"/>
    </row>
    <row r="9547" ht="14.25">
      <c r="A9547" s="5"/>
      <c r="B9547" s="13"/>
      <c r="C9547" s="7"/>
      <c r="D9547" s="7"/>
      <c r="E9547" s="5"/>
      <c r="F9547" s="5"/>
      <c r="G9547" s="17"/>
      <c r="H9547" s="10"/>
      <c r="I9547" s="17"/>
    </row>
    <row r="9548" ht="14.25">
      <c r="A9548" s="5"/>
      <c r="B9548" s="13"/>
      <c r="C9548" s="7"/>
      <c r="D9548" s="7"/>
      <c r="E9548" s="5"/>
      <c r="F9548" s="5"/>
      <c r="G9548" s="17"/>
      <c r="H9548" s="10"/>
      <c r="I9548" s="17"/>
    </row>
    <row r="9549" ht="14.25">
      <c r="A9549" s="5"/>
      <c r="B9549" s="13"/>
      <c r="C9549" s="7"/>
      <c r="D9549" s="7"/>
      <c r="E9549" s="5"/>
      <c r="F9549" s="5"/>
      <c r="G9549" s="17"/>
      <c r="H9549" s="10"/>
      <c r="I9549" s="17"/>
    </row>
    <row r="9550" ht="14.25">
      <c r="A9550" s="5"/>
      <c r="B9550" s="13"/>
      <c r="C9550" s="7"/>
      <c r="D9550" s="7"/>
      <c r="E9550" s="5"/>
      <c r="F9550" s="5"/>
      <c r="G9550" s="17"/>
      <c r="H9550" s="10"/>
      <c r="I9550" s="17"/>
    </row>
    <row r="9551" ht="14.25">
      <c r="A9551" s="5"/>
      <c r="B9551" s="13"/>
      <c r="C9551" s="7"/>
      <c r="D9551" s="7"/>
      <c r="E9551" s="5"/>
      <c r="F9551" s="5"/>
      <c r="G9551" s="17"/>
      <c r="H9551" s="10"/>
      <c r="I9551" s="17"/>
    </row>
    <row r="9552" ht="14.25">
      <c r="A9552" s="5"/>
      <c r="B9552" s="13"/>
      <c r="C9552" s="7"/>
      <c r="D9552" s="7"/>
      <c r="E9552" s="5"/>
      <c r="F9552" s="5"/>
      <c r="G9552" s="17"/>
      <c r="H9552" s="10"/>
      <c r="I9552" s="17"/>
    </row>
    <row r="9553" ht="14.25">
      <c r="A9553" s="5"/>
      <c r="B9553" s="13"/>
      <c r="C9553" s="7"/>
      <c r="D9553" s="7"/>
      <c r="E9553" s="5"/>
      <c r="F9553" s="5"/>
      <c r="G9553" s="17"/>
      <c r="H9553" s="10"/>
      <c r="I9553" s="17"/>
    </row>
    <row r="9554" ht="14.25">
      <c r="A9554" s="5"/>
      <c r="B9554" s="13"/>
      <c r="C9554" s="7"/>
      <c r="D9554" s="7"/>
      <c r="E9554" s="5"/>
      <c r="F9554" s="5"/>
      <c r="G9554" s="17"/>
      <c r="H9554" s="10"/>
      <c r="I9554" s="17"/>
    </row>
    <row r="9555" ht="14.25">
      <c r="A9555" s="5"/>
      <c r="B9555" s="13"/>
      <c r="C9555" s="7"/>
      <c r="D9555" s="7"/>
      <c r="E9555" s="5"/>
      <c r="F9555" s="5"/>
      <c r="G9555" s="17"/>
      <c r="H9555" s="10"/>
      <c r="I9555" s="17"/>
    </row>
    <row r="9556" ht="14.25">
      <c r="A9556" s="5"/>
      <c r="B9556" s="13"/>
      <c r="C9556" s="7"/>
      <c r="D9556" s="7"/>
      <c r="E9556" s="5"/>
      <c r="F9556" s="5"/>
      <c r="G9556" s="17"/>
      <c r="H9556" s="10"/>
      <c r="I9556" s="17"/>
    </row>
    <row r="9557" ht="14.25">
      <c r="A9557" s="5"/>
      <c r="B9557" s="13"/>
      <c r="C9557" s="7"/>
      <c r="D9557" s="7"/>
      <c r="E9557" s="5"/>
      <c r="F9557" s="5"/>
      <c r="G9557" s="17"/>
      <c r="H9557" s="10"/>
      <c r="I9557" s="17"/>
    </row>
    <row r="9558" ht="14.25">
      <c r="A9558" s="5"/>
      <c r="B9558" s="13"/>
      <c r="C9558" s="7"/>
      <c r="D9558" s="7"/>
      <c r="E9558" s="5"/>
      <c r="F9558" s="5"/>
      <c r="G9558" s="17"/>
      <c r="H9558" s="10"/>
      <c r="I9558" s="17"/>
    </row>
    <row r="9559" ht="14.25">
      <c r="A9559" s="5"/>
      <c r="B9559" s="13"/>
      <c r="C9559" s="7"/>
      <c r="D9559" s="7"/>
      <c r="E9559" s="5"/>
      <c r="F9559" s="5"/>
      <c r="G9559" s="17"/>
      <c r="H9559" s="10"/>
      <c r="I9559" s="17"/>
    </row>
    <row r="9560" ht="14.25">
      <c r="A9560" s="5"/>
      <c r="B9560" s="13"/>
      <c r="C9560" s="7"/>
      <c r="D9560" s="7"/>
      <c r="E9560" s="5"/>
      <c r="F9560" s="5"/>
      <c r="G9560" s="17"/>
      <c r="H9560" s="10"/>
      <c r="I9560" s="17"/>
    </row>
    <row r="9561" ht="14.25">
      <c r="A9561" s="5"/>
      <c r="B9561" s="13"/>
      <c r="C9561" s="7"/>
      <c r="D9561" s="7"/>
      <c r="E9561" s="5"/>
      <c r="F9561" s="5"/>
      <c r="G9561" s="17"/>
      <c r="H9561" s="10"/>
      <c r="I9561" s="17"/>
    </row>
    <row r="9562" ht="14.25">
      <c r="A9562" s="5"/>
      <c r="B9562" s="13"/>
      <c r="C9562" s="7"/>
      <c r="D9562" s="7"/>
      <c r="E9562" s="5"/>
      <c r="F9562" s="5"/>
      <c r="G9562" s="17"/>
      <c r="H9562" s="10"/>
      <c r="I9562" s="17"/>
    </row>
    <row r="9563" ht="14.25">
      <c r="A9563" s="5"/>
      <c r="B9563" s="13"/>
      <c r="C9563" s="7"/>
      <c r="D9563" s="7"/>
      <c r="E9563" s="5"/>
      <c r="F9563" s="5"/>
      <c r="G9563" s="17"/>
      <c r="H9563" s="10"/>
      <c r="I9563" s="17"/>
    </row>
    <row r="9564" ht="14.25">
      <c r="A9564" s="5"/>
      <c r="B9564" s="13"/>
      <c r="C9564" s="7"/>
      <c r="D9564" s="7"/>
      <c r="E9564" s="5"/>
      <c r="F9564" s="5"/>
      <c r="G9564" s="17"/>
      <c r="H9564" s="10"/>
      <c r="I9564" s="17"/>
    </row>
    <row r="9565" ht="14.25">
      <c r="A9565" s="5"/>
      <c r="B9565" s="13"/>
      <c r="C9565" s="7"/>
      <c r="D9565" s="7"/>
      <c r="E9565" s="5"/>
      <c r="F9565" s="5"/>
      <c r="G9565" s="17"/>
      <c r="H9565" s="10"/>
      <c r="I9565" s="17"/>
    </row>
    <row r="9566" ht="14.25">
      <c r="A9566" s="5"/>
      <c r="B9566" s="13"/>
      <c r="C9566" s="7"/>
      <c r="D9566" s="7"/>
      <c r="E9566" s="5"/>
      <c r="F9566" s="5"/>
      <c r="G9566" s="17"/>
      <c r="H9566" s="10"/>
      <c r="I9566" s="17"/>
    </row>
    <row r="9567" ht="14.25">
      <c r="A9567" s="5"/>
      <c r="B9567" s="13"/>
      <c r="C9567" s="7"/>
      <c r="D9567" s="7"/>
      <c r="E9567" s="5"/>
      <c r="F9567" s="5"/>
      <c r="G9567" s="17"/>
      <c r="H9567" s="10"/>
      <c r="I9567" s="17"/>
    </row>
    <row r="9568" ht="14.25">
      <c r="A9568" s="5"/>
      <c r="B9568" s="13"/>
      <c r="C9568" s="7"/>
      <c r="D9568" s="7"/>
      <c r="E9568" s="5"/>
      <c r="F9568" s="5"/>
      <c r="G9568" s="17"/>
      <c r="H9568" s="10"/>
      <c r="I9568" s="17"/>
    </row>
    <row r="9569" ht="14.25">
      <c r="A9569" s="5"/>
      <c r="B9569" s="13"/>
      <c r="C9569" s="7"/>
      <c r="D9569" s="7"/>
      <c r="E9569" s="5"/>
      <c r="F9569" s="5"/>
      <c r="G9569" s="17"/>
      <c r="H9569" s="10"/>
      <c r="I9569" s="17"/>
    </row>
    <row r="9570" ht="14.25">
      <c r="A9570" s="5"/>
      <c r="B9570" s="13"/>
      <c r="C9570" s="7"/>
      <c r="D9570" s="7"/>
      <c r="E9570" s="5"/>
      <c r="F9570" s="5"/>
      <c r="G9570" s="17"/>
      <c r="H9570" s="10"/>
      <c r="I9570" s="17"/>
    </row>
    <row r="9571" ht="14.25">
      <c r="A9571" s="5"/>
      <c r="B9571" s="13"/>
      <c r="C9571" s="7"/>
      <c r="D9571" s="7"/>
      <c r="E9571" s="5"/>
      <c r="F9571" s="5"/>
      <c r="G9571" s="17"/>
      <c r="H9571" s="10"/>
      <c r="I9571" s="17"/>
    </row>
    <row r="9572" ht="14.25">
      <c r="A9572" s="5"/>
      <c r="B9572" s="13"/>
      <c r="C9572" s="7"/>
      <c r="D9572" s="7"/>
      <c r="E9572" s="5"/>
      <c r="F9572" s="5"/>
      <c r="G9572" s="17"/>
      <c r="H9572" s="10"/>
      <c r="I9572" s="17"/>
    </row>
    <row r="9573" ht="14.25">
      <c r="A9573" s="5"/>
      <c r="B9573" s="13"/>
      <c r="C9573" s="7"/>
      <c r="D9573" s="7"/>
      <c r="E9573" s="5"/>
      <c r="F9573" s="5"/>
      <c r="G9573" s="17"/>
      <c r="H9573" s="10"/>
      <c r="I9573" s="17"/>
    </row>
    <row r="9574" ht="14.25">
      <c r="A9574" s="5"/>
      <c r="B9574" s="13"/>
      <c r="C9574" s="7"/>
      <c r="D9574" s="7"/>
      <c r="E9574" s="5"/>
      <c r="F9574" s="5"/>
      <c r="G9574" s="17"/>
      <c r="H9574" s="10"/>
      <c r="I9574" s="17"/>
    </row>
    <row r="9575" ht="14.25">
      <c r="A9575" s="5"/>
      <c r="B9575" s="13"/>
      <c r="C9575" s="7"/>
      <c r="D9575" s="7"/>
      <c r="E9575" s="5"/>
      <c r="F9575" s="5"/>
      <c r="G9575" s="17"/>
      <c r="H9575" s="10"/>
      <c r="I9575" s="17"/>
    </row>
    <row r="9576" ht="14.25">
      <c r="A9576" s="5"/>
      <c r="B9576" s="13"/>
      <c r="C9576" s="7"/>
      <c r="D9576" s="7"/>
      <c r="E9576" s="5"/>
      <c r="F9576" s="5"/>
      <c r="G9576" s="17"/>
      <c r="H9576" s="10"/>
      <c r="I9576" s="17"/>
    </row>
    <row r="9577" ht="14.25">
      <c r="A9577" s="5"/>
      <c r="B9577" s="13"/>
      <c r="C9577" s="7"/>
      <c r="D9577" s="7"/>
      <c r="E9577" s="5"/>
      <c r="F9577" s="5"/>
      <c r="G9577" s="17"/>
      <c r="H9577" s="10"/>
      <c r="I9577" s="17"/>
    </row>
    <row r="9578" ht="14.25">
      <c r="A9578" s="5"/>
      <c r="B9578" s="13"/>
      <c r="C9578" s="7"/>
      <c r="D9578" s="7"/>
      <c r="E9578" s="5"/>
      <c r="F9578" s="5"/>
      <c r="G9578" s="17"/>
      <c r="H9578" s="10"/>
      <c r="I9578" s="17"/>
    </row>
    <row r="9579" ht="14.25">
      <c r="A9579" s="5"/>
      <c r="B9579" s="13"/>
      <c r="C9579" s="7"/>
      <c r="D9579" s="7"/>
      <c r="E9579" s="5"/>
      <c r="F9579" s="5"/>
      <c r="G9579" s="17"/>
      <c r="H9579" s="10"/>
      <c r="I9579" s="17"/>
    </row>
    <row r="9580" ht="14.25">
      <c r="A9580" s="5"/>
      <c r="B9580" s="13"/>
      <c r="C9580" s="7"/>
      <c r="D9580" s="7"/>
      <c r="E9580" s="5"/>
      <c r="F9580" s="5"/>
      <c r="G9580" s="17"/>
      <c r="H9580" s="10"/>
      <c r="I9580" s="17"/>
    </row>
    <row r="9581" ht="14.25">
      <c r="A9581" s="5"/>
      <c r="B9581" s="13"/>
      <c r="C9581" s="7"/>
      <c r="D9581" s="7"/>
      <c r="E9581" s="5"/>
      <c r="F9581" s="5"/>
      <c r="G9581" s="17"/>
      <c r="H9581" s="10"/>
      <c r="I9581" s="17"/>
    </row>
    <row r="9582" ht="14.25">
      <c r="A9582" s="5"/>
      <c r="B9582" s="13"/>
      <c r="C9582" s="7"/>
      <c r="D9582" s="7"/>
      <c r="E9582" s="5"/>
      <c r="F9582" s="5"/>
      <c r="G9582" s="17"/>
      <c r="H9582" s="10"/>
      <c r="I9582" s="17"/>
    </row>
    <row r="9583" ht="14.25">
      <c r="A9583" s="5"/>
      <c r="B9583" s="13"/>
      <c r="C9583" s="7"/>
      <c r="D9583" s="7"/>
      <c r="E9583" s="5"/>
      <c r="F9583" s="5"/>
      <c r="G9583" s="17"/>
      <c r="H9583" s="10"/>
      <c r="I9583" s="17"/>
    </row>
    <row r="9584" ht="14.25">
      <c r="A9584" s="5"/>
      <c r="B9584" s="13"/>
      <c r="C9584" s="7"/>
      <c r="D9584" s="7"/>
      <c r="E9584" s="5"/>
      <c r="F9584" s="5"/>
      <c r="G9584" s="17"/>
      <c r="H9584" s="10"/>
      <c r="I9584" s="17"/>
    </row>
    <row r="9585" ht="14.25">
      <c r="A9585" s="5"/>
      <c r="B9585" s="13"/>
      <c r="C9585" s="7"/>
      <c r="D9585" s="7"/>
      <c r="E9585" s="5"/>
      <c r="F9585" s="5"/>
      <c r="G9585" s="17"/>
      <c r="H9585" s="10"/>
      <c r="I9585" s="17"/>
    </row>
    <row r="9586" ht="14.25">
      <c r="A9586" s="5"/>
      <c r="B9586" s="13"/>
      <c r="C9586" s="7"/>
      <c r="D9586" s="7"/>
      <c r="E9586" s="5"/>
      <c r="F9586" s="5"/>
      <c r="G9586" s="17"/>
      <c r="H9586" s="10"/>
      <c r="I9586" s="17"/>
    </row>
    <row r="9587" ht="14.25">
      <c r="A9587" s="5"/>
      <c r="B9587" s="13"/>
      <c r="C9587" s="7"/>
      <c r="D9587" s="7"/>
      <c r="E9587" s="5"/>
      <c r="F9587" s="5"/>
      <c r="G9587" s="17"/>
      <c r="H9587" s="10"/>
      <c r="I9587" s="17"/>
    </row>
    <row r="9588" ht="14.25">
      <c r="A9588" s="5"/>
      <c r="B9588" s="13"/>
      <c r="C9588" s="7"/>
      <c r="D9588" s="7"/>
      <c r="E9588" s="5"/>
      <c r="F9588" s="5"/>
      <c r="G9588" s="17"/>
      <c r="H9588" s="10"/>
      <c r="I9588" s="17"/>
    </row>
    <row r="9589" ht="14.25">
      <c r="A9589" s="5"/>
      <c r="B9589" s="13"/>
      <c r="C9589" s="7"/>
      <c r="D9589" s="7"/>
      <c r="E9589" s="5"/>
      <c r="F9589" s="5"/>
      <c r="G9589" s="17"/>
      <c r="H9589" s="10"/>
      <c r="I9589" s="17"/>
    </row>
    <row r="9590" ht="14.25">
      <c r="A9590" s="5"/>
      <c r="B9590" s="13"/>
      <c r="C9590" s="7"/>
      <c r="D9590" s="7"/>
      <c r="E9590" s="5"/>
      <c r="F9590" s="5"/>
      <c r="G9590" s="17"/>
      <c r="H9590" s="10"/>
      <c r="I9590" s="17"/>
    </row>
    <row r="9591" ht="14.25">
      <c r="A9591" s="5"/>
      <c r="B9591" s="13"/>
      <c r="C9591" s="7"/>
      <c r="D9591" s="7"/>
      <c r="E9591" s="5"/>
      <c r="F9591" s="5"/>
      <c r="G9591" s="17"/>
      <c r="H9591" s="10"/>
      <c r="I9591" s="17"/>
    </row>
    <row r="9592" ht="14.25">
      <c r="A9592" s="5"/>
      <c r="B9592" s="13"/>
      <c r="C9592" s="7"/>
      <c r="D9592" s="7"/>
      <c r="E9592" s="5"/>
      <c r="F9592" s="5"/>
      <c r="G9592" s="17"/>
      <c r="H9592" s="10"/>
      <c r="I9592" s="17"/>
    </row>
    <row r="9593" ht="14.25">
      <c r="A9593" s="5"/>
      <c r="B9593" s="13"/>
      <c r="C9593" s="7"/>
      <c r="D9593" s="7"/>
      <c r="E9593" s="5"/>
      <c r="F9593" s="5"/>
      <c r="G9593" s="17"/>
      <c r="H9593" s="10"/>
      <c r="I9593" s="17"/>
    </row>
    <row r="9594" ht="14.25">
      <c r="A9594" s="5"/>
      <c r="B9594" s="13"/>
      <c r="C9594" s="7"/>
      <c r="D9594" s="7"/>
      <c r="E9594" s="5"/>
      <c r="F9594" s="5"/>
      <c r="G9594" s="17"/>
      <c r="H9594" s="10"/>
      <c r="I9594" s="17"/>
    </row>
    <row r="9595" ht="14.25">
      <c r="A9595" s="5"/>
      <c r="B9595" s="13"/>
      <c r="C9595" s="7"/>
      <c r="D9595" s="7"/>
      <c r="E9595" s="5"/>
      <c r="F9595" s="5"/>
      <c r="G9595" s="17"/>
      <c r="H9595" s="10"/>
      <c r="I9595" s="17"/>
    </row>
    <row r="9596" ht="14.25">
      <c r="A9596" s="5"/>
      <c r="B9596" s="13"/>
      <c r="C9596" s="7"/>
      <c r="D9596" s="7"/>
      <c r="E9596" s="5"/>
      <c r="F9596" s="5"/>
      <c r="G9596" s="17"/>
      <c r="H9596" s="10"/>
      <c r="I9596" s="17"/>
    </row>
    <row r="9597" ht="14.25">
      <c r="A9597" s="5"/>
      <c r="B9597" s="13"/>
      <c r="C9597" s="7"/>
      <c r="D9597" s="7"/>
      <c r="E9597" s="5"/>
      <c r="F9597" s="5"/>
      <c r="G9597" s="17"/>
      <c r="H9597" s="10"/>
      <c r="I9597" s="17"/>
    </row>
    <row r="9598" ht="14.25">
      <c r="A9598" s="5"/>
      <c r="B9598" s="13"/>
      <c r="C9598" s="7"/>
      <c r="D9598" s="7"/>
      <c r="E9598" s="5"/>
      <c r="F9598" s="5"/>
      <c r="G9598" s="17"/>
      <c r="H9598" s="10"/>
      <c r="I9598" s="17"/>
    </row>
    <row r="9599" ht="14.25">
      <c r="A9599" s="5"/>
      <c r="B9599" s="13"/>
      <c r="C9599" s="7"/>
      <c r="D9599" s="7"/>
      <c r="E9599" s="5"/>
      <c r="F9599" s="5"/>
      <c r="G9599" s="17"/>
      <c r="H9599" s="10"/>
      <c r="I9599" s="17"/>
    </row>
    <row r="9600" ht="14.25">
      <c r="A9600" s="5"/>
      <c r="B9600" s="13"/>
      <c r="C9600" s="7"/>
      <c r="D9600" s="7"/>
      <c r="E9600" s="5"/>
      <c r="F9600" s="5"/>
      <c r="G9600" s="17"/>
      <c r="H9600" s="10"/>
      <c r="I9600" s="17"/>
    </row>
    <row r="9601" ht="14.25">
      <c r="A9601" s="5"/>
      <c r="B9601" s="13"/>
      <c r="C9601" s="7"/>
      <c r="D9601" s="7"/>
      <c r="E9601" s="5"/>
      <c r="F9601" s="5"/>
      <c r="G9601" s="17"/>
      <c r="H9601" s="10"/>
      <c r="I9601" s="17"/>
    </row>
    <row r="9602" ht="14.25">
      <c r="A9602" s="5"/>
      <c r="B9602" s="13"/>
      <c r="C9602" s="7"/>
      <c r="D9602" s="7"/>
      <c r="E9602" s="5"/>
      <c r="F9602" s="5"/>
      <c r="G9602" s="17"/>
      <c r="H9602" s="10"/>
      <c r="I9602" s="17"/>
    </row>
    <row r="9603" ht="14.25">
      <c r="A9603" s="5"/>
      <c r="B9603" s="13"/>
      <c r="C9603" s="7"/>
      <c r="D9603" s="7"/>
      <c r="E9603" s="5"/>
      <c r="F9603" s="5"/>
      <c r="G9603" s="17"/>
      <c r="H9603" s="10"/>
      <c r="I9603" s="17"/>
    </row>
    <row r="9604" ht="14.25">
      <c r="A9604" s="5"/>
      <c r="B9604" s="13"/>
      <c r="C9604" s="7"/>
      <c r="D9604" s="7"/>
      <c r="E9604" s="5"/>
      <c r="F9604" s="5"/>
      <c r="G9604" s="17"/>
      <c r="H9604" s="10"/>
      <c r="I9604" s="17"/>
    </row>
    <row r="9605" ht="14.25">
      <c r="A9605" s="5"/>
      <c r="B9605" s="13"/>
      <c r="C9605" s="7"/>
      <c r="D9605" s="7"/>
      <c r="E9605" s="5"/>
      <c r="F9605" s="5"/>
      <c r="G9605" s="17"/>
      <c r="H9605" s="10"/>
      <c r="I9605" s="17"/>
    </row>
    <row r="9606" ht="14.25">
      <c r="A9606" s="5"/>
      <c r="B9606" s="13"/>
      <c r="C9606" s="7"/>
      <c r="D9606" s="7"/>
      <c r="E9606" s="5"/>
      <c r="F9606" s="5"/>
      <c r="G9606" s="17"/>
      <c r="H9606" s="10"/>
      <c r="I9606" s="17"/>
    </row>
    <row r="9607" ht="14.25">
      <c r="A9607" s="5"/>
      <c r="B9607" s="13"/>
      <c r="C9607" s="7"/>
      <c r="D9607" s="7"/>
      <c r="E9607" s="5"/>
      <c r="F9607" s="5"/>
      <c r="G9607" s="17"/>
      <c r="H9607" s="10"/>
      <c r="I9607" s="17"/>
    </row>
    <row r="9608" ht="14.25">
      <c r="A9608" s="5"/>
      <c r="B9608" s="13"/>
      <c r="C9608" s="7"/>
      <c r="D9608" s="7"/>
      <c r="E9608" s="5"/>
      <c r="F9608" s="5"/>
      <c r="G9608" s="17"/>
      <c r="H9608" s="10"/>
      <c r="I9608" s="17"/>
    </row>
    <row r="9609" ht="14.25">
      <c r="A9609" s="5"/>
      <c r="B9609" s="13"/>
      <c r="C9609" s="7"/>
      <c r="D9609" s="7"/>
      <c r="E9609" s="5"/>
      <c r="F9609" s="5"/>
      <c r="G9609" s="17"/>
      <c r="H9609" s="10"/>
      <c r="I9609" s="17"/>
    </row>
    <row r="9610" ht="14.25">
      <c r="A9610" s="5"/>
      <c r="B9610" s="13"/>
      <c r="C9610" s="7"/>
      <c r="D9610" s="7"/>
      <c r="E9610" s="5"/>
      <c r="F9610" s="5"/>
      <c r="G9610" s="17"/>
      <c r="H9610" s="10"/>
      <c r="I9610" s="17"/>
    </row>
    <row r="9611" ht="14.25">
      <c r="A9611" s="5"/>
      <c r="B9611" s="13"/>
      <c r="C9611" s="7"/>
      <c r="D9611" s="7"/>
      <c r="E9611" s="5"/>
      <c r="F9611" s="5"/>
      <c r="G9611" s="17"/>
      <c r="H9611" s="10"/>
      <c r="I9611" s="17"/>
    </row>
    <row r="9612" ht="14.25">
      <c r="A9612" s="5"/>
      <c r="B9612" s="13"/>
      <c r="C9612" s="7"/>
      <c r="D9612" s="7"/>
      <c r="E9612" s="5"/>
      <c r="F9612" s="5"/>
      <c r="G9612" s="17"/>
      <c r="H9612" s="10"/>
      <c r="I9612" s="17"/>
    </row>
    <row r="9613" ht="14.25">
      <c r="A9613" s="5"/>
      <c r="B9613" s="13"/>
      <c r="C9613" s="7"/>
      <c r="D9613" s="7"/>
      <c r="E9613" s="5"/>
      <c r="F9613" s="5"/>
      <c r="G9613" s="17"/>
      <c r="H9613" s="10"/>
      <c r="I9613" s="17"/>
    </row>
    <row r="9614" ht="14.25">
      <c r="A9614" s="5"/>
      <c r="B9614" s="13"/>
      <c r="C9614" s="7"/>
      <c r="D9614" s="7"/>
      <c r="E9614" s="5"/>
      <c r="F9614" s="5"/>
      <c r="G9614" s="17"/>
      <c r="H9614" s="10"/>
      <c r="I9614" s="17"/>
    </row>
    <row r="9615" ht="14.25">
      <c r="A9615" s="5"/>
      <c r="B9615" s="13"/>
      <c r="C9615" s="7"/>
      <c r="D9615" s="7"/>
      <c r="E9615" s="5"/>
      <c r="F9615" s="5"/>
      <c r="G9615" s="17"/>
      <c r="H9615" s="10"/>
      <c r="I9615" s="17"/>
    </row>
    <row r="9616" ht="14.25">
      <c r="A9616" s="5"/>
      <c r="B9616" s="13"/>
      <c r="C9616" s="7"/>
      <c r="D9616" s="7"/>
      <c r="E9616" s="5"/>
      <c r="F9616" s="5"/>
      <c r="G9616" s="17"/>
      <c r="H9616" s="10"/>
      <c r="I9616" s="17"/>
    </row>
    <row r="9617" ht="14.25">
      <c r="A9617" s="5"/>
      <c r="B9617" s="13"/>
      <c r="C9617" s="7"/>
      <c r="D9617" s="7"/>
      <c r="E9617" s="5"/>
      <c r="F9617" s="5"/>
      <c r="G9617" s="17"/>
      <c r="H9617" s="10"/>
      <c r="I9617" s="17"/>
    </row>
    <row r="9618" ht="14.25">
      <c r="A9618" s="5"/>
      <c r="B9618" s="13"/>
      <c r="C9618" s="7"/>
      <c r="D9618" s="7"/>
      <c r="E9618" s="5"/>
      <c r="F9618" s="5"/>
      <c r="G9618" s="17"/>
      <c r="H9618" s="10"/>
      <c r="I9618" s="17"/>
    </row>
    <row r="9619" ht="14.25">
      <c r="A9619" s="5"/>
      <c r="B9619" s="13"/>
      <c r="C9619" s="7"/>
      <c r="D9619" s="7"/>
      <c r="E9619" s="5"/>
      <c r="F9619" s="5"/>
      <c r="G9619" s="17"/>
      <c r="H9619" s="10"/>
      <c r="I9619" s="17"/>
    </row>
    <row r="9620" ht="14.25">
      <c r="A9620" s="5"/>
      <c r="B9620" s="13"/>
      <c r="C9620" s="7"/>
      <c r="D9620" s="7"/>
      <c r="E9620" s="5"/>
      <c r="F9620" s="5"/>
      <c r="G9620" s="17"/>
      <c r="H9620" s="10"/>
      <c r="I9620" s="17"/>
    </row>
    <row r="9621" ht="14.25">
      <c r="A9621" s="5"/>
      <c r="B9621" s="13"/>
      <c r="C9621" s="7"/>
      <c r="D9621" s="7"/>
      <c r="E9621" s="5"/>
      <c r="F9621" s="5"/>
      <c r="G9621" s="17"/>
      <c r="H9621" s="10"/>
      <c r="I9621" s="17"/>
    </row>
    <row r="9622" ht="14.25">
      <c r="A9622" s="5"/>
      <c r="B9622" s="13"/>
      <c r="C9622" s="7"/>
      <c r="D9622" s="7"/>
      <c r="E9622" s="5"/>
      <c r="F9622" s="5"/>
      <c r="G9622" s="17"/>
      <c r="H9622" s="10"/>
      <c r="I9622" s="17"/>
    </row>
    <row r="9623" ht="14.25">
      <c r="A9623" s="5"/>
      <c r="B9623" s="13"/>
      <c r="C9623" s="7"/>
      <c r="D9623" s="7"/>
      <c r="E9623" s="5"/>
      <c r="F9623" s="5"/>
      <c r="G9623" s="17"/>
      <c r="H9623" s="10"/>
      <c r="I9623" s="17"/>
    </row>
    <row r="9624" ht="14.25">
      <c r="A9624" s="5"/>
      <c r="B9624" s="13"/>
      <c r="C9624" s="7"/>
      <c r="D9624" s="7"/>
      <c r="E9624" s="5"/>
      <c r="F9624" s="5"/>
      <c r="G9624" s="17"/>
      <c r="H9624" s="10"/>
      <c r="I9624" s="17"/>
    </row>
    <row r="9625" ht="14.25">
      <c r="A9625" s="5"/>
      <c r="B9625" s="13"/>
      <c r="C9625" s="7"/>
      <c r="D9625" s="7"/>
      <c r="E9625" s="5"/>
      <c r="F9625" s="5"/>
      <c r="G9625" s="17"/>
      <c r="H9625" s="10"/>
      <c r="I9625" s="17"/>
    </row>
    <row r="9626" ht="14.25">
      <c r="A9626" s="5"/>
      <c r="B9626" s="13"/>
      <c r="C9626" s="7"/>
      <c r="D9626" s="7"/>
      <c r="E9626" s="5"/>
      <c r="F9626" s="5"/>
      <c r="G9626" s="17"/>
      <c r="H9626" s="10"/>
      <c r="I9626" s="17"/>
    </row>
    <row r="9627" ht="14.25">
      <c r="A9627" s="5"/>
      <c r="B9627" s="13"/>
      <c r="C9627" s="7"/>
      <c r="D9627" s="7"/>
      <c r="E9627" s="5"/>
      <c r="F9627" s="5"/>
      <c r="G9627" s="17"/>
      <c r="H9627" s="10"/>
      <c r="I9627" s="17"/>
    </row>
    <row r="9628" ht="14.25">
      <c r="A9628" s="5"/>
      <c r="B9628" s="13"/>
      <c r="C9628" s="7"/>
      <c r="D9628" s="7"/>
      <c r="E9628" s="5"/>
      <c r="F9628" s="5"/>
      <c r="G9628" s="17"/>
      <c r="H9628" s="10"/>
      <c r="I9628" s="17"/>
    </row>
    <row r="9629" ht="14.25">
      <c r="A9629" s="5"/>
      <c r="B9629" s="13"/>
      <c r="C9629" s="7"/>
      <c r="D9629" s="7"/>
      <c r="E9629" s="5"/>
      <c r="F9629" s="5"/>
      <c r="G9629" s="17"/>
      <c r="H9629" s="10"/>
      <c r="I9629" s="17"/>
    </row>
    <row r="9630" ht="14.25">
      <c r="A9630" s="5"/>
      <c r="B9630" s="13"/>
      <c r="C9630" s="7"/>
      <c r="D9630" s="7"/>
      <c r="E9630" s="5"/>
      <c r="F9630" s="5"/>
      <c r="G9630" s="17"/>
      <c r="H9630" s="10"/>
      <c r="I9630" s="17"/>
    </row>
    <row r="9631" ht="14.25">
      <c r="A9631" s="5"/>
      <c r="B9631" s="13"/>
      <c r="C9631" s="7"/>
      <c r="D9631" s="7"/>
      <c r="E9631" s="5"/>
      <c r="F9631" s="5"/>
      <c r="G9631" s="17"/>
      <c r="H9631" s="10"/>
      <c r="I9631" s="17"/>
    </row>
    <row r="9632" ht="14.25">
      <c r="A9632" s="5"/>
      <c r="B9632" s="13"/>
      <c r="C9632" s="7"/>
      <c r="D9632" s="7"/>
      <c r="E9632" s="5"/>
      <c r="F9632" s="5"/>
      <c r="G9632" s="17"/>
      <c r="H9632" s="10"/>
      <c r="I9632" s="17"/>
    </row>
    <row r="9633" ht="14.25">
      <c r="A9633" s="5"/>
      <c r="B9633" s="13"/>
      <c r="C9633" s="7"/>
      <c r="D9633" s="7"/>
      <c r="E9633" s="5"/>
      <c r="F9633" s="5"/>
      <c r="G9633" s="17"/>
      <c r="H9633" s="10"/>
      <c r="I9633" s="17"/>
    </row>
    <row r="9634" ht="14.25">
      <c r="A9634" s="5"/>
      <c r="B9634" s="13"/>
      <c r="C9634" s="7"/>
      <c r="D9634" s="7"/>
      <c r="E9634" s="5"/>
      <c r="F9634" s="5"/>
      <c r="G9634" s="17"/>
      <c r="H9634" s="10"/>
      <c r="I9634" s="17"/>
    </row>
    <row r="9635" ht="14.25">
      <c r="A9635" s="5"/>
      <c r="B9635" s="13"/>
      <c r="C9635" s="7"/>
      <c r="D9635" s="7"/>
      <c r="E9635" s="5"/>
      <c r="F9635" s="5"/>
      <c r="G9635" s="17"/>
      <c r="H9635" s="10"/>
      <c r="I9635" s="17"/>
    </row>
    <row r="9636" ht="14.25">
      <c r="A9636" s="5"/>
      <c r="B9636" s="13"/>
      <c r="C9636" s="7"/>
      <c r="D9636" s="7"/>
      <c r="E9636" s="5"/>
      <c r="F9636" s="5"/>
      <c r="G9636" s="17"/>
      <c r="H9636" s="10"/>
      <c r="I9636" s="17"/>
    </row>
    <row r="9637" ht="14.25">
      <c r="A9637" s="5"/>
      <c r="B9637" s="13"/>
      <c r="C9637" s="7"/>
      <c r="D9637" s="7"/>
      <c r="E9637" s="5"/>
      <c r="F9637" s="5"/>
      <c r="G9637" s="17"/>
      <c r="H9637" s="10"/>
      <c r="I9637" s="17"/>
    </row>
    <row r="9638" ht="14.25">
      <c r="A9638" s="5"/>
      <c r="B9638" s="13"/>
      <c r="C9638" s="7"/>
      <c r="D9638" s="7"/>
      <c r="E9638" s="5"/>
      <c r="F9638" s="5"/>
      <c r="G9638" s="17"/>
      <c r="H9638" s="10"/>
      <c r="I9638" s="17"/>
    </row>
    <row r="9639" ht="14.25">
      <c r="A9639" s="5"/>
      <c r="B9639" s="13"/>
      <c r="C9639" s="7"/>
      <c r="D9639" s="7"/>
      <c r="E9639" s="5"/>
      <c r="F9639" s="5"/>
      <c r="G9639" s="17"/>
      <c r="H9639" s="10"/>
      <c r="I9639" s="17"/>
    </row>
    <row r="9640" ht="14.25">
      <c r="A9640" s="5"/>
      <c r="B9640" s="13"/>
      <c r="C9640" s="7"/>
      <c r="D9640" s="7"/>
      <c r="E9640" s="5"/>
      <c r="F9640" s="5"/>
      <c r="G9640" s="17"/>
      <c r="H9640" s="10"/>
      <c r="I9640" s="17"/>
    </row>
    <row r="9641" ht="14.25">
      <c r="A9641" s="5"/>
      <c r="B9641" s="13"/>
      <c r="C9641" s="7"/>
      <c r="D9641" s="7"/>
      <c r="E9641" s="5"/>
      <c r="F9641" s="5"/>
      <c r="G9641" s="17"/>
      <c r="H9641" s="10"/>
      <c r="I9641" s="17"/>
    </row>
    <row r="9642" ht="14.25">
      <c r="A9642" s="5"/>
      <c r="B9642" s="13"/>
      <c r="C9642" s="7"/>
      <c r="D9642" s="7"/>
      <c r="E9642" s="5"/>
      <c r="F9642" s="5"/>
      <c r="G9642" s="17"/>
      <c r="H9642" s="10"/>
      <c r="I9642" s="17"/>
    </row>
    <row r="9643" ht="14.25">
      <c r="A9643" s="5"/>
      <c r="B9643" s="13"/>
      <c r="C9643" s="7"/>
      <c r="D9643" s="7"/>
      <c r="E9643" s="5"/>
      <c r="F9643" s="5"/>
      <c r="G9643" s="17"/>
      <c r="H9643" s="10"/>
      <c r="I9643" s="17"/>
    </row>
    <row r="9644" ht="14.25">
      <c r="A9644" s="5"/>
      <c r="B9644" s="13"/>
      <c r="C9644" s="7"/>
      <c r="D9644" s="7"/>
      <c r="E9644" s="5"/>
      <c r="F9644" s="5"/>
      <c r="G9644" s="17"/>
      <c r="H9644" s="10"/>
      <c r="I9644" s="17"/>
    </row>
    <row r="9645" ht="14.25">
      <c r="A9645" s="5"/>
      <c r="B9645" s="13"/>
      <c r="C9645" s="7"/>
      <c r="D9645" s="7"/>
      <c r="E9645" s="5"/>
      <c r="F9645" s="5"/>
      <c r="G9645" s="17"/>
      <c r="H9645" s="10"/>
      <c r="I9645" s="17"/>
    </row>
    <row r="9646" ht="14.25">
      <c r="A9646" s="5"/>
      <c r="B9646" s="13"/>
      <c r="C9646" s="7"/>
      <c r="D9646" s="7"/>
      <c r="E9646" s="5"/>
      <c r="F9646" s="5"/>
      <c r="G9646" s="17"/>
      <c r="H9646" s="10"/>
      <c r="I9646" s="17"/>
    </row>
    <row r="9647" ht="14.25">
      <c r="A9647" s="5"/>
      <c r="B9647" s="13"/>
      <c r="C9647" s="7"/>
      <c r="D9647" s="7"/>
      <c r="E9647" s="5"/>
      <c r="F9647" s="5"/>
      <c r="G9647" s="17"/>
      <c r="H9647" s="10"/>
      <c r="I9647" s="17"/>
    </row>
    <row r="9648" ht="14.25">
      <c r="A9648" s="5"/>
      <c r="B9648" s="13"/>
      <c r="C9648" s="7"/>
      <c r="D9648" s="7"/>
      <c r="E9648" s="5"/>
      <c r="F9648" s="5"/>
      <c r="G9648" s="17"/>
      <c r="H9648" s="10"/>
      <c r="I9648" s="17"/>
    </row>
    <row r="9649" ht="14.25">
      <c r="A9649" s="5"/>
      <c r="B9649" s="13"/>
      <c r="C9649" s="7"/>
      <c r="D9649" s="7"/>
      <c r="E9649" s="5"/>
      <c r="F9649" s="5"/>
      <c r="G9649" s="17"/>
      <c r="H9649" s="10"/>
      <c r="I9649" s="17"/>
    </row>
    <row r="9650" ht="14.25">
      <c r="A9650" s="5"/>
      <c r="B9650" s="13"/>
      <c r="C9650" s="7"/>
      <c r="D9650" s="7"/>
      <c r="E9650" s="5"/>
      <c r="F9650" s="5"/>
      <c r="G9650" s="17"/>
      <c r="H9650" s="10"/>
      <c r="I9650" s="17"/>
    </row>
    <row r="9651" ht="14.25">
      <c r="A9651" s="5"/>
      <c r="B9651" s="13"/>
      <c r="C9651" s="7"/>
      <c r="D9651" s="7"/>
      <c r="E9651" s="5"/>
      <c r="F9651" s="5"/>
      <c r="G9651" s="17"/>
      <c r="H9651" s="10"/>
      <c r="I9651" s="17"/>
    </row>
    <row r="9652" ht="14.25">
      <c r="A9652" s="5"/>
      <c r="B9652" s="13"/>
      <c r="C9652" s="7"/>
      <c r="D9652" s="7"/>
      <c r="E9652" s="5"/>
      <c r="F9652" s="5"/>
      <c r="G9652" s="17"/>
      <c r="H9652" s="10"/>
      <c r="I9652" s="17"/>
    </row>
    <row r="9653" ht="14.25">
      <c r="A9653" s="5"/>
      <c r="B9653" s="13"/>
      <c r="C9653" s="7"/>
      <c r="D9653" s="7"/>
      <c r="E9653" s="5"/>
      <c r="F9653" s="5"/>
      <c r="G9653" s="17"/>
      <c r="H9653" s="10"/>
      <c r="I9653" s="17"/>
    </row>
    <row r="9654" ht="14.25">
      <c r="A9654" s="5"/>
      <c r="B9654" s="13"/>
      <c r="C9654" s="7"/>
      <c r="D9654" s="7"/>
      <c r="E9654" s="5"/>
      <c r="F9654" s="5"/>
      <c r="G9654" s="17"/>
      <c r="H9654" s="10"/>
      <c r="I9654" s="17"/>
    </row>
    <row r="9655" ht="14.25">
      <c r="A9655" s="5"/>
      <c r="B9655" s="13"/>
      <c r="C9655" s="7"/>
      <c r="D9655" s="7"/>
      <c r="E9655" s="5"/>
      <c r="F9655" s="5"/>
      <c r="G9655" s="17"/>
      <c r="H9655" s="10"/>
      <c r="I9655" s="17"/>
    </row>
    <row r="9656" ht="14.25">
      <c r="A9656" s="5"/>
      <c r="B9656" s="13"/>
      <c r="C9656" s="7"/>
      <c r="D9656" s="7"/>
      <c r="E9656" s="5"/>
      <c r="F9656" s="5"/>
      <c r="G9656" s="17"/>
      <c r="H9656" s="10"/>
      <c r="I9656" s="17"/>
    </row>
    <row r="9657" ht="14.25">
      <c r="A9657" s="5"/>
      <c r="B9657" s="13"/>
      <c r="C9657" s="7"/>
      <c r="D9657" s="7"/>
      <c r="E9657" s="5"/>
      <c r="F9657" s="5"/>
      <c r="G9657" s="17"/>
      <c r="H9657" s="10"/>
      <c r="I9657" s="17"/>
    </row>
    <row r="9658" ht="14.25">
      <c r="A9658" s="5"/>
      <c r="B9658" s="13"/>
      <c r="C9658" s="7"/>
      <c r="D9658" s="7"/>
      <c r="E9658" s="5"/>
      <c r="F9658" s="5"/>
      <c r="G9658" s="17"/>
      <c r="H9658" s="10"/>
      <c r="I9658" s="17"/>
    </row>
    <row r="9659" ht="14.25">
      <c r="A9659" s="5"/>
      <c r="B9659" s="13"/>
      <c r="C9659" s="7"/>
      <c r="D9659" s="7"/>
      <c r="E9659" s="5"/>
      <c r="F9659" s="5"/>
      <c r="G9659" s="17"/>
      <c r="H9659" s="10"/>
      <c r="I9659" s="17"/>
    </row>
    <row r="9660" ht="14.25">
      <c r="A9660" s="5"/>
      <c r="B9660" s="13"/>
      <c r="C9660" s="7"/>
      <c r="D9660" s="7"/>
      <c r="E9660" s="5"/>
      <c r="F9660" s="5"/>
      <c r="G9660" s="17"/>
      <c r="H9660" s="10"/>
      <c r="I9660" s="17"/>
    </row>
    <row r="9661" ht="14.25">
      <c r="A9661" s="5"/>
      <c r="B9661" s="13"/>
      <c r="C9661" s="7"/>
      <c r="D9661" s="7"/>
      <c r="E9661" s="5"/>
      <c r="F9661" s="5"/>
      <c r="G9661" s="17"/>
      <c r="H9661" s="10"/>
      <c r="I9661" s="17"/>
    </row>
    <row r="9662" ht="14.25">
      <c r="A9662" s="5"/>
      <c r="B9662" s="13"/>
      <c r="C9662" s="7"/>
      <c r="D9662" s="7"/>
      <c r="E9662" s="5"/>
      <c r="F9662" s="5"/>
      <c r="G9662" s="17"/>
      <c r="H9662" s="10"/>
      <c r="I9662" s="17"/>
    </row>
    <row r="9663" ht="14.25">
      <c r="A9663" s="5"/>
      <c r="B9663" s="13"/>
      <c r="C9663" s="7"/>
      <c r="D9663" s="7"/>
      <c r="E9663" s="5"/>
      <c r="F9663" s="5"/>
      <c r="G9663" s="17"/>
      <c r="H9663" s="10"/>
      <c r="I9663" s="17"/>
    </row>
    <row r="9664" ht="14.25">
      <c r="A9664" s="5"/>
      <c r="B9664" s="13"/>
      <c r="C9664" s="7"/>
      <c r="D9664" s="7"/>
      <c r="E9664" s="5"/>
      <c r="F9664" s="5"/>
      <c r="G9664" s="17"/>
      <c r="H9664" s="10"/>
      <c r="I9664" s="17"/>
    </row>
    <row r="9665" ht="14.25">
      <c r="A9665" s="5"/>
      <c r="B9665" s="13"/>
      <c r="C9665" s="7"/>
      <c r="D9665" s="7"/>
      <c r="E9665" s="5"/>
      <c r="F9665" s="5"/>
      <c r="G9665" s="17"/>
      <c r="H9665" s="10"/>
      <c r="I9665" s="17"/>
    </row>
    <row r="9666" ht="14.25">
      <c r="A9666" s="5"/>
      <c r="B9666" s="13"/>
      <c r="C9666" s="7"/>
      <c r="D9666" s="7"/>
      <c r="E9666" s="5"/>
      <c r="F9666" s="5"/>
      <c r="G9666" s="17"/>
      <c r="H9666" s="10"/>
      <c r="I9666" s="17"/>
    </row>
    <row r="9667" ht="14.25">
      <c r="A9667" s="5"/>
      <c r="B9667" s="13"/>
      <c r="C9667" s="7"/>
      <c r="D9667" s="7"/>
      <c r="E9667" s="5"/>
      <c r="F9667" s="5"/>
      <c r="G9667" s="17"/>
      <c r="H9667" s="10"/>
      <c r="I9667" s="17"/>
    </row>
    <row r="9668" ht="14.25">
      <c r="A9668" s="5"/>
      <c r="B9668" s="13"/>
      <c r="C9668" s="7"/>
      <c r="D9668" s="7"/>
      <c r="E9668" s="5"/>
      <c r="F9668" s="5"/>
      <c r="G9668" s="17"/>
      <c r="H9668" s="10"/>
      <c r="I9668" s="17"/>
    </row>
    <row r="9669" ht="14.25">
      <c r="A9669" s="5"/>
      <c r="B9669" s="13"/>
      <c r="C9669" s="7"/>
      <c r="D9669" s="7"/>
      <c r="E9669" s="5"/>
      <c r="F9669" s="5"/>
      <c r="G9669" s="17"/>
      <c r="H9669" s="10"/>
      <c r="I9669" s="17"/>
    </row>
    <row r="9670" ht="14.25">
      <c r="A9670" s="5"/>
      <c r="B9670" s="13"/>
      <c r="C9670" s="7"/>
      <c r="D9670" s="7"/>
      <c r="E9670" s="5"/>
      <c r="F9670" s="5"/>
      <c r="G9670" s="17"/>
      <c r="H9670" s="10"/>
      <c r="I9670" s="17"/>
    </row>
    <row r="9671" ht="14.25">
      <c r="A9671" s="5"/>
      <c r="B9671" s="13"/>
      <c r="C9671" s="7"/>
      <c r="D9671" s="7"/>
      <c r="E9671" s="5"/>
      <c r="F9671" s="5"/>
      <c r="G9671" s="17"/>
      <c r="H9671" s="10"/>
      <c r="I9671" s="17"/>
    </row>
    <row r="9672" ht="14.25">
      <c r="A9672" s="5"/>
      <c r="B9672" s="13"/>
      <c r="C9672" s="7"/>
      <c r="D9672" s="7"/>
      <c r="E9672" s="5"/>
      <c r="F9672" s="5"/>
      <c r="G9672" s="17"/>
      <c r="H9672" s="10"/>
      <c r="I9672" s="17"/>
    </row>
    <row r="9673" ht="14.25">
      <c r="A9673" s="5"/>
      <c r="B9673" s="13"/>
      <c r="C9673" s="7"/>
      <c r="D9673" s="7"/>
      <c r="E9673" s="5"/>
      <c r="F9673" s="5"/>
      <c r="G9673" s="17"/>
      <c r="H9673" s="10"/>
      <c r="I9673" s="17"/>
    </row>
    <row r="9674" ht="14.25">
      <c r="A9674" s="5"/>
      <c r="B9674" s="13"/>
      <c r="C9674" s="7"/>
      <c r="D9674" s="7"/>
      <c r="E9674" s="5"/>
      <c r="F9674" s="5"/>
      <c r="G9674" s="17"/>
      <c r="H9674" s="10"/>
      <c r="I9674" s="17"/>
    </row>
    <row r="9675" ht="14.25">
      <c r="A9675" s="5"/>
      <c r="B9675" s="13"/>
      <c r="C9675" s="7"/>
      <c r="D9675" s="7"/>
      <c r="E9675" s="5"/>
      <c r="F9675" s="5"/>
      <c r="G9675" s="17"/>
      <c r="H9675" s="10"/>
      <c r="I9675" s="17"/>
    </row>
    <row r="9676" ht="14.25">
      <c r="A9676" s="5"/>
      <c r="B9676" s="13"/>
      <c r="C9676" s="7"/>
      <c r="D9676" s="7"/>
      <c r="E9676" s="5"/>
      <c r="F9676" s="5"/>
      <c r="G9676" s="17"/>
      <c r="H9676" s="10"/>
      <c r="I9676" s="17"/>
    </row>
    <row r="9677" ht="14.25">
      <c r="A9677" s="5"/>
      <c r="B9677" s="13"/>
      <c r="C9677" s="7"/>
      <c r="D9677" s="7"/>
      <c r="E9677" s="5"/>
      <c r="F9677" s="5"/>
      <c r="G9677" s="17"/>
      <c r="H9677" s="10"/>
      <c r="I9677" s="17"/>
    </row>
    <row r="9678" ht="14.25">
      <c r="A9678" s="5"/>
      <c r="B9678" s="13"/>
      <c r="C9678" s="7"/>
      <c r="D9678" s="7"/>
      <c r="E9678" s="5"/>
      <c r="F9678" s="5"/>
      <c r="G9678" s="17"/>
      <c r="H9678" s="10"/>
      <c r="I9678" s="17"/>
    </row>
    <row r="9679" ht="14.25">
      <c r="A9679" s="5"/>
      <c r="B9679" s="13"/>
      <c r="C9679" s="7"/>
      <c r="D9679" s="7"/>
      <c r="E9679" s="5"/>
      <c r="F9679" s="5"/>
      <c r="G9679" s="17"/>
      <c r="H9679" s="10"/>
      <c r="I9679" s="17"/>
    </row>
    <row r="9680" ht="14.25">
      <c r="A9680" s="5"/>
      <c r="B9680" s="13"/>
      <c r="C9680" s="7"/>
      <c r="D9680" s="7"/>
      <c r="E9680" s="5"/>
      <c r="F9680" s="5"/>
      <c r="G9680" s="17"/>
      <c r="H9680" s="10"/>
      <c r="I9680" s="17"/>
    </row>
    <row r="9681" ht="14.25">
      <c r="A9681" s="5"/>
      <c r="B9681" s="13"/>
      <c r="C9681" s="7"/>
      <c r="D9681" s="7"/>
      <c r="E9681" s="5"/>
      <c r="F9681" s="5"/>
      <c r="G9681" s="17"/>
      <c r="H9681" s="10"/>
      <c r="I9681" s="17"/>
    </row>
    <row r="9682" ht="14.25">
      <c r="A9682" s="5"/>
      <c r="B9682" s="13"/>
      <c r="C9682" s="7"/>
      <c r="D9682" s="7"/>
      <c r="E9682" s="5"/>
      <c r="F9682" s="5"/>
      <c r="G9682" s="17"/>
      <c r="H9682" s="10"/>
      <c r="I9682" s="17"/>
    </row>
    <row r="9683" ht="14.25">
      <c r="A9683" s="5"/>
      <c r="B9683" s="13"/>
      <c r="C9683" s="7"/>
      <c r="D9683" s="7"/>
      <c r="E9683" s="5"/>
      <c r="F9683" s="5"/>
      <c r="G9683" s="17"/>
      <c r="H9683" s="10"/>
      <c r="I9683" s="17"/>
    </row>
    <row r="9684" ht="14.25">
      <c r="A9684" s="5"/>
      <c r="B9684" s="13"/>
      <c r="C9684" s="7"/>
      <c r="D9684" s="7"/>
      <c r="E9684" s="5"/>
      <c r="F9684" s="5"/>
      <c r="G9684" s="17"/>
      <c r="H9684" s="10"/>
      <c r="I9684" s="17"/>
    </row>
    <row r="9685" ht="14.25">
      <c r="A9685" s="5"/>
      <c r="B9685" s="13"/>
      <c r="C9685" s="7"/>
      <c r="D9685" s="7"/>
      <c r="E9685" s="5"/>
      <c r="F9685" s="5"/>
      <c r="G9685" s="17"/>
      <c r="H9685" s="10"/>
      <c r="I9685" s="17"/>
    </row>
    <row r="9686" ht="14.25">
      <c r="A9686" s="5"/>
      <c r="B9686" s="13"/>
      <c r="C9686" s="7"/>
      <c r="D9686" s="7"/>
      <c r="E9686" s="5"/>
      <c r="F9686" s="5"/>
      <c r="G9686" s="17"/>
      <c r="H9686" s="10"/>
      <c r="I9686" s="17"/>
    </row>
    <row r="9687" ht="14.25">
      <c r="A9687" s="5"/>
      <c r="B9687" s="13"/>
      <c r="C9687" s="7"/>
      <c r="D9687" s="7"/>
      <c r="E9687" s="5"/>
      <c r="F9687" s="5"/>
      <c r="G9687" s="17"/>
      <c r="H9687" s="10"/>
      <c r="I9687" s="17"/>
    </row>
    <row r="9688" ht="14.25">
      <c r="A9688" s="5"/>
      <c r="B9688" s="13"/>
      <c r="C9688" s="7"/>
      <c r="D9688" s="7"/>
      <c r="E9688" s="5"/>
      <c r="F9688" s="5"/>
      <c r="G9688" s="17"/>
      <c r="H9688" s="10"/>
      <c r="I9688" s="17"/>
    </row>
    <row r="9689" ht="14.25">
      <c r="A9689" s="5"/>
      <c r="B9689" s="13"/>
      <c r="C9689" s="7"/>
      <c r="D9689" s="7"/>
      <c r="E9689" s="5"/>
      <c r="F9689" s="5"/>
      <c r="G9689" s="17"/>
      <c r="H9689" s="10"/>
      <c r="I9689" s="17"/>
    </row>
    <row r="9690" ht="14.25">
      <c r="A9690" s="5"/>
      <c r="B9690" s="13"/>
      <c r="C9690" s="7"/>
      <c r="D9690" s="7"/>
      <c r="E9690" s="5"/>
      <c r="F9690" s="5"/>
      <c r="G9690" s="17"/>
      <c r="H9690" s="10"/>
      <c r="I9690" s="17"/>
    </row>
    <row r="9691" ht="14.25">
      <c r="A9691" s="5"/>
      <c r="B9691" s="13"/>
      <c r="C9691" s="7"/>
      <c r="D9691" s="7"/>
      <c r="E9691" s="5"/>
      <c r="F9691" s="5"/>
      <c r="G9691" s="17"/>
      <c r="H9691" s="10"/>
      <c r="I9691" s="17"/>
    </row>
    <row r="9692" ht="14.25">
      <c r="A9692" s="5"/>
      <c r="B9692" s="13"/>
      <c r="C9692" s="7"/>
      <c r="D9692" s="7"/>
      <c r="E9692" s="5"/>
      <c r="F9692" s="5"/>
      <c r="G9692" s="17"/>
      <c r="H9692" s="10"/>
      <c r="I9692" s="17"/>
    </row>
    <row r="9693" ht="14.25">
      <c r="A9693" s="5"/>
      <c r="B9693" s="13"/>
      <c r="C9693" s="7"/>
      <c r="D9693" s="7"/>
      <c r="E9693" s="5"/>
      <c r="F9693" s="5"/>
      <c r="G9693" s="17"/>
      <c r="H9693" s="10"/>
      <c r="I9693" s="17"/>
    </row>
    <row r="9694" ht="14.25">
      <c r="A9694" s="5"/>
      <c r="B9694" s="13"/>
      <c r="C9694" s="7"/>
      <c r="D9694" s="7"/>
      <c r="E9694" s="5"/>
      <c r="F9694" s="5"/>
      <c r="G9694" s="17"/>
      <c r="H9694" s="10"/>
      <c r="I9694" s="17"/>
    </row>
    <row r="9695" ht="14.25">
      <c r="A9695" s="5"/>
      <c r="B9695" s="13"/>
      <c r="C9695" s="7"/>
      <c r="D9695" s="7"/>
      <c r="E9695" s="5"/>
      <c r="F9695" s="5"/>
      <c r="G9695" s="17"/>
      <c r="H9695" s="10"/>
      <c r="I9695" s="17"/>
    </row>
    <row r="9696" ht="14.25">
      <c r="A9696" s="5"/>
      <c r="B9696" s="13"/>
      <c r="C9696" s="7"/>
      <c r="D9696" s="7"/>
      <c r="E9696" s="5"/>
      <c r="F9696" s="5"/>
      <c r="G9696" s="17"/>
      <c r="H9696" s="10"/>
      <c r="I9696" s="17"/>
    </row>
    <row r="9697" ht="14.25">
      <c r="A9697" s="5"/>
      <c r="B9697" s="13"/>
      <c r="C9697" s="7"/>
      <c r="D9697" s="7"/>
      <c r="E9697" s="5"/>
      <c r="F9697" s="5"/>
      <c r="G9697" s="17"/>
      <c r="H9697" s="10"/>
      <c r="I9697" s="17"/>
    </row>
    <row r="9698" ht="14.25">
      <c r="A9698" s="5"/>
      <c r="B9698" s="13"/>
      <c r="C9698" s="7"/>
      <c r="D9698" s="7"/>
      <c r="E9698" s="5"/>
      <c r="F9698" s="5"/>
      <c r="G9698" s="17"/>
      <c r="H9698" s="10"/>
      <c r="I9698" s="17"/>
    </row>
    <row r="9699" ht="14.25">
      <c r="A9699" s="5"/>
      <c r="B9699" s="13"/>
      <c r="C9699" s="7"/>
      <c r="D9699" s="7"/>
      <c r="E9699" s="5"/>
      <c r="F9699" s="5"/>
      <c r="G9699" s="17"/>
      <c r="H9699" s="10"/>
      <c r="I9699" s="17"/>
    </row>
    <row r="9700" ht="14.25">
      <c r="A9700" s="5"/>
      <c r="B9700" s="13"/>
      <c r="C9700" s="7"/>
      <c r="D9700" s="7"/>
      <c r="E9700" s="5"/>
      <c r="F9700" s="5"/>
      <c r="G9700" s="17"/>
      <c r="H9700" s="10"/>
      <c r="I9700" s="17"/>
    </row>
    <row r="9701" ht="14.25">
      <c r="A9701" s="5"/>
      <c r="B9701" s="13"/>
      <c r="C9701" s="7"/>
      <c r="D9701" s="7"/>
      <c r="E9701" s="5"/>
      <c r="F9701" s="5"/>
      <c r="G9701" s="17"/>
      <c r="H9701" s="10"/>
      <c r="I9701" s="17"/>
    </row>
    <row r="9702" ht="14.25">
      <c r="A9702" s="5"/>
      <c r="B9702" s="13"/>
      <c r="C9702" s="7"/>
      <c r="D9702" s="7"/>
      <c r="E9702" s="5"/>
      <c r="F9702" s="5"/>
      <c r="G9702" s="17"/>
      <c r="H9702" s="10"/>
      <c r="I9702" s="17"/>
    </row>
    <row r="9703" ht="14.25">
      <c r="A9703" s="5"/>
      <c r="B9703" s="13"/>
      <c r="C9703" s="7"/>
      <c r="D9703" s="7"/>
      <c r="E9703" s="5"/>
      <c r="F9703" s="5"/>
      <c r="G9703" s="17"/>
      <c r="H9703" s="10"/>
      <c r="I9703" s="17"/>
    </row>
    <row r="9704" ht="14.25">
      <c r="A9704" s="5"/>
      <c r="B9704" s="13"/>
      <c r="C9704" s="7"/>
      <c r="D9704" s="7"/>
      <c r="E9704" s="5"/>
      <c r="F9704" s="5"/>
      <c r="G9704" s="17"/>
      <c r="H9704" s="10"/>
      <c r="I9704" s="17"/>
    </row>
    <row r="9705" ht="14.25">
      <c r="A9705" s="5"/>
      <c r="B9705" s="13"/>
      <c r="C9705" s="7"/>
      <c r="D9705" s="7"/>
      <c r="E9705" s="5"/>
      <c r="F9705" s="5"/>
      <c r="G9705" s="17"/>
      <c r="H9705" s="10"/>
      <c r="I9705" s="17"/>
    </row>
    <row r="9706" ht="14.25">
      <c r="A9706" s="5"/>
      <c r="B9706" s="13"/>
      <c r="C9706" s="7"/>
      <c r="D9706" s="7"/>
      <c r="E9706" s="5"/>
      <c r="F9706" s="5"/>
      <c r="G9706" s="17"/>
      <c r="H9706" s="10"/>
      <c r="I9706" s="17"/>
    </row>
    <row r="9707" ht="14.25">
      <c r="A9707" s="5"/>
      <c r="B9707" s="13"/>
      <c r="C9707" s="7"/>
      <c r="D9707" s="7"/>
      <c r="E9707" s="5"/>
      <c r="F9707" s="5"/>
      <c r="G9707" s="17"/>
      <c r="H9707" s="10"/>
      <c r="I9707" s="17"/>
    </row>
    <row r="9708" ht="14.25">
      <c r="A9708" s="5"/>
      <c r="B9708" s="13"/>
      <c r="C9708" s="7"/>
      <c r="D9708" s="7"/>
      <c r="E9708" s="5"/>
      <c r="F9708" s="5"/>
      <c r="G9708" s="17"/>
      <c r="H9708" s="10"/>
      <c r="I9708" s="17"/>
    </row>
    <row r="9709" ht="14.25">
      <c r="A9709" s="5"/>
      <c r="B9709" s="13"/>
      <c r="C9709" s="7"/>
      <c r="D9709" s="7"/>
      <c r="E9709" s="5"/>
      <c r="F9709" s="5"/>
      <c r="G9709" s="17"/>
      <c r="H9709" s="10"/>
      <c r="I9709" s="17"/>
    </row>
    <row r="9710" ht="14.25">
      <c r="A9710" s="5"/>
      <c r="B9710" s="13"/>
      <c r="C9710" s="7"/>
      <c r="D9710" s="7"/>
      <c r="E9710" s="5"/>
      <c r="F9710" s="5"/>
      <c r="G9710" s="17"/>
      <c r="H9710" s="10"/>
      <c r="I9710" s="17"/>
    </row>
    <row r="9711" ht="14.25">
      <c r="A9711" s="5"/>
      <c r="B9711" s="13"/>
      <c r="C9711" s="7"/>
      <c r="D9711" s="7"/>
      <c r="E9711" s="5"/>
      <c r="F9711" s="5"/>
      <c r="G9711" s="17"/>
      <c r="H9711" s="10"/>
      <c r="I9711" s="17"/>
    </row>
    <row r="9712" ht="14.25">
      <c r="A9712" s="5"/>
      <c r="B9712" s="13"/>
      <c r="C9712" s="7"/>
      <c r="D9712" s="7"/>
      <c r="E9712" s="5"/>
      <c r="F9712" s="5"/>
      <c r="G9712" s="17"/>
      <c r="H9712" s="10"/>
      <c r="I9712" s="17"/>
    </row>
    <row r="9713" ht="14.25">
      <c r="A9713" s="5"/>
      <c r="B9713" s="13"/>
      <c r="C9713" s="7"/>
      <c r="D9713" s="7"/>
      <c r="E9713" s="5"/>
      <c r="F9713" s="5"/>
      <c r="G9713" s="17"/>
      <c r="H9713" s="10"/>
      <c r="I9713" s="17"/>
    </row>
    <row r="9714" ht="14.25">
      <c r="A9714" s="5"/>
      <c r="B9714" s="13"/>
      <c r="C9714" s="7"/>
      <c r="D9714" s="7"/>
      <c r="E9714" s="5"/>
      <c r="F9714" s="5"/>
      <c r="G9714" s="17"/>
      <c r="H9714" s="10"/>
      <c r="I9714" s="17"/>
    </row>
    <row r="9715" ht="14.25">
      <c r="A9715" s="5"/>
      <c r="B9715" s="13"/>
      <c r="C9715" s="7"/>
      <c r="D9715" s="7"/>
      <c r="E9715" s="5"/>
      <c r="F9715" s="5"/>
      <c r="G9715" s="17"/>
      <c r="H9715" s="10"/>
      <c r="I9715" s="17"/>
    </row>
    <row r="9716" ht="14.25">
      <c r="A9716" s="5"/>
      <c r="B9716" s="13"/>
      <c r="C9716" s="7"/>
      <c r="D9716" s="7"/>
      <c r="E9716" s="5"/>
      <c r="F9716" s="5"/>
      <c r="G9716" s="17"/>
      <c r="H9716" s="10"/>
      <c r="I9716" s="17"/>
    </row>
    <row r="9717" ht="14.25">
      <c r="A9717" s="5"/>
      <c r="B9717" s="13"/>
      <c r="C9717" s="7"/>
      <c r="D9717" s="7"/>
      <c r="E9717" s="5"/>
      <c r="F9717" s="5"/>
      <c r="G9717" s="17"/>
      <c r="H9717" s="10"/>
      <c r="I9717" s="17"/>
    </row>
    <row r="9718" ht="14.25">
      <c r="A9718" s="5"/>
      <c r="B9718" s="13"/>
      <c r="C9718" s="7"/>
      <c r="D9718" s="7"/>
      <c r="E9718" s="5"/>
      <c r="F9718" s="5"/>
      <c r="G9718" s="17"/>
      <c r="H9718" s="10"/>
      <c r="I9718" s="17"/>
    </row>
    <row r="9719" ht="14.25">
      <c r="A9719" s="5"/>
      <c r="B9719" s="13"/>
      <c r="C9719" s="7"/>
      <c r="D9719" s="7"/>
      <c r="E9719" s="5"/>
      <c r="F9719" s="5"/>
      <c r="G9719" s="17"/>
      <c r="H9719" s="10"/>
      <c r="I9719" s="17"/>
    </row>
    <row r="9720" ht="14.25">
      <c r="A9720" s="5"/>
      <c r="B9720" s="13"/>
      <c r="C9720" s="7"/>
      <c r="D9720" s="7"/>
      <c r="E9720" s="5"/>
      <c r="F9720" s="5"/>
      <c r="G9720" s="17"/>
      <c r="H9720" s="10"/>
      <c r="I9720" s="17"/>
    </row>
    <row r="9721" ht="14.25">
      <c r="A9721" s="5"/>
      <c r="B9721" s="13"/>
      <c r="C9721" s="7"/>
      <c r="D9721" s="7"/>
      <c r="E9721" s="5"/>
      <c r="F9721" s="5"/>
      <c r="G9721" s="17"/>
      <c r="H9721" s="10"/>
      <c r="I9721" s="17"/>
    </row>
    <row r="9722" ht="14.25">
      <c r="A9722" s="5"/>
      <c r="B9722" s="13"/>
      <c r="C9722" s="7"/>
      <c r="D9722" s="7"/>
      <c r="E9722" s="5"/>
      <c r="F9722" s="5"/>
      <c r="G9722" s="17"/>
      <c r="H9722" s="10"/>
      <c r="I9722" s="17"/>
    </row>
    <row r="9723" ht="14.25">
      <c r="A9723" s="5"/>
      <c r="B9723" s="13"/>
      <c r="C9723" s="7"/>
      <c r="D9723" s="7"/>
      <c r="E9723" s="5"/>
      <c r="F9723" s="5"/>
      <c r="G9723" s="17"/>
      <c r="H9723" s="10"/>
      <c r="I9723" s="17"/>
    </row>
    <row r="9724" ht="14.25">
      <c r="A9724" s="5"/>
      <c r="B9724" s="13"/>
      <c r="C9724" s="7"/>
      <c r="D9724" s="7"/>
      <c r="E9724" s="5"/>
      <c r="F9724" s="5"/>
      <c r="G9724" s="17"/>
      <c r="H9724" s="10"/>
      <c r="I9724" s="17"/>
    </row>
    <row r="9725" ht="14.25">
      <c r="A9725" s="5"/>
      <c r="B9725" s="13"/>
      <c r="C9725" s="7"/>
      <c r="D9725" s="7"/>
      <c r="E9725" s="5"/>
      <c r="F9725" s="5"/>
      <c r="G9725" s="17"/>
      <c r="H9725" s="10"/>
      <c r="I9725" s="17"/>
    </row>
    <row r="9726" ht="14.25">
      <c r="A9726" s="5"/>
      <c r="B9726" s="13"/>
      <c r="C9726" s="7"/>
      <c r="D9726" s="7"/>
      <c r="E9726" s="5"/>
      <c r="F9726" s="5"/>
      <c r="G9726" s="17"/>
      <c r="H9726" s="10"/>
      <c r="I9726" s="17"/>
    </row>
    <row r="9727" ht="14.25">
      <c r="A9727" s="5"/>
      <c r="B9727" s="13"/>
      <c r="C9727" s="7"/>
      <c r="D9727" s="7"/>
      <c r="E9727" s="5"/>
      <c r="F9727" s="5"/>
      <c r="G9727" s="17"/>
      <c r="H9727" s="10"/>
      <c r="I9727" s="17"/>
    </row>
    <row r="9728" ht="14.25">
      <c r="A9728" s="5"/>
      <c r="B9728" s="13"/>
      <c r="C9728" s="7"/>
      <c r="D9728" s="7"/>
      <c r="E9728" s="5"/>
      <c r="F9728" s="5"/>
      <c r="G9728" s="17"/>
      <c r="H9728" s="10"/>
      <c r="I9728" s="17"/>
    </row>
    <row r="9729" ht="14.25">
      <c r="A9729" s="5"/>
      <c r="B9729" s="13"/>
      <c r="C9729" s="7"/>
      <c r="D9729" s="7"/>
      <c r="E9729" s="5"/>
      <c r="F9729" s="5"/>
      <c r="G9729" s="17"/>
      <c r="H9729" s="10"/>
      <c r="I9729" s="17"/>
    </row>
    <row r="9730" ht="14.25">
      <c r="A9730" s="5"/>
      <c r="B9730" s="13"/>
      <c r="C9730" s="7"/>
      <c r="D9730" s="7"/>
      <c r="E9730" s="5"/>
      <c r="F9730" s="5"/>
      <c r="G9730" s="17"/>
      <c r="H9730" s="10"/>
      <c r="I9730" s="17"/>
    </row>
    <row r="9731" ht="14.25">
      <c r="A9731" s="5"/>
      <c r="B9731" s="13"/>
      <c r="C9731" s="7"/>
      <c r="D9731" s="7"/>
      <c r="E9731" s="5"/>
      <c r="F9731" s="5"/>
      <c r="G9731" s="17"/>
      <c r="H9731" s="10"/>
      <c r="I9731" s="17"/>
    </row>
    <row r="9732" ht="14.25">
      <c r="A9732" s="5"/>
      <c r="B9732" s="13"/>
      <c r="C9732" s="7"/>
      <c r="D9732" s="7"/>
      <c r="E9732" s="5"/>
      <c r="F9732" s="5"/>
      <c r="G9732" s="17"/>
      <c r="H9732" s="10"/>
      <c r="I9732" s="17"/>
    </row>
    <row r="9733" ht="14.25">
      <c r="A9733" s="5"/>
      <c r="B9733" s="13"/>
      <c r="C9733" s="7"/>
      <c r="D9733" s="7"/>
      <c r="E9733" s="5"/>
      <c r="F9733" s="5"/>
      <c r="G9733" s="17"/>
      <c r="H9733" s="10"/>
      <c r="I9733" s="17"/>
    </row>
    <row r="9734" ht="14.25">
      <c r="A9734" s="5"/>
      <c r="B9734" s="13"/>
      <c r="C9734" s="7"/>
      <c r="D9734" s="7"/>
      <c r="E9734" s="5"/>
      <c r="F9734" s="5"/>
      <c r="G9734" s="17"/>
      <c r="H9734" s="10"/>
      <c r="I9734" s="17"/>
    </row>
    <row r="9735" ht="14.25">
      <c r="A9735" s="5"/>
      <c r="B9735" s="13"/>
      <c r="C9735" s="7"/>
      <c r="D9735" s="7"/>
      <c r="E9735" s="5"/>
      <c r="F9735" s="5"/>
      <c r="G9735" s="17"/>
      <c r="H9735" s="10"/>
      <c r="I9735" s="17"/>
    </row>
    <row r="9736" ht="14.25">
      <c r="A9736" s="5"/>
      <c r="B9736" s="13"/>
      <c r="C9736" s="7"/>
      <c r="D9736" s="7"/>
      <c r="E9736" s="5"/>
      <c r="F9736" s="5"/>
      <c r="G9736" s="17"/>
      <c r="H9736" s="10"/>
      <c r="I9736" s="17"/>
    </row>
    <row r="9737" ht="14.25">
      <c r="A9737" s="5"/>
      <c r="B9737" s="13"/>
      <c r="C9737" s="7"/>
      <c r="D9737" s="7"/>
      <c r="E9737" s="5"/>
      <c r="F9737" s="5"/>
      <c r="G9737" s="17"/>
      <c r="H9737" s="10"/>
      <c r="I9737" s="17"/>
    </row>
    <row r="9738" ht="14.25">
      <c r="A9738" s="5"/>
      <c r="B9738" s="13"/>
      <c r="C9738" s="7"/>
      <c r="D9738" s="7"/>
      <c r="E9738" s="5"/>
      <c r="F9738" s="5"/>
      <c r="G9738" s="17"/>
      <c r="H9738" s="10"/>
      <c r="I9738" s="17"/>
    </row>
    <row r="9739" ht="14.25">
      <c r="A9739" s="5"/>
      <c r="B9739" s="13"/>
      <c r="C9739" s="7"/>
      <c r="D9739" s="7"/>
      <c r="E9739" s="5"/>
      <c r="F9739" s="5"/>
      <c r="G9739" s="17"/>
      <c r="H9739" s="10"/>
      <c r="I9739" s="17"/>
    </row>
    <row r="9740" ht="14.25">
      <c r="A9740" s="5"/>
      <c r="B9740" s="13"/>
      <c r="C9740" s="7"/>
      <c r="D9740" s="7"/>
      <c r="E9740" s="5"/>
      <c r="F9740" s="5"/>
      <c r="G9740" s="17"/>
      <c r="H9740" s="10"/>
      <c r="I9740" s="17"/>
    </row>
    <row r="9741" ht="14.25">
      <c r="A9741" s="5"/>
      <c r="B9741" s="13"/>
      <c r="C9741" s="7"/>
      <c r="D9741" s="7"/>
      <c r="E9741" s="5"/>
      <c r="F9741" s="5"/>
      <c r="G9741" s="17"/>
      <c r="H9741" s="10"/>
      <c r="I9741" s="17"/>
    </row>
    <row r="9742" ht="14.25">
      <c r="A9742" s="5"/>
      <c r="B9742" s="13"/>
      <c r="C9742" s="7"/>
      <c r="D9742" s="7"/>
      <c r="E9742" s="5"/>
      <c r="F9742" s="5"/>
      <c r="G9742" s="17"/>
      <c r="H9742" s="10"/>
      <c r="I9742" s="17"/>
    </row>
    <row r="9743" ht="14.25">
      <c r="A9743" s="5"/>
      <c r="B9743" s="13"/>
      <c r="C9743" s="7"/>
      <c r="D9743" s="7"/>
      <c r="E9743" s="5"/>
      <c r="F9743" s="5"/>
      <c r="G9743" s="17"/>
      <c r="H9743" s="10"/>
      <c r="I9743" s="17"/>
    </row>
    <row r="9744" ht="14.25">
      <c r="A9744" s="5"/>
      <c r="B9744" s="13"/>
      <c r="C9744" s="7"/>
      <c r="D9744" s="7"/>
      <c r="E9744" s="5"/>
      <c r="F9744" s="5"/>
      <c r="G9744" s="17"/>
      <c r="H9744" s="10"/>
      <c r="I9744" s="17"/>
    </row>
    <row r="9745" ht="14.25">
      <c r="A9745" s="5"/>
      <c r="B9745" s="13"/>
      <c r="C9745" s="7"/>
      <c r="D9745" s="7"/>
      <c r="E9745" s="5"/>
      <c r="F9745" s="5"/>
      <c r="G9745" s="17"/>
      <c r="H9745" s="10"/>
      <c r="I9745" s="17"/>
    </row>
    <row r="9746" ht="14.25">
      <c r="A9746" s="5"/>
      <c r="B9746" s="13"/>
      <c r="C9746" s="7"/>
      <c r="D9746" s="7"/>
      <c r="E9746" s="5"/>
      <c r="F9746" s="5"/>
      <c r="G9746" s="17"/>
      <c r="H9746" s="10"/>
      <c r="I9746" s="17"/>
    </row>
    <row r="9747" ht="14.25">
      <c r="A9747" s="5"/>
      <c r="B9747" s="13"/>
      <c r="C9747" s="7"/>
      <c r="D9747" s="7"/>
      <c r="E9747" s="5"/>
      <c r="F9747" s="5"/>
      <c r="G9747" s="17"/>
      <c r="H9747" s="10"/>
      <c r="I9747" s="17"/>
    </row>
    <row r="9748" ht="14.25">
      <c r="A9748" s="5"/>
      <c r="B9748" s="13"/>
      <c r="C9748" s="7"/>
      <c r="D9748" s="7"/>
      <c r="E9748" s="5"/>
      <c r="F9748" s="5"/>
      <c r="G9748" s="17"/>
      <c r="H9748" s="10"/>
      <c r="I9748" s="17"/>
    </row>
    <row r="9749" ht="14.25">
      <c r="A9749" s="5"/>
      <c r="B9749" s="13"/>
      <c r="C9749" s="7"/>
      <c r="D9749" s="7"/>
      <c r="E9749" s="5"/>
      <c r="F9749" s="5"/>
      <c r="G9749" s="17"/>
      <c r="H9749" s="10"/>
      <c r="I9749" s="17"/>
    </row>
    <row r="9750" ht="14.25">
      <c r="A9750" s="5"/>
      <c r="B9750" s="13"/>
      <c r="C9750" s="7"/>
      <c r="D9750" s="7"/>
      <c r="E9750" s="5"/>
      <c r="F9750" s="5"/>
      <c r="G9750" s="17"/>
      <c r="H9750" s="10"/>
      <c r="I9750" s="17"/>
    </row>
    <row r="9751" ht="14.25">
      <c r="A9751" s="5"/>
      <c r="B9751" s="13"/>
      <c r="C9751" s="7"/>
      <c r="D9751" s="7"/>
      <c r="E9751" s="5"/>
      <c r="F9751" s="5"/>
      <c r="G9751" s="17"/>
      <c r="H9751" s="10"/>
      <c r="I9751" s="17"/>
    </row>
    <row r="9752" ht="14.25">
      <c r="A9752" s="5"/>
      <c r="B9752" s="13"/>
      <c r="C9752" s="7"/>
      <c r="D9752" s="7"/>
      <c r="E9752" s="5"/>
      <c r="F9752" s="5"/>
      <c r="G9752" s="17"/>
      <c r="H9752" s="10"/>
      <c r="I9752" s="17"/>
    </row>
    <row r="9753" ht="14.25">
      <c r="A9753" s="5"/>
      <c r="B9753" s="13"/>
      <c r="C9753" s="7"/>
      <c r="D9753" s="7"/>
      <c r="E9753" s="5"/>
      <c r="F9753" s="5"/>
      <c r="G9753" s="17"/>
      <c r="H9753" s="10"/>
      <c r="I9753" s="17"/>
    </row>
    <row r="9754" ht="14.25">
      <c r="A9754" s="5"/>
      <c r="B9754" s="13"/>
      <c r="C9754" s="7"/>
      <c r="D9754" s="7"/>
      <c r="E9754" s="5"/>
      <c r="F9754" s="5"/>
      <c r="G9754" s="17"/>
      <c r="H9754" s="10"/>
      <c r="I9754" s="17"/>
    </row>
    <row r="9755" ht="14.25">
      <c r="A9755" s="5"/>
      <c r="B9755" s="13"/>
      <c r="C9755" s="7"/>
      <c r="D9755" s="7"/>
      <c r="E9755" s="5"/>
      <c r="F9755" s="5"/>
      <c r="G9755" s="17"/>
      <c r="H9755" s="10"/>
      <c r="I9755" s="17"/>
    </row>
    <row r="9756" ht="14.25">
      <c r="A9756" s="5"/>
      <c r="B9756" s="13"/>
      <c r="C9756" s="7"/>
      <c r="D9756" s="7"/>
      <c r="E9756" s="5"/>
      <c r="F9756" s="5"/>
      <c r="G9756" s="17"/>
      <c r="H9756" s="10"/>
      <c r="I9756" s="17"/>
    </row>
    <row r="9757" ht="14.25">
      <c r="A9757" s="5"/>
      <c r="B9757" s="13"/>
      <c r="C9757" s="7"/>
      <c r="D9757" s="7"/>
      <c r="E9757" s="5"/>
      <c r="F9757" s="5"/>
      <c r="G9757" s="17"/>
      <c r="H9757" s="10"/>
      <c r="I9757" s="17"/>
    </row>
    <row r="9758" ht="14.25">
      <c r="A9758" s="5"/>
      <c r="B9758" s="13"/>
      <c r="C9758" s="7"/>
      <c r="D9758" s="7"/>
      <c r="E9758" s="5"/>
      <c r="F9758" s="5"/>
      <c r="G9758" s="17"/>
      <c r="H9758" s="10"/>
      <c r="I9758" s="17"/>
    </row>
    <row r="9759" ht="14.25">
      <c r="A9759" s="5"/>
      <c r="B9759" s="13"/>
      <c r="C9759" s="7"/>
      <c r="D9759" s="7"/>
      <c r="E9759" s="5"/>
      <c r="F9759" s="5"/>
      <c r="G9759" s="17"/>
      <c r="H9759" s="10"/>
      <c r="I9759" s="17"/>
    </row>
    <row r="9760" ht="14.25">
      <c r="A9760" s="5"/>
      <c r="B9760" s="13"/>
      <c r="C9760" s="7"/>
      <c r="D9760" s="7"/>
      <c r="E9760" s="5"/>
      <c r="F9760" s="5"/>
      <c r="G9760" s="17"/>
      <c r="H9760" s="10"/>
      <c r="I9760" s="17"/>
    </row>
    <row r="9761" ht="14.25">
      <c r="A9761" s="5"/>
      <c r="B9761" s="13"/>
      <c r="C9761" s="7"/>
      <c r="D9761" s="7"/>
      <c r="E9761" s="5"/>
      <c r="F9761" s="5"/>
      <c r="G9761" s="17"/>
      <c r="H9761" s="10"/>
      <c r="I9761" s="17"/>
    </row>
    <row r="9762" ht="14.25">
      <c r="A9762" s="5"/>
      <c r="B9762" s="13"/>
      <c r="C9762" s="7"/>
      <c r="D9762" s="7"/>
      <c r="E9762" s="5"/>
      <c r="F9762" s="5"/>
      <c r="G9762" s="17"/>
      <c r="H9762" s="10"/>
      <c r="I9762" s="17"/>
    </row>
    <row r="9763" ht="14.25">
      <c r="A9763" s="5"/>
      <c r="B9763" s="13"/>
      <c r="C9763" s="7"/>
      <c r="D9763" s="7"/>
      <c r="E9763" s="5"/>
      <c r="F9763" s="5"/>
      <c r="G9763" s="17"/>
      <c r="H9763" s="10"/>
      <c r="I9763" s="17"/>
    </row>
    <row r="9764" ht="14.25">
      <c r="A9764" s="5"/>
      <c r="B9764" s="13"/>
      <c r="C9764" s="7"/>
      <c r="D9764" s="7"/>
      <c r="E9764" s="5"/>
      <c r="F9764" s="5"/>
      <c r="G9764" s="17"/>
      <c r="H9764" s="10"/>
      <c r="I9764" s="17"/>
    </row>
    <row r="9765" ht="14.25">
      <c r="A9765" s="5"/>
      <c r="B9765" s="13"/>
      <c r="C9765" s="7"/>
      <c r="D9765" s="7"/>
      <c r="E9765" s="5"/>
      <c r="F9765" s="5"/>
      <c r="G9765" s="17"/>
      <c r="H9765" s="10"/>
      <c r="I9765" s="17"/>
    </row>
    <row r="9766" ht="14.25">
      <c r="A9766" s="5"/>
      <c r="B9766" s="13"/>
      <c r="C9766" s="7"/>
      <c r="D9766" s="7"/>
      <c r="E9766" s="5"/>
      <c r="F9766" s="5"/>
      <c r="G9766" s="17"/>
      <c r="H9766" s="10"/>
      <c r="I9766" s="17"/>
    </row>
    <row r="9767" ht="14.25">
      <c r="A9767" s="5"/>
      <c r="B9767" s="13"/>
      <c r="C9767" s="7"/>
      <c r="D9767" s="7"/>
      <c r="E9767" s="5"/>
      <c r="F9767" s="5"/>
      <c r="G9767" s="17"/>
      <c r="H9767" s="10"/>
      <c r="I9767" s="17"/>
    </row>
    <row r="9768" ht="14.25">
      <c r="A9768" s="5"/>
      <c r="B9768" s="13"/>
      <c r="C9768" s="7"/>
      <c r="D9768" s="7"/>
      <c r="E9768" s="5"/>
      <c r="F9768" s="5"/>
      <c r="G9768" s="17"/>
      <c r="H9768" s="10"/>
      <c r="I9768" s="17"/>
    </row>
    <row r="9769" ht="14.25">
      <c r="A9769" s="5"/>
      <c r="B9769" s="13"/>
      <c r="C9769" s="7"/>
      <c r="D9769" s="7"/>
      <c r="E9769" s="5"/>
      <c r="F9769" s="5"/>
      <c r="G9769" s="17"/>
      <c r="H9769" s="10"/>
      <c r="I9769" s="17"/>
    </row>
    <row r="9770" ht="14.25">
      <c r="A9770" s="5"/>
      <c r="B9770" s="13"/>
      <c r="C9770" s="7"/>
      <c r="D9770" s="7"/>
      <c r="E9770" s="5"/>
      <c r="F9770" s="5"/>
      <c r="G9770" s="17"/>
      <c r="H9770" s="10"/>
      <c r="I9770" s="17"/>
    </row>
    <row r="9771" ht="14.25">
      <c r="A9771" s="5"/>
      <c r="B9771" s="13"/>
      <c r="C9771" s="7"/>
      <c r="D9771" s="7"/>
      <c r="E9771" s="5"/>
      <c r="F9771" s="5"/>
      <c r="G9771" s="17"/>
      <c r="H9771" s="10"/>
      <c r="I9771" s="17"/>
    </row>
    <row r="9772" ht="14.25">
      <c r="A9772" s="5"/>
      <c r="B9772" s="13"/>
      <c r="C9772" s="7"/>
      <c r="D9772" s="7"/>
      <c r="E9772" s="5"/>
      <c r="F9772" s="5"/>
      <c r="G9772" s="17"/>
      <c r="H9772" s="10"/>
      <c r="I9772" s="17"/>
    </row>
    <row r="9773" ht="14.25">
      <c r="A9773" s="5"/>
      <c r="B9773" s="13"/>
      <c r="C9773" s="7"/>
      <c r="D9773" s="7"/>
      <c r="E9773" s="5"/>
      <c r="F9773" s="5"/>
      <c r="G9773" s="17"/>
      <c r="H9773" s="10"/>
      <c r="I9773" s="17"/>
    </row>
    <row r="9774" ht="14.25">
      <c r="A9774" s="5"/>
      <c r="B9774" s="13"/>
      <c r="C9774" s="7"/>
      <c r="D9774" s="7"/>
      <c r="E9774" s="5"/>
      <c r="F9774" s="5"/>
      <c r="G9774" s="17"/>
      <c r="H9774" s="10"/>
      <c r="I9774" s="17"/>
    </row>
    <row r="9775" ht="14.25">
      <c r="A9775" s="5"/>
      <c r="B9775" s="13"/>
      <c r="C9775" s="7"/>
      <c r="D9775" s="7"/>
      <c r="E9775" s="5"/>
      <c r="F9775" s="5"/>
      <c r="G9775" s="17"/>
      <c r="H9775" s="10"/>
      <c r="I9775" s="17"/>
    </row>
    <row r="9776" ht="14.25">
      <c r="A9776" s="5"/>
      <c r="B9776" s="13"/>
      <c r="C9776" s="7"/>
      <c r="D9776" s="7"/>
      <c r="E9776" s="5"/>
      <c r="F9776" s="5"/>
      <c r="G9776" s="17"/>
      <c r="H9776" s="10"/>
      <c r="I9776" s="17"/>
    </row>
    <row r="9777" ht="14.25">
      <c r="A9777" s="5"/>
      <c r="B9777" s="13"/>
      <c r="C9777" s="7"/>
      <c r="D9777" s="7"/>
      <c r="E9777" s="5"/>
      <c r="F9777" s="5"/>
      <c r="G9777" s="17"/>
      <c r="H9777" s="10"/>
      <c r="I9777" s="17"/>
    </row>
    <row r="9778" ht="14.25">
      <c r="A9778" s="5"/>
      <c r="B9778" s="13"/>
      <c r="C9778" s="7"/>
      <c r="D9778" s="7"/>
      <c r="E9778" s="5"/>
      <c r="F9778" s="5"/>
      <c r="G9778" s="17"/>
      <c r="H9778" s="10"/>
      <c r="I9778" s="17"/>
    </row>
    <row r="9779" ht="14.25">
      <c r="A9779" s="5"/>
      <c r="B9779" s="13"/>
      <c r="C9779" s="7"/>
      <c r="D9779" s="7"/>
      <c r="E9779" s="5"/>
      <c r="F9779" s="5"/>
      <c r="G9779" s="17"/>
      <c r="H9779" s="10"/>
      <c r="I9779" s="17"/>
    </row>
    <row r="9780" ht="14.25">
      <c r="A9780" s="5"/>
      <c r="B9780" s="13"/>
      <c r="C9780" s="7"/>
      <c r="D9780" s="7"/>
      <c r="E9780" s="5"/>
      <c r="F9780" s="5"/>
      <c r="G9780" s="17"/>
      <c r="H9780" s="10"/>
      <c r="I9780" s="17"/>
    </row>
    <row r="9781" ht="14.25">
      <c r="A9781" s="5"/>
      <c r="B9781" s="13"/>
      <c r="C9781" s="7"/>
      <c r="D9781" s="7"/>
      <c r="E9781" s="5"/>
      <c r="F9781" s="5"/>
      <c r="G9781" s="17"/>
      <c r="H9781" s="10"/>
      <c r="I9781" s="17"/>
    </row>
    <row r="9782" ht="14.25">
      <c r="A9782" s="5"/>
      <c r="B9782" s="13"/>
      <c r="C9782" s="7"/>
      <c r="D9782" s="7"/>
      <c r="E9782" s="5"/>
      <c r="F9782" s="5"/>
      <c r="G9782" s="17"/>
      <c r="H9782" s="10"/>
      <c r="I9782" s="17"/>
    </row>
    <row r="9783" ht="14.25">
      <c r="A9783" s="5"/>
      <c r="B9783" s="13"/>
      <c r="C9783" s="7"/>
      <c r="D9783" s="7"/>
      <c r="E9783" s="5"/>
      <c r="F9783" s="5"/>
      <c r="G9783" s="17"/>
      <c r="H9783" s="10"/>
      <c r="I9783" s="17"/>
    </row>
    <row r="9784" ht="14.25">
      <c r="A9784" s="5"/>
      <c r="B9784" s="13"/>
      <c r="C9784" s="7"/>
      <c r="D9784" s="7"/>
      <c r="E9784" s="5"/>
      <c r="F9784" s="5"/>
      <c r="G9784" s="17"/>
      <c r="H9784" s="10"/>
      <c r="I9784" s="17"/>
    </row>
    <row r="9785" ht="14.25">
      <c r="A9785" s="5"/>
      <c r="B9785" s="13"/>
      <c r="C9785" s="7"/>
      <c r="D9785" s="7"/>
      <c r="E9785" s="5"/>
      <c r="F9785" s="5"/>
      <c r="G9785" s="17"/>
      <c r="H9785" s="10"/>
      <c r="I9785" s="17"/>
    </row>
    <row r="9786" ht="14.25">
      <c r="A9786" s="5"/>
      <c r="B9786" s="13"/>
      <c r="C9786" s="7"/>
      <c r="D9786" s="7"/>
      <c r="E9786" s="5"/>
      <c r="F9786" s="5"/>
      <c r="G9786" s="17"/>
      <c r="H9786" s="10"/>
      <c r="I9786" s="17"/>
    </row>
    <row r="9787" ht="14.25">
      <c r="A9787" s="5"/>
      <c r="B9787" s="13"/>
      <c r="C9787" s="7"/>
      <c r="D9787" s="7"/>
      <c r="E9787" s="5"/>
      <c r="F9787" s="5"/>
      <c r="G9787" s="17"/>
      <c r="H9787" s="10"/>
      <c r="I9787" s="17"/>
    </row>
    <row r="9788" ht="14.25">
      <c r="A9788" s="5"/>
      <c r="B9788" s="13"/>
      <c r="C9788" s="7"/>
      <c r="D9788" s="7"/>
      <c r="E9788" s="5"/>
      <c r="F9788" s="5"/>
      <c r="G9788" s="17"/>
      <c r="H9788" s="10"/>
      <c r="I9788" s="17"/>
    </row>
    <row r="9789" ht="14.25">
      <c r="A9789" s="5"/>
      <c r="B9789" s="13"/>
      <c r="C9789" s="7"/>
      <c r="D9789" s="7"/>
      <c r="E9789" s="5"/>
      <c r="F9789" s="5"/>
      <c r="G9789" s="17"/>
      <c r="H9789" s="10"/>
      <c r="I9789" s="17"/>
    </row>
    <row r="9790" ht="14.25">
      <c r="A9790" s="5"/>
      <c r="B9790" s="13"/>
      <c r="C9790" s="7"/>
      <c r="D9790" s="7"/>
      <c r="E9790" s="5"/>
      <c r="F9790" s="5"/>
      <c r="G9790" s="17"/>
      <c r="H9790" s="10"/>
      <c r="I9790" s="17"/>
    </row>
    <row r="9791" ht="14.25">
      <c r="A9791" s="5"/>
      <c r="B9791" s="13"/>
      <c r="C9791" s="7"/>
      <c r="D9791" s="7"/>
      <c r="E9791" s="5"/>
      <c r="F9791" s="5"/>
      <c r="G9791" s="17"/>
      <c r="H9791" s="10"/>
      <c r="I9791" s="17"/>
    </row>
    <row r="9792" ht="14.25">
      <c r="A9792" s="5"/>
      <c r="B9792" s="13"/>
      <c r="C9792" s="7"/>
      <c r="D9792" s="7"/>
      <c r="E9792" s="5"/>
      <c r="F9792" s="5"/>
      <c r="G9792" s="17"/>
      <c r="H9792" s="10"/>
      <c r="I9792" s="17"/>
    </row>
    <row r="9793" ht="14.25">
      <c r="A9793" s="5"/>
      <c r="B9793" s="13"/>
      <c r="C9793" s="7"/>
      <c r="D9793" s="7"/>
      <c r="E9793" s="5"/>
      <c r="F9793" s="5"/>
      <c r="G9793" s="17"/>
      <c r="H9793" s="10"/>
      <c r="I9793" s="17"/>
    </row>
    <row r="9794" ht="14.25">
      <c r="A9794" s="5"/>
      <c r="B9794" s="13"/>
      <c r="C9794" s="7"/>
      <c r="D9794" s="7"/>
      <c r="E9794" s="5"/>
      <c r="F9794" s="5"/>
      <c r="G9794" s="17"/>
      <c r="H9794" s="10"/>
      <c r="I9794" s="17"/>
    </row>
    <row r="9795" ht="14.25">
      <c r="A9795" s="5"/>
      <c r="B9795" s="13"/>
      <c r="C9795" s="7"/>
      <c r="D9795" s="7"/>
      <c r="E9795" s="5"/>
      <c r="F9795" s="5"/>
      <c r="G9795" s="17"/>
      <c r="H9795" s="10"/>
      <c r="I9795" s="17"/>
    </row>
    <row r="9796" ht="14.25">
      <c r="A9796" s="5"/>
      <c r="B9796" s="13"/>
      <c r="C9796" s="7"/>
      <c r="D9796" s="7"/>
      <c r="E9796" s="5"/>
      <c r="F9796" s="5"/>
      <c r="G9796" s="17"/>
      <c r="H9796" s="10"/>
      <c r="I9796" s="17"/>
    </row>
    <row r="9797" ht="14.25">
      <c r="A9797" s="5"/>
      <c r="B9797" s="13"/>
      <c r="C9797" s="7"/>
      <c r="D9797" s="7"/>
      <c r="E9797" s="5"/>
      <c r="F9797" s="5"/>
      <c r="G9797" s="17"/>
      <c r="H9797" s="10"/>
      <c r="I9797" s="17"/>
    </row>
    <row r="9798" ht="14.25">
      <c r="A9798" s="5"/>
      <c r="B9798" s="13"/>
      <c r="C9798" s="7"/>
      <c r="D9798" s="7"/>
      <c r="E9798" s="5"/>
      <c r="F9798" s="5"/>
      <c r="G9798" s="17"/>
      <c r="H9798" s="10"/>
      <c r="I9798" s="17"/>
    </row>
    <row r="9799" ht="14.25">
      <c r="A9799" s="5"/>
      <c r="B9799" s="13"/>
      <c r="C9799" s="7"/>
      <c r="D9799" s="7"/>
      <c r="E9799" s="5"/>
      <c r="F9799" s="5"/>
      <c r="G9799" s="17"/>
      <c r="H9799" s="10"/>
      <c r="I9799" s="17"/>
    </row>
    <row r="9800" ht="14.25">
      <c r="A9800" s="5"/>
      <c r="B9800" s="13"/>
      <c r="C9800" s="7"/>
      <c r="D9800" s="7"/>
      <c r="E9800" s="5"/>
      <c r="F9800" s="5"/>
      <c r="G9800" s="17"/>
      <c r="H9800" s="10"/>
      <c r="I9800" s="17"/>
    </row>
    <row r="9801" ht="14.25">
      <c r="A9801" s="5"/>
      <c r="B9801" s="13"/>
      <c r="C9801" s="7"/>
      <c r="D9801" s="7"/>
      <c r="E9801" s="5"/>
      <c r="F9801" s="5"/>
      <c r="G9801" s="17"/>
      <c r="H9801" s="10"/>
      <c r="I9801" s="17"/>
    </row>
    <row r="9802" ht="14.25">
      <c r="A9802" s="5"/>
      <c r="B9802" s="13"/>
      <c r="C9802" s="7"/>
      <c r="D9802" s="7"/>
      <c r="E9802" s="5"/>
      <c r="F9802" s="5"/>
      <c r="G9802" s="17"/>
      <c r="H9802" s="10"/>
      <c r="I9802" s="17"/>
    </row>
    <row r="9803" ht="14.25">
      <c r="A9803" s="5"/>
      <c r="B9803" s="13"/>
      <c r="C9803" s="7"/>
      <c r="D9803" s="7"/>
      <c r="E9803" s="5"/>
      <c r="F9803" s="5"/>
      <c r="G9803" s="17"/>
      <c r="H9803" s="10"/>
      <c r="I9803" s="17"/>
    </row>
    <row r="9804" ht="14.25">
      <c r="A9804" s="5"/>
      <c r="B9804" s="13"/>
      <c r="C9804" s="7"/>
      <c r="D9804" s="7"/>
      <c r="E9804" s="5"/>
      <c r="F9804" s="5"/>
      <c r="G9804" s="17"/>
      <c r="H9804" s="10"/>
      <c r="I9804" s="17"/>
    </row>
    <row r="9805" ht="14.25">
      <c r="A9805" s="5"/>
      <c r="B9805" s="13"/>
      <c r="C9805" s="7"/>
      <c r="D9805" s="7"/>
      <c r="E9805" s="5"/>
      <c r="F9805" s="5"/>
      <c r="G9805" s="17"/>
      <c r="H9805" s="10"/>
      <c r="I9805" s="17"/>
    </row>
    <row r="9806" ht="14.25">
      <c r="A9806" s="5"/>
      <c r="B9806" s="13"/>
      <c r="C9806" s="7"/>
      <c r="D9806" s="7"/>
      <c r="E9806" s="5"/>
      <c r="F9806" s="5"/>
      <c r="G9806" s="17"/>
      <c r="H9806" s="10"/>
      <c r="I9806" s="17"/>
    </row>
    <row r="9807" ht="14.25">
      <c r="A9807" s="5"/>
      <c r="B9807" s="13"/>
      <c r="C9807" s="7"/>
      <c r="D9807" s="7"/>
      <c r="E9807" s="5"/>
      <c r="F9807" s="5"/>
      <c r="G9807" s="17"/>
      <c r="H9807" s="10"/>
      <c r="I9807" s="17"/>
    </row>
    <row r="9808" ht="14.25">
      <c r="A9808" s="5"/>
      <c r="B9808" s="13"/>
      <c r="C9808" s="7"/>
      <c r="D9808" s="7"/>
      <c r="E9808" s="5"/>
      <c r="F9808" s="5"/>
      <c r="G9808" s="17"/>
      <c r="H9808" s="10"/>
      <c r="I9808" s="17"/>
    </row>
    <row r="9809" ht="14.25">
      <c r="A9809" s="5"/>
      <c r="B9809" s="13"/>
      <c r="C9809" s="7"/>
      <c r="D9809" s="7"/>
      <c r="E9809" s="5"/>
      <c r="F9809" s="5"/>
      <c r="G9809" s="17"/>
      <c r="H9809" s="10"/>
      <c r="I9809" s="17"/>
    </row>
    <row r="9810" ht="14.25">
      <c r="A9810" s="5"/>
      <c r="B9810" s="13"/>
      <c r="C9810" s="7"/>
      <c r="D9810" s="7"/>
      <c r="E9810" s="5"/>
      <c r="F9810" s="5"/>
      <c r="G9810" s="17"/>
      <c r="H9810" s="10"/>
      <c r="I9810" s="17"/>
    </row>
    <row r="9811" ht="14.25">
      <c r="A9811" s="5"/>
      <c r="B9811" s="13"/>
      <c r="C9811" s="7"/>
      <c r="D9811" s="7"/>
      <c r="E9811" s="5"/>
      <c r="F9811" s="5"/>
      <c r="G9811" s="17"/>
      <c r="H9811" s="10"/>
      <c r="I9811" s="17"/>
    </row>
    <row r="9812" ht="14.25">
      <c r="A9812" s="5"/>
      <c r="B9812" s="13"/>
      <c r="C9812" s="7"/>
      <c r="D9812" s="7"/>
      <c r="E9812" s="5"/>
      <c r="F9812" s="5"/>
      <c r="G9812" s="17"/>
      <c r="H9812" s="10"/>
      <c r="I9812" s="17"/>
    </row>
    <row r="9813" ht="14.25">
      <c r="A9813" s="5"/>
      <c r="B9813" s="13"/>
      <c r="C9813" s="7"/>
      <c r="D9813" s="7"/>
      <c r="E9813" s="5"/>
      <c r="F9813" s="5"/>
      <c r="G9813" s="17"/>
      <c r="H9813" s="10"/>
      <c r="I9813" s="17"/>
    </row>
    <row r="9814" ht="14.25">
      <c r="A9814" s="5"/>
      <c r="B9814" s="13"/>
      <c r="C9814" s="7"/>
      <c r="D9814" s="7"/>
      <c r="E9814" s="5"/>
      <c r="F9814" s="5"/>
      <c r="G9814" s="17"/>
      <c r="H9814" s="10"/>
      <c r="I9814" s="17"/>
    </row>
    <row r="9815" ht="14.25">
      <c r="A9815" s="5"/>
      <c r="B9815" s="13"/>
      <c r="C9815" s="7"/>
      <c r="D9815" s="7"/>
      <c r="E9815" s="5"/>
      <c r="F9815" s="5"/>
      <c r="G9815" s="17"/>
      <c r="H9815" s="10"/>
      <c r="I9815" s="17"/>
    </row>
    <row r="9816" ht="14.25">
      <c r="A9816" s="5"/>
      <c r="B9816" s="13"/>
      <c r="C9816" s="7"/>
      <c r="D9816" s="7"/>
      <c r="E9816" s="5"/>
      <c r="F9816" s="5"/>
      <c r="G9816" s="17"/>
      <c r="H9816" s="10"/>
      <c r="I9816" s="17"/>
    </row>
    <row r="9817" ht="14.25">
      <c r="A9817" s="5"/>
      <c r="B9817" s="13"/>
      <c r="C9817" s="7"/>
      <c r="D9817" s="7"/>
      <c r="E9817" s="5"/>
      <c r="F9817" s="5"/>
      <c r="G9817" s="17"/>
      <c r="H9817" s="10"/>
      <c r="I9817" s="17"/>
    </row>
    <row r="9818" ht="14.25">
      <c r="A9818" s="5"/>
      <c r="B9818" s="13"/>
      <c r="C9818" s="7"/>
      <c r="D9818" s="7"/>
      <c r="E9818" s="5"/>
      <c r="F9818" s="5"/>
      <c r="G9818" s="17"/>
      <c r="H9818" s="10"/>
      <c r="I9818" s="17"/>
    </row>
    <row r="9819" ht="14.25">
      <c r="A9819" s="5"/>
      <c r="B9819" s="13"/>
      <c r="C9819" s="7"/>
      <c r="D9819" s="7"/>
      <c r="E9819" s="5"/>
      <c r="F9819" s="5"/>
      <c r="G9819" s="17"/>
      <c r="H9819" s="10"/>
      <c r="I9819" s="17"/>
    </row>
    <row r="9820" ht="14.25">
      <c r="A9820" s="5"/>
      <c r="B9820" s="13"/>
      <c r="C9820" s="7"/>
      <c r="D9820" s="7"/>
      <c r="E9820" s="5"/>
      <c r="F9820" s="5"/>
      <c r="G9820" s="17"/>
      <c r="H9820" s="10"/>
      <c r="I9820" s="17"/>
    </row>
    <row r="9821" ht="14.25">
      <c r="A9821" s="5"/>
      <c r="B9821" s="13"/>
      <c r="C9821" s="7"/>
      <c r="D9821" s="7"/>
      <c r="E9821" s="5"/>
      <c r="F9821" s="5"/>
      <c r="G9821" s="17"/>
      <c r="H9821" s="10"/>
      <c r="I9821" s="17"/>
    </row>
    <row r="9822" ht="14.25">
      <c r="A9822" s="5"/>
      <c r="B9822" s="13"/>
      <c r="C9822" s="7"/>
      <c r="D9822" s="7"/>
      <c r="E9822" s="5"/>
      <c r="F9822" s="5"/>
      <c r="G9822" s="17"/>
      <c r="H9822" s="10"/>
      <c r="I9822" s="17"/>
    </row>
    <row r="9823" ht="14.25">
      <c r="A9823" s="5"/>
      <c r="B9823" s="13"/>
      <c r="C9823" s="7"/>
      <c r="D9823" s="7"/>
      <c r="E9823" s="5"/>
      <c r="F9823" s="5"/>
      <c r="G9823" s="17"/>
      <c r="H9823" s="10"/>
      <c r="I9823" s="17"/>
    </row>
    <row r="9824" ht="14.25">
      <c r="A9824" s="5"/>
      <c r="B9824" s="13"/>
      <c r="C9824" s="7"/>
      <c r="D9824" s="7"/>
      <c r="E9824" s="5"/>
      <c r="F9824" s="5"/>
      <c r="G9824" s="17"/>
      <c r="H9824" s="10"/>
      <c r="I9824" s="17"/>
    </row>
    <row r="9825" ht="14.25">
      <c r="A9825" s="5"/>
      <c r="B9825" s="13"/>
      <c r="C9825" s="7"/>
      <c r="D9825" s="7"/>
      <c r="E9825" s="5"/>
      <c r="F9825" s="5"/>
      <c r="G9825" s="17"/>
      <c r="H9825" s="10"/>
      <c r="I9825" s="17"/>
    </row>
    <row r="9826" ht="14.25">
      <c r="A9826" s="5"/>
      <c r="B9826" s="13"/>
      <c r="C9826" s="7"/>
      <c r="D9826" s="7"/>
      <c r="E9826" s="5"/>
      <c r="F9826" s="5"/>
      <c r="G9826" s="17"/>
      <c r="H9826" s="10"/>
      <c r="I9826" s="17"/>
    </row>
    <row r="9827" ht="14.25">
      <c r="A9827" s="5"/>
      <c r="B9827" s="13"/>
      <c r="C9827" s="7"/>
      <c r="D9827" s="7"/>
      <c r="E9827" s="5"/>
      <c r="F9827" s="5"/>
      <c r="G9827" s="17"/>
      <c r="H9827" s="10"/>
      <c r="I9827" s="17"/>
    </row>
    <row r="9828" ht="14.25">
      <c r="A9828" s="5"/>
      <c r="B9828" s="13"/>
      <c r="C9828" s="7"/>
      <c r="D9828" s="7"/>
      <c r="E9828" s="5"/>
      <c r="F9828" s="5"/>
      <c r="G9828" s="17"/>
      <c r="H9828" s="10"/>
      <c r="I9828" s="17"/>
    </row>
    <row r="9829" ht="14.25">
      <c r="A9829" s="5"/>
      <c r="B9829" s="13"/>
      <c r="C9829" s="7"/>
      <c r="D9829" s="7"/>
      <c r="E9829" s="5"/>
      <c r="F9829" s="5"/>
      <c r="G9829" s="17"/>
      <c r="H9829" s="10"/>
      <c r="I9829" s="17"/>
    </row>
    <row r="9830" ht="14.25">
      <c r="A9830" s="5"/>
      <c r="B9830" s="13"/>
      <c r="C9830" s="7"/>
      <c r="D9830" s="7"/>
      <c r="E9830" s="5"/>
      <c r="F9830" s="5"/>
      <c r="G9830" s="17"/>
      <c r="H9830" s="10"/>
      <c r="I9830" s="17"/>
    </row>
    <row r="9831" ht="14.25">
      <c r="A9831" s="5"/>
      <c r="B9831" s="13"/>
      <c r="C9831" s="7"/>
      <c r="D9831" s="7"/>
      <c r="E9831" s="5"/>
      <c r="F9831" s="5"/>
      <c r="G9831" s="17"/>
      <c r="H9831" s="10"/>
      <c r="I9831" s="17"/>
    </row>
    <row r="9832" ht="14.25">
      <c r="A9832" s="5"/>
      <c r="B9832" s="13"/>
      <c r="C9832" s="7"/>
      <c r="D9832" s="7"/>
      <c r="E9832" s="5"/>
      <c r="F9832" s="5"/>
      <c r="G9832" s="17"/>
      <c r="H9832" s="10"/>
      <c r="I9832" s="17"/>
    </row>
    <row r="9833" ht="14.25">
      <c r="A9833" s="5"/>
      <c r="B9833" s="13"/>
      <c r="C9833" s="7"/>
      <c r="D9833" s="7"/>
      <c r="E9833" s="5"/>
      <c r="F9833" s="5"/>
      <c r="G9833" s="17"/>
      <c r="H9833" s="10"/>
      <c r="I9833" s="17"/>
    </row>
    <row r="9834" ht="14.25">
      <c r="A9834" s="5"/>
      <c r="B9834" s="13"/>
      <c r="C9834" s="7"/>
      <c r="D9834" s="7"/>
      <c r="E9834" s="5"/>
      <c r="F9834" s="5"/>
      <c r="G9834" s="17"/>
      <c r="H9834" s="10"/>
      <c r="I9834" s="17"/>
    </row>
    <row r="9835" ht="14.25">
      <c r="A9835" s="5"/>
      <c r="B9835" s="13"/>
      <c r="C9835" s="7"/>
      <c r="D9835" s="7"/>
      <c r="E9835" s="5"/>
      <c r="F9835" s="5"/>
      <c r="G9835" s="17"/>
      <c r="H9835" s="10"/>
      <c r="I9835" s="17"/>
    </row>
    <row r="9836" ht="14.25">
      <c r="A9836" s="5"/>
      <c r="B9836" s="13"/>
      <c r="C9836" s="7"/>
      <c r="D9836" s="7"/>
      <c r="E9836" s="5"/>
      <c r="F9836" s="5"/>
      <c r="G9836" s="17"/>
      <c r="H9836" s="10"/>
      <c r="I9836" s="17"/>
    </row>
    <row r="9837" ht="14.25">
      <c r="A9837" s="5"/>
      <c r="B9837" s="13"/>
      <c r="C9837" s="7"/>
      <c r="D9837" s="7"/>
      <c r="E9837" s="5"/>
      <c r="F9837" s="5"/>
      <c r="G9837" s="17"/>
      <c r="H9837" s="10"/>
      <c r="I9837" s="17"/>
    </row>
    <row r="9838" ht="14.25">
      <c r="A9838" s="5"/>
      <c r="B9838" s="13"/>
      <c r="C9838" s="7"/>
      <c r="D9838" s="7"/>
      <c r="E9838" s="5"/>
      <c r="F9838" s="5"/>
      <c r="G9838" s="17"/>
      <c r="H9838" s="10"/>
      <c r="I9838" s="17"/>
    </row>
    <row r="9839" ht="14.25">
      <c r="A9839" s="5"/>
      <c r="B9839" s="13"/>
      <c r="C9839" s="7"/>
      <c r="D9839" s="7"/>
      <c r="E9839" s="5"/>
      <c r="F9839" s="5"/>
      <c r="G9839" s="17"/>
      <c r="H9839" s="10"/>
      <c r="I9839" s="17"/>
    </row>
    <row r="9840" ht="14.25">
      <c r="A9840" s="5"/>
      <c r="B9840" s="13"/>
      <c r="C9840" s="7"/>
      <c r="D9840" s="7"/>
      <c r="E9840" s="5"/>
      <c r="F9840" s="5"/>
      <c r="G9840" s="17"/>
      <c r="H9840" s="10"/>
      <c r="I9840" s="17"/>
    </row>
    <row r="9841" ht="14.25">
      <c r="A9841" s="5"/>
      <c r="B9841" s="13"/>
      <c r="C9841" s="7"/>
      <c r="D9841" s="7"/>
      <c r="E9841" s="5"/>
      <c r="F9841" s="5"/>
      <c r="G9841" s="17"/>
      <c r="H9841" s="10"/>
      <c r="I9841" s="17"/>
    </row>
    <row r="9842" ht="14.25">
      <c r="A9842" s="5"/>
      <c r="B9842" s="13"/>
      <c r="C9842" s="7"/>
      <c r="D9842" s="7"/>
      <c r="E9842" s="5"/>
      <c r="F9842" s="5"/>
      <c r="G9842" s="17"/>
      <c r="H9842" s="10"/>
      <c r="I9842" s="17"/>
    </row>
    <row r="9843" ht="14.25">
      <c r="A9843" s="5"/>
      <c r="B9843" s="13"/>
      <c r="C9843" s="7"/>
      <c r="D9843" s="7"/>
      <c r="E9843" s="5"/>
      <c r="F9843" s="5"/>
      <c r="G9843" s="17"/>
      <c r="H9843" s="10"/>
      <c r="I9843" s="17"/>
    </row>
    <row r="9844" ht="14.25">
      <c r="A9844" s="5"/>
      <c r="B9844" s="13"/>
      <c r="C9844" s="7"/>
      <c r="D9844" s="7"/>
      <c r="E9844" s="5"/>
      <c r="F9844" s="5"/>
      <c r="G9844" s="17"/>
      <c r="H9844" s="10"/>
      <c r="I9844" s="17"/>
    </row>
    <row r="9845" ht="14.25">
      <c r="A9845" s="5"/>
      <c r="B9845" s="13"/>
      <c r="C9845" s="7"/>
      <c r="D9845" s="7"/>
      <c r="E9845" s="5"/>
      <c r="F9845" s="5"/>
      <c r="G9845" s="17"/>
      <c r="H9845" s="10"/>
      <c r="I9845" s="17"/>
    </row>
    <row r="9846" ht="14.25">
      <c r="A9846" s="5"/>
      <c r="B9846" s="13"/>
      <c r="C9846" s="7"/>
      <c r="D9846" s="7"/>
      <c r="E9846" s="5"/>
      <c r="F9846" s="5"/>
      <c r="G9846" s="17"/>
      <c r="H9846" s="10"/>
      <c r="I9846" s="17"/>
    </row>
    <row r="9847" ht="14.25">
      <c r="A9847" s="5"/>
      <c r="B9847" s="13"/>
      <c r="C9847" s="7"/>
      <c r="D9847" s="7"/>
      <c r="E9847" s="5"/>
      <c r="F9847" s="5"/>
      <c r="G9847" s="17"/>
      <c r="H9847" s="10"/>
      <c r="I9847" s="17"/>
    </row>
    <row r="9848" ht="14.25">
      <c r="A9848" s="5"/>
      <c r="B9848" s="13"/>
      <c r="C9848" s="7"/>
      <c r="D9848" s="7"/>
      <c r="E9848" s="5"/>
      <c r="F9848" s="5"/>
      <c r="G9848" s="17"/>
      <c r="H9848" s="10"/>
      <c r="I9848" s="17"/>
    </row>
    <row r="9849" ht="14.25">
      <c r="A9849" s="5"/>
      <c r="B9849" s="13"/>
      <c r="C9849" s="7"/>
      <c r="D9849" s="7"/>
      <c r="E9849" s="5"/>
      <c r="F9849" s="5"/>
      <c r="G9849" s="17"/>
      <c r="H9849" s="10"/>
      <c r="I9849" s="17"/>
    </row>
    <row r="9850" ht="14.25">
      <c r="A9850" s="5"/>
      <c r="B9850" s="13"/>
      <c r="C9850" s="7"/>
      <c r="D9850" s="7"/>
      <c r="E9850" s="5"/>
      <c r="F9850" s="5"/>
      <c r="G9850" s="17"/>
      <c r="H9850" s="10"/>
      <c r="I9850" s="17"/>
    </row>
    <row r="9851" ht="14.25">
      <c r="A9851" s="5"/>
      <c r="B9851" s="13"/>
      <c r="C9851" s="7"/>
      <c r="D9851" s="7"/>
      <c r="E9851" s="5"/>
      <c r="F9851" s="5"/>
      <c r="G9851" s="17"/>
      <c r="H9851" s="10"/>
      <c r="I9851" s="17"/>
    </row>
    <row r="9852" ht="14.25">
      <c r="A9852" s="5"/>
      <c r="B9852" s="13"/>
      <c r="C9852" s="7"/>
      <c r="D9852" s="7"/>
      <c r="E9852" s="5"/>
      <c r="F9852" s="5"/>
      <c r="G9852" s="17"/>
      <c r="H9852" s="10"/>
      <c r="I9852" s="17"/>
    </row>
    <row r="9853" ht="14.25">
      <c r="A9853" s="5"/>
      <c r="B9853" s="13"/>
      <c r="C9853" s="7"/>
      <c r="D9853" s="7"/>
      <c r="E9853" s="5"/>
      <c r="F9853" s="5"/>
      <c r="G9853" s="17"/>
      <c r="H9853" s="10"/>
      <c r="I9853" s="17"/>
    </row>
    <row r="9854" ht="14.25">
      <c r="A9854" s="5"/>
      <c r="B9854" s="13"/>
      <c r="C9854" s="7"/>
      <c r="D9854" s="7"/>
      <c r="E9854" s="5"/>
      <c r="F9854" s="5"/>
      <c r="G9854" s="17"/>
      <c r="H9854" s="10"/>
      <c r="I9854" s="17"/>
    </row>
    <row r="9855" ht="14.25">
      <c r="A9855" s="5"/>
      <c r="B9855" s="13"/>
      <c r="C9855" s="7"/>
      <c r="D9855" s="7"/>
      <c r="E9855" s="5"/>
      <c r="F9855" s="5"/>
      <c r="G9855" s="17"/>
      <c r="H9855" s="10"/>
      <c r="I9855" s="17"/>
    </row>
    <row r="9856" ht="14.25">
      <c r="A9856" s="5"/>
      <c r="B9856" s="13"/>
      <c r="C9856" s="7"/>
      <c r="D9856" s="7"/>
      <c r="E9856" s="5"/>
      <c r="F9856" s="5"/>
      <c r="G9856" s="17"/>
      <c r="H9856" s="10"/>
      <c r="I9856" s="17"/>
    </row>
    <row r="9857" ht="14.25">
      <c r="A9857" s="5"/>
      <c r="B9857" s="13"/>
      <c r="C9857" s="7"/>
      <c r="D9857" s="7"/>
      <c r="E9857" s="5"/>
      <c r="F9857" s="5"/>
      <c r="G9857" s="17"/>
      <c r="H9857" s="10"/>
      <c r="I9857" s="17"/>
    </row>
    <row r="9858" ht="14.25">
      <c r="A9858" s="5"/>
      <c r="B9858" s="13"/>
      <c r="C9858" s="7"/>
      <c r="D9858" s="7"/>
      <c r="E9858" s="5"/>
      <c r="F9858" s="5"/>
      <c r="G9858" s="17"/>
      <c r="H9858" s="10"/>
      <c r="I9858" s="17"/>
    </row>
    <row r="9859" ht="14.25">
      <c r="A9859" s="5"/>
      <c r="B9859" s="13"/>
      <c r="C9859" s="7"/>
      <c r="D9859" s="7"/>
      <c r="E9859" s="5"/>
      <c r="F9859" s="5"/>
      <c r="G9859" s="17"/>
      <c r="H9859" s="10"/>
      <c r="I9859" s="17"/>
    </row>
    <row r="9860" ht="14.25">
      <c r="A9860" s="5"/>
      <c r="B9860" s="13"/>
      <c r="C9860" s="7"/>
      <c r="D9860" s="7"/>
      <c r="E9860" s="5"/>
      <c r="F9860" s="5"/>
      <c r="G9860" s="17"/>
      <c r="H9860" s="10"/>
      <c r="I9860" s="17"/>
    </row>
    <row r="9861" ht="14.25">
      <c r="A9861" s="5"/>
      <c r="B9861" s="13"/>
      <c r="C9861" s="7"/>
      <c r="D9861" s="7"/>
      <c r="E9861" s="5"/>
      <c r="F9861" s="5"/>
      <c r="G9861" s="17"/>
      <c r="H9861" s="10"/>
      <c r="I9861" s="17"/>
    </row>
    <row r="9862" ht="14.25">
      <c r="A9862" s="5"/>
      <c r="B9862" s="13"/>
      <c r="C9862" s="7"/>
      <c r="D9862" s="7"/>
      <c r="E9862" s="5"/>
      <c r="F9862" s="5"/>
      <c r="G9862" s="17"/>
      <c r="H9862" s="10"/>
      <c r="I9862" s="17"/>
    </row>
    <row r="9863" ht="14.25">
      <c r="A9863" s="5"/>
      <c r="B9863" s="13"/>
      <c r="C9863" s="7"/>
      <c r="D9863" s="7"/>
      <c r="E9863" s="5"/>
      <c r="F9863" s="5"/>
      <c r="G9863" s="17"/>
      <c r="H9863" s="10"/>
      <c r="I9863" s="17"/>
    </row>
    <row r="9864" ht="14.25">
      <c r="A9864" s="5"/>
      <c r="B9864" s="13"/>
      <c r="C9864" s="7"/>
      <c r="D9864" s="7"/>
      <c r="E9864" s="5"/>
      <c r="F9864" s="5"/>
      <c r="G9864" s="17"/>
      <c r="H9864" s="10"/>
      <c r="I9864" s="17"/>
    </row>
    <row r="9865" ht="14.25">
      <c r="A9865" s="5"/>
      <c r="B9865" s="13"/>
      <c r="C9865" s="7"/>
      <c r="D9865" s="7"/>
      <c r="E9865" s="5"/>
      <c r="F9865" s="5"/>
      <c r="G9865" s="17"/>
      <c r="H9865" s="10"/>
      <c r="I9865" s="17"/>
    </row>
    <row r="9866" ht="14.25">
      <c r="A9866" s="5"/>
      <c r="B9866" s="13"/>
      <c r="C9866" s="7"/>
      <c r="D9866" s="7"/>
      <c r="E9866" s="5"/>
      <c r="F9866" s="5"/>
      <c r="G9866" s="17"/>
      <c r="H9866" s="10"/>
      <c r="I9866" s="17"/>
    </row>
    <row r="9867" ht="14.25">
      <c r="A9867" s="5"/>
      <c r="B9867" s="13"/>
      <c r="C9867" s="7"/>
      <c r="D9867" s="7"/>
      <c r="E9867" s="5"/>
      <c r="F9867" s="5"/>
      <c r="G9867" s="17"/>
      <c r="H9867" s="10"/>
      <c r="I9867" s="17"/>
    </row>
    <row r="9868" ht="14.25">
      <c r="A9868" s="5"/>
      <c r="B9868" s="13"/>
      <c r="C9868" s="7"/>
      <c r="D9868" s="7"/>
      <c r="E9868" s="5"/>
      <c r="F9868" s="5"/>
      <c r="G9868" s="17"/>
      <c r="H9868" s="10"/>
      <c r="I9868" s="17"/>
    </row>
    <row r="9869" ht="14.25">
      <c r="A9869" s="5"/>
      <c r="B9869" s="13"/>
      <c r="C9869" s="7"/>
      <c r="D9869" s="7"/>
      <c r="E9869" s="5"/>
      <c r="F9869" s="5"/>
      <c r="G9869" s="17"/>
      <c r="H9869" s="10"/>
      <c r="I9869" s="17"/>
    </row>
    <row r="9870" ht="14.25">
      <c r="A9870" s="5"/>
      <c r="B9870" s="13"/>
      <c r="C9870" s="7"/>
      <c r="D9870" s="7"/>
      <c r="E9870" s="5"/>
      <c r="F9870" s="5"/>
      <c r="G9870" s="17"/>
      <c r="H9870" s="10"/>
      <c r="I9870" s="17"/>
    </row>
    <row r="9871" ht="14.25">
      <c r="A9871" s="5"/>
      <c r="B9871" s="13"/>
      <c r="C9871" s="7"/>
      <c r="D9871" s="7"/>
      <c r="E9871" s="5"/>
      <c r="F9871" s="5"/>
      <c r="G9871" s="17"/>
      <c r="H9871" s="10"/>
      <c r="I9871" s="17"/>
    </row>
    <row r="9872" ht="14.25">
      <c r="A9872" s="5"/>
      <c r="B9872" s="13"/>
      <c r="C9872" s="7"/>
      <c r="D9872" s="7"/>
      <c r="E9872" s="5"/>
      <c r="F9872" s="5"/>
      <c r="G9872" s="17"/>
      <c r="H9872" s="10"/>
      <c r="I9872" s="17"/>
    </row>
    <row r="9873" ht="14.25">
      <c r="A9873" s="5"/>
      <c r="B9873" s="13"/>
      <c r="C9873" s="7"/>
      <c r="D9873" s="7"/>
      <c r="E9873" s="5"/>
      <c r="F9873" s="5"/>
      <c r="G9873" s="17"/>
      <c r="H9873" s="10"/>
      <c r="I9873" s="17"/>
    </row>
    <row r="9874" ht="14.25">
      <c r="A9874" s="5"/>
      <c r="B9874" s="13"/>
      <c r="C9874" s="7"/>
      <c r="D9874" s="7"/>
      <c r="E9874" s="5"/>
      <c r="F9874" s="5"/>
      <c r="G9874" s="17"/>
      <c r="H9874" s="10"/>
      <c r="I9874" s="17"/>
    </row>
    <row r="9875" ht="14.25">
      <c r="A9875" s="5"/>
      <c r="B9875" s="13"/>
      <c r="C9875" s="7"/>
      <c r="D9875" s="7"/>
      <c r="E9875" s="5"/>
      <c r="F9875" s="5"/>
      <c r="G9875" s="17"/>
      <c r="H9875" s="10"/>
      <c r="I9875" s="17"/>
    </row>
    <row r="9876" ht="14.25">
      <c r="A9876" s="5"/>
      <c r="B9876" s="13"/>
      <c r="C9876" s="7"/>
      <c r="D9876" s="7"/>
      <c r="E9876" s="5"/>
      <c r="F9876" s="5"/>
      <c r="G9876" s="17"/>
      <c r="H9876" s="10"/>
      <c r="I9876" s="17"/>
    </row>
    <row r="9877" ht="14.25">
      <c r="A9877" s="5"/>
      <c r="B9877" s="13"/>
      <c r="C9877" s="7"/>
      <c r="D9877" s="7"/>
      <c r="E9877" s="5"/>
      <c r="F9877" s="5"/>
      <c r="G9877" s="17"/>
      <c r="H9877" s="10"/>
      <c r="I9877" s="17"/>
    </row>
    <row r="9878" ht="14.25">
      <c r="A9878" s="5"/>
      <c r="B9878" s="13"/>
      <c r="C9878" s="7"/>
      <c r="D9878" s="7"/>
      <c r="E9878" s="5"/>
      <c r="F9878" s="5"/>
      <c r="G9878" s="17"/>
      <c r="H9878" s="10"/>
      <c r="I9878" s="17"/>
    </row>
    <row r="9879" ht="14.25">
      <c r="A9879" s="5"/>
      <c r="B9879" s="13"/>
      <c r="C9879" s="7"/>
      <c r="D9879" s="7"/>
      <c r="E9879" s="5"/>
      <c r="F9879" s="5"/>
      <c r="G9879" s="17"/>
      <c r="H9879" s="10"/>
      <c r="I9879" s="17"/>
    </row>
    <row r="9880" ht="14.25">
      <c r="A9880" s="5"/>
      <c r="B9880" s="13"/>
      <c r="C9880" s="7"/>
      <c r="D9880" s="7"/>
      <c r="E9880" s="5"/>
      <c r="F9880" s="5"/>
      <c r="G9880" s="17"/>
      <c r="H9880" s="10"/>
      <c r="I9880" s="17"/>
    </row>
    <row r="9881" ht="14.25">
      <c r="A9881" s="5"/>
      <c r="B9881" s="13"/>
      <c r="C9881" s="7"/>
      <c r="D9881" s="7"/>
      <c r="E9881" s="5"/>
      <c r="F9881" s="5"/>
      <c r="G9881" s="17"/>
      <c r="H9881" s="10"/>
      <c r="I9881" s="17"/>
    </row>
    <row r="9882" ht="14.25">
      <c r="A9882" s="5"/>
      <c r="B9882" s="13"/>
      <c r="C9882" s="7"/>
      <c r="D9882" s="7"/>
      <c r="E9882" s="5"/>
      <c r="F9882" s="5"/>
      <c r="G9882" s="17"/>
      <c r="H9882" s="10"/>
      <c r="I9882" s="17"/>
    </row>
    <row r="9883" ht="14.25">
      <c r="A9883" s="5"/>
      <c r="B9883" s="13"/>
      <c r="C9883" s="7"/>
      <c r="D9883" s="7"/>
      <c r="E9883" s="5"/>
      <c r="F9883" s="5"/>
      <c r="G9883" s="17"/>
      <c r="H9883" s="10"/>
      <c r="I9883" s="17"/>
    </row>
    <row r="9884" ht="14.25">
      <c r="A9884" s="5"/>
      <c r="B9884" s="13"/>
      <c r="C9884" s="7"/>
      <c r="D9884" s="7"/>
      <c r="E9884" s="5"/>
      <c r="F9884" s="5"/>
      <c r="G9884" s="17"/>
      <c r="H9884" s="10"/>
      <c r="I9884" s="17"/>
    </row>
    <row r="9885" ht="14.25">
      <c r="A9885" s="5"/>
      <c r="B9885" s="13"/>
      <c r="C9885" s="7"/>
      <c r="D9885" s="7"/>
      <c r="E9885" s="5"/>
      <c r="F9885" s="5"/>
      <c r="G9885" s="17"/>
      <c r="H9885" s="10"/>
      <c r="I9885" s="17"/>
    </row>
    <row r="9886" ht="14.25">
      <c r="A9886" s="5"/>
      <c r="B9886" s="13"/>
      <c r="C9886" s="7"/>
      <c r="D9886" s="7"/>
      <c r="E9886" s="5"/>
      <c r="F9886" s="5"/>
      <c r="G9886" s="17"/>
      <c r="H9886" s="10"/>
      <c r="I9886" s="17"/>
    </row>
    <row r="9887" ht="14.25">
      <c r="A9887" s="5"/>
      <c r="B9887" s="13"/>
      <c r="C9887" s="7"/>
      <c r="D9887" s="7"/>
      <c r="E9887" s="5"/>
      <c r="F9887" s="5"/>
      <c r="G9887" s="17"/>
      <c r="H9887" s="10"/>
      <c r="I9887" s="17"/>
    </row>
    <row r="9888" ht="14.25">
      <c r="A9888" s="5"/>
      <c r="B9888" s="13"/>
      <c r="C9888" s="7"/>
      <c r="D9888" s="7"/>
      <c r="E9888" s="5"/>
      <c r="F9888" s="5"/>
      <c r="G9888" s="17"/>
      <c r="H9888" s="10"/>
      <c r="I9888" s="17"/>
    </row>
    <row r="9889" ht="14.25">
      <c r="A9889" s="5"/>
      <c r="B9889" s="13"/>
      <c r="C9889" s="7"/>
      <c r="D9889" s="7"/>
      <c r="E9889" s="5"/>
      <c r="F9889" s="5"/>
      <c r="G9889" s="17"/>
      <c r="H9889" s="10"/>
      <c r="I9889" s="17"/>
    </row>
    <row r="9890" ht="14.25">
      <c r="A9890" s="5"/>
      <c r="B9890" s="13"/>
      <c r="C9890" s="7"/>
      <c r="D9890" s="7"/>
      <c r="E9890" s="5"/>
      <c r="F9890" s="5"/>
      <c r="G9890" s="17"/>
      <c r="H9890" s="10"/>
      <c r="I9890" s="17"/>
    </row>
    <row r="9891" ht="14.25">
      <c r="A9891" s="5"/>
      <c r="B9891" s="13"/>
      <c r="C9891" s="7"/>
      <c r="D9891" s="7"/>
      <c r="E9891" s="5"/>
      <c r="F9891" s="5"/>
      <c r="G9891" s="17"/>
      <c r="H9891" s="10"/>
      <c r="I9891" s="17"/>
    </row>
    <row r="9892" ht="14.25">
      <c r="A9892" s="5"/>
      <c r="B9892" s="13"/>
      <c r="C9892" s="7"/>
      <c r="D9892" s="7"/>
      <c r="E9892" s="5"/>
      <c r="F9892" s="5"/>
      <c r="G9892" s="17"/>
      <c r="H9892" s="10"/>
      <c r="I9892" s="17"/>
    </row>
    <row r="9893" ht="14.25">
      <c r="A9893" s="5"/>
      <c r="B9893" s="13"/>
      <c r="C9893" s="7"/>
      <c r="D9893" s="7"/>
      <c r="E9893" s="5"/>
      <c r="F9893" s="5"/>
      <c r="G9893" s="17"/>
      <c r="H9893" s="10"/>
      <c r="I9893" s="17"/>
    </row>
    <row r="9894" ht="14.25">
      <c r="A9894" s="5"/>
      <c r="B9894" s="13"/>
      <c r="C9894" s="7"/>
      <c r="D9894" s="7"/>
      <c r="E9894" s="5"/>
      <c r="F9894" s="5"/>
      <c r="G9894" s="17"/>
      <c r="H9894" s="10"/>
      <c r="I9894" s="17"/>
    </row>
    <row r="9895" ht="14.25">
      <c r="A9895" s="5"/>
      <c r="B9895" s="13"/>
      <c r="C9895" s="7"/>
      <c r="D9895" s="7"/>
      <c r="E9895" s="5"/>
      <c r="F9895" s="5"/>
      <c r="G9895" s="17"/>
      <c r="H9895" s="10"/>
      <c r="I9895" s="17"/>
    </row>
    <row r="9896" ht="14.25">
      <c r="A9896" s="5"/>
      <c r="B9896" s="13"/>
      <c r="C9896" s="7"/>
      <c r="D9896" s="7"/>
      <c r="E9896" s="5"/>
      <c r="F9896" s="5"/>
      <c r="G9896" s="17"/>
      <c r="H9896" s="10"/>
      <c r="I9896" s="17"/>
    </row>
    <row r="9897" ht="14.25">
      <c r="A9897" s="5"/>
      <c r="B9897" s="13"/>
      <c r="C9897" s="7"/>
      <c r="D9897" s="7"/>
      <c r="E9897" s="5"/>
      <c r="F9897" s="5"/>
      <c r="G9897" s="17"/>
      <c r="H9897" s="10"/>
      <c r="I9897" s="17"/>
    </row>
    <row r="9898" ht="14.25">
      <c r="A9898" s="5"/>
      <c r="B9898" s="13"/>
      <c r="C9898" s="7"/>
      <c r="D9898" s="7"/>
      <c r="E9898" s="5"/>
      <c r="F9898" s="5"/>
      <c r="G9898" s="17"/>
      <c r="H9898" s="10"/>
      <c r="I9898" s="17"/>
    </row>
    <row r="9899" ht="14.25">
      <c r="A9899" s="5"/>
      <c r="B9899" s="13"/>
      <c r="C9899" s="7"/>
      <c r="D9899" s="7"/>
      <c r="E9899" s="5"/>
      <c r="F9899" s="5"/>
      <c r="G9899" s="17"/>
      <c r="H9899" s="10"/>
      <c r="I9899" s="17"/>
    </row>
    <row r="9900" ht="14.25">
      <c r="A9900" s="5"/>
      <c r="B9900" s="13"/>
      <c r="C9900" s="7"/>
      <c r="D9900" s="7"/>
      <c r="E9900" s="5"/>
      <c r="F9900" s="5"/>
      <c r="G9900" s="17"/>
      <c r="H9900" s="10"/>
      <c r="I9900" s="17"/>
    </row>
    <row r="9901" ht="14.25">
      <c r="A9901" s="5"/>
      <c r="B9901" s="13"/>
      <c r="C9901" s="7"/>
      <c r="D9901" s="7"/>
      <c r="E9901" s="5"/>
      <c r="F9901" s="5"/>
      <c r="G9901" s="17"/>
      <c r="H9901" s="10"/>
      <c r="I9901" s="17"/>
    </row>
    <row r="9902" ht="14.25">
      <c r="A9902" s="5"/>
      <c r="B9902" s="13"/>
      <c r="C9902" s="7"/>
      <c r="D9902" s="7"/>
      <c r="E9902" s="5"/>
      <c r="F9902" s="5"/>
      <c r="G9902" s="17"/>
      <c r="H9902" s="10"/>
      <c r="I9902" s="17"/>
    </row>
    <row r="9903" ht="14.25">
      <c r="A9903" s="5"/>
      <c r="B9903" s="13"/>
      <c r="C9903" s="7"/>
      <c r="D9903" s="7"/>
      <c r="E9903" s="5"/>
      <c r="F9903" s="5"/>
      <c r="G9903" s="17"/>
      <c r="H9903" s="10"/>
      <c r="I9903" s="17"/>
    </row>
    <row r="9904" ht="14.25">
      <c r="A9904" s="5"/>
      <c r="B9904" s="13"/>
      <c r="C9904" s="7"/>
      <c r="D9904" s="7"/>
      <c r="E9904" s="5"/>
      <c r="F9904" s="5"/>
      <c r="G9904" s="17"/>
      <c r="H9904" s="10"/>
      <c r="I9904" s="17"/>
    </row>
    <row r="9905" ht="14.25">
      <c r="A9905" s="5"/>
      <c r="B9905" s="13"/>
      <c r="C9905" s="7"/>
      <c r="D9905" s="7"/>
      <c r="E9905" s="5"/>
      <c r="F9905" s="5"/>
      <c r="G9905" s="17"/>
      <c r="H9905" s="10"/>
      <c r="I9905" s="17"/>
    </row>
    <row r="9906" ht="14.25">
      <c r="A9906" s="5"/>
      <c r="B9906" s="13"/>
      <c r="C9906" s="7"/>
      <c r="D9906" s="7"/>
      <c r="E9906" s="5"/>
      <c r="F9906" s="5"/>
      <c r="G9906" s="17"/>
      <c r="H9906" s="10"/>
      <c r="I9906" s="17"/>
    </row>
    <row r="9907" ht="14.25">
      <c r="A9907" s="5"/>
      <c r="B9907" s="13"/>
      <c r="C9907" s="7"/>
      <c r="D9907" s="7"/>
      <c r="E9907" s="5"/>
      <c r="F9907" s="5"/>
      <c r="G9907" s="17"/>
      <c r="H9907" s="10"/>
      <c r="I9907" s="17"/>
    </row>
    <row r="9908" ht="14.25">
      <c r="A9908" s="5"/>
      <c r="B9908" s="13"/>
      <c r="C9908" s="7"/>
      <c r="D9908" s="7"/>
      <c r="E9908" s="5"/>
      <c r="F9908" s="5"/>
      <c r="G9908" s="17"/>
      <c r="H9908" s="10"/>
      <c r="I9908" s="17"/>
    </row>
    <row r="9909" ht="14.25">
      <c r="A9909" s="5"/>
      <c r="B9909" s="13"/>
      <c r="C9909" s="7"/>
      <c r="D9909" s="7"/>
      <c r="E9909" s="5"/>
      <c r="F9909" s="5"/>
      <c r="G9909" s="17"/>
      <c r="H9909" s="10"/>
      <c r="I9909" s="17"/>
    </row>
    <row r="9910" ht="14.25">
      <c r="A9910" s="5"/>
      <c r="B9910" s="13"/>
      <c r="C9910" s="7"/>
      <c r="D9910" s="7"/>
      <c r="E9910" s="5"/>
      <c r="F9910" s="5"/>
      <c r="G9910" s="17"/>
      <c r="H9910" s="10"/>
      <c r="I9910" s="17"/>
    </row>
    <row r="9911" ht="14.25">
      <c r="A9911" s="5"/>
      <c r="B9911" s="13"/>
      <c r="C9911" s="7"/>
      <c r="D9911" s="7"/>
      <c r="E9911" s="5"/>
      <c r="F9911" s="5"/>
      <c r="G9911" s="17"/>
      <c r="H9911" s="10"/>
      <c r="I9911" s="17"/>
    </row>
    <row r="9912" ht="14.25">
      <c r="A9912" s="5"/>
      <c r="B9912" s="13"/>
      <c r="C9912" s="7"/>
      <c r="D9912" s="7"/>
      <c r="E9912" s="5"/>
      <c r="F9912" s="5"/>
      <c r="G9912" s="17"/>
      <c r="H9912" s="10"/>
      <c r="I9912" s="17"/>
    </row>
    <row r="9913" ht="14.25">
      <c r="A9913" s="5"/>
      <c r="B9913" s="13"/>
      <c r="C9913" s="7"/>
      <c r="D9913" s="7"/>
      <c r="E9913" s="5"/>
      <c r="F9913" s="5"/>
      <c r="G9913" s="17"/>
      <c r="H9913" s="10"/>
      <c r="I9913" s="17"/>
    </row>
    <row r="9914" ht="14.25">
      <c r="A9914" s="5"/>
      <c r="B9914" s="13"/>
      <c r="C9914" s="7"/>
      <c r="D9914" s="7"/>
      <c r="E9914" s="5"/>
      <c r="F9914" s="5"/>
      <c r="G9914" s="17"/>
      <c r="H9914" s="10"/>
      <c r="I9914" s="17"/>
    </row>
    <row r="9915" ht="14.25">
      <c r="A9915" s="5"/>
      <c r="B9915" s="13"/>
      <c r="C9915" s="7"/>
      <c r="D9915" s="7"/>
      <c r="E9915" s="5"/>
      <c r="F9915" s="5"/>
      <c r="G9915" s="17"/>
      <c r="H9915" s="10"/>
      <c r="I9915" s="17"/>
    </row>
    <row r="9916" ht="14.25">
      <c r="A9916" s="5"/>
      <c r="B9916" s="13"/>
      <c r="C9916" s="7"/>
      <c r="D9916" s="7"/>
      <c r="E9916" s="5"/>
      <c r="F9916" s="5"/>
      <c r="G9916" s="17"/>
      <c r="H9916" s="10"/>
      <c r="I9916" s="17"/>
    </row>
    <row r="9917" ht="14.25">
      <c r="A9917" s="5"/>
      <c r="B9917" s="13"/>
      <c r="C9917" s="7"/>
      <c r="D9917" s="7"/>
      <c r="E9917" s="5"/>
      <c r="F9917" s="5"/>
      <c r="G9917" s="17"/>
      <c r="H9917" s="10"/>
      <c r="I9917" s="17"/>
    </row>
    <row r="9918" ht="14.25">
      <c r="A9918" s="5"/>
      <c r="B9918" s="13"/>
      <c r="C9918" s="7"/>
      <c r="D9918" s="7"/>
      <c r="E9918" s="5"/>
      <c r="F9918" s="5"/>
      <c r="G9918" s="17"/>
      <c r="H9918" s="10"/>
      <c r="I9918" s="17"/>
    </row>
    <row r="9919" ht="14.25">
      <c r="A9919" s="5"/>
      <c r="B9919" s="13"/>
      <c r="C9919" s="7"/>
      <c r="D9919" s="7"/>
      <c r="E9919" s="5"/>
      <c r="F9919" s="5"/>
      <c r="G9919" s="17"/>
      <c r="H9919" s="10"/>
      <c r="I9919" s="17"/>
    </row>
    <row r="9920" ht="14.25">
      <c r="A9920" s="5"/>
      <c r="B9920" s="13"/>
      <c r="C9920" s="7"/>
      <c r="D9920" s="7"/>
      <c r="E9920" s="5"/>
      <c r="F9920" s="5"/>
      <c r="G9920" s="17"/>
      <c r="H9920" s="10"/>
      <c r="I9920" s="17"/>
    </row>
    <row r="9921" ht="14.25">
      <c r="A9921" s="5"/>
      <c r="B9921" s="13"/>
      <c r="C9921" s="7"/>
      <c r="D9921" s="7"/>
      <c r="E9921" s="5"/>
      <c r="F9921" s="5"/>
      <c r="G9921" s="17"/>
      <c r="H9921" s="10"/>
      <c r="I9921" s="17"/>
    </row>
    <row r="9922" ht="14.25">
      <c r="A9922" s="5"/>
      <c r="B9922" s="13"/>
      <c r="C9922" s="7"/>
      <c r="D9922" s="7"/>
      <c r="E9922" s="5"/>
      <c r="F9922" s="5"/>
      <c r="G9922" s="17"/>
      <c r="H9922" s="10"/>
      <c r="I9922" s="17"/>
    </row>
    <row r="9923" ht="14.25">
      <c r="A9923" s="5"/>
      <c r="B9923" s="13"/>
      <c r="C9923" s="7"/>
      <c r="D9923" s="7"/>
      <c r="E9923" s="5"/>
      <c r="F9923" s="5"/>
      <c r="G9923" s="17"/>
      <c r="H9923" s="10"/>
      <c r="I9923" s="17"/>
    </row>
    <row r="9924" ht="14.25">
      <c r="A9924" s="5"/>
      <c r="B9924" s="13"/>
      <c r="C9924" s="7"/>
      <c r="D9924" s="7"/>
      <c r="E9924" s="5"/>
      <c r="F9924" s="5"/>
      <c r="G9924" s="17"/>
      <c r="H9924" s="10"/>
      <c r="I9924" s="17"/>
    </row>
    <row r="9925" ht="14.25">
      <c r="A9925" s="5"/>
      <c r="B9925" s="13"/>
      <c r="C9925" s="7"/>
      <c r="D9925" s="7"/>
      <c r="E9925" s="5"/>
      <c r="F9925" s="5"/>
      <c r="G9925" s="17"/>
      <c r="H9925" s="10"/>
      <c r="I9925" s="17"/>
    </row>
    <row r="9926" ht="14.25">
      <c r="A9926" s="5"/>
      <c r="B9926" s="13"/>
      <c r="C9926" s="7"/>
      <c r="D9926" s="7"/>
      <c r="E9926" s="5"/>
      <c r="F9926" s="5"/>
      <c r="G9926" s="17"/>
      <c r="H9926" s="10"/>
      <c r="I9926" s="17"/>
    </row>
    <row r="9927" ht="14.25">
      <c r="A9927" s="5"/>
      <c r="B9927" s="13"/>
      <c r="C9927" s="7"/>
      <c r="D9927" s="7"/>
      <c r="E9927" s="5"/>
      <c r="F9927" s="5"/>
      <c r="G9927" s="17"/>
      <c r="H9927" s="10"/>
      <c r="I9927" s="17"/>
    </row>
    <row r="9928" ht="14.25">
      <c r="A9928" s="5"/>
      <c r="B9928" s="13"/>
      <c r="C9928" s="7"/>
      <c r="D9928" s="7"/>
      <c r="E9928" s="5"/>
      <c r="F9928" s="5"/>
      <c r="G9928" s="17"/>
      <c r="H9928" s="10"/>
      <c r="I9928" s="17"/>
    </row>
    <row r="9929" ht="14.25">
      <c r="A9929" s="5"/>
      <c r="B9929" s="13"/>
      <c r="C9929" s="7"/>
      <c r="D9929" s="7"/>
      <c r="E9929" s="5"/>
      <c r="F9929" s="5"/>
      <c r="G9929" s="17"/>
      <c r="H9929" s="10"/>
      <c r="I9929" s="17"/>
    </row>
    <row r="9930" ht="14.25">
      <c r="A9930" s="5"/>
      <c r="B9930" s="13"/>
      <c r="C9930" s="7"/>
      <c r="D9930" s="7"/>
      <c r="E9930" s="5"/>
      <c r="F9930" s="5"/>
      <c r="G9930" s="17"/>
      <c r="H9930" s="10"/>
      <c r="I9930" s="17"/>
    </row>
    <row r="9931" ht="14.25">
      <c r="A9931" s="5"/>
      <c r="B9931" s="13"/>
      <c r="C9931" s="7"/>
      <c r="D9931" s="7"/>
      <c r="E9931" s="5"/>
      <c r="F9931" s="5"/>
      <c r="G9931" s="17"/>
      <c r="H9931" s="10"/>
      <c r="I9931" s="17"/>
    </row>
    <row r="9932" ht="14.25">
      <c r="A9932" s="5"/>
      <c r="B9932" s="13"/>
      <c r="C9932" s="7"/>
      <c r="D9932" s="7"/>
      <c r="E9932" s="5"/>
      <c r="F9932" s="5"/>
      <c r="G9932" s="17"/>
      <c r="H9932" s="10"/>
      <c r="I9932" s="17"/>
    </row>
    <row r="9933" ht="14.25">
      <c r="A9933" s="5"/>
      <c r="B9933" s="13"/>
      <c r="C9933" s="7"/>
      <c r="D9933" s="7"/>
      <c r="E9933" s="5"/>
      <c r="F9933" s="5"/>
      <c r="G9933" s="17"/>
      <c r="H9933" s="10"/>
      <c r="I9933" s="17"/>
    </row>
    <row r="9934" ht="14.25">
      <c r="A9934" s="5"/>
      <c r="B9934" s="13"/>
      <c r="C9934" s="7"/>
      <c r="D9934" s="7"/>
      <c r="E9934" s="5"/>
      <c r="F9934" s="5"/>
      <c r="G9934" s="17"/>
      <c r="H9934" s="10"/>
      <c r="I9934" s="17"/>
    </row>
    <row r="9935" ht="14.25">
      <c r="A9935" s="5"/>
      <c r="B9935" s="13"/>
      <c r="C9935" s="7"/>
      <c r="D9935" s="7"/>
      <c r="E9935" s="5"/>
      <c r="F9935" s="5"/>
      <c r="G9935" s="17"/>
      <c r="H9935" s="10"/>
      <c r="I9935" s="17"/>
    </row>
    <row r="9936" ht="14.25">
      <c r="A9936" s="5"/>
      <c r="B9936" s="13"/>
      <c r="C9936" s="7"/>
      <c r="D9936" s="7"/>
      <c r="E9936" s="5"/>
      <c r="F9936" s="5"/>
      <c r="G9936" s="17"/>
      <c r="H9936" s="10"/>
      <c r="I9936" s="17"/>
    </row>
    <row r="9937" ht="14.25">
      <c r="A9937" s="5"/>
      <c r="B9937" s="13"/>
      <c r="C9937" s="7"/>
      <c r="D9937" s="7"/>
      <c r="E9937" s="5"/>
      <c r="F9937" s="5"/>
      <c r="G9937" s="17"/>
      <c r="H9937" s="10"/>
      <c r="I9937" s="17"/>
    </row>
    <row r="9938" ht="14.25">
      <c r="A9938" s="5"/>
      <c r="B9938" s="13"/>
      <c r="C9938" s="7"/>
      <c r="D9938" s="7"/>
      <c r="E9938" s="5"/>
      <c r="F9938" s="5"/>
      <c r="G9938" s="17"/>
      <c r="H9938" s="10"/>
      <c r="I9938" s="17"/>
    </row>
    <row r="9939" ht="14.25">
      <c r="A9939" s="5"/>
      <c r="B9939" s="13"/>
      <c r="C9939" s="7"/>
      <c r="D9939" s="7"/>
      <c r="E9939" s="5"/>
      <c r="F9939" s="5"/>
      <c r="G9939" s="17"/>
      <c r="H9939" s="10"/>
      <c r="I9939" s="17"/>
    </row>
    <row r="9940" ht="14.25">
      <c r="A9940" s="5"/>
      <c r="B9940" s="13"/>
      <c r="C9940" s="7"/>
      <c r="D9940" s="7"/>
      <c r="E9940" s="5"/>
      <c r="F9940" s="5"/>
      <c r="G9940" s="17"/>
      <c r="H9940" s="10"/>
      <c r="I9940" s="17"/>
    </row>
    <row r="9941" ht="14.25">
      <c r="A9941" s="5"/>
      <c r="B9941" s="13"/>
      <c r="C9941" s="7"/>
      <c r="D9941" s="7"/>
      <c r="E9941" s="5"/>
      <c r="F9941" s="5"/>
      <c r="G9941" s="17"/>
      <c r="H9941" s="10"/>
      <c r="I9941" s="17"/>
    </row>
    <row r="9942" ht="14.25">
      <c r="A9942" s="5"/>
      <c r="B9942" s="13"/>
      <c r="C9942" s="7"/>
      <c r="D9942" s="7"/>
      <c r="E9942" s="5"/>
      <c r="F9942" s="5"/>
      <c r="G9942" s="17"/>
      <c r="H9942" s="10"/>
      <c r="I9942" s="17"/>
    </row>
    <row r="9943" ht="14.25">
      <c r="A9943" s="5"/>
      <c r="B9943" s="13"/>
      <c r="C9943" s="7"/>
      <c r="D9943" s="7"/>
      <c r="E9943" s="5"/>
      <c r="F9943" s="5"/>
      <c r="G9943" s="17"/>
      <c r="H9943" s="10"/>
      <c r="I9943" s="17"/>
    </row>
    <row r="9944" ht="14.25">
      <c r="A9944" s="5"/>
      <c r="B9944" s="13"/>
      <c r="C9944" s="7"/>
      <c r="D9944" s="7"/>
      <c r="E9944" s="5"/>
      <c r="F9944" s="5"/>
      <c r="G9944" s="17"/>
      <c r="H9944" s="10"/>
      <c r="I9944" s="17"/>
    </row>
    <row r="9945" ht="14.25">
      <c r="A9945" s="5"/>
      <c r="B9945" s="13"/>
      <c r="C9945" s="7"/>
      <c r="D9945" s="7"/>
      <c r="E9945" s="5"/>
      <c r="F9945" s="5"/>
      <c r="G9945" s="17"/>
      <c r="H9945" s="10"/>
      <c r="I9945" s="17"/>
    </row>
    <row r="9946" ht="14.25">
      <c r="A9946" s="5"/>
      <c r="B9946" s="13"/>
      <c r="C9946" s="7"/>
      <c r="D9946" s="7"/>
      <c r="E9946" s="5"/>
      <c r="F9946" s="5"/>
      <c r="G9946" s="17"/>
      <c r="H9946" s="10"/>
      <c r="I9946" s="17"/>
    </row>
    <row r="9947" ht="14.25">
      <c r="A9947" s="5"/>
      <c r="B9947" s="13"/>
      <c r="C9947" s="7"/>
      <c r="D9947" s="7"/>
      <c r="E9947" s="5"/>
      <c r="F9947" s="5"/>
      <c r="G9947" s="17"/>
      <c r="H9947" s="10"/>
      <c r="I9947" s="17"/>
    </row>
    <row r="9948" ht="14.25">
      <c r="A9948" s="5"/>
      <c r="B9948" s="13"/>
      <c r="C9948" s="7"/>
      <c r="D9948" s="7"/>
      <c r="E9948" s="5"/>
      <c r="F9948" s="5"/>
      <c r="G9948" s="17"/>
      <c r="H9948" s="10"/>
      <c r="I9948" s="17"/>
    </row>
    <row r="9949" ht="14.25">
      <c r="A9949" s="5"/>
      <c r="B9949" s="13"/>
      <c r="C9949" s="7"/>
      <c r="D9949" s="7"/>
      <c r="E9949" s="5"/>
      <c r="F9949" s="5"/>
      <c r="G9949" s="17"/>
      <c r="H9949" s="10"/>
      <c r="I9949" s="17"/>
    </row>
    <row r="9950" ht="14.25">
      <c r="A9950" s="5"/>
      <c r="B9950" s="13"/>
      <c r="C9950" s="7"/>
      <c r="D9950" s="7"/>
      <c r="E9950" s="5"/>
      <c r="F9950" s="5"/>
      <c r="G9950" s="17"/>
      <c r="H9950" s="10"/>
      <c r="I9950" s="17"/>
    </row>
    <row r="9951" ht="14.25">
      <c r="A9951" s="5"/>
      <c r="B9951" s="13"/>
      <c r="C9951" s="7"/>
      <c r="D9951" s="7"/>
      <c r="E9951" s="5"/>
      <c r="F9951" s="5"/>
      <c r="G9951" s="17"/>
      <c r="H9951" s="10"/>
      <c r="I9951" s="17"/>
    </row>
    <row r="9952" ht="14.25">
      <c r="A9952" s="5"/>
      <c r="B9952" s="13"/>
      <c r="C9952" s="7"/>
      <c r="D9952" s="7"/>
      <c r="E9952" s="5"/>
      <c r="F9952" s="5"/>
      <c r="G9952" s="17"/>
      <c r="H9952" s="10"/>
      <c r="I9952" s="17"/>
    </row>
    <row r="9953" ht="14.25">
      <c r="A9953" s="5"/>
      <c r="B9953" s="13"/>
      <c r="C9953" s="7"/>
      <c r="D9953" s="7"/>
      <c r="E9953" s="5"/>
      <c r="F9953" s="5"/>
      <c r="G9953" s="17"/>
      <c r="H9953" s="10"/>
      <c r="I9953" s="17"/>
    </row>
    <row r="9954" ht="14.25">
      <c r="A9954" s="5"/>
      <c r="B9954" s="13"/>
      <c r="C9954" s="7"/>
      <c r="D9954" s="7"/>
      <c r="E9954" s="5"/>
      <c r="F9954" s="5"/>
      <c r="G9954" s="17"/>
      <c r="H9954" s="10"/>
      <c r="I9954" s="17"/>
    </row>
    <row r="9955" ht="14.25">
      <c r="A9955" s="5"/>
      <c r="B9955" s="13"/>
      <c r="C9955" s="7"/>
      <c r="D9955" s="7"/>
      <c r="E9955" s="5"/>
      <c r="F9955" s="5"/>
      <c r="G9955" s="17"/>
      <c r="H9955" s="10"/>
      <c r="I9955" s="17"/>
    </row>
    <row r="9956" ht="14.25">
      <c r="A9956" s="5"/>
      <c r="B9956" s="13"/>
      <c r="C9956" s="7"/>
      <c r="D9956" s="7"/>
      <c r="E9956" s="5"/>
      <c r="F9956" s="5"/>
      <c r="G9956" s="17"/>
      <c r="H9956" s="10"/>
      <c r="I9956" s="17"/>
    </row>
    <row r="9957" ht="14.25">
      <c r="A9957" s="5"/>
      <c r="B9957" s="13"/>
      <c r="C9957" s="7"/>
      <c r="D9957" s="7"/>
      <c r="E9957" s="5"/>
      <c r="F9957" s="5"/>
      <c r="G9957" s="17"/>
      <c r="H9957" s="10"/>
      <c r="I9957" s="17"/>
    </row>
    <row r="9958" ht="14.25">
      <c r="A9958" s="5"/>
      <c r="B9958" s="13"/>
      <c r="C9958" s="7"/>
      <c r="D9958" s="7"/>
      <c r="E9958" s="5"/>
      <c r="F9958" s="5"/>
      <c r="G9958" s="17"/>
      <c r="H9958" s="10"/>
      <c r="I9958" s="17"/>
    </row>
    <row r="9959" ht="14.25">
      <c r="A9959" s="5"/>
      <c r="B9959" s="13"/>
      <c r="C9959" s="7"/>
      <c r="D9959" s="7"/>
      <c r="E9959" s="5"/>
      <c r="F9959" s="5"/>
      <c r="G9959" s="17"/>
      <c r="H9959" s="10"/>
      <c r="I9959" s="17"/>
    </row>
    <row r="9960" ht="14.25">
      <c r="A9960" s="5"/>
      <c r="B9960" s="13"/>
      <c r="C9960" s="7"/>
      <c r="D9960" s="7"/>
      <c r="E9960" s="5"/>
      <c r="F9960" s="5"/>
      <c r="G9960" s="17"/>
      <c r="H9960" s="10"/>
      <c r="I9960" s="17"/>
    </row>
    <row r="9961" ht="14.25">
      <c r="A9961" s="5"/>
      <c r="B9961" s="13"/>
      <c r="C9961" s="7"/>
      <c r="D9961" s="7"/>
      <c r="E9961" s="5"/>
      <c r="F9961" s="5"/>
      <c r="G9961" s="17"/>
      <c r="H9961" s="10"/>
      <c r="I9961" s="17"/>
    </row>
    <row r="9962" ht="14.25">
      <c r="A9962" s="5"/>
      <c r="B9962" s="13"/>
      <c r="C9962" s="7"/>
      <c r="D9962" s="7"/>
      <c r="E9962" s="5"/>
      <c r="F9962" s="5"/>
      <c r="G9962" s="17"/>
      <c r="H9962" s="10"/>
      <c r="I9962" s="17"/>
    </row>
    <row r="9963" ht="14.25">
      <c r="A9963" s="5"/>
      <c r="B9963" s="13"/>
      <c r="C9963" s="7"/>
      <c r="D9963" s="7"/>
      <c r="E9963" s="5"/>
      <c r="F9963" s="5"/>
      <c r="G9963" s="17"/>
      <c r="H9963" s="10"/>
      <c r="I9963" s="17"/>
    </row>
    <row r="9964" ht="14.25">
      <c r="A9964" s="5"/>
      <c r="B9964" s="13"/>
      <c r="C9964" s="7"/>
      <c r="D9964" s="7"/>
      <c r="E9964" s="5"/>
      <c r="F9964" s="5"/>
      <c r="G9964" s="17"/>
      <c r="H9964" s="10"/>
      <c r="I9964" s="17"/>
    </row>
    <row r="9965" ht="14.25">
      <c r="A9965" s="5"/>
      <c r="B9965" s="13"/>
      <c r="C9965" s="7"/>
      <c r="D9965" s="7"/>
      <c r="E9965" s="5"/>
      <c r="F9965" s="5"/>
      <c r="G9965" s="17"/>
      <c r="H9965" s="10"/>
      <c r="I9965" s="17"/>
    </row>
    <row r="9966" ht="14.25">
      <c r="A9966" s="5"/>
      <c r="B9966" s="13"/>
      <c r="C9966" s="7"/>
      <c r="D9966" s="7"/>
      <c r="E9966" s="5"/>
      <c r="F9966" s="5"/>
      <c r="G9966" s="17"/>
      <c r="H9966" s="10"/>
      <c r="I9966" s="17"/>
    </row>
    <row r="9967" ht="14.25">
      <c r="A9967" s="5"/>
      <c r="B9967" s="13"/>
      <c r="C9967" s="7"/>
      <c r="D9967" s="7"/>
      <c r="E9967" s="5"/>
      <c r="F9967" s="5"/>
      <c r="G9967" s="17"/>
      <c r="H9967" s="10"/>
      <c r="I9967" s="17"/>
    </row>
    <row r="9968" ht="14.25">
      <c r="A9968" s="5"/>
      <c r="B9968" s="13"/>
      <c r="C9968" s="7"/>
      <c r="D9968" s="7"/>
      <c r="E9968" s="5"/>
      <c r="F9968" s="5"/>
      <c r="G9968" s="17"/>
      <c r="H9968" s="10"/>
      <c r="I9968" s="17"/>
    </row>
    <row r="9969" ht="14.25">
      <c r="A9969" s="5"/>
      <c r="B9969" s="13"/>
      <c r="C9969" s="7"/>
      <c r="D9969" s="7"/>
      <c r="E9969" s="5"/>
      <c r="F9969" s="5"/>
      <c r="G9969" s="17"/>
      <c r="H9969" s="10"/>
      <c r="I9969" s="17"/>
    </row>
    <row r="9970" ht="14.25">
      <c r="A9970" s="5"/>
      <c r="B9970" s="13"/>
      <c r="C9970" s="7"/>
      <c r="D9970" s="7"/>
      <c r="E9970" s="5"/>
      <c r="F9970" s="5"/>
      <c r="G9970" s="17"/>
      <c r="H9970" s="10"/>
      <c r="I9970" s="17"/>
    </row>
    <row r="9971" ht="14.25">
      <c r="A9971" s="5"/>
      <c r="B9971" s="13"/>
      <c r="C9971" s="7"/>
      <c r="D9971" s="7"/>
      <c r="E9971" s="5"/>
      <c r="F9971" s="5"/>
      <c r="G9971" s="17"/>
      <c r="H9971" s="10"/>
      <c r="I9971" s="17"/>
    </row>
    <row r="9972" ht="14.25">
      <c r="A9972" s="5"/>
      <c r="B9972" s="13"/>
      <c r="C9972" s="7"/>
      <c r="D9972" s="7"/>
      <c r="E9972" s="5"/>
      <c r="F9972" s="5"/>
      <c r="G9972" s="17"/>
      <c r="H9972" s="10"/>
      <c r="I9972" s="17"/>
    </row>
    <row r="9973" ht="14.25">
      <c r="A9973" s="5"/>
      <c r="B9973" s="13"/>
      <c r="C9973" s="7"/>
      <c r="D9973" s="7"/>
      <c r="E9973" s="5"/>
      <c r="F9973" s="5"/>
      <c r="G9973" s="17"/>
      <c r="H9973" s="10"/>
      <c r="I9973" s="17"/>
    </row>
    <row r="9974" ht="14.25">
      <c r="A9974" s="5"/>
      <c r="B9974" s="13"/>
      <c r="C9974" s="7"/>
      <c r="D9974" s="7"/>
      <c r="E9974" s="5"/>
      <c r="F9974" s="5"/>
      <c r="G9974" s="17"/>
      <c r="H9974" s="10"/>
      <c r="I9974" s="17"/>
    </row>
    <row r="9975" ht="14.25">
      <c r="A9975" s="5"/>
      <c r="B9975" s="13"/>
      <c r="C9975" s="7"/>
      <c r="D9975" s="7"/>
      <c r="E9975" s="5"/>
      <c r="F9975" s="5"/>
      <c r="G9975" s="17"/>
      <c r="H9975" s="10"/>
      <c r="I9975" s="17"/>
    </row>
    <row r="9976" ht="14.25">
      <c r="A9976" s="5"/>
      <c r="B9976" s="13"/>
      <c r="C9976" s="7"/>
      <c r="D9976" s="7"/>
      <c r="E9976" s="5"/>
      <c r="F9976" s="5"/>
      <c r="G9976" s="17"/>
      <c r="H9976" s="10"/>
      <c r="I9976" s="17"/>
    </row>
    <row r="9977" ht="14.25">
      <c r="A9977" s="5"/>
      <c r="B9977" s="13"/>
      <c r="C9977" s="7"/>
      <c r="D9977" s="7"/>
      <c r="E9977" s="5"/>
      <c r="F9977" s="5"/>
      <c r="G9977" s="17"/>
      <c r="H9977" s="10"/>
      <c r="I9977" s="17"/>
    </row>
    <row r="9978" ht="14.25">
      <c r="A9978" s="5"/>
      <c r="B9978" s="13"/>
      <c r="C9978" s="7"/>
      <c r="D9978" s="7"/>
      <c r="E9978" s="5"/>
      <c r="F9978" s="5"/>
      <c r="G9978" s="17"/>
      <c r="H9978" s="10"/>
      <c r="I9978" s="17"/>
    </row>
    <row r="9979" ht="14.25">
      <c r="A9979" s="5"/>
      <c r="B9979" s="13"/>
      <c r="C9979" s="7"/>
      <c r="D9979" s="7"/>
      <c r="E9979" s="5"/>
      <c r="F9979" s="5"/>
      <c r="G9979" s="17"/>
      <c r="H9979" s="10"/>
      <c r="I9979" s="17"/>
    </row>
    <row r="9980" ht="14.25">
      <c r="A9980" s="5"/>
      <c r="B9980" s="13"/>
      <c r="C9980" s="7"/>
      <c r="D9980" s="7"/>
      <c r="E9980" s="5"/>
      <c r="F9980" s="5"/>
      <c r="G9980" s="17"/>
      <c r="H9980" s="10"/>
      <c r="I9980" s="17"/>
    </row>
    <row r="9981" ht="14.25">
      <c r="A9981" s="5"/>
      <c r="B9981" s="13"/>
      <c r="C9981" s="7"/>
      <c r="D9981" s="7"/>
      <c r="E9981" s="5"/>
      <c r="F9981" s="5"/>
      <c r="G9981" s="17"/>
      <c r="H9981" s="10"/>
      <c r="I9981" s="17"/>
    </row>
    <row r="9982" ht="14.25">
      <c r="A9982" s="5"/>
      <c r="B9982" s="13"/>
      <c r="C9982" s="7"/>
      <c r="D9982" s="7"/>
      <c r="E9982" s="5"/>
      <c r="F9982" s="5"/>
      <c r="G9982" s="17"/>
      <c r="H9982" s="10"/>
      <c r="I9982" s="17"/>
    </row>
    <row r="9983" ht="14.25">
      <c r="A9983" s="5"/>
      <c r="B9983" s="13"/>
      <c r="C9983" s="7"/>
      <c r="D9983" s="7"/>
      <c r="E9983" s="5"/>
      <c r="F9983" s="5"/>
      <c r="G9983" s="17"/>
      <c r="H9983" s="10"/>
      <c r="I9983" s="17"/>
    </row>
    <row r="9984" ht="14.25">
      <c r="A9984" s="5"/>
      <c r="B9984" s="13"/>
      <c r="C9984" s="7"/>
      <c r="D9984" s="7"/>
      <c r="E9984" s="5"/>
      <c r="F9984" s="5"/>
      <c r="G9984" s="17"/>
      <c r="H9984" s="10"/>
      <c r="I9984" s="17"/>
    </row>
    <row r="9985" ht="14.25">
      <c r="A9985" s="5"/>
      <c r="B9985" s="13"/>
      <c r="C9985" s="7"/>
      <c r="D9985" s="7"/>
      <c r="E9985" s="5"/>
      <c r="F9985" s="5"/>
      <c r="G9985" s="17"/>
      <c r="H9985" s="10"/>
      <c r="I9985" s="17"/>
    </row>
    <row r="9986" ht="14.25">
      <c r="A9986" s="5"/>
      <c r="B9986" s="13"/>
      <c r="C9986" s="7"/>
      <c r="D9986" s="7"/>
      <c r="E9986" s="5"/>
      <c r="F9986" s="5"/>
      <c r="G9986" s="17"/>
      <c r="H9986" s="10"/>
      <c r="I9986" s="17"/>
    </row>
    <row r="9987" ht="14.25">
      <c r="A9987" s="5"/>
      <c r="B9987" s="13"/>
      <c r="C9987" s="7"/>
      <c r="D9987" s="7"/>
      <c r="E9987" s="5"/>
      <c r="F9987" s="5"/>
      <c r="G9987" s="17"/>
      <c r="H9987" s="10"/>
      <c r="I9987" s="17"/>
    </row>
    <row r="9988" ht="14.25">
      <c r="A9988" s="5"/>
      <c r="B9988" s="13"/>
      <c r="C9988" s="7"/>
      <c r="D9988" s="7"/>
      <c r="E9988" s="5"/>
      <c r="F9988" s="5"/>
      <c r="G9988" s="17"/>
      <c r="H9988" s="10"/>
      <c r="I9988" s="17"/>
    </row>
    <row r="9989" ht="14.25">
      <c r="A9989" s="5"/>
      <c r="B9989" s="13"/>
      <c r="C9989" s="7"/>
      <c r="D9989" s="7"/>
      <c r="E9989" s="5"/>
      <c r="F9989" s="5"/>
      <c r="G9989" s="17"/>
      <c r="H9989" s="10"/>
      <c r="I9989" s="17"/>
    </row>
    <row r="9990" ht="14.25">
      <c r="A9990" s="5"/>
      <c r="B9990" s="13"/>
      <c r="C9990" s="7"/>
      <c r="D9990" s="7"/>
      <c r="E9990" s="5"/>
      <c r="F9990" s="5"/>
      <c r="G9990" s="17"/>
      <c r="H9990" s="10"/>
      <c r="I9990" s="17"/>
    </row>
    <row r="9991" ht="14.25">
      <c r="A9991" s="5"/>
      <c r="B9991" s="13"/>
      <c r="C9991" s="7"/>
      <c r="D9991" s="7"/>
      <c r="E9991" s="5"/>
      <c r="F9991" s="5"/>
      <c r="G9991" s="17"/>
      <c r="H9991" s="10"/>
      <c r="I9991" s="17"/>
    </row>
    <row r="9992" ht="14.25">
      <c r="A9992" s="5"/>
      <c r="B9992" s="13"/>
      <c r="C9992" s="7"/>
      <c r="D9992" s="7"/>
      <c r="E9992" s="5"/>
      <c r="F9992" s="5"/>
      <c r="G9992" s="17"/>
      <c r="H9992" s="10"/>
      <c r="I9992" s="17"/>
    </row>
    <row r="9993" ht="14.25">
      <c r="A9993" s="5"/>
      <c r="B9993" s="13"/>
      <c r="C9993" s="7"/>
      <c r="D9993" s="7"/>
      <c r="E9993" s="5"/>
      <c r="F9993" s="5"/>
      <c r="G9993" s="17"/>
      <c r="H9993" s="10"/>
      <c r="I9993" s="17"/>
    </row>
    <row r="9994" ht="14.25">
      <c r="A9994" s="5"/>
      <c r="B9994" s="13"/>
      <c r="C9994" s="7"/>
      <c r="D9994" s="7"/>
      <c r="E9994" s="5"/>
      <c r="F9994" s="5"/>
      <c r="G9994" s="17"/>
      <c r="H9994" s="10"/>
      <c r="I9994" s="17"/>
    </row>
    <row r="9995" ht="14.25">
      <c r="A9995" s="5"/>
      <c r="B9995" s="13"/>
      <c r="C9995" s="7"/>
      <c r="D9995" s="7"/>
      <c r="E9995" s="5"/>
      <c r="F9995" s="5"/>
      <c r="G9995" s="17"/>
      <c r="H9995" s="10"/>
      <c r="I9995" s="17"/>
    </row>
    <row r="9996" ht="14.25">
      <c r="A9996" s="5"/>
      <c r="B9996" s="13"/>
      <c r="C9996" s="7"/>
      <c r="D9996" s="7"/>
      <c r="E9996" s="5"/>
      <c r="F9996" s="5"/>
      <c r="G9996" s="17"/>
      <c r="H9996" s="10"/>
      <c r="I9996" s="17"/>
    </row>
    <row r="9997" ht="14.25">
      <c r="A9997" s="5"/>
      <c r="B9997" s="13"/>
      <c r="C9997" s="7"/>
      <c r="D9997" s="7"/>
      <c r="E9997" s="5"/>
      <c r="F9997" s="5"/>
      <c r="G9997" s="17"/>
      <c r="H9997" s="10"/>
      <c r="I9997" s="17"/>
    </row>
    <row r="9998" ht="14.25">
      <c r="A9998" s="5"/>
      <c r="B9998" s="13"/>
      <c r="C9998" s="7"/>
      <c r="D9998" s="7"/>
      <c r="E9998" s="5"/>
      <c r="F9998" s="5"/>
      <c r="G9998" s="17"/>
      <c r="H9998" s="10"/>
      <c r="I9998" s="17"/>
    </row>
    <row r="9999" ht="14.25">
      <c r="A9999" s="5"/>
      <c r="B9999" s="13"/>
      <c r="C9999" s="7"/>
      <c r="D9999" s="7"/>
      <c r="E9999" s="5"/>
      <c r="F9999" s="5"/>
      <c r="G9999" s="17"/>
      <c r="H9999" s="10"/>
      <c r="I9999" s="17"/>
    </row>
    <row r="10000" ht="14.25">
      <c r="A10000" s="5"/>
      <c r="B10000" s="13"/>
      <c r="C10000" s="7"/>
      <c r="D10000" s="7"/>
      <c r="E10000" s="5"/>
      <c r="F10000" s="5"/>
      <c r="G10000" s="17"/>
      <c r="H10000" s="10"/>
      <c r="I10000" s="17"/>
    </row>
    <row r="10001" ht="14.25">
      <c r="A10001" s="5"/>
      <c r="B10001" s="13"/>
      <c r="C10001" s="7"/>
      <c r="D10001" s="7"/>
      <c r="E10001" s="5"/>
      <c r="F10001" s="5"/>
      <c r="G10001" s="17"/>
      <c r="H10001" s="10"/>
      <c r="I10001" s="17"/>
    </row>
    <row r="10002" ht="14.25">
      <c r="A10002" s="5"/>
      <c r="B10002" s="13"/>
      <c r="C10002" s="7"/>
      <c r="D10002" s="7"/>
      <c r="E10002" s="5"/>
      <c r="F10002" s="5"/>
      <c r="G10002" s="17"/>
      <c r="H10002" s="10"/>
      <c r="I10002" s="17"/>
    </row>
    <row r="10003" ht="14.25">
      <c r="A10003" s="5"/>
      <c r="B10003" s="13"/>
      <c r="C10003" s="7"/>
      <c r="D10003" s="7"/>
      <c r="E10003" s="5"/>
      <c r="F10003" s="5"/>
      <c r="G10003" s="17"/>
      <c r="H10003" s="10"/>
      <c r="I10003" s="17"/>
    </row>
    <row r="10004" ht="14.25">
      <c r="A10004" s="5"/>
      <c r="B10004" s="13"/>
      <c r="C10004" s="7"/>
      <c r="D10004" s="7"/>
      <c r="E10004" s="5"/>
      <c r="F10004" s="5"/>
      <c r="G10004" s="17"/>
      <c r="H10004" s="10"/>
      <c r="I10004" s="17"/>
    </row>
    <row r="10005" ht="14.25">
      <c r="A10005" s="5"/>
      <c r="B10005" s="13"/>
      <c r="C10005" s="7"/>
      <c r="D10005" s="7"/>
      <c r="E10005" s="5"/>
      <c r="F10005" s="5"/>
      <c r="G10005" s="17"/>
      <c r="H10005" s="10"/>
      <c r="I10005" s="17"/>
    </row>
    <row r="10006" ht="14.25">
      <c r="A10006" s="5"/>
      <c r="B10006" s="13"/>
      <c r="C10006" s="7"/>
      <c r="D10006" s="7"/>
      <c r="E10006" s="5"/>
      <c r="F10006" s="5"/>
      <c r="G10006" s="17"/>
      <c r="H10006" s="10"/>
      <c r="I10006" s="17"/>
    </row>
    <row r="10007" ht="14.25">
      <c r="A10007" s="5"/>
      <c r="B10007" s="13"/>
      <c r="C10007" s="7"/>
      <c r="D10007" s="7"/>
      <c r="E10007" s="5"/>
      <c r="F10007" s="5"/>
      <c r="G10007" s="17"/>
      <c r="H10007" s="10"/>
      <c r="I10007" s="17"/>
    </row>
    <row r="10008" ht="14.25">
      <c r="A10008" s="5"/>
      <c r="B10008" s="13"/>
      <c r="C10008" s="7"/>
      <c r="D10008" s="7"/>
      <c r="E10008" s="5"/>
      <c r="F10008" s="5"/>
      <c r="G10008" s="17"/>
      <c r="H10008" s="10"/>
      <c r="I10008" s="17"/>
    </row>
    <row r="10009" ht="14.25">
      <c r="A10009" s="5"/>
      <c r="B10009" s="13"/>
      <c r="C10009" s="7"/>
      <c r="D10009" s="7"/>
      <c r="E10009" s="5"/>
      <c r="F10009" s="5"/>
      <c r="G10009" s="17"/>
      <c r="H10009" s="10"/>
      <c r="I10009" s="17"/>
    </row>
    <row r="10010" ht="14.25">
      <c r="A10010" s="5"/>
      <c r="B10010" s="13"/>
      <c r="C10010" s="7"/>
      <c r="D10010" s="7"/>
      <c r="E10010" s="5"/>
      <c r="F10010" s="5"/>
      <c r="G10010" s="17"/>
      <c r="H10010" s="10"/>
      <c r="I10010" s="17"/>
    </row>
    <row r="10011" ht="14.25">
      <c r="A10011" s="5"/>
      <c r="B10011" s="13"/>
      <c r="C10011" s="7"/>
      <c r="D10011" s="7"/>
      <c r="E10011" s="5"/>
      <c r="F10011" s="5"/>
      <c r="G10011" s="17"/>
      <c r="H10011" s="10"/>
      <c r="I10011" s="17"/>
    </row>
    <row r="10012" ht="14.25">
      <c r="A10012" s="5"/>
      <c r="B10012" s="13"/>
      <c r="C10012" s="7"/>
      <c r="D10012" s="7"/>
      <c r="E10012" s="5"/>
      <c r="F10012" s="5"/>
      <c r="G10012" s="17"/>
      <c r="H10012" s="10"/>
      <c r="I10012" s="17"/>
    </row>
    <row r="10013" ht="14.25">
      <c r="A10013" s="5"/>
      <c r="B10013" s="13"/>
      <c r="C10013" s="7"/>
      <c r="D10013" s="7"/>
      <c r="E10013" s="5"/>
      <c r="F10013" s="5"/>
      <c r="G10013" s="17"/>
      <c r="H10013" s="10"/>
      <c r="I10013" s="17"/>
    </row>
    <row r="10014" ht="14.25">
      <c r="A10014" s="5"/>
      <c r="B10014" s="13"/>
      <c r="C10014" s="7"/>
      <c r="D10014" s="7"/>
      <c r="E10014" s="5"/>
      <c r="F10014" s="5"/>
      <c r="G10014" s="17"/>
      <c r="H10014" s="10"/>
      <c r="I10014" s="17"/>
    </row>
    <row r="10015" ht="14.25">
      <c r="A10015" s="5"/>
      <c r="B10015" s="13"/>
      <c r="C10015" s="7"/>
      <c r="D10015" s="7"/>
      <c r="E10015" s="5"/>
      <c r="F10015" s="5"/>
      <c r="G10015" s="17"/>
      <c r="H10015" s="10"/>
      <c r="I10015" s="17"/>
    </row>
    <row r="10016" ht="14.25">
      <c r="A10016" s="5"/>
      <c r="B10016" s="13"/>
      <c r="C10016" s="7"/>
      <c r="D10016" s="7"/>
      <c r="E10016" s="5"/>
      <c r="F10016" s="5"/>
      <c r="G10016" s="17"/>
      <c r="H10016" s="10"/>
      <c r="I10016" s="17"/>
    </row>
    <row r="10017" ht="14.25">
      <c r="A10017" s="5"/>
      <c r="B10017" s="13"/>
      <c r="C10017" s="7"/>
      <c r="D10017" s="7"/>
      <c r="E10017" s="5"/>
      <c r="F10017" s="5"/>
      <c r="G10017" s="17"/>
      <c r="H10017" s="10"/>
      <c r="I10017" s="17"/>
    </row>
    <row r="10018" ht="14.25">
      <c r="A10018" s="5"/>
      <c r="B10018" s="13"/>
      <c r="C10018" s="7"/>
      <c r="D10018" s="7"/>
      <c r="E10018" s="5"/>
      <c r="F10018" s="5"/>
      <c r="G10018" s="17"/>
      <c r="H10018" s="10"/>
      <c r="I10018" s="17"/>
    </row>
    <row r="10019" ht="14.25">
      <c r="A10019" s="5"/>
      <c r="B10019" s="13"/>
      <c r="C10019" s="7"/>
      <c r="D10019" s="7"/>
      <c r="E10019" s="5"/>
      <c r="F10019" s="5"/>
      <c r="G10019" s="17"/>
      <c r="H10019" s="10"/>
      <c r="I10019" s="17"/>
    </row>
    <row r="10020" ht="14.25">
      <c r="A10020" s="5"/>
      <c r="B10020" s="13"/>
      <c r="C10020" s="7"/>
      <c r="D10020" s="7"/>
      <c r="E10020" s="5"/>
      <c r="F10020" s="5"/>
      <c r="G10020" s="17"/>
      <c r="H10020" s="10"/>
      <c r="I10020" s="17"/>
    </row>
    <row r="10021" ht="14.25">
      <c r="A10021" s="5"/>
      <c r="B10021" s="13"/>
      <c r="C10021" s="7"/>
      <c r="D10021" s="7"/>
      <c r="E10021" s="5"/>
      <c r="F10021" s="5"/>
      <c r="G10021" s="17"/>
      <c r="H10021" s="10"/>
      <c r="I10021" s="17"/>
    </row>
    <row r="10022" ht="14.25">
      <c r="A10022" s="5"/>
      <c r="B10022" s="13"/>
      <c r="C10022" s="7"/>
      <c r="D10022" s="7"/>
      <c r="E10022" s="5"/>
      <c r="F10022" s="5"/>
      <c r="G10022" s="17"/>
      <c r="H10022" s="10"/>
      <c r="I10022" s="17"/>
    </row>
    <row r="10023" ht="14.25">
      <c r="A10023" s="5"/>
      <c r="B10023" s="13"/>
      <c r="C10023" s="7"/>
      <c r="D10023" s="7"/>
      <c r="E10023" s="5"/>
      <c r="F10023" s="5"/>
      <c r="G10023" s="17"/>
      <c r="H10023" s="10"/>
      <c r="I10023" s="17"/>
    </row>
    <row r="10024" ht="14.25">
      <c r="A10024" s="5"/>
      <c r="B10024" s="13"/>
      <c r="C10024" s="7"/>
      <c r="D10024" s="7"/>
      <c r="E10024" s="5"/>
      <c r="F10024" s="5"/>
      <c r="G10024" s="17"/>
      <c r="H10024" s="10"/>
      <c r="I10024" s="17"/>
    </row>
    <row r="10025" ht="14.25">
      <c r="A10025" s="5"/>
      <c r="B10025" s="13"/>
      <c r="C10025" s="7"/>
      <c r="D10025" s="7"/>
      <c r="E10025" s="5"/>
      <c r="F10025" s="5"/>
      <c r="G10025" s="17"/>
      <c r="H10025" s="10"/>
      <c r="I10025" s="17"/>
    </row>
    <row r="10026" ht="14.25">
      <c r="A10026" s="5"/>
      <c r="B10026" s="13"/>
      <c r="C10026" s="7"/>
      <c r="D10026" s="7"/>
      <c r="E10026" s="5"/>
      <c r="F10026" s="5"/>
      <c r="G10026" s="17"/>
      <c r="H10026" s="10"/>
      <c r="I10026" s="17"/>
    </row>
    <row r="10027" ht="14.25">
      <c r="A10027" s="5"/>
      <c r="B10027" s="13"/>
      <c r="C10027" s="7"/>
      <c r="D10027" s="7"/>
      <c r="E10027" s="5"/>
      <c r="F10027" s="5"/>
      <c r="G10027" s="17"/>
      <c r="H10027" s="10"/>
      <c r="I10027" s="17"/>
    </row>
    <row r="10028" ht="14.25">
      <c r="A10028" s="5"/>
      <c r="B10028" s="13"/>
      <c r="C10028" s="7"/>
      <c r="D10028" s="7"/>
      <c r="E10028" s="5"/>
      <c r="F10028" s="5"/>
      <c r="G10028" s="17"/>
      <c r="H10028" s="10"/>
      <c r="I10028" s="17"/>
    </row>
    <row r="10029" ht="14.25">
      <c r="A10029" s="5"/>
      <c r="B10029" s="13"/>
      <c r="C10029" s="7"/>
      <c r="D10029" s="7"/>
      <c r="E10029" s="5"/>
      <c r="F10029" s="5"/>
      <c r="G10029" s="17"/>
      <c r="H10029" s="10"/>
      <c r="I10029" s="17"/>
    </row>
    <row r="10030" ht="14.25">
      <c r="A10030" s="5"/>
      <c r="B10030" s="13"/>
      <c r="C10030" s="7"/>
      <c r="D10030" s="7"/>
      <c r="E10030" s="5"/>
      <c r="F10030" s="5"/>
      <c r="G10030" s="17"/>
      <c r="H10030" s="10"/>
      <c r="I10030" s="17"/>
    </row>
    <row r="10031" ht="14.25">
      <c r="A10031" s="5"/>
      <c r="B10031" s="13"/>
      <c r="C10031" s="7"/>
      <c r="D10031" s="7"/>
      <c r="E10031" s="5"/>
      <c r="F10031" s="5"/>
      <c r="G10031" s="17"/>
      <c r="H10031" s="10"/>
      <c r="I10031" s="17"/>
    </row>
    <row r="10032" ht="14.25">
      <c r="A10032" s="5"/>
      <c r="B10032" s="13"/>
      <c r="C10032" s="7"/>
      <c r="D10032" s="7"/>
      <c r="E10032" s="5"/>
      <c r="F10032" s="5"/>
      <c r="G10032" s="17"/>
      <c r="H10032" s="10"/>
      <c r="I10032" s="17"/>
    </row>
    <row r="10033" ht="14.25">
      <c r="A10033" s="5"/>
      <c r="B10033" s="13"/>
      <c r="C10033" s="7"/>
      <c r="D10033" s="7"/>
      <c r="E10033" s="5"/>
      <c r="F10033" s="5"/>
      <c r="G10033" s="17"/>
      <c r="H10033" s="10"/>
      <c r="I10033" s="17"/>
    </row>
    <row r="10034" ht="14.25">
      <c r="A10034" s="5"/>
      <c r="B10034" s="13"/>
      <c r="C10034" s="7"/>
      <c r="D10034" s="7"/>
      <c r="E10034" s="5"/>
      <c r="F10034" s="5"/>
      <c r="G10034" s="17"/>
      <c r="H10034" s="10"/>
      <c r="I10034" s="17"/>
    </row>
    <row r="10035" ht="14.25">
      <c r="A10035" s="5"/>
      <c r="B10035" s="13"/>
      <c r="C10035" s="7"/>
      <c r="D10035" s="7"/>
      <c r="E10035" s="5"/>
      <c r="F10035" s="5"/>
      <c r="G10035" s="17"/>
      <c r="H10035" s="10"/>
      <c r="I10035" s="17"/>
    </row>
    <row r="10036" ht="14.25">
      <c r="A10036" s="5"/>
      <c r="B10036" s="13"/>
      <c r="C10036" s="7"/>
      <c r="D10036" s="7"/>
      <c r="E10036" s="5"/>
      <c r="F10036" s="5"/>
      <c r="G10036" s="17"/>
      <c r="H10036" s="10"/>
      <c r="I10036" s="17"/>
    </row>
    <row r="10037" ht="14.25">
      <c r="A10037" s="5"/>
      <c r="B10037" s="13"/>
      <c r="C10037" s="7"/>
      <c r="D10037" s="7"/>
      <c r="E10037" s="5"/>
      <c r="F10037" s="5"/>
      <c r="G10037" s="17"/>
      <c r="H10037" s="10"/>
      <c r="I10037" s="17"/>
    </row>
    <row r="10038" ht="14.25">
      <c r="A10038" s="5"/>
      <c r="B10038" s="13"/>
      <c r="C10038" s="7"/>
      <c r="D10038" s="7"/>
      <c r="E10038" s="5"/>
      <c r="F10038" s="5"/>
      <c r="G10038" s="17"/>
      <c r="H10038" s="10"/>
      <c r="I10038" s="17"/>
    </row>
    <row r="10039" ht="14.25">
      <c r="A10039" s="5"/>
      <c r="B10039" s="13"/>
      <c r="C10039" s="7"/>
      <c r="D10039" s="7"/>
      <c r="E10039" s="5"/>
      <c r="F10039" s="5"/>
      <c r="G10039" s="17"/>
      <c r="H10039" s="10"/>
      <c r="I10039" s="17"/>
    </row>
    <row r="10040" ht="14.25">
      <c r="A10040" s="5"/>
      <c r="B10040" s="13"/>
      <c r="C10040" s="7"/>
      <c r="D10040" s="7"/>
      <c r="E10040" s="5"/>
      <c r="F10040" s="5"/>
      <c r="G10040" s="17"/>
      <c r="H10040" s="10"/>
      <c r="I10040" s="17"/>
    </row>
    <row r="10041" ht="14.25">
      <c r="A10041" s="5"/>
      <c r="B10041" s="13"/>
      <c r="C10041" s="7"/>
      <c r="D10041" s="7"/>
      <c r="E10041" s="5"/>
      <c r="F10041" s="5"/>
      <c r="G10041" s="17"/>
      <c r="H10041" s="10"/>
      <c r="I10041" s="17"/>
    </row>
    <row r="10042" ht="14.25">
      <c r="A10042" s="5"/>
      <c r="B10042" s="13"/>
      <c r="C10042" s="7"/>
      <c r="D10042" s="7"/>
      <c r="E10042" s="5"/>
      <c r="F10042" s="5"/>
      <c r="G10042" s="17"/>
      <c r="H10042" s="10"/>
      <c r="I10042" s="17"/>
    </row>
    <row r="10043" ht="14.25">
      <c r="A10043" s="5"/>
      <c r="B10043" s="13"/>
      <c r="C10043" s="7"/>
      <c r="D10043" s="7"/>
      <c r="E10043" s="5"/>
      <c r="F10043" s="5"/>
      <c r="G10043" s="17"/>
      <c r="H10043" s="10"/>
      <c r="I10043" s="17"/>
    </row>
    <row r="10044" ht="14.25">
      <c r="A10044" s="5"/>
      <c r="B10044" s="13"/>
      <c r="C10044" s="7"/>
      <c r="D10044" s="7"/>
      <c r="E10044" s="5"/>
      <c r="F10044" s="5"/>
      <c r="G10044" s="17"/>
      <c r="H10044" s="10"/>
      <c r="I10044" s="17"/>
    </row>
    <row r="10045" ht="14.25">
      <c r="A10045" s="5"/>
      <c r="B10045" s="13"/>
      <c r="C10045" s="7"/>
      <c r="D10045" s="7"/>
      <c r="E10045" s="5"/>
      <c r="F10045" s="5"/>
      <c r="G10045" s="17"/>
      <c r="H10045" s="10"/>
      <c r="I10045" s="17"/>
    </row>
    <row r="10046" ht="14.25">
      <c r="A10046" s="5"/>
      <c r="B10046" s="13"/>
      <c r="C10046" s="7"/>
      <c r="D10046" s="7"/>
      <c r="E10046" s="5"/>
      <c r="F10046" s="5"/>
      <c r="G10046" s="17"/>
      <c r="H10046" s="10"/>
      <c r="I10046" s="17"/>
    </row>
    <row r="10047" ht="14.25">
      <c r="A10047" s="5"/>
      <c r="B10047" s="13"/>
      <c r="C10047" s="7"/>
      <c r="D10047" s="7"/>
      <c r="E10047" s="5"/>
      <c r="F10047" s="5"/>
      <c r="G10047" s="17"/>
      <c r="H10047" s="10"/>
      <c r="I10047" s="17"/>
    </row>
    <row r="10048" ht="14.25">
      <c r="A10048" s="5"/>
      <c r="B10048" s="13"/>
      <c r="C10048" s="7"/>
      <c r="D10048" s="7"/>
      <c r="E10048" s="5"/>
      <c r="F10048" s="5"/>
      <c r="G10048" s="17"/>
      <c r="H10048" s="10"/>
      <c r="I10048" s="17"/>
    </row>
    <row r="10049" ht="14.25">
      <c r="A10049" s="5"/>
      <c r="B10049" s="13"/>
      <c r="C10049" s="7"/>
      <c r="D10049" s="7"/>
      <c r="E10049" s="5"/>
      <c r="F10049" s="5"/>
      <c r="G10049" s="17"/>
      <c r="H10049" s="10"/>
      <c r="I10049" s="17"/>
    </row>
    <row r="10050" ht="14.25">
      <c r="A10050" s="5"/>
      <c r="B10050" s="13"/>
      <c r="C10050" s="7"/>
      <c r="D10050" s="7"/>
      <c r="E10050" s="5"/>
      <c r="F10050" s="5"/>
      <c r="G10050" s="17"/>
      <c r="H10050" s="10"/>
      <c r="I10050" s="17"/>
    </row>
    <row r="10051" ht="14.25">
      <c r="A10051" s="5"/>
      <c r="B10051" s="13"/>
      <c r="C10051" s="7"/>
      <c r="D10051" s="7"/>
      <c r="E10051" s="5"/>
      <c r="F10051" s="5"/>
      <c r="G10051" s="17"/>
      <c r="H10051" s="10"/>
      <c r="I10051" s="17"/>
    </row>
    <row r="10052" ht="14.25">
      <c r="A10052" s="5"/>
      <c r="B10052" s="13"/>
      <c r="C10052" s="7"/>
      <c r="D10052" s="7"/>
      <c r="E10052" s="5"/>
      <c r="F10052" s="5"/>
      <c r="G10052" s="17"/>
      <c r="H10052" s="10"/>
      <c r="I10052" s="17"/>
    </row>
    <row r="10053" ht="14.25">
      <c r="A10053" s="5"/>
      <c r="B10053" s="13"/>
      <c r="C10053" s="7"/>
      <c r="D10053" s="7"/>
      <c r="E10053" s="5"/>
      <c r="F10053" s="5"/>
      <c r="G10053" s="17"/>
      <c r="H10053" s="10"/>
      <c r="I10053" s="17"/>
    </row>
    <row r="10054" ht="14.25">
      <c r="A10054" s="5"/>
      <c r="B10054" s="13"/>
      <c r="C10054" s="7"/>
      <c r="D10054" s="7"/>
      <c r="E10054" s="5"/>
      <c r="F10054" s="5"/>
      <c r="G10054" s="17"/>
      <c r="H10054" s="10"/>
      <c r="I10054" s="17"/>
    </row>
    <row r="10055" ht="14.25">
      <c r="A10055" s="5"/>
      <c r="B10055" s="13"/>
      <c r="C10055" s="7"/>
      <c r="D10055" s="7"/>
      <c r="E10055" s="5"/>
      <c r="F10055" s="5"/>
      <c r="G10055" s="17"/>
      <c r="H10055" s="10"/>
      <c r="I10055" s="17"/>
    </row>
    <row r="10056" ht="14.25">
      <c r="A10056" s="5"/>
      <c r="B10056" s="13"/>
      <c r="C10056" s="7"/>
      <c r="D10056" s="7"/>
      <c r="E10056" s="5"/>
      <c r="F10056" s="5"/>
      <c r="G10056" s="17"/>
      <c r="H10056" s="10"/>
      <c r="I10056" s="17"/>
    </row>
    <row r="10057" ht="14.25">
      <c r="A10057" s="5"/>
      <c r="B10057" s="13"/>
      <c r="C10057" s="7"/>
      <c r="D10057" s="7"/>
      <c r="E10057" s="5"/>
      <c r="F10057" s="5"/>
      <c r="G10057" s="17"/>
      <c r="H10057" s="10"/>
      <c r="I10057" s="17"/>
    </row>
    <row r="10058" ht="14.25">
      <c r="A10058" s="5"/>
      <c r="B10058" s="13"/>
      <c r="C10058" s="7"/>
      <c r="D10058" s="7"/>
      <c r="E10058" s="5"/>
      <c r="F10058" s="5"/>
      <c r="G10058" s="17"/>
      <c r="H10058" s="10"/>
      <c r="I10058" s="17"/>
    </row>
    <row r="10059" ht="14.25">
      <c r="A10059" s="5"/>
      <c r="B10059" s="13"/>
      <c r="C10059" s="7"/>
      <c r="D10059" s="7"/>
      <c r="E10059" s="5"/>
      <c r="F10059" s="5"/>
      <c r="G10059" s="17"/>
      <c r="H10059" s="10"/>
      <c r="I10059" s="17"/>
    </row>
    <row r="10060" ht="14.25">
      <c r="A10060" s="5"/>
      <c r="B10060" s="13"/>
      <c r="C10060" s="7"/>
      <c r="D10060" s="7"/>
      <c r="E10060" s="5"/>
      <c r="F10060" s="5"/>
      <c r="G10060" s="17"/>
      <c r="H10060" s="10"/>
      <c r="I10060" s="17"/>
    </row>
    <row r="10061" ht="14.25">
      <c r="A10061" s="5"/>
      <c r="B10061" s="13"/>
      <c r="C10061" s="7"/>
      <c r="D10061" s="7"/>
      <c r="E10061" s="5"/>
      <c r="F10061" s="5"/>
      <c r="G10061" s="17"/>
      <c r="H10061" s="10"/>
      <c r="I10061" s="17"/>
    </row>
    <row r="10062" ht="14.25">
      <c r="A10062" s="5"/>
      <c r="B10062" s="13"/>
      <c r="C10062" s="7"/>
      <c r="D10062" s="7"/>
      <c r="E10062" s="5"/>
      <c r="F10062" s="5"/>
      <c r="G10062" s="17"/>
      <c r="H10062" s="10"/>
      <c r="I10062" s="17"/>
    </row>
    <row r="10063" ht="14.25">
      <c r="A10063" s="5"/>
      <c r="B10063" s="13"/>
      <c r="C10063" s="7"/>
      <c r="D10063" s="7"/>
      <c r="E10063" s="5"/>
      <c r="F10063" s="5"/>
      <c r="G10063" s="17"/>
      <c r="H10063" s="10"/>
      <c r="I10063" s="17"/>
    </row>
    <row r="10064" ht="14.25">
      <c r="A10064" s="5"/>
      <c r="B10064" s="13"/>
      <c r="C10064" s="7"/>
      <c r="D10064" s="7"/>
      <c r="E10064" s="5"/>
      <c r="F10064" s="5"/>
      <c r="G10064" s="17"/>
      <c r="H10064" s="10"/>
      <c r="I10064" s="17"/>
    </row>
    <row r="10065" ht="14.25">
      <c r="A10065" s="5"/>
      <c r="B10065" s="13"/>
      <c r="C10065" s="7"/>
      <c r="D10065" s="7"/>
      <c r="E10065" s="5"/>
      <c r="F10065" s="5"/>
      <c r="G10065" s="17"/>
      <c r="H10065" s="10"/>
      <c r="I10065" s="17"/>
    </row>
    <row r="10066" ht="14.25">
      <c r="A10066" s="5"/>
      <c r="B10066" s="13"/>
      <c r="C10066" s="7"/>
      <c r="D10066" s="7"/>
      <c r="E10066" s="5"/>
      <c r="F10066" s="5"/>
      <c r="G10066" s="17"/>
      <c r="H10066" s="10"/>
      <c r="I10066" s="17"/>
    </row>
    <row r="10067" ht="14.25">
      <c r="A10067" s="5"/>
      <c r="B10067" s="13"/>
      <c r="C10067" s="7"/>
      <c r="D10067" s="7"/>
      <c r="E10067" s="5"/>
      <c r="F10067" s="5"/>
      <c r="G10067" s="17"/>
      <c r="H10067" s="10"/>
      <c r="I10067" s="17"/>
    </row>
    <row r="10068" ht="14.25">
      <c r="A10068" s="5"/>
      <c r="B10068" s="13"/>
      <c r="C10068" s="7"/>
      <c r="D10068" s="7"/>
      <c r="E10068" s="5"/>
      <c r="F10068" s="5"/>
      <c r="G10068" s="17"/>
      <c r="H10068" s="10"/>
      <c r="I10068" s="17"/>
    </row>
    <row r="10069" ht="14.25">
      <c r="A10069" s="5"/>
      <c r="B10069" s="13"/>
      <c r="C10069" s="7"/>
      <c r="D10069" s="7"/>
      <c r="E10069" s="5"/>
      <c r="F10069" s="5"/>
      <c r="G10069" s="17"/>
      <c r="H10069" s="10"/>
      <c r="I10069" s="17"/>
    </row>
    <row r="10070" ht="14.25">
      <c r="A10070" s="5"/>
      <c r="B10070" s="13"/>
      <c r="C10070" s="7"/>
      <c r="D10070" s="7"/>
      <c r="E10070" s="5"/>
      <c r="F10070" s="5"/>
      <c r="G10070" s="17"/>
      <c r="H10070" s="10"/>
      <c r="I10070" s="17"/>
    </row>
    <row r="10071" ht="14.25">
      <c r="A10071" s="5"/>
      <c r="B10071" s="13"/>
      <c r="C10071" s="7"/>
      <c r="D10071" s="7"/>
      <c r="E10071" s="5"/>
      <c r="F10071" s="5"/>
      <c r="G10071" s="17"/>
      <c r="H10071" s="10"/>
      <c r="I10071" s="17"/>
    </row>
    <row r="10072" ht="14.25">
      <c r="A10072" s="5"/>
      <c r="B10072" s="13"/>
      <c r="C10072" s="7"/>
      <c r="D10072" s="7"/>
      <c r="E10072" s="5"/>
      <c r="F10072" s="5"/>
      <c r="G10072" s="17"/>
      <c r="H10072" s="10"/>
      <c r="I10072" s="17"/>
    </row>
    <row r="10073" ht="14.25">
      <c r="A10073" s="5"/>
      <c r="B10073" s="13"/>
      <c r="C10073" s="7"/>
      <c r="D10073" s="7"/>
      <c r="E10073" s="5"/>
      <c r="F10073" s="5"/>
      <c r="G10073" s="17"/>
      <c r="H10073" s="10"/>
      <c r="I10073" s="17"/>
    </row>
    <row r="10074" ht="14.25">
      <c r="A10074" s="5"/>
      <c r="B10074" s="13"/>
      <c r="C10074" s="7"/>
      <c r="D10074" s="7"/>
      <c r="E10074" s="5"/>
      <c r="F10074" s="5"/>
      <c r="G10074" s="17"/>
      <c r="H10074" s="10"/>
      <c r="I10074" s="17"/>
    </row>
    <row r="10075" ht="14.25">
      <c r="A10075" s="5"/>
      <c r="B10075" s="13"/>
      <c r="C10075" s="7"/>
      <c r="D10075" s="7"/>
      <c r="E10075" s="5"/>
      <c r="F10075" s="5"/>
      <c r="G10075" s="17"/>
      <c r="H10075" s="10"/>
      <c r="I10075" s="17"/>
    </row>
    <row r="10076" ht="14.25">
      <c r="A10076" s="5"/>
      <c r="B10076" s="13"/>
      <c r="C10076" s="7"/>
      <c r="D10076" s="7"/>
      <c r="E10076" s="5"/>
      <c r="F10076" s="5"/>
      <c r="G10076" s="17"/>
      <c r="H10076" s="10"/>
      <c r="I10076" s="17"/>
    </row>
    <row r="10077" ht="14.25">
      <c r="A10077" s="5"/>
      <c r="B10077" s="13"/>
      <c r="C10077" s="7"/>
      <c r="D10077" s="7"/>
      <c r="E10077" s="5"/>
      <c r="F10077" s="5"/>
      <c r="G10077" s="17"/>
      <c r="H10077" s="10"/>
      <c r="I10077" s="17"/>
    </row>
    <row r="10078" ht="14.25">
      <c r="A10078" s="5"/>
      <c r="B10078" s="13"/>
      <c r="C10078" s="7"/>
      <c r="D10078" s="7"/>
      <c r="E10078" s="5"/>
      <c r="F10078" s="5"/>
      <c r="G10078" s="17"/>
      <c r="H10078" s="10"/>
      <c r="I10078" s="17"/>
    </row>
    <row r="10079" ht="14.25">
      <c r="A10079" s="5"/>
      <c r="B10079" s="13"/>
      <c r="C10079" s="7"/>
      <c r="D10079" s="7"/>
      <c r="E10079" s="5"/>
      <c r="F10079" s="5"/>
      <c r="G10079" s="17"/>
      <c r="H10079" s="10"/>
      <c r="I10079" s="17"/>
    </row>
    <row r="10080" ht="14.25">
      <c r="A10080" s="5"/>
      <c r="B10080" s="13"/>
      <c r="C10080" s="7"/>
      <c r="D10080" s="7"/>
      <c r="E10080" s="5"/>
      <c r="F10080" s="5"/>
      <c r="G10080" s="17"/>
      <c r="H10080" s="10"/>
      <c r="I10080" s="17"/>
    </row>
    <row r="10081" ht="14.25">
      <c r="A10081" s="5"/>
      <c r="B10081" s="13"/>
      <c r="C10081" s="7"/>
      <c r="D10081" s="7"/>
      <c r="E10081" s="5"/>
      <c r="F10081" s="5"/>
      <c r="G10081" s="17"/>
      <c r="H10081" s="10"/>
      <c r="I10081" s="17"/>
    </row>
    <row r="10082" ht="14.25">
      <c r="A10082" s="5"/>
      <c r="B10082" s="13"/>
      <c r="C10082" s="7"/>
      <c r="D10082" s="7"/>
      <c r="E10082" s="5"/>
      <c r="F10082" s="5"/>
      <c r="G10082" s="17"/>
      <c r="H10082" s="10"/>
      <c r="I10082" s="17"/>
    </row>
    <row r="10083" ht="14.25">
      <c r="A10083" s="5"/>
      <c r="B10083" s="13"/>
      <c r="C10083" s="7"/>
      <c r="D10083" s="7"/>
      <c r="E10083" s="5"/>
      <c r="F10083" s="5"/>
      <c r="G10083" s="17"/>
      <c r="H10083" s="10"/>
      <c r="I10083" s="17"/>
    </row>
    <row r="10084" ht="14.25">
      <c r="A10084" s="5"/>
      <c r="B10084" s="13"/>
      <c r="C10084" s="7"/>
      <c r="D10084" s="7"/>
      <c r="E10084" s="5"/>
      <c r="F10084" s="5"/>
      <c r="G10084" s="17"/>
      <c r="H10084" s="10"/>
      <c r="I10084" s="17"/>
    </row>
    <row r="10085" ht="14.25">
      <c r="A10085" s="5"/>
      <c r="B10085" s="13"/>
      <c r="C10085" s="7"/>
      <c r="D10085" s="7"/>
      <c r="E10085" s="5"/>
      <c r="F10085" s="5"/>
      <c r="G10085" s="17"/>
      <c r="H10085" s="10"/>
      <c r="I10085" s="17"/>
    </row>
    <row r="10086" ht="14.25">
      <c r="A10086" s="5"/>
      <c r="B10086" s="13"/>
      <c r="C10086" s="7"/>
      <c r="D10086" s="7"/>
      <c r="E10086" s="5"/>
      <c r="F10086" s="5"/>
      <c r="G10086" s="17"/>
      <c r="H10086" s="10"/>
      <c r="I10086" s="17"/>
    </row>
    <row r="10087" ht="14.25">
      <c r="A10087" s="5"/>
      <c r="B10087" s="13"/>
      <c r="C10087" s="7"/>
      <c r="D10087" s="7"/>
      <c r="E10087" s="5"/>
      <c r="F10087" s="5"/>
      <c r="G10087" s="17"/>
      <c r="H10087" s="10"/>
      <c r="I10087" s="17"/>
    </row>
    <row r="10088" ht="14.25">
      <c r="A10088" s="5"/>
      <c r="B10088" s="13"/>
      <c r="C10088" s="7"/>
      <c r="D10088" s="7"/>
      <c r="E10088" s="5"/>
      <c r="F10088" s="5"/>
      <c r="G10088" s="17"/>
      <c r="H10088" s="10"/>
      <c r="I10088" s="17"/>
    </row>
    <row r="10089" ht="14.25">
      <c r="A10089" s="5"/>
      <c r="B10089" s="13"/>
      <c r="C10089" s="7"/>
      <c r="D10089" s="7"/>
      <c r="E10089" s="5"/>
      <c r="F10089" s="5"/>
      <c r="G10089" s="17"/>
      <c r="H10089" s="10"/>
      <c r="I10089" s="17"/>
    </row>
    <row r="10090" ht="14.25">
      <c r="A10090" s="5"/>
      <c r="B10090" s="13"/>
      <c r="C10090" s="7"/>
      <c r="D10090" s="7"/>
      <c r="E10090" s="5"/>
      <c r="F10090" s="5"/>
      <c r="G10090" s="17"/>
      <c r="H10090" s="10"/>
      <c r="I10090" s="17"/>
    </row>
    <row r="10091" ht="14.25">
      <c r="A10091" s="5"/>
      <c r="B10091" s="13"/>
      <c r="C10091" s="7"/>
      <c r="D10091" s="7"/>
      <c r="E10091" s="5"/>
      <c r="F10091" s="5"/>
      <c r="G10091" s="17"/>
      <c r="H10091" s="10"/>
      <c r="I10091" s="17"/>
    </row>
    <row r="10092" ht="14.25">
      <c r="A10092" s="5"/>
      <c r="B10092" s="13"/>
      <c r="C10092" s="7"/>
      <c r="D10092" s="7"/>
      <c r="E10092" s="5"/>
      <c r="F10092" s="5"/>
      <c r="G10092" s="17"/>
      <c r="H10092" s="10"/>
      <c r="I10092" s="17"/>
    </row>
    <row r="10093" ht="14.25">
      <c r="A10093" s="5"/>
      <c r="B10093" s="13"/>
      <c r="C10093" s="7"/>
      <c r="D10093" s="7"/>
      <c r="E10093" s="5"/>
      <c r="F10093" s="5"/>
      <c r="G10093" s="17"/>
      <c r="H10093" s="10"/>
      <c r="I10093" s="17"/>
    </row>
    <row r="10094" ht="14.25">
      <c r="A10094" s="5"/>
      <c r="B10094" s="13"/>
      <c r="C10094" s="7"/>
      <c r="D10094" s="7"/>
      <c r="E10094" s="5"/>
      <c r="F10094" s="5"/>
      <c r="G10094" s="17"/>
      <c r="H10094" s="10"/>
      <c r="I10094" s="17"/>
    </row>
    <row r="10095" ht="14.25">
      <c r="A10095" s="5"/>
      <c r="B10095" s="13"/>
      <c r="C10095" s="7"/>
      <c r="D10095" s="7"/>
      <c r="E10095" s="5"/>
      <c r="F10095" s="5"/>
      <c r="G10095" s="17"/>
      <c r="H10095" s="10"/>
      <c r="I10095" s="17"/>
    </row>
    <row r="10096" ht="14.25">
      <c r="A10096" s="5"/>
      <c r="B10096" s="13"/>
      <c r="C10096" s="7"/>
      <c r="D10096" s="7"/>
      <c r="E10096" s="5"/>
      <c r="F10096" s="5"/>
      <c r="G10096" s="17"/>
      <c r="H10096" s="10"/>
      <c r="I10096" s="17"/>
    </row>
    <row r="10097" ht="14.25">
      <c r="A10097" s="5"/>
      <c r="B10097" s="13"/>
      <c r="C10097" s="7"/>
      <c r="D10097" s="7"/>
      <c r="E10097" s="5"/>
      <c r="F10097" s="5"/>
      <c r="G10097" s="17"/>
      <c r="H10097" s="10"/>
      <c r="I10097" s="17"/>
    </row>
    <row r="10098" ht="14.25">
      <c r="A10098" s="5"/>
      <c r="B10098" s="13"/>
      <c r="C10098" s="7"/>
      <c r="D10098" s="7"/>
      <c r="E10098" s="5"/>
      <c r="F10098" s="5"/>
      <c r="G10098" s="17"/>
      <c r="H10098" s="10"/>
      <c r="I10098" s="17"/>
    </row>
    <row r="10099" ht="14.25">
      <c r="A10099" s="5"/>
      <c r="B10099" s="13"/>
      <c r="C10099" s="7"/>
      <c r="D10099" s="7"/>
      <c r="E10099" s="5"/>
      <c r="F10099" s="5"/>
      <c r="G10099" s="17"/>
      <c r="H10099" s="10"/>
      <c r="I10099" s="17"/>
    </row>
    <row r="10100" ht="14.25">
      <c r="A10100" s="5"/>
      <c r="B10100" s="13"/>
      <c r="C10100" s="7"/>
      <c r="D10100" s="7"/>
      <c r="E10100" s="5"/>
      <c r="F10100" s="5"/>
      <c r="G10100" s="17"/>
      <c r="H10100" s="10"/>
      <c r="I10100" s="17"/>
    </row>
    <row r="10101" ht="14.25">
      <c r="A10101" s="5"/>
      <c r="B10101" s="13"/>
      <c r="C10101" s="7"/>
      <c r="D10101" s="7"/>
      <c r="E10101" s="5"/>
      <c r="F10101" s="5"/>
      <c r="G10101" s="17"/>
      <c r="H10101" s="10"/>
      <c r="I10101" s="17"/>
    </row>
    <row r="10102" ht="14.25">
      <c r="A10102" s="5"/>
      <c r="B10102" s="13"/>
      <c r="C10102" s="7"/>
      <c r="D10102" s="7"/>
      <c r="E10102" s="5"/>
      <c r="F10102" s="5"/>
      <c r="G10102" s="17"/>
      <c r="H10102" s="10"/>
      <c r="I10102" s="17"/>
    </row>
    <row r="10103" ht="14.25">
      <c r="A10103" s="5"/>
      <c r="B10103" s="13"/>
      <c r="C10103" s="7"/>
      <c r="D10103" s="7"/>
      <c r="E10103" s="5"/>
      <c r="F10103" s="5"/>
      <c r="G10103" s="17"/>
      <c r="H10103" s="10"/>
      <c r="I10103" s="17"/>
    </row>
    <row r="10104" ht="14.25">
      <c r="A10104" s="5"/>
      <c r="B10104" s="13"/>
      <c r="C10104" s="7"/>
      <c r="D10104" s="7"/>
      <c r="E10104" s="5"/>
      <c r="F10104" s="5"/>
      <c r="G10104" s="17"/>
      <c r="H10104" s="10"/>
      <c r="I10104" s="17"/>
    </row>
    <row r="10105" ht="14.25">
      <c r="A10105" s="5"/>
      <c r="B10105" s="13"/>
      <c r="C10105" s="7"/>
      <c r="D10105" s="7"/>
      <c r="E10105" s="5"/>
      <c r="F10105" s="5"/>
      <c r="G10105" s="17"/>
      <c r="H10105" s="10"/>
      <c r="I10105" s="17"/>
    </row>
    <row r="10106" ht="14.25">
      <c r="A10106" s="5"/>
      <c r="B10106" s="13"/>
      <c r="C10106" s="7"/>
      <c r="D10106" s="7"/>
      <c r="E10106" s="5"/>
      <c r="F10106" s="5"/>
      <c r="G10106" s="17"/>
      <c r="H10106" s="10"/>
      <c r="I10106" s="17"/>
    </row>
    <row r="10107" ht="14.25">
      <c r="A10107" s="5"/>
      <c r="B10107" s="13"/>
      <c r="C10107" s="7"/>
      <c r="D10107" s="7"/>
      <c r="E10107" s="5"/>
      <c r="F10107" s="5"/>
      <c r="G10107" s="17"/>
      <c r="H10107" s="10"/>
      <c r="I10107" s="17"/>
    </row>
    <row r="10108" ht="14.25">
      <c r="A10108" s="5"/>
      <c r="B10108" s="13"/>
      <c r="C10108" s="7"/>
      <c r="D10108" s="7"/>
      <c r="E10108" s="5"/>
      <c r="F10108" s="5"/>
      <c r="G10108" s="17"/>
      <c r="H10108" s="10"/>
      <c r="I10108" s="17"/>
    </row>
    <row r="10109" ht="14.25">
      <c r="A10109" s="5"/>
      <c r="B10109" s="13"/>
      <c r="C10109" s="7"/>
      <c r="D10109" s="7"/>
      <c r="E10109" s="5"/>
      <c r="F10109" s="5"/>
      <c r="G10109" s="17"/>
      <c r="H10109" s="10"/>
      <c r="I10109" s="17"/>
    </row>
    <row r="10110" ht="14.25">
      <c r="A10110" s="5"/>
      <c r="B10110" s="13"/>
      <c r="C10110" s="7"/>
      <c r="D10110" s="7"/>
      <c r="E10110" s="5"/>
      <c r="F10110" s="5"/>
      <c r="G10110" s="17"/>
      <c r="H10110" s="10"/>
      <c r="I10110" s="17"/>
    </row>
    <row r="10111" ht="14.25">
      <c r="A10111" s="5"/>
      <c r="B10111" s="13"/>
      <c r="C10111" s="7"/>
      <c r="D10111" s="7"/>
      <c r="E10111" s="5"/>
      <c r="F10111" s="5"/>
      <c r="G10111" s="17"/>
      <c r="H10111" s="10"/>
      <c r="I10111" s="17"/>
    </row>
    <row r="10112" ht="14.25">
      <c r="A10112" s="5"/>
      <c r="B10112" s="13"/>
      <c r="C10112" s="7"/>
      <c r="D10112" s="7"/>
      <c r="E10112" s="5"/>
      <c r="F10112" s="5"/>
      <c r="G10112" s="17"/>
      <c r="H10112" s="10"/>
      <c r="I10112" s="17"/>
    </row>
    <row r="10113" ht="14.25">
      <c r="A10113" s="5"/>
      <c r="B10113" s="13"/>
      <c r="C10113" s="7"/>
      <c r="D10113" s="7"/>
      <c r="E10113" s="5"/>
      <c r="F10113" s="5"/>
      <c r="G10113" s="17"/>
      <c r="H10113" s="10"/>
      <c r="I10113" s="17"/>
    </row>
    <row r="10114" ht="14.25">
      <c r="A10114" s="5"/>
      <c r="B10114" s="13"/>
      <c r="C10114" s="7"/>
      <c r="D10114" s="7"/>
      <c r="E10114" s="5"/>
      <c r="F10114" s="5"/>
      <c r="G10114" s="17"/>
      <c r="H10114" s="10"/>
      <c r="I10114" s="17"/>
    </row>
    <row r="10115" ht="14.25">
      <c r="A10115" s="5"/>
      <c r="B10115" s="13"/>
      <c r="C10115" s="7"/>
      <c r="D10115" s="7"/>
      <c r="E10115" s="5"/>
      <c r="F10115" s="5"/>
      <c r="G10115" s="17"/>
      <c r="H10115" s="10"/>
      <c r="I10115" s="17"/>
    </row>
    <row r="10116" ht="14.25">
      <c r="A10116" s="5"/>
      <c r="B10116" s="13"/>
      <c r="C10116" s="7"/>
      <c r="D10116" s="7"/>
      <c r="E10116" s="5"/>
      <c r="F10116" s="5"/>
      <c r="G10116" s="17"/>
      <c r="H10116" s="10"/>
      <c r="I10116" s="17"/>
    </row>
    <row r="10117" ht="14.25">
      <c r="A10117" s="5"/>
      <c r="B10117" s="13"/>
      <c r="C10117" s="7"/>
      <c r="D10117" s="7"/>
      <c r="E10117" s="5"/>
      <c r="F10117" s="5"/>
      <c r="G10117" s="17"/>
      <c r="H10117" s="10"/>
      <c r="I10117" s="17"/>
    </row>
    <row r="10118" ht="14.25">
      <c r="A10118" s="5"/>
      <c r="B10118" s="13"/>
      <c r="C10118" s="7"/>
      <c r="D10118" s="7"/>
      <c r="E10118" s="5"/>
      <c r="F10118" s="5"/>
      <c r="G10118" s="17"/>
      <c r="H10118" s="10"/>
      <c r="I10118" s="17"/>
    </row>
    <row r="10119" ht="14.25">
      <c r="A10119" s="5"/>
      <c r="B10119" s="13"/>
      <c r="C10119" s="7"/>
      <c r="D10119" s="7"/>
      <c r="E10119" s="5"/>
      <c r="F10119" s="5"/>
      <c r="G10119" s="17"/>
      <c r="H10119" s="10"/>
      <c r="I10119" s="17"/>
    </row>
    <row r="10120" ht="14.25">
      <c r="A10120" s="5"/>
      <c r="B10120" s="13"/>
      <c r="C10120" s="7"/>
      <c r="D10120" s="7"/>
      <c r="E10120" s="5"/>
      <c r="F10120" s="5"/>
      <c r="G10120" s="17"/>
      <c r="H10120" s="10"/>
      <c r="I10120" s="17"/>
    </row>
    <row r="10121" ht="14.25">
      <c r="A10121" s="5"/>
      <c r="B10121" s="13"/>
      <c r="C10121" s="7"/>
      <c r="D10121" s="7"/>
      <c r="E10121" s="5"/>
      <c r="F10121" s="5"/>
      <c r="G10121" s="17"/>
      <c r="H10121" s="10"/>
      <c r="I10121" s="17"/>
    </row>
    <row r="10122" ht="14.25">
      <c r="A10122" s="5"/>
      <c r="B10122" s="13"/>
      <c r="C10122" s="7"/>
      <c r="D10122" s="7"/>
      <c r="E10122" s="5"/>
      <c r="F10122" s="5"/>
      <c r="G10122" s="17"/>
      <c r="H10122" s="10"/>
      <c r="I10122" s="17"/>
    </row>
    <row r="10123" ht="14.25">
      <c r="A10123" s="5"/>
      <c r="B10123" s="13"/>
      <c r="C10123" s="7"/>
      <c r="D10123" s="7"/>
      <c r="E10123" s="5"/>
      <c r="F10123" s="5"/>
      <c r="G10123" s="17"/>
      <c r="H10123" s="10"/>
      <c r="I10123" s="17"/>
    </row>
    <row r="10124" ht="14.25">
      <c r="A10124" s="5"/>
      <c r="B10124" s="13"/>
      <c r="C10124" s="7"/>
      <c r="D10124" s="7"/>
      <c r="E10124" s="5"/>
      <c r="F10124" s="5"/>
      <c r="G10124" s="17"/>
      <c r="H10124" s="10"/>
      <c r="I10124" s="17"/>
    </row>
    <row r="10125" ht="14.25">
      <c r="A10125" s="5"/>
      <c r="B10125" s="13"/>
      <c r="C10125" s="7"/>
      <c r="D10125" s="7"/>
      <c r="E10125" s="5"/>
      <c r="F10125" s="5"/>
      <c r="G10125" s="17"/>
      <c r="H10125" s="10"/>
      <c r="I10125" s="17"/>
    </row>
    <row r="10126" ht="14.25">
      <c r="A10126" s="5"/>
      <c r="B10126" s="13"/>
      <c r="C10126" s="7"/>
      <c r="D10126" s="7"/>
      <c r="E10126" s="5"/>
      <c r="F10126" s="5"/>
      <c r="G10126" s="17"/>
      <c r="H10126" s="10"/>
      <c r="I10126" s="17"/>
    </row>
    <row r="10127" ht="14.25">
      <c r="A10127" s="5"/>
      <c r="B10127" s="13"/>
      <c r="C10127" s="7"/>
      <c r="D10127" s="7"/>
      <c r="E10127" s="5"/>
      <c r="F10127" s="5"/>
      <c r="G10127" s="17"/>
      <c r="H10127" s="10"/>
      <c r="I10127" s="17"/>
    </row>
    <row r="10128" ht="14.25">
      <c r="A10128" s="5"/>
      <c r="B10128" s="13"/>
      <c r="C10128" s="7"/>
      <c r="D10128" s="7"/>
      <c r="E10128" s="5"/>
      <c r="F10128" s="5"/>
      <c r="G10128" s="17"/>
      <c r="H10128" s="10"/>
      <c r="I10128" s="17"/>
    </row>
    <row r="10129" ht="14.25">
      <c r="A10129" s="5"/>
      <c r="B10129" s="13"/>
      <c r="C10129" s="7"/>
      <c r="D10129" s="7"/>
      <c r="E10129" s="5"/>
      <c r="F10129" s="5"/>
      <c r="G10129" s="17"/>
      <c r="H10129" s="10"/>
      <c r="I10129" s="17"/>
    </row>
    <row r="10130" ht="14.25">
      <c r="A10130" s="5"/>
      <c r="B10130" s="13"/>
      <c r="C10130" s="7"/>
      <c r="D10130" s="7"/>
      <c r="E10130" s="5"/>
      <c r="F10130" s="5"/>
      <c r="G10130" s="17"/>
      <c r="H10130" s="10"/>
      <c r="I10130" s="17"/>
    </row>
    <row r="10131" ht="14.25">
      <c r="A10131" s="5"/>
      <c r="B10131" s="13"/>
      <c r="C10131" s="7"/>
      <c r="D10131" s="7"/>
      <c r="E10131" s="5"/>
      <c r="F10131" s="5"/>
      <c r="G10131" s="17"/>
      <c r="H10131" s="10"/>
      <c r="I10131" s="17"/>
    </row>
    <row r="10132" ht="14.25">
      <c r="A10132" s="5"/>
      <c r="B10132" s="13"/>
      <c r="C10132" s="7"/>
      <c r="D10132" s="7"/>
      <c r="E10132" s="5"/>
      <c r="F10132" s="5"/>
      <c r="G10132" s="17"/>
      <c r="H10132" s="10"/>
      <c r="I10132" s="17"/>
    </row>
    <row r="10133" ht="14.25">
      <c r="A10133" s="5"/>
      <c r="B10133" s="13"/>
      <c r="C10133" s="7"/>
      <c r="D10133" s="7"/>
      <c r="E10133" s="5"/>
      <c r="F10133" s="5"/>
      <c r="G10133" s="17"/>
      <c r="H10133" s="10"/>
      <c r="I10133" s="17"/>
    </row>
    <row r="10134" ht="14.25">
      <c r="A10134" s="5"/>
      <c r="B10134" s="13"/>
      <c r="C10134" s="7"/>
      <c r="D10134" s="7"/>
      <c r="E10134" s="5"/>
      <c r="F10134" s="5"/>
      <c r="G10134" s="17"/>
      <c r="H10134" s="10"/>
      <c r="I10134" s="17"/>
    </row>
    <row r="10135" ht="14.25">
      <c r="A10135" s="5"/>
      <c r="B10135" s="13"/>
      <c r="C10135" s="7"/>
      <c r="D10135" s="7"/>
      <c r="E10135" s="5"/>
      <c r="F10135" s="5"/>
      <c r="G10135" s="17"/>
      <c r="H10135" s="10"/>
      <c r="I10135" s="17"/>
    </row>
    <row r="10136" ht="14.25">
      <c r="A10136" s="5"/>
      <c r="B10136" s="13"/>
      <c r="C10136" s="7"/>
      <c r="D10136" s="7"/>
      <c r="E10136" s="5"/>
      <c r="F10136" s="5"/>
      <c r="G10136" s="17"/>
      <c r="H10136" s="10"/>
      <c r="I10136" s="17"/>
    </row>
    <row r="10137" ht="14.25">
      <c r="A10137" s="5"/>
      <c r="B10137" s="13"/>
      <c r="C10137" s="7"/>
      <c r="D10137" s="7"/>
      <c r="E10137" s="5"/>
      <c r="F10137" s="5"/>
      <c r="G10137" s="17"/>
      <c r="H10137" s="10"/>
      <c r="I10137" s="17"/>
    </row>
    <row r="10138" ht="14.25">
      <c r="A10138" s="5"/>
      <c r="B10138" s="13"/>
      <c r="C10138" s="7"/>
      <c r="D10138" s="7"/>
      <c r="E10138" s="5"/>
      <c r="F10138" s="5"/>
      <c r="G10138" s="17"/>
      <c r="H10138" s="10"/>
      <c r="I10138" s="17"/>
    </row>
    <row r="10139" ht="14.25">
      <c r="A10139" s="5"/>
      <c r="B10139" s="13"/>
      <c r="C10139" s="7"/>
      <c r="D10139" s="7"/>
      <c r="E10139" s="5"/>
      <c r="F10139" s="5"/>
      <c r="G10139" s="17"/>
      <c r="H10139" s="10"/>
      <c r="I10139" s="17"/>
    </row>
    <row r="10140" ht="14.25">
      <c r="A10140" s="5"/>
      <c r="B10140" s="13"/>
      <c r="C10140" s="7"/>
      <c r="D10140" s="7"/>
      <c r="E10140" s="5"/>
      <c r="F10140" s="5"/>
      <c r="G10140" s="17"/>
      <c r="H10140" s="10"/>
      <c r="I10140" s="17"/>
    </row>
    <row r="10141" ht="14.25">
      <c r="A10141" s="5"/>
      <c r="B10141" s="13"/>
      <c r="C10141" s="7"/>
      <c r="D10141" s="7"/>
      <c r="E10141" s="5"/>
      <c r="F10141" s="5"/>
      <c r="G10141" s="17"/>
      <c r="H10141" s="10"/>
      <c r="I10141" s="17"/>
    </row>
    <row r="10142" ht="14.25">
      <c r="A10142" s="5"/>
      <c r="B10142" s="13"/>
      <c r="C10142" s="7"/>
      <c r="D10142" s="7"/>
      <c r="E10142" s="5"/>
      <c r="F10142" s="5"/>
      <c r="G10142" s="17"/>
      <c r="H10142" s="10"/>
      <c r="I10142" s="17"/>
    </row>
    <row r="10143" ht="14.25">
      <c r="A10143" s="5"/>
      <c r="B10143" s="13"/>
      <c r="C10143" s="7"/>
      <c r="D10143" s="7"/>
      <c r="E10143" s="5"/>
      <c r="F10143" s="5"/>
      <c r="G10143" s="17"/>
      <c r="H10143" s="10"/>
      <c r="I10143" s="17"/>
    </row>
    <row r="10144" ht="14.25">
      <c r="A10144" s="5"/>
      <c r="B10144" s="13"/>
      <c r="C10144" s="7"/>
      <c r="D10144" s="7"/>
      <c r="E10144" s="5"/>
      <c r="F10144" s="5"/>
      <c r="G10144" s="17"/>
      <c r="H10144" s="10"/>
      <c r="I10144" s="17"/>
    </row>
    <row r="10145" ht="14.25">
      <c r="A10145" s="5"/>
      <c r="B10145" s="13"/>
      <c r="C10145" s="7"/>
      <c r="D10145" s="7"/>
      <c r="E10145" s="5"/>
      <c r="F10145" s="5"/>
      <c r="G10145" s="17"/>
      <c r="H10145" s="10"/>
      <c r="I10145" s="17"/>
    </row>
    <row r="10146" ht="14.25">
      <c r="A10146" s="5"/>
      <c r="B10146" s="13"/>
      <c r="C10146" s="7"/>
      <c r="D10146" s="7"/>
      <c r="E10146" s="5"/>
      <c r="F10146" s="5"/>
      <c r="G10146" s="17"/>
      <c r="H10146" s="10"/>
      <c r="I10146" s="17"/>
    </row>
    <row r="10147" ht="14.25">
      <c r="A10147" s="5"/>
      <c r="B10147" s="13"/>
      <c r="C10147" s="7"/>
      <c r="D10147" s="7"/>
      <c r="E10147" s="5"/>
      <c r="F10147" s="5"/>
      <c r="G10147" s="17"/>
      <c r="H10147" s="10"/>
      <c r="I10147" s="17"/>
    </row>
    <row r="10148" ht="14.25">
      <c r="A10148" s="5"/>
      <c r="B10148" s="13"/>
      <c r="C10148" s="7"/>
      <c r="D10148" s="7"/>
      <c r="E10148" s="5"/>
      <c r="F10148" s="5"/>
      <c r="G10148" s="17"/>
      <c r="H10148" s="10"/>
      <c r="I10148" s="17"/>
    </row>
    <row r="10149" ht="14.25">
      <c r="A10149" s="5"/>
      <c r="B10149" s="13"/>
      <c r="C10149" s="7"/>
      <c r="D10149" s="7"/>
      <c r="E10149" s="5"/>
      <c r="F10149" s="5"/>
      <c r="G10149" s="17"/>
      <c r="H10149" s="10"/>
      <c r="I10149" s="17"/>
    </row>
    <row r="10150" ht="14.25">
      <c r="A10150" s="5"/>
      <c r="B10150" s="13"/>
      <c r="C10150" s="7"/>
      <c r="D10150" s="7"/>
      <c r="E10150" s="5"/>
      <c r="F10150" s="5"/>
      <c r="G10150" s="17"/>
      <c r="H10150" s="10"/>
      <c r="I10150" s="17"/>
    </row>
    <row r="10151" ht="14.25">
      <c r="A10151" s="5"/>
      <c r="B10151" s="13"/>
      <c r="C10151" s="7"/>
      <c r="D10151" s="7"/>
      <c r="E10151" s="5"/>
      <c r="F10151" s="5"/>
      <c r="G10151" s="17"/>
      <c r="H10151" s="10"/>
      <c r="I10151" s="17"/>
    </row>
    <row r="10152" ht="14.25">
      <c r="A10152" s="5"/>
      <c r="B10152" s="13"/>
      <c r="C10152" s="7"/>
      <c r="D10152" s="7"/>
      <c r="E10152" s="5"/>
      <c r="F10152" s="5"/>
      <c r="G10152" s="17"/>
      <c r="H10152" s="10"/>
      <c r="I10152" s="17"/>
    </row>
    <row r="10153" ht="14.25">
      <c r="A10153" s="5"/>
      <c r="B10153" s="13"/>
      <c r="C10153" s="7"/>
      <c r="D10153" s="7"/>
      <c r="E10153" s="5"/>
      <c r="F10153" s="5"/>
      <c r="G10153" s="17"/>
      <c r="H10153" s="10"/>
      <c r="I10153" s="17"/>
    </row>
    <row r="10154" ht="14.25">
      <c r="A10154" s="5"/>
      <c r="B10154" s="13"/>
      <c r="C10154" s="7"/>
      <c r="D10154" s="7"/>
      <c r="E10154" s="5"/>
      <c r="F10154" s="5"/>
      <c r="G10154" s="17"/>
      <c r="H10154" s="10"/>
      <c r="I10154" s="17"/>
    </row>
    <row r="10155" ht="14.25">
      <c r="A10155" s="5"/>
      <c r="B10155" s="13"/>
      <c r="C10155" s="7"/>
      <c r="D10155" s="7"/>
      <c r="E10155" s="5"/>
      <c r="F10155" s="5"/>
      <c r="G10155" s="17"/>
      <c r="H10155" s="10"/>
      <c r="I10155" s="17"/>
    </row>
    <row r="10156" ht="14.25">
      <c r="A10156" s="5"/>
      <c r="B10156" s="13"/>
      <c r="C10156" s="7"/>
      <c r="D10156" s="7"/>
      <c r="E10156" s="5"/>
      <c r="F10156" s="5"/>
      <c r="G10156" s="17"/>
      <c r="H10156" s="10"/>
      <c r="I10156" s="17"/>
    </row>
    <row r="10157" ht="14.25">
      <c r="A10157" s="5"/>
      <c r="B10157" s="13"/>
      <c r="C10157" s="7"/>
      <c r="D10157" s="7"/>
      <c r="E10157" s="5"/>
      <c r="F10157" s="5"/>
      <c r="G10157" s="17"/>
      <c r="H10157" s="10"/>
      <c r="I10157" s="17"/>
    </row>
    <row r="10158" ht="14.25">
      <c r="A10158" s="5"/>
      <c r="B10158" s="13"/>
      <c r="C10158" s="7"/>
      <c r="D10158" s="7"/>
      <c r="E10158" s="5"/>
      <c r="F10158" s="5"/>
      <c r="G10158" s="17"/>
      <c r="H10158" s="10"/>
      <c r="I10158" s="17"/>
    </row>
    <row r="10159" ht="14.25">
      <c r="A10159" s="5"/>
      <c r="B10159" s="13"/>
      <c r="C10159" s="7"/>
      <c r="D10159" s="7"/>
      <c r="E10159" s="5"/>
      <c r="F10159" s="5"/>
      <c r="G10159" s="17"/>
      <c r="H10159" s="10"/>
      <c r="I10159" s="17"/>
    </row>
    <row r="10160" ht="14.25">
      <c r="A10160" s="5"/>
      <c r="B10160" s="13"/>
      <c r="C10160" s="7"/>
      <c r="D10160" s="7"/>
      <c r="E10160" s="5"/>
      <c r="F10160" s="5"/>
      <c r="G10160" s="17"/>
      <c r="H10160" s="10"/>
      <c r="I10160" s="17"/>
    </row>
    <row r="10161" ht="14.25">
      <c r="A10161" s="5"/>
      <c r="B10161" s="13"/>
      <c r="C10161" s="7"/>
      <c r="D10161" s="7"/>
      <c r="E10161" s="5"/>
      <c r="F10161" s="5"/>
      <c r="G10161" s="17"/>
      <c r="H10161" s="10"/>
      <c r="I10161" s="17"/>
    </row>
    <row r="10162" ht="14.25">
      <c r="A10162" s="5"/>
      <c r="B10162" s="13"/>
      <c r="C10162" s="7"/>
      <c r="D10162" s="7"/>
      <c r="E10162" s="5"/>
      <c r="F10162" s="5"/>
      <c r="G10162" s="17"/>
      <c r="H10162" s="10"/>
      <c r="I10162" s="17"/>
    </row>
    <row r="10163" ht="14.25">
      <c r="A10163" s="5"/>
      <c r="B10163" s="13"/>
      <c r="C10163" s="7"/>
      <c r="D10163" s="7"/>
      <c r="E10163" s="5"/>
      <c r="F10163" s="5"/>
      <c r="G10163" s="17"/>
      <c r="H10163" s="10"/>
      <c r="I10163" s="17"/>
    </row>
    <row r="10164" ht="14.25">
      <c r="A10164" s="5"/>
      <c r="B10164" s="13"/>
      <c r="C10164" s="7"/>
      <c r="D10164" s="7"/>
      <c r="E10164" s="5"/>
      <c r="F10164" s="5"/>
      <c r="G10164" s="17"/>
      <c r="H10164" s="10"/>
      <c r="I10164" s="17"/>
    </row>
    <row r="10165" ht="14.25">
      <c r="A10165" s="5"/>
      <c r="B10165" s="13"/>
      <c r="C10165" s="7"/>
      <c r="D10165" s="7"/>
      <c r="E10165" s="5"/>
      <c r="F10165" s="5"/>
      <c r="G10165" s="17"/>
      <c r="H10165" s="10"/>
      <c r="I10165" s="17"/>
    </row>
    <row r="10166" ht="14.25">
      <c r="A10166" s="5"/>
      <c r="B10166" s="13"/>
      <c r="C10166" s="7"/>
      <c r="D10166" s="7"/>
      <c r="E10166" s="5"/>
      <c r="F10166" s="5"/>
      <c r="G10166" s="17"/>
      <c r="H10166" s="10"/>
      <c r="I10166" s="17"/>
    </row>
    <row r="10167" ht="14.25">
      <c r="A10167" s="5"/>
      <c r="B10167" s="13"/>
      <c r="C10167" s="7"/>
      <c r="D10167" s="7"/>
      <c r="E10167" s="5"/>
      <c r="F10167" s="5"/>
      <c r="G10167" s="17"/>
      <c r="H10167" s="10"/>
      <c r="I10167" s="17"/>
    </row>
    <row r="10168" ht="14.25">
      <c r="A10168" s="5"/>
      <c r="B10168" s="13"/>
      <c r="C10168" s="7"/>
      <c r="D10168" s="7"/>
      <c r="E10168" s="5"/>
      <c r="F10168" s="5"/>
      <c r="G10168" s="17"/>
      <c r="H10168" s="10"/>
      <c r="I10168" s="17"/>
    </row>
    <row r="10169" ht="14.25">
      <c r="A10169" s="5"/>
      <c r="B10169" s="13"/>
      <c r="C10169" s="7"/>
      <c r="D10169" s="7"/>
      <c r="E10169" s="5"/>
      <c r="F10169" s="5"/>
      <c r="G10169" s="17"/>
      <c r="H10169" s="10"/>
      <c r="I10169" s="17"/>
    </row>
    <row r="10170" ht="14.25">
      <c r="A10170" s="5"/>
      <c r="B10170" s="13"/>
      <c r="C10170" s="7"/>
      <c r="D10170" s="7"/>
      <c r="E10170" s="5"/>
      <c r="F10170" s="5"/>
      <c r="G10170" s="17"/>
      <c r="H10170" s="10"/>
      <c r="I10170" s="17"/>
    </row>
    <row r="10171" ht="14.25">
      <c r="A10171" s="5"/>
      <c r="B10171" s="13"/>
      <c r="C10171" s="7"/>
      <c r="D10171" s="7"/>
      <c r="E10171" s="5"/>
      <c r="F10171" s="5"/>
      <c r="G10171" s="17"/>
      <c r="H10171" s="10"/>
      <c r="I10171" s="17"/>
    </row>
    <row r="10172" ht="14.25">
      <c r="A10172" s="5"/>
      <c r="B10172" s="13"/>
      <c r="C10172" s="7"/>
      <c r="D10172" s="7"/>
      <c r="E10172" s="5"/>
      <c r="F10172" s="5"/>
      <c r="G10172" s="17"/>
      <c r="H10172" s="10"/>
      <c r="I10172" s="17"/>
    </row>
    <row r="10173" ht="14.25">
      <c r="A10173" s="5"/>
      <c r="B10173" s="13"/>
      <c r="C10173" s="7"/>
      <c r="D10173" s="7"/>
      <c r="E10173" s="5"/>
      <c r="F10173" s="5"/>
      <c r="G10173" s="17"/>
      <c r="H10173" s="10"/>
      <c r="I10173" s="17"/>
    </row>
    <row r="10174" ht="14.25">
      <c r="A10174" s="5"/>
      <c r="B10174" s="13"/>
      <c r="C10174" s="7"/>
      <c r="D10174" s="7"/>
      <c r="E10174" s="5"/>
      <c r="F10174" s="5"/>
      <c r="G10174" s="17"/>
      <c r="H10174" s="10"/>
      <c r="I10174" s="17"/>
    </row>
    <row r="10175" ht="14.25">
      <c r="A10175" s="5"/>
      <c r="B10175" s="13"/>
      <c r="C10175" s="7"/>
      <c r="D10175" s="7"/>
      <c r="E10175" s="5"/>
      <c r="F10175" s="5"/>
      <c r="G10175" s="17"/>
      <c r="H10175" s="10"/>
      <c r="I10175" s="17"/>
    </row>
    <row r="10176" ht="14.25">
      <c r="A10176" s="5"/>
      <c r="B10176" s="13"/>
      <c r="C10176" s="7"/>
      <c r="D10176" s="7"/>
      <c r="E10176" s="5"/>
      <c r="F10176" s="5"/>
      <c r="G10176" s="17"/>
      <c r="H10176" s="10"/>
      <c r="I10176" s="17"/>
    </row>
    <row r="10177" ht="14.25">
      <c r="A10177" s="5"/>
      <c r="B10177" s="13"/>
      <c r="C10177" s="7"/>
      <c r="D10177" s="7"/>
      <c r="E10177" s="5"/>
      <c r="F10177" s="5"/>
      <c r="G10177" s="17"/>
      <c r="H10177" s="10"/>
      <c r="I10177" s="17"/>
    </row>
    <row r="10178" ht="14.25">
      <c r="A10178" s="5"/>
      <c r="B10178" s="13"/>
      <c r="C10178" s="7"/>
      <c r="D10178" s="7"/>
      <c r="E10178" s="5"/>
      <c r="F10178" s="5"/>
      <c r="G10178" s="17"/>
      <c r="H10178" s="10"/>
      <c r="I10178" s="17"/>
    </row>
    <row r="10179" ht="14.25">
      <c r="A10179" s="5"/>
      <c r="B10179" s="13"/>
      <c r="C10179" s="7"/>
      <c r="D10179" s="7"/>
      <c r="E10179" s="5"/>
      <c r="F10179" s="5"/>
      <c r="G10179" s="17"/>
      <c r="H10179" s="10"/>
      <c r="I10179" s="17"/>
    </row>
    <row r="10180" ht="14.25">
      <c r="A10180" s="5"/>
      <c r="B10180" s="13"/>
      <c r="C10180" s="7"/>
      <c r="D10180" s="7"/>
      <c r="E10180" s="5"/>
      <c r="F10180" s="5"/>
      <c r="G10180" s="17"/>
      <c r="H10180" s="10"/>
      <c r="I10180" s="17"/>
    </row>
    <row r="10181" ht="14.25">
      <c r="A10181" s="5"/>
      <c r="B10181" s="13"/>
      <c r="C10181" s="7"/>
      <c r="D10181" s="7"/>
      <c r="E10181" s="5"/>
      <c r="F10181" s="5"/>
      <c r="G10181" s="17"/>
      <c r="H10181" s="10"/>
      <c r="I10181" s="17"/>
    </row>
    <row r="10182" ht="14.25">
      <c r="A10182" s="5"/>
      <c r="B10182" s="13"/>
      <c r="C10182" s="7"/>
      <c r="D10182" s="7"/>
      <c r="E10182" s="5"/>
      <c r="F10182" s="5"/>
      <c r="G10182" s="17"/>
      <c r="H10182" s="10"/>
      <c r="I10182" s="17"/>
    </row>
    <row r="10183" ht="14.25">
      <c r="A10183" s="5"/>
      <c r="B10183" s="13"/>
      <c r="C10183" s="7"/>
      <c r="D10183" s="7"/>
      <c r="E10183" s="5"/>
      <c r="F10183" s="5"/>
      <c r="G10183" s="17"/>
      <c r="H10183" s="10"/>
      <c r="I10183" s="17"/>
    </row>
    <row r="10184" ht="14.25">
      <c r="A10184" s="5"/>
      <c r="B10184" s="13"/>
      <c r="C10184" s="7"/>
      <c r="D10184" s="7"/>
      <c r="E10184" s="5"/>
      <c r="F10184" s="5"/>
      <c r="G10184" s="17"/>
      <c r="H10184" s="10"/>
      <c r="I10184" s="17"/>
    </row>
    <row r="10185" ht="14.25">
      <c r="A10185" s="5"/>
      <c r="B10185" s="13"/>
      <c r="C10185" s="7"/>
      <c r="D10185" s="7"/>
      <c r="E10185" s="5"/>
      <c r="F10185" s="5"/>
      <c r="G10185" s="17"/>
      <c r="H10185" s="10"/>
      <c r="I10185" s="17"/>
    </row>
    <row r="10186" ht="14.25">
      <c r="A10186" s="5"/>
      <c r="B10186" s="13"/>
      <c r="C10186" s="7"/>
      <c r="D10186" s="7"/>
      <c r="E10186" s="5"/>
      <c r="F10186" s="5"/>
      <c r="G10186" s="17"/>
      <c r="H10186" s="10"/>
      <c r="I10186" s="17"/>
    </row>
    <row r="10187" ht="14.25">
      <c r="A10187" s="5"/>
      <c r="B10187" s="13"/>
      <c r="C10187" s="7"/>
      <c r="D10187" s="7"/>
      <c r="E10187" s="5"/>
      <c r="F10187" s="5"/>
      <c r="G10187" s="17"/>
      <c r="H10187" s="10"/>
      <c r="I10187" s="17"/>
    </row>
    <row r="10188" ht="14.25">
      <c r="A10188" s="5"/>
      <c r="B10188" s="13"/>
      <c r="C10188" s="7"/>
      <c r="D10188" s="7"/>
      <c r="E10188" s="5"/>
      <c r="F10188" s="5"/>
      <c r="G10188" s="17"/>
      <c r="H10188" s="10"/>
      <c r="I10188" s="17"/>
    </row>
    <row r="10189" ht="14.25">
      <c r="A10189" s="5"/>
      <c r="B10189" s="13"/>
      <c r="C10189" s="7"/>
      <c r="D10189" s="7"/>
      <c r="E10189" s="5"/>
      <c r="F10189" s="5"/>
      <c r="G10189" s="17"/>
      <c r="H10189" s="10"/>
      <c r="I10189" s="17"/>
    </row>
    <row r="10190" ht="14.25">
      <c r="A10190" s="5"/>
      <c r="B10190" s="13"/>
      <c r="C10190" s="7"/>
      <c r="D10190" s="7"/>
      <c r="E10190" s="5"/>
      <c r="F10190" s="5"/>
      <c r="G10190" s="17"/>
      <c r="H10190" s="10"/>
      <c r="I10190" s="17"/>
    </row>
    <row r="10191" ht="14.25">
      <c r="A10191" s="5"/>
      <c r="B10191" s="13"/>
      <c r="C10191" s="7"/>
      <c r="D10191" s="7"/>
      <c r="E10191" s="5"/>
      <c r="F10191" s="5"/>
      <c r="G10191" s="17"/>
      <c r="H10191" s="10"/>
      <c r="I10191" s="17"/>
    </row>
    <row r="10192" ht="14.25">
      <c r="A10192" s="5"/>
      <c r="B10192" s="13"/>
      <c r="C10192" s="7"/>
      <c r="D10192" s="7"/>
      <c r="E10192" s="5"/>
      <c r="F10192" s="5"/>
      <c r="G10192" s="17"/>
      <c r="H10192" s="10"/>
      <c r="I10192" s="17"/>
    </row>
    <row r="10193" ht="14.25">
      <c r="A10193" s="5"/>
      <c r="B10193" s="13"/>
      <c r="C10193" s="7"/>
      <c r="D10193" s="7"/>
      <c r="E10193" s="5"/>
      <c r="F10193" s="5"/>
      <c r="G10193" s="17"/>
      <c r="H10193" s="10"/>
      <c r="I10193" s="17"/>
    </row>
    <row r="10194" ht="14.25">
      <c r="A10194" s="5"/>
      <c r="B10194" s="13"/>
      <c r="C10194" s="7"/>
      <c r="D10194" s="7"/>
      <c r="E10194" s="5"/>
      <c r="F10194" s="5"/>
      <c r="G10194" s="17"/>
      <c r="H10194" s="10"/>
      <c r="I10194" s="17"/>
    </row>
    <row r="10195" ht="14.25">
      <c r="A10195" s="5"/>
      <c r="B10195" s="13"/>
      <c r="C10195" s="7"/>
      <c r="D10195" s="7"/>
      <c r="E10195" s="5"/>
      <c r="F10195" s="5"/>
      <c r="G10195" s="17"/>
      <c r="H10195" s="10"/>
      <c r="I10195" s="17"/>
    </row>
    <row r="10196" ht="14.25">
      <c r="A10196" s="5"/>
      <c r="B10196" s="13"/>
      <c r="C10196" s="7"/>
      <c r="D10196" s="7"/>
      <c r="E10196" s="5"/>
      <c r="F10196" s="5"/>
      <c r="G10196" s="17"/>
      <c r="H10196" s="10"/>
      <c r="I10196" s="17"/>
    </row>
    <row r="10197" ht="14.25">
      <c r="A10197" s="5"/>
      <c r="B10197" s="13"/>
      <c r="C10197" s="7"/>
      <c r="D10197" s="7"/>
      <c r="E10197" s="5"/>
      <c r="F10197" s="5"/>
      <c r="G10197" s="17"/>
      <c r="H10197" s="10"/>
      <c r="I10197" s="17"/>
    </row>
    <row r="10198" ht="14.25">
      <c r="A10198" s="5"/>
      <c r="B10198" s="13"/>
      <c r="C10198" s="7"/>
      <c r="D10198" s="7"/>
      <c r="E10198" s="5"/>
      <c r="F10198" s="5"/>
      <c r="G10198" s="17"/>
      <c r="H10198" s="10"/>
      <c r="I10198" s="17"/>
    </row>
    <row r="10199" ht="14.25">
      <c r="A10199" s="5"/>
      <c r="B10199" s="13"/>
      <c r="C10199" s="7"/>
      <c r="D10199" s="7"/>
      <c r="E10199" s="5"/>
      <c r="F10199" s="5"/>
      <c r="G10199" s="17"/>
      <c r="H10199" s="10"/>
      <c r="I10199" s="17"/>
    </row>
    <row r="10200" ht="14.25">
      <c r="A10200" s="5"/>
      <c r="B10200" s="13"/>
      <c r="C10200" s="7"/>
      <c r="D10200" s="7"/>
      <c r="E10200" s="5"/>
      <c r="F10200" s="5"/>
      <c r="G10200" s="17"/>
      <c r="H10200" s="10"/>
      <c r="I10200" s="17"/>
    </row>
    <row r="10201" ht="14.25">
      <c r="A10201" s="5"/>
      <c r="B10201" s="13"/>
      <c r="C10201" s="7"/>
      <c r="D10201" s="7"/>
      <c r="E10201" s="5"/>
      <c r="F10201" s="5"/>
      <c r="G10201" s="17"/>
      <c r="H10201" s="10"/>
      <c r="I10201" s="17"/>
    </row>
    <row r="10202" ht="14.25">
      <c r="A10202" s="5"/>
      <c r="B10202" s="13"/>
      <c r="C10202" s="7"/>
      <c r="D10202" s="7"/>
      <c r="E10202" s="5"/>
      <c r="F10202" s="5"/>
      <c r="G10202" s="17"/>
      <c r="H10202" s="10"/>
      <c r="I10202" s="17"/>
    </row>
    <row r="10203" ht="14.25">
      <c r="A10203" s="5"/>
      <c r="B10203" s="13"/>
      <c r="C10203" s="7"/>
      <c r="D10203" s="7"/>
      <c r="E10203" s="5"/>
      <c r="F10203" s="5"/>
      <c r="G10203" s="17"/>
      <c r="H10203" s="10"/>
      <c r="I10203" s="17"/>
    </row>
    <row r="10204" ht="14.25">
      <c r="A10204" s="5"/>
      <c r="B10204" s="13"/>
      <c r="C10204" s="7"/>
      <c r="D10204" s="7"/>
      <c r="E10204" s="5"/>
      <c r="F10204" s="5"/>
      <c r="G10204" s="17"/>
      <c r="H10204" s="10"/>
      <c r="I10204" s="17"/>
    </row>
    <row r="10205" ht="14.25">
      <c r="A10205" s="5"/>
      <c r="B10205" s="13"/>
      <c r="C10205" s="7"/>
      <c r="D10205" s="7"/>
      <c r="E10205" s="5"/>
      <c r="F10205" s="5"/>
      <c r="G10205" s="17"/>
      <c r="H10205" s="10"/>
      <c r="I10205" s="17"/>
    </row>
    <row r="10206" ht="14.25">
      <c r="A10206" s="5"/>
      <c r="B10206" s="13"/>
      <c r="C10206" s="7"/>
      <c r="D10206" s="7"/>
      <c r="E10206" s="5"/>
      <c r="F10206" s="5"/>
      <c r="G10206" s="17"/>
      <c r="H10206" s="10"/>
      <c r="I10206" s="17"/>
    </row>
    <row r="10207" ht="14.25">
      <c r="A10207" s="5"/>
      <c r="B10207" s="13"/>
      <c r="C10207" s="7"/>
      <c r="D10207" s="7"/>
      <c r="E10207" s="5"/>
      <c r="F10207" s="5"/>
      <c r="G10207" s="17"/>
      <c r="H10207" s="10"/>
      <c r="I10207" s="17"/>
    </row>
    <row r="10208" ht="14.25">
      <c r="A10208" s="5"/>
      <c r="B10208" s="13"/>
      <c r="C10208" s="7"/>
      <c r="D10208" s="7"/>
      <c r="E10208" s="5"/>
      <c r="F10208" s="5"/>
      <c r="G10208" s="17"/>
      <c r="H10208" s="10"/>
      <c r="I10208" s="17"/>
    </row>
    <row r="10209" ht="14.25">
      <c r="A10209" s="5"/>
      <c r="B10209" s="13"/>
      <c r="C10209" s="7"/>
      <c r="D10209" s="7"/>
      <c r="E10209" s="5"/>
      <c r="F10209" s="5"/>
      <c r="G10209" s="17"/>
      <c r="H10209" s="10"/>
      <c r="I10209" s="17"/>
    </row>
    <row r="10210" ht="14.25">
      <c r="A10210" s="5"/>
      <c r="B10210" s="13"/>
      <c r="C10210" s="7"/>
      <c r="D10210" s="7"/>
      <c r="E10210" s="5"/>
      <c r="F10210" s="5"/>
      <c r="G10210" s="17"/>
      <c r="H10210" s="10"/>
      <c r="I10210" s="17"/>
    </row>
    <row r="10211" ht="14.25">
      <c r="A10211" s="5"/>
      <c r="B10211" s="13"/>
      <c r="C10211" s="7"/>
      <c r="D10211" s="7"/>
      <c r="E10211" s="5"/>
      <c r="F10211" s="5"/>
      <c r="G10211" s="17"/>
      <c r="H10211" s="10"/>
      <c r="I10211" s="17"/>
    </row>
    <row r="10212" ht="14.25">
      <c r="A10212" s="5"/>
      <c r="B10212" s="13"/>
      <c r="C10212" s="7"/>
      <c r="D10212" s="7"/>
      <c r="E10212" s="5"/>
      <c r="F10212" s="5"/>
      <c r="G10212" s="17"/>
      <c r="H10212" s="10"/>
      <c r="I10212" s="17"/>
    </row>
    <row r="10213" ht="14.25">
      <c r="A10213" s="5"/>
      <c r="B10213" s="13"/>
      <c r="C10213" s="7"/>
      <c r="D10213" s="7"/>
      <c r="E10213" s="5"/>
      <c r="F10213" s="5"/>
      <c r="G10213" s="17"/>
      <c r="H10213" s="10"/>
      <c r="I10213" s="17"/>
    </row>
    <row r="10214" ht="14.25">
      <c r="A10214" s="5"/>
      <c r="B10214" s="13"/>
      <c r="C10214" s="7"/>
      <c r="D10214" s="7"/>
      <c r="E10214" s="5"/>
      <c r="F10214" s="5"/>
      <c r="G10214" s="17"/>
      <c r="H10214" s="10"/>
      <c r="I10214" s="17"/>
    </row>
    <row r="10215" ht="14.25">
      <c r="A10215" s="5"/>
      <c r="B10215" s="13"/>
      <c r="C10215" s="7"/>
      <c r="D10215" s="7"/>
      <c r="E10215" s="5"/>
      <c r="F10215" s="5"/>
      <c r="G10215" s="17"/>
      <c r="H10215" s="10"/>
      <c r="I10215" s="17"/>
    </row>
    <row r="10216" ht="14.25">
      <c r="A10216" s="5"/>
      <c r="B10216" s="13"/>
      <c r="C10216" s="7"/>
      <c r="D10216" s="7"/>
      <c r="E10216" s="5"/>
      <c r="F10216" s="5"/>
      <c r="G10216" s="17"/>
      <c r="H10216" s="10"/>
      <c r="I10216" s="17"/>
    </row>
    <row r="10217" ht="14.25">
      <c r="A10217" s="5"/>
      <c r="B10217" s="13"/>
      <c r="C10217" s="7"/>
      <c r="D10217" s="7"/>
      <c r="E10217" s="5"/>
      <c r="F10217" s="5"/>
      <c r="G10217" s="17"/>
      <c r="H10217" s="10"/>
      <c r="I10217" s="17"/>
    </row>
    <row r="10218" ht="14.25">
      <c r="A10218" s="5"/>
      <c r="B10218" s="13"/>
      <c r="C10218" s="7"/>
      <c r="D10218" s="7"/>
      <c r="E10218" s="5"/>
      <c r="F10218" s="5"/>
      <c r="G10218" s="17"/>
      <c r="H10218" s="10"/>
      <c r="I10218" s="17"/>
    </row>
    <row r="10219" ht="14.25">
      <c r="A10219" s="5"/>
      <c r="B10219" s="13"/>
      <c r="C10219" s="7"/>
      <c r="D10219" s="7"/>
      <c r="E10219" s="5"/>
      <c r="F10219" s="5"/>
      <c r="G10219" s="17"/>
      <c r="H10219" s="10"/>
      <c r="I10219" s="17"/>
    </row>
    <row r="10220" ht="14.25">
      <c r="A10220" s="5"/>
      <c r="B10220" s="13"/>
      <c r="C10220" s="7"/>
      <c r="D10220" s="7"/>
      <c r="E10220" s="5"/>
      <c r="F10220" s="5"/>
      <c r="G10220" s="17"/>
      <c r="H10220" s="10"/>
      <c r="I10220" s="17"/>
    </row>
    <row r="10221" ht="14.25">
      <c r="A10221" s="5"/>
      <c r="B10221" s="13"/>
      <c r="C10221" s="7"/>
      <c r="D10221" s="7"/>
      <c r="E10221" s="5"/>
      <c r="F10221" s="5"/>
      <c r="G10221" s="17"/>
      <c r="H10221" s="10"/>
      <c r="I10221" s="17"/>
    </row>
    <row r="10222" ht="14.25">
      <c r="A10222" s="5"/>
      <c r="B10222" s="13"/>
      <c r="C10222" s="7"/>
      <c r="D10222" s="7"/>
      <c r="E10222" s="5"/>
      <c r="F10222" s="5"/>
      <c r="G10222" s="17"/>
      <c r="H10222" s="10"/>
      <c r="I10222" s="17"/>
    </row>
    <row r="10223" ht="14.25">
      <c r="A10223" s="5"/>
      <c r="B10223" s="13"/>
      <c r="C10223" s="7"/>
      <c r="D10223" s="7"/>
      <c r="E10223" s="5"/>
      <c r="F10223" s="5"/>
      <c r="G10223" s="17"/>
      <c r="H10223" s="10"/>
      <c r="I10223" s="17"/>
    </row>
    <row r="10224" ht="14.25">
      <c r="A10224" s="5"/>
      <c r="B10224" s="13"/>
      <c r="C10224" s="7"/>
      <c r="D10224" s="7"/>
      <c r="E10224" s="5"/>
      <c r="F10224" s="5"/>
      <c r="G10224" s="17"/>
      <c r="H10224" s="10"/>
      <c r="I10224" s="17"/>
    </row>
    <row r="10225" ht="14.25">
      <c r="A10225" s="5"/>
      <c r="B10225" s="13"/>
      <c r="C10225" s="7"/>
      <c r="D10225" s="7"/>
      <c r="E10225" s="5"/>
      <c r="F10225" s="5"/>
      <c r="G10225" s="17"/>
      <c r="H10225" s="10"/>
      <c r="I10225" s="17"/>
    </row>
    <row r="10226" ht="14.25">
      <c r="A10226" s="5"/>
      <c r="B10226" s="13"/>
      <c r="C10226" s="7"/>
      <c r="D10226" s="7"/>
      <c r="E10226" s="5"/>
      <c r="F10226" s="5"/>
      <c r="G10226" s="17"/>
      <c r="H10226" s="10"/>
      <c r="I10226" s="17"/>
    </row>
    <row r="10227" ht="14.25">
      <c r="A10227" s="5"/>
      <c r="B10227" s="13"/>
      <c r="C10227" s="7"/>
      <c r="D10227" s="7"/>
      <c r="E10227" s="5"/>
      <c r="F10227" s="5"/>
      <c r="G10227" s="17"/>
      <c r="H10227" s="10"/>
      <c r="I10227" s="17"/>
    </row>
    <row r="10228" ht="14.25">
      <c r="A10228" s="5"/>
      <c r="B10228" s="13"/>
      <c r="C10228" s="7"/>
      <c r="D10228" s="7"/>
      <c r="E10228" s="5"/>
      <c r="F10228" s="5"/>
      <c r="G10228" s="17"/>
      <c r="H10228" s="10"/>
      <c r="I10228" s="17"/>
    </row>
    <row r="10229" ht="14.25">
      <c r="A10229" s="5"/>
      <c r="B10229" s="13"/>
      <c r="C10229" s="7"/>
      <c r="D10229" s="7"/>
      <c r="E10229" s="5"/>
      <c r="F10229" s="5"/>
      <c r="G10229" s="17"/>
      <c r="H10229" s="10"/>
      <c r="I10229" s="17"/>
    </row>
    <row r="10230" ht="14.25">
      <c r="A10230" s="5"/>
      <c r="B10230" s="13"/>
      <c r="C10230" s="7"/>
      <c r="D10230" s="7"/>
      <c r="E10230" s="5"/>
      <c r="F10230" s="5"/>
      <c r="G10230" s="17"/>
      <c r="H10230" s="10"/>
      <c r="I10230" s="17"/>
    </row>
    <row r="10231" ht="14.25">
      <c r="A10231" s="5"/>
      <c r="B10231" s="13"/>
      <c r="C10231" s="7"/>
      <c r="D10231" s="7"/>
      <c r="E10231" s="5"/>
      <c r="F10231" s="5"/>
      <c r="G10231" s="17"/>
      <c r="H10231" s="10"/>
      <c r="I10231" s="17"/>
    </row>
    <row r="10232" ht="14.25">
      <c r="A10232" s="5"/>
      <c r="B10232" s="13"/>
      <c r="C10232" s="7"/>
      <c r="D10232" s="7"/>
      <c r="E10232" s="5"/>
      <c r="F10232" s="5"/>
      <c r="G10232" s="17"/>
      <c r="H10232" s="10"/>
      <c r="I10232" s="17"/>
    </row>
    <row r="10233" ht="14.25">
      <c r="A10233" s="5"/>
      <c r="B10233" s="13"/>
      <c r="C10233" s="7"/>
      <c r="D10233" s="7"/>
      <c r="E10233" s="5"/>
      <c r="F10233" s="5"/>
      <c r="G10233" s="17"/>
      <c r="H10233" s="10"/>
      <c r="I10233" s="17"/>
    </row>
    <row r="10234" ht="14.25">
      <c r="A10234" s="5"/>
      <c r="B10234" s="13"/>
      <c r="C10234" s="7"/>
      <c r="D10234" s="7"/>
      <c r="E10234" s="5"/>
      <c r="F10234" s="5"/>
      <c r="G10234" s="17"/>
      <c r="H10234" s="10"/>
      <c r="I10234" s="17"/>
    </row>
    <row r="10235" ht="14.25">
      <c r="A10235" s="5"/>
      <c r="B10235" s="13"/>
      <c r="C10235" s="7"/>
      <c r="D10235" s="7"/>
      <c r="E10235" s="5"/>
      <c r="F10235" s="5"/>
      <c r="G10235" s="17"/>
      <c r="H10235" s="10"/>
      <c r="I10235" s="17"/>
    </row>
    <row r="10236" ht="14.25">
      <c r="A10236" s="5"/>
      <c r="B10236" s="13"/>
      <c r="C10236" s="7"/>
      <c r="D10236" s="7"/>
      <c r="E10236" s="5"/>
      <c r="F10236" s="5"/>
      <c r="G10236" s="17"/>
      <c r="H10236" s="10"/>
      <c r="I10236" s="17"/>
    </row>
    <row r="10237" ht="14.25">
      <c r="A10237" s="5"/>
      <c r="B10237" s="13"/>
      <c r="C10237" s="7"/>
      <c r="D10237" s="7"/>
      <c r="E10237" s="5"/>
      <c r="F10237" s="5"/>
      <c r="G10237" s="17"/>
      <c r="H10237" s="10"/>
      <c r="I10237" s="17"/>
    </row>
    <row r="10238" ht="14.25">
      <c r="A10238" s="5"/>
      <c r="B10238" s="13"/>
      <c r="C10238" s="7"/>
      <c r="D10238" s="7"/>
      <c r="E10238" s="5"/>
      <c r="F10238" s="5"/>
      <c r="G10238" s="17"/>
      <c r="H10238" s="10"/>
      <c r="I10238" s="17"/>
    </row>
    <row r="10239" ht="14.25">
      <c r="A10239" s="5"/>
      <c r="B10239" s="13"/>
      <c r="C10239" s="7"/>
      <c r="D10239" s="7"/>
      <c r="E10239" s="5"/>
      <c r="F10239" s="5"/>
      <c r="G10239" s="17"/>
      <c r="H10239" s="10"/>
      <c r="I10239" s="17"/>
    </row>
    <row r="10240" ht="14.25">
      <c r="A10240" s="5"/>
      <c r="B10240" s="13"/>
      <c r="C10240" s="7"/>
      <c r="D10240" s="7"/>
      <c r="E10240" s="5"/>
      <c r="F10240" s="5"/>
      <c r="G10240" s="17"/>
      <c r="H10240" s="10"/>
      <c r="I10240" s="17"/>
    </row>
    <row r="10241" ht="14.25">
      <c r="A10241" s="5"/>
      <c r="B10241" s="13"/>
      <c r="C10241" s="7"/>
      <c r="D10241" s="7"/>
      <c r="E10241" s="5"/>
      <c r="F10241" s="5"/>
      <c r="G10241" s="17"/>
      <c r="H10241" s="10"/>
      <c r="I10241" s="17"/>
    </row>
    <row r="10242" ht="14.25">
      <c r="A10242" s="5"/>
      <c r="B10242" s="13"/>
      <c r="C10242" s="7"/>
      <c r="D10242" s="7"/>
      <c r="E10242" s="5"/>
      <c r="F10242" s="5"/>
      <c r="G10242" s="17"/>
      <c r="H10242" s="10"/>
      <c r="I10242" s="17"/>
    </row>
    <row r="10243" ht="14.25">
      <c r="A10243" s="5"/>
      <c r="B10243" s="13"/>
      <c r="C10243" s="7"/>
      <c r="D10243" s="7"/>
      <c r="E10243" s="5"/>
      <c r="F10243" s="5"/>
      <c r="G10243" s="17"/>
      <c r="H10243" s="10"/>
      <c r="I10243" s="17"/>
    </row>
    <row r="10244" ht="14.25">
      <c r="A10244" s="5"/>
      <c r="B10244" s="13"/>
      <c r="C10244" s="7"/>
      <c r="D10244" s="7"/>
      <c r="E10244" s="5"/>
      <c r="F10244" s="5"/>
      <c r="G10244" s="17"/>
      <c r="H10244" s="10"/>
      <c r="I10244" s="17"/>
    </row>
    <row r="10245" ht="14.25">
      <c r="A10245" s="5"/>
      <c r="B10245" s="13"/>
      <c r="C10245" s="7"/>
      <c r="D10245" s="7"/>
      <c r="E10245" s="5"/>
      <c r="F10245" s="5"/>
      <c r="G10245" s="17"/>
      <c r="H10245" s="10"/>
      <c r="I10245" s="17"/>
    </row>
    <row r="10246" ht="14.25">
      <c r="A10246" s="5"/>
      <c r="B10246" s="13"/>
      <c r="C10246" s="7"/>
      <c r="D10246" s="7"/>
      <c r="E10246" s="5"/>
      <c r="F10246" s="5"/>
      <c r="G10246" s="17"/>
      <c r="H10246" s="10"/>
      <c r="I10246" s="17"/>
    </row>
    <row r="10247" ht="14.25">
      <c r="A10247" s="5"/>
      <c r="B10247" s="13"/>
      <c r="C10247" s="7"/>
      <c r="D10247" s="7"/>
      <c r="E10247" s="5"/>
      <c r="F10247" s="5"/>
      <c r="G10247" s="17"/>
      <c r="H10247" s="10"/>
      <c r="I10247" s="17"/>
    </row>
    <row r="10248" ht="14.25">
      <c r="A10248" s="5"/>
      <c r="B10248" s="13"/>
      <c r="C10248" s="7"/>
      <c r="D10248" s="7"/>
      <c r="E10248" s="5"/>
      <c r="F10248" s="5"/>
      <c r="G10248" s="17"/>
      <c r="H10248" s="10"/>
      <c r="I10248" s="17"/>
    </row>
    <row r="10249" ht="14.25">
      <c r="A10249" s="5"/>
      <c r="B10249" s="13"/>
      <c r="C10249" s="7"/>
      <c r="D10249" s="7"/>
      <c r="E10249" s="5"/>
      <c r="F10249" s="5"/>
      <c r="G10249" s="17"/>
      <c r="H10249" s="10"/>
      <c r="I10249" s="17"/>
    </row>
    <row r="10250" ht="14.25">
      <c r="A10250" s="5"/>
      <c r="B10250" s="13"/>
      <c r="C10250" s="7"/>
      <c r="D10250" s="7"/>
      <c r="E10250" s="5"/>
      <c r="F10250" s="5"/>
      <c r="G10250" s="17"/>
      <c r="H10250" s="10"/>
      <c r="I10250" s="17"/>
    </row>
    <row r="10251" ht="14.25">
      <c r="A10251" s="5"/>
      <c r="B10251" s="13"/>
      <c r="C10251" s="7"/>
      <c r="D10251" s="7"/>
      <c r="E10251" s="5"/>
      <c r="F10251" s="5"/>
      <c r="G10251" s="17"/>
      <c r="H10251" s="10"/>
      <c r="I10251" s="17"/>
    </row>
    <row r="10252" ht="14.25">
      <c r="A10252" s="5"/>
      <c r="B10252" s="13"/>
      <c r="C10252" s="7"/>
      <c r="D10252" s="7"/>
      <c r="E10252" s="5"/>
      <c r="F10252" s="5"/>
      <c r="G10252" s="17"/>
      <c r="H10252" s="10"/>
      <c r="I10252" s="17"/>
    </row>
    <row r="10253" ht="14.25">
      <c r="A10253" s="5"/>
      <c r="B10253" s="13"/>
      <c r="C10253" s="7"/>
      <c r="D10253" s="7"/>
      <c r="E10253" s="5"/>
      <c r="F10253" s="5"/>
      <c r="G10253" s="17"/>
      <c r="H10253" s="10"/>
      <c r="I10253" s="17"/>
    </row>
    <row r="10254" ht="14.25">
      <c r="A10254" s="5"/>
      <c r="B10254" s="13"/>
      <c r="C10254" s="7"/>
      <c r="D10254" s="7"/>
      <c r="E10254" s="5"/>
      <c r="F10254" s="5"/>
      <c r="G10254" s="17"/>
      <c r="H10254" s="10"/>
      <c r="I10254" s="17"/>
    </row>
    <row r="10255" ht="14.25">
      <c r="A10255" s="5"/>
      <c r="B10255" s="13"/>
      <c r="C10255" s="7"/>
      <c r="D10255" s="7"/>
      <c r="E10255" s="5"/>
      <c r="F10255" s="5"/>
      <c r="G10255" s="17"/>
      <c r="H10255" s="10"/>
      <c r="I10255" s="17"/>
    </row>
    <row r="10256" ht="14.25">
      <c r="A10256" s="5"/>
      <c r="B10256" s="13"/>
      <c r="C10256" s="7"/>
      <c r="D10256" s="7"/>
      <c r="E10256" s="5"/>
      <c r="F10256" s="5"/>
      <c r="G10256" s="17"/>
      <c r="H10256" s="10"/>
      <c r="I10256" s="17"/>
    </row>
    <row r="10257" ht="14.25">
      <c r="A10257" s="5"/>
      <c r="B10257" s="13"/>
      <c r="C10257" s="7"/>
      <c r="D10257" s="7"/>
      <c r="E10257" s="5"/>
      <c r="F10257" s="5"/>
      <c r="G10257" s="17"/>
      <c r="H10257" s="10"/>
      <c r="I10257" s="17"/>
    </row>
    <row r="10258" ht="14.25">
      <c r="A10258" s="5"/>
      <c r="B10258" s="13"/>
      <c r="C10258" s="7"/>
      <c r="D10258" s="7"/>
      <c r="E10258" s="5"/>
      <c r="F10258" s="5"/>
      <c r="G10258" s="17"/>
      <c r="H10258" s="10"/>
      <c r="I10258" s="17"/>
    </row>
    <row r="10259" ht="14.25">
      <c r="A10259" s="5"/>
      <c r="B10259" s="13"/>
      <c r="C10259" s="7"/>
      <c r="D10259" s="7"/>
      <c r="E10259" s="5"/>
      <c r="F10259" s="5"/>
      <c r="G10259" s="17"/>
      <c r="H10259" s="10"/>
      <c r="I10259" s="17"/>
    </row>
    <row r="10260" ht="14.25">
      <c r="A10260" s="5"/>
      <c r="B10260" s="13"/>
      <c r="C10260" s="7"/>
      <c r="D10260" s="7"/>
      <c r="E10260" s="5"/>
      <c r="F10260" s="5"/>
      <c r="G10260" s="17"/>
      <c r="H10260" s="10"/>
      <c r="I10260" s="17"/>
    </row>
    <row r="10261" ht="14.25">
      <c r="A10261" s="5"/>
      <c r="B10261" s="13"/>
      <c r="C10261" s="7"/>
      <c r="D10261" s="7"/>
      <c r="E10261" s="5"/>
      <c r="F10261" s="5"/>
      <c r="G10261" s="17"/>
      <c r="H10261" s="10"/>
      <c r="I10261" s="17"/>
    </row>
    <row r="10262" ht="14.25">
      <c r="A10262" s="5"/>
      <c r="B10262" s="13"/>
      <c r="C10262" s="7"/>
      <c r="D10262" s="7"/>
      <c r="E10262" s="5"/>
      <c r="F10262" s="5"/>
      <c r="G10262" s="17"/>
      <c r="H10262" s="10"/>
      <c r="I10262" s="17"/>
    </row>
    <row r="10263" ht="14.25">
      <c r="A10263" s="5"/>
      <c r="B10263" s="13"/>
      <c r="C10263" s="7"/>
      <c r="D10263" s="7"/>
      <c r="E10263" s="5"/>
      <c r="F10263" s="5"/>
      <c r="G10263" s="17"/>
      <c r="H10263" s="10"/>
      <c r="I10263" s="17"/>
    </row>
    <row r="10264" ht="14.25">
      <c r="A10264" s="5"/>
      <c r="B10264" s="13"/>
      <c r="C10264" s="7"/>
      <c r="D10264" s="7"/>
      <c r="E10264" s="5"/>
      <c r="F10264" s="5"/>
      <c r="G10264" s="17"/>
      <c r="H10264" s="10"/>
      <c r="I10264" s="17"/>
    </row>
    <row r="10265" ht="14.25">
      <c r="A10265" s="5"/>
      <c r="B10265" s="13"/>
      <c r="C10265" s="7"/>
      <c r="D10265" s="7"/>
      <c r="E10265" s="5"/>
      <c r="F10265" s="5"/>
      <c r="G10265" s="17"/>
      <c r="H10265" s="10"/>
      <c r="I10265" s="17"/>
    </row>
    <row r="10266" ht="14.25">
      <c r="A10266" s="5"/>
      <c r="B10266" s="13"/>
      <c r="C10266" s="7"/>
      <c r="D10266" s="7"/>
      <c r="E10266" s="5"/>
      <c r="F10266" s="5"/>
      <c r="G10266" s="17"/>
      <c r="H10266" s="10"/>
      <c r="I10266" s="17"/>
    </row>
    <row r="10267" ht="14.25">
      <c r="A10267" s="5"/>
      <c r="B10267" s="13"/>
      <c r="C10267" s="7"/>
      <c r="D10267" s="7"/>
      <c r="E10267" s="5"/>
      <c r="F10267" s="5"/>
      <c r="G10267" s="17"/>
      <c r="H10267" s="10"/>
      <c r="I10267" s="17"/>
    </row>
    <row r="10268" ht="14.25">
      <c r="A10268" s="5"/>
      <c r="B10268" s="13"/>
      <c r="C10268" s="7"/>
      <c r="D10268" s="7"/>
      <c r="E10268" s="5"/>
      <c r="F10268" s="5"/>
      <c r="G10268" s="17"/>
      <c r="H10268" s="10"/>
      <c r="I10268" s="17"/>
    </row>
    <row r="10269" ht="14.25">
      <c r="A10269" s="5"/>
      <c r="B10269" s="13"/>
      <c r="C10269" s="7"/>
      <c r="D10269" s="7"/>
      <c r="E10269" s="5"/>
      <c r="F10269" s="5"/>
      <c r="G10269" s="17"/>
      <c r="H10269" s="10"/>
      <c r="I10269" s="17"/>
    </row>
    <row r="10270" ht="14.25">
      <c r="A10270" s="5"/>
      <c r="B10270" s="13"/>
      <c r="C10270" s="7"/>
      <c r="D10270" s="7"/>
      <c r="E10270" s="5"/>
      <c r="F10270" s="5"/>
      <c r="G10270" s="17"/>
      <c r="H10270" s="10"/>
      <c r="I10270" s="17"/>
    </row>
    <row r="10271" ht="14.25">
      <c r="A10271" s="5"/>
      <c r="B10271" s="13"/>
      <c r="C10271" s="7"/>
      <c r="D10271" s="7"/>
      <c r="E10271" s="5"/>
      <c r="F10271" s="5"/>
      <c r="G10271" s="17"/>
      <c r="H10271" s="10"/>
      <c r="I10271" s="17"/>
    </row>
    <row r="10272" ht="14.25">
      <c r="A10272" s="5"/>
      <c r="B10272" s="13"/>
      <c r="C10272" s="7"/>
      <c r="D10272" s="7"/>
      <c r="E10272" s="5"/>
      <c r="F10272" s="5"/>
      <c r="G10272" s="17"/>
      <c r="H10272" s="10"/>
      <c r="I10272" s="17"/>
    </row>
    <row r="10273" ht="14.25">
      <c r="A10273" s="5"/>
      <c r="B10273" s="13"/>
      <c r="C10273" s="7"/>
      <c r="D10273" s="7"/>
      <c r="E10273" s="5"/>
      <c r="F10273" s="5"/>
      <c r="G10273" s="17"/>
      <c r="H10273" s="10"/>
      <c r="I10273" s="17"/>
    </row>
    <row r="10274" ht="14.25">
      <c r="A10274" s="5"/>
      <c r="B10274" s="13"/>
      <c r="C10274" s="7"/>
      <c r="D10274" s="7"/>
      <c r="E10274" s="5"/>
      <c r="F10274" s="5"/>
      <c r="G10274" s="17"/>
      <c r="H10274" s="10"/>
      <c r="I10274" s="17"/>
    </row>
    <row r="10275" ht="14.25">
      <c r="A10275" s="5"/>
      <c r="B10275" s="13"/>
      <c r="C10275" s="7"/>
      <c r="D10275" s="7"/>
      <c r="E10275" s="5"/>
      <c r="F10275" s="5"/>
      <c r="G10275" s="17"/>
      <c r="H10275" s="10"/>
      <c r="I10275" s="17"/>
    </row>
    <row r="10276" ht="14.25">
      <c r="A10276" s="5"/>
      <c r="B10276" s="13"/>
      <c r="C10276" s="7"/>
      <c r="D10276" s="7"/>
      <c r="E10276" s="5"/>
      <c r="F10276" s="5"/>
      <c r="G10276" s="17"/>
      <c r="H10276" s="10"/>
      <c r="I10276" s="17"/>
    </row>
    <row r="10277" ht="14.25">
      <c r="A10277" s="5"/>
      <c r="B10277" s="13"/>
      <c r="C10277" s="7"/>
      <c r="D10277" s="7"/>
      <c r="E10277" s="5"/>
      <c r="F10277" s="5"/>
      <c r="G10277" s="17"/>
      <c r="H10277" s="10"/>
      <c r="I10277" s="17"/>
    </row>
    <row r="10278" ht="14.25">
      <c r="A10278" s="5"/>
      <c r="B10278" s="13"/>
      <c r="C10278" s="7"/>
      <c r="D10278" s="7"/>
      <c r="E10278" s="5"/>
      <c r="F10278" s="5"/>
      <c r="G10278" s="17"/>
      <c r="H10278" s="10"/>
      <c r="I10278" s="17"/>
    </row>
    <row r="10279" ht="14.25">
      <c r="A10279" s="5"/>
      <c r="B10279" s="13"/>
      <c r="C10279" s="7"/>
      <c r="D10279" s="7"/>
      <c r="E10279" s="5"/>
      <c r="F10279" s="5"/>
      <c r="G10279" s="17"/>
      <c r="H10279" s="10"/>
      <c r="I10279" s="17"/>
    </row>
    <row r="10280" ht="14.25">
      <c r="A10280" s="5"/>
      <c r="B10280" s="13"/>
      <c r="C10280" s="7"/>
      <c r="D10280" s="7"/>
      <c r="E10280" s="5"/>
      <c r="F10280" s="5"/>
      <c r="G10280" s="17"/>
      <c r="H10280" s="10"/>
      <c r="I10280" s="17"/>
    </row>
    <row r="10281" ht="14.25">
      <c r="A10281" s="5"/>
      <c r="B10281" s="13"/>
      <c r="C10281" s="7"/>
      <c r="D10281" s="7"/>
      <c r="E10281" s="5"/>
      <c r="F10281" s="5"/>
      <c r="G10281" s="17"/>
      <c r="H10281" s="10"/>
      <c r="I10281" s="17"/>
    </row>
    <row r="10282" ht="14.25">
      <c r="A10282" s="5"/>
      <c r="B10282" s="13"/>
      <c r="C10282" s="7"/>
      <c r="D10282" s="7"/>
      <c r="E10282" s="5"/>
      <c r="F10282" s="5"/>
      <c r="G10282" s="17"/>
      <c r="H10282" s="10"/>
      <c r="I10282" s="17"/>
    </row>
    <row r="10283" ht="14.25">
      <c r="A10283" s="5"/>
      <c r="B10283" s="13"/>
      <c r="C10283" s="7"/>
      <c r="D10283" s="7"/>
      <c r="E10283" s="5"/>
      <c r="F10283" s="5"/>
      <c r="G10283" s="17"/>
      <c r="H10283" s="10"/>
      <c r="I10283" s="17"/>
    </row>
    <row r="10284" ht="14.25">
      <c r="A10284" s="5"/>
      <c r="B10284" s="13"/>
      <c r="C10284" s="7"/>
      <c r="D10284" s="7"/>
      <c r="E10284" s="5"/>
      <c r="F10284" s="5"/>
      <c r="G10284" s="17"/>
      <c r="H10284" s="10"/>
      <c r="I10284" s="17"/>
    </row>
    <row r="10285" ht="14.25">
      <c r="A10285" s="5"/>
      <c r="B10285" s="13"/>
      <c r="C10285" s="7"/>
      <c r="D10285" s="7"/>
      <c r="E10285" s="5"/>
      <c r="F10285" s="5"/>
      <c r="G10285" s="17"/>
      <c r="H10285" s="10"/>
      <c r="I10285" s="17"/>
    </row>
    <row r="10286" ht="14.25">
      <c r="A10286" s="5"/>
      <c r="B10286" s="13"/>
      <c r="C10286" s="7"/>
      <c r="D10286" s="7"/>
      <c r="E10286" s="5"/>
      <c r="F10286" s="5"/>
      <c r="G10286" s="17"/>
      <c r="H10286" s="10"/>
      <c r="I10286" s="17"/>
    </row>
    <row r="10287" ht="14.25">
      <c r="A10287" s="5"/>
      <c r="B10287" s="13"/>
      <c r="C10287" s="7"/>
      <c r="D10287" s="7"/>
      <c r="E10287" s="5"/>
      <c r="F10287" s="5"/>
      <c r="G10287" s="17"/>
      <c r="H10287" s="10"/>
      <c r="I10287" s="17"/>
    </row>
    <row r="10288" ht="14.25">
      <c r="A10288" s="5"/>
      <c r="B10288" s="13"/>
      <c r="C10288" s="7"/>
      <c r="D10288" s="7"/>
      <c r="E10288" s="5"/>
      <c r="F10288" s="5"/>
      <c r="G10288" s="17"/>
      <c r="H10288" s="10"/>
      <c r="I10288" s="17"/>
    </row>
    <row r="10289" ht="14.25">
      <c r="A10289" s="5"/>
      <c r="B10289" s="13"/>
      <c r="C10289" s="7"/>
      <c r="D10289" s="7"/>
      <c r="E10289" s="5"/>
      <c r="F10289" s="5"/>
      <c r="G10289" s="17"/>
      <c r="H10289" s="10"/>
      <c r="I10289" s="17"/>
    </row>
    <row r="10290" ht="14.25">
      <c r="A10290" s="5"/>
      <c r="B10290" s="13"/>
      <c r="C10290" s="7"/>
      <c r="D10290" s="7"/>
      <c r="E10290" s="5"/>
      <c r="F10290" s="5"/>
      <c r="G10290" s="17"/>
      <c r="H10290" s="10"/>
      <c r="I10290" s="17"/>
    </row>
    <row r="10291" ht="14.25">
      <c r="A10291" s="5"/>
      <c r="B10291" s="13"/>
      <c r="C10291" s="7"/>
      <c r="D10291" s="7"/>
      <c r="E10291" s="5"/>
      <c r="F10291" s="5"/>
      <c r="G10291" s="17"/>
      <c r="H10291" s="10"/>
      <c r="I10291" s="17"/>
    </row>
    <row r="10292" ht="14.25">
      <c r="A10292" s="5"/>
      <c r="B10292" s="13"/>
      <c r="C10292" s="7"/>
      <c r="D10292" s="7"/>
      <c r="E10292" s="5"/>
      <c r="F10292" s="5"/>
      <c r="G10292" s="17"/>
      <c r="H10292" s="10"/>
      <c r="I10292" s="17"/>
    </row>
    <row r="10293" ht="14.25">
      <c r="A10293" s="5"/>
      <c r="B10293" s="13"/>
      <c r="C10293" s="7"/>
      <c r="D10293" s="7"/>
      <c r="E10293" s="5"/>
      <c r="F10293" s="5"/>
      <c r="G10293" s="17"/>
      <c r="H10293" s="10"/>
      <c r="I10293" s="17"/>
    </row>
    <row r="10294" ht="14.25">
      <c r="A10294" s="5"/>
      <c r="B10294" s="13"/>
      <c r="C10294" s="7"/>
      <c r="D10294" s="7"/>
      <c r="E10294" s="5"/>
      <c r="F10294" s="5"/>
      <c r="G10294" s="17"/>
      <c r="H10294" s="10"/>
      <c r="I10294" s="17"/>
    </row>
    <row r="10295" ht="14.25">
      <c r="A10295" s="5"/>
      <c r="B10295" s="13"/>
      <c r="C10295" s="7"/>
      <c r="D10295" s="7"/>
      <c r="E10295" s="5"/>
      <c r="F10295" s="5"/>
      <c r="G10295" s="17"/>
      <c r="H10295" s="10"/>
      <c r="I10295" s="17"/>
    </row>
    <row r="10296" ht="14.25">
      <c r="A10296" s="5"/>
      <c r="B10296" s="13"/>
      <c r="C10296" s="7"/>
      <c r="D10296" s="7"/>
      <c r="E10296" s="5"/>
      <c r="F10296" s="5"/>
      <c r="G10296" s="17"/>
      <c r="H10296" s="10"/>
      <c r="I10296" s="17"/>
    </row>
    <row r="10297" ht="14.25">
      <c r="A10297" s="5"/>
      <c r="B10297" s="13"/>
      <c r="C10297" s="7"/>
      <c r="D10297" s="7"/>
      <c r="E10297" s="5"/>
      <c r="F10297" s="5"/>
      <c r="G10297" s="17"/>
      <c r="H10297" s="10"/>
      <c r="I10297" s="17"/>
    </row>
    <row r="10298" ht="14.25">
      <c r="A10298" s="5"/>
      <c r="B10298" s="13"/>
      <c r="C10298" s="7"/>
      <c r="D10298" s="7"/>
      <c r="E10298" s="5"/>
      <c r="F10298" s="5"/>
      <c r="G10298" s="17"/>
      <c r="H10298" s="10"/>
      <c r="I10298" s="17"/>
    </row>
    <row r="10299" ht="14.25">
      <c r="A10299" s="5"/>
      <c r="B10299" s="13"/>
      <c r="C10299" s="7"/>
      <c r="D10299" s="7"/>
      <c r="E10299" s="5"/>
      <c r="F10299" s="5"/>
      <c r="G10299" s="17"/>
      <c r="H10299" s="10"/>
      <c r="I10299" s="17"/>
    </row>
    <row r="10300" ht="14.25">
      <c r="A10300" s="5"/>
      <c r="B10300" s="13"/>
      <c r="C10300" s="7"/>
      <c r="D10300" s="7"/>
      <c r="E10300" s="5"/>
      <c r="F10300" s="5"/>
      <c r="G10300" s="17"/>
      <c r="H10300" s="10"/>
      <c r="I10300" s="17"/>
    </row>
    <row r="10301" ht="14.25">
      <c r="A10301" s="5"/>
      <c r="B10301" s="13"/>
      <c r="C10301" s="7"/>
      <c r="D10301" s="7"/>
      <c r="E10301" s="5"/>
      <c r="F10301" s="5"/>
      <c r="G10301" s="17"/>
      <c r="H10301" s="10"/>
      <c r="I10301" s="17"/>
    </row>
    <row r="10302" ht="14.25">
      <c r="A10302" s="5"/>
      <c r="B10302" s="13"/>
      <c r="C10302" s="7"/>
      <c r="D10302" s="7"/>
      <c r="E10302" s="5"/>
      <c r="F10302" s="5"/>
      <c r="G10302" s="17"/>
      <c r="H10302" s="10"/>
      <c r="I10302" s="17"/>
    </row>
    <row r="10303" ht="14.25">
      <c r="A10303" s="5"/>
      <c r="B10303" s="13"/>
      <c r="C10303" s="7"/>
      <c r="D10303" s="7"/>
      <c r="E10303" s="5"/>
      <c r="F10303" s="5"/>
      <c r="G10303" s="17"/>
      <c r="H10303" s="10"/>
      <c r="I10303" s="17"/>
    </row>
    <row r="10304" ht="14.25">
      <c r="A10304" s="5"/>
      <c r="B10304" s="13"/>
      <c r="C10304" s="7"/>
      <c r="D10304" s="7"/>
      <c r="E10304" s="5"/>
      <c r="F10304" s="5"/>
      <c r="G10304" s="17"/>
      <c r="H10304" s="10"/>
      <c r="I10304" s="17"/>
    </row>
    <row r="10305" ht="14.25">
      <c r="A10305" s="5"/>
      <c r="B10305" s="13"/>
      <c r="C10305" s="7"/>
      <c r="D10305" s="7"/>
      <c r="E10305" s="5"/>
      <c r="F10305" s="5"/>
      <c r="G10305" s="17"/>
      <c r="H10305" s="10"/>
      <c r="I10305" s="17"/>
    </row>
    <row r="10306" ht="14.25">
      <c r="A10306" s="5"/>
      <c r="B10306" s="13"/>
      <c r="C10306" s="7"/>
      <c r="D10306" s="7"/>
      <c r="E10306" s="5"/>
      <c r="F10306" s="5"/>
      <c r="G10306" s="17"/>
      <c r="H10306" s="10"/>
      <c r="I10306" s="17"/>
    </row>
    <row r="10307" ht="14.25">
      <c r="A10307" s="5"/>
      <c r="B10307" s="13"/>
      <c r="C10307" s="7"/>
      <c r="D10307" s="7"/>
      <c r="E10307" s="5"/>
      <c r="F10307" s="5"/>
      <c r="G10307" s="17"/>
      <c r="H10307" s="10"/>
      <c r="I10307" s="17"/>
    </row>
    <row r="10308" ht="14.25">
      <c r="A10308" s="5"/>
      <c r="B10308" s="13"/>
      <c r="C10308" s="7"/>
      <c r="D10308" s="7"/>
      <c r="E10308" s="5"/>
      <c r="F10308" s="5"/>
      <c r="G10308" s="17"/>
      <c r="H10308" s="10"/>
      <c r="I10308" s="17"/>
    </row>
    <row r="10309" ht="14.25">
      <c r="A10309" s="5"/>
      <c r="B10309" s="13"/>
      <c r="C10309" s="7"/>
      <c r="D10309" s="7"/>
      <c r="E10309" s="5"/>
      <c r="F10309" s="5"/>
      <c r="G10309" s="17"/>
      <c r="H10309" s="10"/>
      <c r="I10309" s="17"/>
    </row>
    <row r="10310" ht="14.25">
      <c r="A10310" s="5"/>
      <c r="B10310" s="13"/>
      <c r="C10310" s="7"/>
      <c r="D10310" s="7"/>
      <c r="E10310" s="5"/>
      <c r="F10310" s="5"/>
      <c r="G10310" s="17"/>
      <c r="H10310" s="10"/>
      <c r="I10310" s="17"/>
    </row>
    <row r="10311" ht="14.25">
      <c r="A10311" s="5"/>
      <c r="B10311" s="13"/>
      <c r="C10311" s="7"/>
      <c r="D10311" s="7"/>
      <c r="E10311" s="5"/>
      <c r="F10311" s="5"/>
      <c r="G10311" s="17"/>
      <c r="H10311" s="10"/>
      <c r="I10311" s="17"/>
    </row>
    <row r="10312" ht="14.25">
      <c r="A10312" s="5"/>
      <c r="B10312" s="13"/>
      <c r="C10312" s="7"/>
      <c r="D10312" s="7"/>
      <c r="E10312" s="5"/>
      <c r="F10312" s="5"/>
      <c r="G10312" s="17"/>
      <c r="H10312" s="10"/>
      <c r="I10312" s="17"/>
    </row>
    <row r="10313" ht="14.25">
      <c r="A10313" s="5"/>
      <c r="B10313" s="13"/>
      <c r="C10313" s="7"/>
      <c r="D10313" s="7"/>
      <c r="E10313" s="5"/>
      <c r="F10313" s="5"/>
      <c r="G10313" s="17"/>
      <c r="H10313" s="10"/>
      <c r="I10313" s="17"/>
    </row>
    <row r="10314" ht="14.25">
      <c r="A10314" s="5"/>
      <c r="B10314" s="13"/>
      <c r="C10314" s="7"/>
      <c r="D10314" s="7"/>
      <c r="E10314" s="5"/>
      <c r="F10314" s="5"/>
      <c r="G10314" s="17"/>
      <c r="H10314" s="10"/>
      <c r="I10314" s="17"/>
    </row>
    <row r="10315" ht="14.25">
      <c r="A10315" s="5"/>
      <c r="B10315" s="13"/>
      <c r="C10315" s="7"/>
      <c r="D10315" s="7"/>
      <c r="E10315" s="5"/>
      <c r="F10315" s="5"/>
      <c r="G10315" s="17"/>
      <c r="H10315" s="10"/>
      <c r="I10315" s="17"/>
    </row>
  </sheetData>
  <printOptions headings="0" gridLines="0"/>
  <pageMargins left="0.511811024" right="0.511811024" top="0.78740157500000008" bottom="0.78740157500000008" header="0.31496062000000008" footer="0.31496062000000008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0FF0051-0063-4B42-8AC3-008F00E500FA}">
            <xm:f>COUNTIF(A:A,A:A)&gt;1</xm:f>
            <x14:dxf>
              <font/>
              <fill>
                <patternFill patternType="solid">
                  <fgColor rgb="FFE06666"/>
                  <bgColor rgb="FFE06666"/>
                </patternFill>
              </fill>
              <border>
                <left/>
                <right/>
                <top/>
                <bottom/>
                <diagonal/>
              </border>
            </x14:dxf>
          </x14:cfRule>
          <xm:sqref>A1:A3914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revision>1</cp:revision>
  <dcterms:modified xsi:type="dcterms:W3CDTF">2026-03-23T11:04:56Z</dcterms:modified>
</cp:coreProperties>
</file>